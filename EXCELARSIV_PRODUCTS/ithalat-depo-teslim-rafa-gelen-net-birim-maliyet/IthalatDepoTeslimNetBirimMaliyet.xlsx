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5.xml" ContentType="application/vnd.openxmlformats-officedocument.spreadsheetml.comments+xml"/>
  <Override PartName="/xl/worksheets/sheet25.xml" ContentType="application/vnd.openxmlformats-officedocument.spreadsheetml.worksheet+xml"/>
  <Override PartName="/xl/comments/comment6.xml" ContentType="application/vnd.openxmlformats-officedocument.spreadsheetml.comments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URUNLER" sheetId="12" state="visible" r:id="rId12"/>
    <sheet xmlns:r="http://schemas.openxmlformats.org/officeDocument/2006/relationships" name="MASRAF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KONTROL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ANAHTAR" sheetId="20" state="visible" r:id="rId20"/>
    <sheet xmlns:r="http://schemas.openxmlformats.org/officeDocument/2006/relationships" name="ESLESTIRME" sheetId="21" state="visible" r:id="rId21"/>
    <sheet xmlns:r="http://schemas.openxmlformats.org/officeDocument/2006/relationships" name="KOK_NEDEN" sheetId="22" state="visible" r:id="rId22"/>
    <sheet xmlns:r="http://schemas.openxmlformats.org/officeDocument/2006/relationships" name="DEGISIKLIK_KAYDI" sheetId="23" state="visible" r:id="rId23"/>
    <sheet xmlns:r="http://schemas.openxmlformats.org/officeDocument/2006/relationships" name="LISTELER" sheetId="24" state="visible" r:id="rId24"/>
    <sheet xmlns:r="http://schemas.openxmlformats.org/officeDocument/2006/relationships" name="AYARLAR" sheetId="25" state="visible" r:id="rId25"/>
    <sheet xmlns:r="http://schemas.openxmlformats.org/officeDocument/2006/relationships" name="KILAVUZ" sheetId="26" state="visible" r:id="rId26"/>
  </sheets>
  <definedNames>
    <definedName name="AnomaliOrani" hidden="0" function="0" vbProcedure="0">MOTOR!$B$23</definedName>
    <definedName name="AnomaliUrunAdedi" hidden="0" function="0" vbProcedure="0">MOTOR!$B$22</definedName>
    <definedName name="AnomaliZEsik" hidden="0" function="0" vbProcedure="0">AYARLAR!$C$17</definedName>
    <definedName name="BolumPaydaTaban" hidden="0" function="0" vbProcedure="0">AYARLAR!$C$14</definedName>
    <definedName name="DoluGirisHucre" hidden="0" function="0" vbProcedure="0">KONTROL!$B$21</definedName>
    <definedName name="DurumKontrol" hidden="0" function="0" vbProcedure="0">KONTROL!$B$24</definedName>
    <definedName name="DuyarliDegisim" hidden="0" function="0" vbProcedure="0">AYARLAR!$C$27</definedName>
    <definedName name="FAIL_Sayisi" hidden="0" function="0" vbProcedure="0">KONTROL!$B$17</definedName>
    <definedName name="firmaUnvani" hidden="0" function="0" vbProcedure="0">AYARLAR!$C$6</definedName>
    <definedName name="GumrukOranVarsayilan" hidden="0" function="0" vbProcedure="0">AYARLAR!$C$10</definedName>
    <definedName name="HhiYuksekEsik" hidden="0" function="0" vbProcedure="0">AYARLAR!$C$33</definedName>
    <definedName name="IskontoOrani" hidden="0" function="0" vbProcedure="0">AYARLAR!$C$31</definedName>
    <definedName name="KararGerekce" hidden="0" function="0" vbProcedure="0">KARAR!$B$12</definedName>
    <definedName name="KararSonuc" hidden="0" function="0" vbProcedure="0">KARAR!$B$11</definedName>
    <definedName name="KayitKapasite" hidden="0" function="0" vbProcedure="0">AYARLAR!$C$24</definedName>
    <definedName name="KdvOranVarsayilan" hidden="0" function="0" vbProcedure="0">AYARLAR!$C$12</definedName>
    <definedName name="MaliyetFaktorEsik" hidden="0" function="0" vbProcedure="0">AYARLAR!$C$16</definedName>
    <definedName name="MaliyetFaktoru" hidden="0" function="0" vbProcedure="0">MOTOR!$B$20</definedName>
    <definedName name="modulI1MaliyetTahmin" hidden="0" function="0" vbProcedure="0">MOTOR!$B$38</definedName>
    <definedName name="modulI1MaliyetTahminYorum" hidden="0" function="0" vbProcedure="0">MOTOR!$C$55</definedName>
    <definedName name="modulI2MaliyetP90" hidden="0" function="0" vbProcedure="0">MOTOR!$B$39</definedName>
    <definedName name="modulI2MaliyetP90Yorum" hidden="0" function="0" vbProcedure="0">MOTOR!$C$56</definedName>
    <definedName name="modulI3MaliyetNpv" hidden="0" function="0" vbProcedure="0">MOTOR!$B$40</definedName>
    <definedName name="modulI3MaliyetNpvYorum" hidden="0" function="0" vbProcedure="0">MOTOR!$C$57</definedName>
    <definedName name="modulI7NakitAcik" hidden="0" function="0" vbProcedure="0">MOTOR!$B$41</definedName>
    <definedName name="modulI7NakitAcikYorum" hidden="0" function="0" vbProcedure="0">MOTOR!$C$58</definedName>
    <definedName name="modulO1AnomaliOran" hidden="0" function="0" vbProcedure="0">MOTOR!$B$32</definedName>
    <definedName name="modulO1AnomaliYorum" hidden="0" function="0" vbProcedure="0">MOTOR!$C$49</definedName>
    <definedName name="modulO2TornadoYorum" hidden="0" function="0" vbProcedure="0">MOTOR!$C$50</definedName>
    <definedName name="modulO2TornadoZirve" hidden="0" function="0" vbProcedure="0">MOTOR!$B$33</definedName>
    <definedName name="modulO3SenaryoFark" hidden="0" function="0" vbProcedure="0">MOTOR!$B$34</definedName>
    <definedName name="modulO3SenaryoYorum" hidden="0" function="0" vbProcedure="0">MOTOR!$C$51</definedName>
    <definedName name="modulO4NakitEtkiOran" hidden="0" function="0" vbProcedure="0">MOTOR!$B$35</definedName>
    <definedName name="modulO4NakitEtkiYorum" hidden="0" function="0" vbProcedure="0">MOTOR!$C$52</definedName>
    <definedName name="modulO6MaliyetHhi" hidden="0" function="0" vbProcedure="0">MOTOR!$B$36</definedName>
    <definedName name="modulO6MaliyetHhiYorum" hidden="0" function="0" vbProcedure="0">MOTOR!$C$53</definedName>
    <definedName name="modulO8KaliteSkoru" hidden="0" function="0" vbProcedure="0">MOTOR!$B$37</definedName>
    <definedName name="modulO8KaliteYorum" hidden="0" function="0" vbProcedure="0">MOTOR!$C$54</definedName>
    <definedName name="modulT1BirimMaliyetOrt" hidden="0" function="0" vbProcedure="0">MOTOR!$B$26</definedName>
    <definedName name="modulT1BirimMaliyetYorum" hidden="0" function="0" vbProcedure="0">MOTOR!$C$43</definedName>
    <definedName name="modulT2MaliyetEgim" hidden="0" function="0" vbProcedure="0">MOTOR!$B$27</definedName>
    <definedName name="modulT2MaliyetEgimYorum" hidden="0" function="0" vbProcedure="0">MOTOR!$C$44</definedName>
    <definedName name="modulT3ParetoPay" hidden="0" function="0" vbProcedure="0">MOTOR!$B$28</definedName>
    <definedName name="modulT3ParetoYorum" hidden="0" function="0" vbProcedure="0">MOTOR!$C$45</definedName>
    <definedName name="modulT4DonemFark" hidden="0" function="0" vbProcedure="0">MOTOR!$B$29</definedName>
    <definedName name="modulT4DonemFarkYorum" hidden="0" function="0" vbProcedure="0">MOTOR!$C$46</definedName>
    <definedName name="modulT5MutabakatFark" hidden="0" function="0" vbProcedure="0">MOTOR!$B$30</definedName>
    <definedName name="modulT5MutabakatYorum" hidden="0" function="0" vbProcedure="0">MOTOR!$C$47</definedName>
    <definedName name="modulT6VergiYukOran" hidden="0" function="0" vbProcedure="0">MOTOR!$B$31</definedName>
    <definedName name="modulT6VergiYukYorum" hidden="0" function="0" vbProcedure="0">MOTOR!$C$48</definedName>
    <definedName name="MutabakatEsikOran" hidden="0" function="0" vbProcedure="0">AYARLAR!$C$18</definedName>
    <definedName name="NavlunSigortaOranVarsayilan" hidden="0" function="0" vbProcedure="0">AYARLAR!$C$13</definedName>
    <definedName name="NpvEsikOran" hidden="0" function="0" vbProcedure="0">AYARLAR!$C$34</definedName>
    <definedName name="OncekiKur" hidden="0" function="0" vbProcedure="0">AYARLAR!$C$9</definedName>
    <definedName name="OrtalamaKur" hidden="0" function="0" vbProcedure="0">MOTOR!$B$18</definedName>
    <definedName name="OrtalamaNetBirimMaliyet" hidden="0" function="0" vbProcedure="0">MOTOR!$B$19</definedName>
    <definedName name="OtvOranVarsayilan" hidden="0" function="0" vbProcedure="0">AYARLAR!$C$11</definedName>
    <definedName name="P90Kuantil" hidden="0" function="0" vbProcedure="0">AYARLAR!$C$30</definedName>
    <definedName name="ParetoEsikOran" hidden="0" function="0" vbProcedure="0">AYARLAR!$C$28</definedName>
    <definedName name="PASS_Sayisi" hidden="0" function="0" vbProcedure="0">KONTROL!$B$16</definedName>
    <definedName name="PesinOdemeTutari" hidden="0" function="0" vbProcedure="0">AYARLAR!$C$32</definedName>
    <definedName name="raporTarihi" hidden="0" function="0" vbProcedure="0">AYARLAR!$C$7</definedName>
    <definedName name="SenaryoEtkiEsik" hidden="0" function="0" vbProcedure="0">AYARLAR!$C$29</definedName>
    <definedName name="SenaryoIyimserKat" hidden="0" function="0" vbProcedure="0">AYARLAR!$C$26</definedName>
    <definedName name="SenaryoKotumserKat" hidden="0" function="0" vbProcedure="0">AYARLAR!$C$25</definedName>
    <definedName name="SenaryoMaliyetBaz" hidden="0" function="0" vbProcedure="0">SENARYO_DUYARLILIK!$C$7</definedName>
    <definedName name="SenaryoMaliyetIyimser" hidden="0" function="0" vbProcedure="0">SENARYO_DUYARLILIK!$D$7</definedName>
    <definedName name="SenaryoMaliyetKotumser" hidden="0" function="0" vbProcedure="0">SENARYO_DUYARLILIK!$B$7</definedName>
    <definedName name="SenaryoVergiIyimser" hidden="0" function="0" vbProcedure="0">SENARYO_DUYARLILIK!$D$8</definedName>
    <definedName name="SenaryoVergiKotumser" hidden="0" function="0" vbProcedure="0">SENARYO_DUYARLILIK!$B$8</definedName>
    <definedName name="ToplamAdet" hidden="0" function="0" vbProcedure="0">MOTOR!$B$8</definedName>
    <definedName name="ToplamCIF" hidden="0" function="0" vbProcedure="0">MOTOR!$B$11</definedName>
    <definedName name="ToplamDepoTeslimMaliyeti" hidden="0" function="0" vbProcedure="0">MOTOR!$B$17</definedName>
    <definedName name="ToplamFOB" hidden="0" function="0" vbProcedure="0">MOTOR!$B$9</definedName>
    <definedName name="ToplamGumrukVergisi" hidden="0" function="0" vbProcedure="0">MOTOR!$B$12</definedName>
    <definedName name="ToplamKdv" hidden="0" function="0" vbProcedure="0">MOTOR!$B$14</definedName>
    <definedName name="ToplamNavlunSigorta" hidden="0" function="0" vbProcedure="0">MOTOR!$B$10</definedName>
    <definedName name="ToplamOtv" hidden="0" function="0" vbProcedure="0">MOTOR!$B$13</definedName>
    <definedName name="ToplamUrunSayisi" hidden="0" function="0" vbProcedure="0">MOTOR!$B$7</definedName>
    <definedName name="ToplamVergi" hidden="0" function="0" vbProcedure="0">MOTOR!$B$15</definedName>
    <definedName name="ToplamYurtIciMasraf" hidden="0" function="0" vbProcedure="0">MOTOR!$B$16</definedName>
    <definedName name="VarsayilanKur" hidden="0" function="0" vbProcedure="0">AYARLAR!$C$8</definedName>
    <definedName name="VergiYukEsik" hidden="0" function="0" vbProcedure="0">AYARLAR!$C$15</definedName>
    <definedName name="VergiYukOrani" hidden="0" function="0" vbProcedure="0">MOTOR!$B$21</definedName>
    <definedName name="VeriKaliteFailCeza" hidden="0" function="0" vbProcedure="0">AYARLAR!$C$22</definedName>
    <definedName name="VeriKaliteIyiEsik" hidden="0" function="0" vbProcedure="0">AYARLAR!$C$19</definedName>
    <definedName name="VeriKaliteOrtaEsik" hidden="0" function="0" vbProcedure="0">AYARLAR!$C$20</definedName>
    <definedName name="VeriKaliteSeviyesi" hidden="0" function="0" vbProcedure="0">KONTROL!$B$20</definedName>
    <definedName name="VeriKaliteSkoru" hidden="0" function="0" vbProcedure="0">KONTROL!$B$19</definedName>
    <definedName name="VeriKaliteTaban" hidden="0" function="0" vbProcedure="0">AYARLAR!$C$21</definedName>
    <definedName name="VeriKaliteUyariCeza" hidden="0" function="0" vbProcedure="0">AYARLAR!$C$23</definedName>
    <definedName name="WARN_Sayisi" hidden="0" function="0" vbProcedure="0">KONTROL!$B$18</definedName>
    <definedName name="_xlnm.Print_Area" localSheetId="17">'RAPOR'!$A$1:$F$40</definedName>
    <definedName name="Birimler" localSheetId="23" hidden="0" function="0" vbProcedure="0">LISTELER!$B$6:$B$10</definedName>
    <definedName name="DovizCinsleri" localSheetId="23" hidden="0" function="0" vbProcedure="0">LISTELER!$A$6:$A$8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;[RED]\(0.0%\);\-"/>
    <numFmt numFmtId="165" formatCode="&quot;₺ &quot;#,##0;[RED]&quot;(₺ &quot;#,##0\);\-"/>
    <numFmt numFmtId="166" formatCode="dd/mm/yyyy"/>
    <numFmt numFmtId="167" formatCode="#,##0 &quot;TL&quot;"/>
    <numFmt numFmtId="168" formatCode="0.0%"/>
    <numFmt numFmtId="169" formatCode="₺#,##0"/>
    <numFmt numFmtId="170" formatCode="0.00&quot;x&quot;"/>
  </numFmts>
  <fonts count="9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7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FFFFFF"/>
      <sz val="10"/>
    </font>
    <font>
      <name val="Arial"/>
      <family val="2"/>
      <sz val="10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color rgb="FF1F4E79"/>
      <sz val="9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F274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3"/>
    </font>
    <font>
      <name val="Segoe UI"/>
      <charset val="1"/>
      <family val="0"/>
      <b val="1"/>
      <color rgb="FF006100"/>
      <sz val="13"/>
    </font>
    <font>
      <name val="Segoe UI"/>
      <charset val="1"/>
      <family val="0"/>
      <color rgb="FF000000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6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FFF2F2F2"/>
        <bgColor rgb="FFFDE9E9"/>
      </patternFill>
    </fill>
    <fill>
      <patternFill patternType="solid">
        <fgColor rgb="FFB08948"/>
        <bgColor rgb="FF878787"/>
      </patternFill>
    </fill>
    <fill>
      <patternFill patternType="solid">
        <fgColor rgb="FFB3261E"/>
        <bgColor rgb="FF993366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4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0" fontId="1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4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4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165" fontId="23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general" vertical="bottom"/>
    </xf>
    <xf numFmtId="4" fontId="23" fillId="0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left" vertical="center" indent="1"/>
    </xf>
    <xf numFmtId="166" fontId="21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4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166" fontId="31" fillId="0" borderId="0" applyAlignment="1" pivotButton="0" quotePrefix="0" xfId="0">
      <alignment horizontal="left" vertical="center"/>
    </xf>
    <xf numFmtId="4" fontId="22" fillId="5" borderId="0" applyAlignment="1" applyProtection="1" pivotButton="0" quotePrefix="0" xfId="0">
      <alignment horizontal="left" vertical="center"/>
      <protection locked="0" hidden="0"/>
    </xf>
    <xf numFmtId="164" fontId="22" fillId="5" borderId="0" applyAlignment="1" applyProtection="1" pivotButton="0" quotePrefix="0" xfId="0">
      <alignment horizontal="left" vertical="center"/>
      <protection locked="0" hidden="0"/>
    </xf>
    <xf numFmtId="165" fontId="22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32" fillId="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0" pivotButton="0" quotePrefix="0" xfId="0"/>
    <xf numFmtId="0" fontId="35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0" fillId="10" borderId="0" applyAlignment="1" pivotButton="0" quotePrefix="0" xfId="0">
      <alignment horizontal="center" vertical="center" wrapText="1"/>
    </xf>
    <xf numFmtId="0" fontId="36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2" fillId="9" borderId="0" applyAlignment="1" pivotButton="0" quotePrefix="0" xfId="0">
      <alignment horizontal="center" vertical="center"/>
    </xf>
    <xf numFmtId="0" fontId="43" fillId="0" borderId="0" pivotButton="0" quotePrefix="0" xfId="0"/>
    <xf numFmtId="167" fontId="43" fillId="0" borderId="0" pivotButton="0" quotePrefix="0" xfId="0"/>
    <xf numFmtId="167" fontId="44" fillId="0" borderId="0" pivotButton="0" quotePrefix="0" xfId="0"/>
    <xf numFmtId="168" fontId="43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9" borderId="0" applyAlignment="1" pivotButton="0" quotePrefix="0" xfId="0">
      <alignment horizontal="center" vertical="center"/>
    </xf>
    <xf numFmtId="0" fontId="42" fillId="9" borderId="0" applyAlignment="1" pivotButton="0" quotePrefix="0" xfId="0">
      <alignment horizontal="center"/>
    </xf>
    <xf numFmtId="0" fontId="44" fillId="0" borderId="0" pivotButton="0" quotePrefix="0" xfId="0"/>
    <xf numFmtId="0" fontId="48" fillId="11" borderId="1" pivotButton="0" quotePrefix="0" xfId="0"/>
    <xf numFmtId="0" fontId="49" fillId="0" borderId="0" pivotButton="0" quotePrefix="0" xfId="0"/>
    <xf numFmtId="0" fontId="50" fillId="0" borderId="0" pivotButton="0" quotePrefix="0" xfId="0"/>
    <xf numFmtId="0" fontId="43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4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0" fontId="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4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4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165" fontId="23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general" vertical="bottom"/>
    </xf>
    <xf numFmtId="4" fontId="23" fillId="0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left" vertical="center" indent="1"/>
    </xf>
    <xf numFmtId="166" fontId="21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4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166" fontId="31" fillId="0" borderId="0" applyAlignment="1" pivotButton="0" quotePrefix="0" xfId="0">
      <alignment horizontal="left" vertical="center"/>
    </xf>
    <xf numFmtId="4" fontId="22" fillId="5" borderId="0" applyAlignment="1" applyProtection="1" pivotButton="0" quotePrefix="0" xfId="0">
      <alignment horizontal="left" vertical="center"/>
      <protection locked="0" hidden="0"/>
    </xf>
    <xf numFmtId="164" fontId="22" fillId="5" borderId="0" applyAlignment="1" applyProtection="1" pivotButton="0" quotePrefix="0" xfId="0">
      <alignment horizontal="left" vertical="center"/>
      <protection locked="0" hidden="0"/>
    </xf>
    <xf numFmtId="165" fontId="22" fillId="5" borderId="0" applyAlignment="1" applyProtection="1" pivotButton="0" quotePrefix="0" xfId="0">
      <alignment horizontal="left" vertical="center"/>
      <protection locked="0" hidden="0"/>
    </xf>
    <xf numFmtId="0" fontId="51" fillId="0" borderId="0" pivotButton="0" quotePrefix="0" xfId="0"/>
    <xf numFmtId="0" fontId="52" fillId="0" borderId="1" applyAlignment="1" pivotButton="0" quotePrefix="0" xfId="0">
      <alignment horizontal="center" vertical="center"/>
    </xf>
    <xf numFmtId="0" fontId="42" fillId="12" borderId="0" applyAlignment="1" pivotButton="0" quotePrefix="0" xfId="0">
      <alignment horizontal="center" vertical="center"/>
    </xf>
    <xf numFmtId="0" fontId="33" fillId="0" borderId="0" pivotButton="0" quotePrefix="0" xfId="0"/>
    <xf numFmtId="0" fontId="39" fillId="0" borderId="2" pivotButton="0" quotePrefix="0" xfId="0"/>
    <xf numFmtId="0" fontId="0" fillId="0" borderId="1" pivotButton="0" quotePrefix="0" xfId="0"/>
    <xf numFmtId="0" fontId="53" fillId="13" borderId="1" applyAlignment="1" pivotButton="0" quotePrefix="0" xfId="0">
      <alignment horizontal="center"/>
    </xf>
    <xf numFmtId="0" fontId="39" fillId="0" borderId="3" pivotButton="0" quotePrefix="0" xfId="0"/>
    <xf numFmtId="0" fontId="55" fillId="14" borderId="1" applyAlignment="1" pivotButton="0" quotePrefix="0" xfId="0">
      <alignment horizontal="center"/>
    </xf>
    <xf numFmtId="0" fontId="54" fillId="15" borderId="1" applyAlignment="1" pivotButton="0" quotePrefix="0" xfId="0">
      <alignment horizontal="center"/>
    </xf>
    <xf numFmtId="0" fontId="39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5" fillId="0" borderId="2" pivotButton="0" quotePrefix="0" xfId="0"/>
    <xf numFmtId="0" fontId="56" fillId="0" borderId="3" pivotButton="0" quotePrefix="0" xfId="0"/>
    <xf numFmtId="0" fontId="57" fillId="0" borderId="4" pivotButton="0" quotePrefix="0" xfId="0"/>
    <xf numFmtId="0" fontId="54" fillId="0" borderId="2" pivotButton="0" quotePrefix="0" xfId="0"/>
    <xf numFmtId="0" fontId="49" fillId="0" borderId="3" pivotButton="0" quotePrefix="0" xfId="0"/>
    <xf numFmtId="0" fontId="54" fillId="0" borderId="4" pivotButton="0" quotePrefix="0" xfId="0"/>
    <xf numFmtId="0" fontId="58" fillId="16" borderId="0" applyAlignment="1" pivotButton="0" quotePrefix="0" xfId="0">
      <alignment horizontal="center"/>
    </xf>
    <xf numFmtId="0" fontId="59" fillId="0" borderId="0" pivotButton="0" quotePrefix="0" xfId="0"/>
    <xf numFmtId="0" fontId="58" fillId="17" borderId="0" applyAlignment="1" pivotButton="0" quotePrefix="0" xfId="0">
      <alignment horizontal="center" vertical="center"/>
    </xf>
    <xf numFmtId="0" fontId="59" fillId="0" borderId="1" pivotButton="0" quotePrefix="0" xfId="0"/>
    <xf numFmtId="0" fontId="60" fillId="0" borderId="1" pivotButton="0" quotePrefix="0" xfId="0"/>
    <xf numFmtId="0" fontId="61" fillId="0" borderId="1" pivotButton="0" quotePrefix="0" xfId="0"/>
    <xf numFmtId="0" fontId="62" fillId="18" borderId="1" applyAlignment="1" pivotButton="0" quotePrefix="0" xfId="0">
      <alignment horizontal="center"/>
    </xf>
    <xf numFmtId="0" fontId="58" fillId="9" borderId="0" pivotButton="0" quotePrefix="0" xfId="0"/>
    <xf numFmtId="0" fontId="63" fillId="9" borderId="0" pivotButton="0" quotePrefix="0" xfId="0"/>
    <xf numFmtId="0" fontId="64" fillId="9" borderId="0" pivotButton="0" quotePrefix="0" xfId="0"/>
    <xf numFmtId="0" fontId="0" fillId="9" borderId="0" pivotButton="0" quotePrefix="0" xfId="0"/>
    <xf numFmtId="0" fontId="36" fillId="9" borderId="0" applyAlignment="1" pivotButton="0" quotePrefix="0" xfId="0">
      <alignment horizontal="center"/>
    </xf>
    <xf numFmtId="0" fontId="52" fillId="0" borderId="0" pivotButton="0" quotePrefix="0" xfId="0"/>
    <xf numFmtId="0" fontId="67" fillId="19" borderId="0" pivotButton="0" quotePrefix="0" xfId="0"/>
    <xf numFmtId="0" fontId="0" fillId="19" borderId="0" pivotButton="0" quotePrefix="0" xfId="0"/>
    <xf numFmtId="0" fontId="54" fillId="0" borderId="0" pivotButton="0" quotePrefix="0" xfId="0"/>
    <xf numFmtId="0" fontId="42" fillId="19" borderId="0" pivotButton="0" quotePrefix="0" xfId="0"/>
    <xf numFmtId="0" fontId="68" fillId="19" borderId="0" applyAlignment="1" pivotButton="0" quotePrefix="0" xfId="0">
      <alignment wrapText="1"/>
    </xf>
    <xf numFmtId="0" fontId="65" fillId="0" borderId="0" pivotButton="0" quotePrefix="0" xfId="0"/>
    <xf numFmtId="0" fontId="66" fillId="0" borderId="0" pivotButton="0" quotePrefix="0" xfId="0"/>
    <xf numFmtId="0" fontId="54" fillId="15" borderId="5" applyAlignment="1" pivotButton="0" quotePrefix="0" xfId="0">
      <alignment horizontal="center" vertical="center"/>
    </xf>
    <xf numFmtId="0" fontId="69" fillId="20" borderId="0" applyAlignment="1" pivotButton="0" quotePrefix="0" xfId="0">
      <alignment horizontal="center" vertical="center"/>
    </xf>
    <xf numFmtId="0" fontId="33" fillId="21" borderId="1" applyAlignment="1" pivotButton="0" quotePrefix="0" xfId="0">
      <alignment vertical="center"/>
    </xf>
    <xf numFmtId="0" fontId="53" fillId="13" borderId="0" applyAlignment="1" pivotButton="0" quotePrefix="0" xfId="0">
      <alignment horizontal="center" vertical="center"/>
    </xf>
    <xf numFmtId="0" fontId="54" fillId="15" borderId="0" applyAlignment="1" pivotButton="0" quotePrefix="0" xfId="0">
      <alignment horizontal="center" vertical="center"/>
    </xf>
    <xf numFmtId="0" fontId="70" fillId="9" borderId="0" applyAlignment="1" pivotButton="0" quotePrefix="0" xfId="0">
      <alignment horizontal="center" vertical="center"/>
    </xf>
    <xf numFmtId="0" fontId="71" fillId="21" borderId="1" applyAlignment="1" pivotButton="0" quotePrefix="0" xfId="0">
      <alignment horizontal="center"/>
    </xf>
    <xf numFmtId="0" fontId="72" fillId="21" borderId="1" applyAlignment="1" pivotButton="0" quotePrefix="0" xfId="0">
      <alignment horizontal="center"/>
    </xf>
    <xf numFmtId="0" fontId="71" fillId="21" borderId="1" pivotButton="0" quotePrefix="0" xfId="0"/>
    <xf numFmtId="169" fontId="72" fillId="21" borderId="1" applyAlignment="1" pivotButton="0" quotePrefix="0" xfId="0">
      <alignment horizontal="right"/>
    </xf>
    <xf numFmtId="9" fontId="71" fillId="21" borderId="1" applyAlignment="1" pivotButton="0" quotePrefix="0" xfId="0">
      <alignment horizontal="center"/>
    </xf>
    <xf numFmtId="169" fontId="71" fillId="21" borderId="1" applyAlignment="1" pivotButton="0" quotePrefix="0" xfId="0">
      <alignment horizontal="right"/>
    </xf>
    <xf numFmtId="0" fontId="54" fillId="21" borderId="1" applyAlignment="1" pivotButton="0" quotePrefix="0" xfId="0">
      <alignment horizontal="center"/>
    </xf>
    <xf numFmtId="0" fontId="71" fillId="20" borderId="1" applyAlignment="1" pivotButton="0" quotePrefix="0" xfId="0">
      <alignment horizontal="center"/>
    </xf>
    <xf numFmtId="0" fontId="72" fillId="20" borderId="1" applyAlignment="1" pivotButton="0" quotePrefix="0" xfId="0">
      <alignment horizontal="center"/>
    </xf>
    <xf numFmtId="0" fontId="71" fillId="20" borderId="1" pivotButton="0" quotePrefix="0" xfId="0"/>
    <xf numFmtId="169" fontId="72" fillId="20" borderId="1" applyAlignment="1" pivotButton="0" quotePrefix="0" xfId="0">
      <alignment horizontal="right"/>
    </xf>
    <xf numFmtId="9" fontId="71" fillId="20" borderId="1" applyAlignment="1" pivotButton="0" quotePrefix="0" xfId="0">
      <alignment horizontal="center"/>
    </xf>
    <xf numFmtId="169" fontId="71" fillId="20" borderId="1" applyAlignment="1" pivotButton="0" quotePrefix="0" xfId="0">
      <alignment horizontal="right"/>
    </xf>
    <xf numFmtId="0" fontId="59" fillId="20" borderId="1" applyAlignment="1" pivotButton="0" quotePrefix="0" xfId="0">
      <alignment horizontal="center"/>
    </xf>
    <xf numFmtId="0" fontId="54" fillId="20" borderId="1" applyAlignment="1" pivotButton="0" quotePrefix="0" xfId="0">
      <alignment horizontal="center"/>
    </xf>
    <xf numFmtId="0" fontId="55" fillId="20" borderId="1" applyAlignment="1" pivotButton="0" quotePrefix="0" xfId="0">
      <alignment horizontal="center"/>
    </xf>
    <xf numFmtId="0" fontId="42" fillId="9" borderId="0" applyAlignment="1" pivotButton="0" quotePrefix="0" xfId="0">
      <alignment vertical="center" indent="1"/>
    </xf>
    <xf numFmtId="169" fontId="73" fillId="9" borderId="0" applyAlignment="1" pivotButton="0" quotePrefix="0" xfId="0">
      <alignment horizontal="right" vertical="center"/>
    </xf>
    <xf numFmtId="0" fontId="74" fillId="0" borderId="6" pivotButton="0" quotePrefix="0" xfId="0"/>
    <xf numFmtId="0" fontId="75" fillId="0" borderId="6" pivotButton="0" quotePrefix="0" xfId="0"/>
    <xf numFmtId="0" fontId="76" fillId="0" borderId="6" pivotButton="0" quotePrefix="0" xfId="0"/>
    <xf numFmtId="0" fontId="77" fillId="22" borderId="1" applyAlignment="1" pivotButton="0" quotePrefix="0" xfId="0">
      <alignment horizontal="center" vertical="center"/>
    </xf>
    <xf numFmtId="0" fontId="81" fillId="13" borderId="1" applyAlignment="1" pivotButton="0" quotePrefix="0" xfId="0">
      <alignment horizontal="center" vertical="center"/>
    </xf>
    <xf numFmtId="0" fontId="78" fillId="0" borderId="1" pivotButton="0" quotePrefix="0" xfId="0"/>
    <xf numFmtId="0" fontId="77" fillId="0" borderId="1" applyAlignment="1" pivotButton="0" quotePrefix="0" xfId="0">
      <alignment horizontal="right"/>
    </xf>
    <xf numFmtId="0" fontId="81" fillId="0" borderId="1" applyAlignment="1" pivotButton="0" quotePrefix="0" xfId="0">
      <alignment horizontal="right"/>
    </xf>
    <xf numFmtId="0" fontId="52" fillId="0" borderId="1" applyAlignment="1" pivotButton="0" quotePrefix="0" xfId="0">
      <alignment horizontal="right"/>
    </xf>
    <xf numFmtId="0" fontId="79" fillId="0" borderId="1" applyAlignment="1" pivotButton="0" quotePrefix="0" xfId="0">
      <alignment horizontal="right"/>
    </xf>
    <xf numFmtId="0" fontId="80" fillId="14" borderId="7" applyAlignment="1" pivotButton="0" quotePrefix="0" xfId="0">
      <alignment horizontal="center" vertical="center"/>
    </xf>
    <xf numFmtId="0" fontId="82" fillId="13" borderId="8" applyAlignment="1" pivotButton="0" quotePrefix="0" xfId="0">
      <alignment horizontal="center" vertical="center"/>
    </xf>
    <xf numFmtId="0" fontId="78" fillId="0" borderId="0" pivotButton="0" quotePrefix="0" xfId="0"/>
    <xf numFmtId="0" fontId="83" fillId="23" borderId="0" applyAlignment="1" pivotButton="0" quotePrefix="0" xfId="0">
      <alignment horizontal="left" vertical="center" wrapText="1"/>
    </xf>
    <xf numFmtId="0" fontId="84" fillId="24" borderId="0" applyAlignment="1" pivotButton="0" quotePrefix="0" xfId="0">
      <alignment vertical="center" wrapText="1"/>
    </xf>
    <xf numFmtId="0" fontId="85" fillId="25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0" fontId="87" fillId="23" borderId="0" applyAlignment="1" pivotButton="0" quotePrefix="0" xfId="0">
      <alignment horizontal="left" vertical="center" wrapText="1"/>
    </xf>
    <xf numFmtId="0" fontId="83" fillId="26" borderId="0" applyAlignment="1" pivotButton="0" quotePrefix="0" xfId="0">
      <alignment horizontal="left" vertical="center" wrapText="1"/>
    </xf>
    <xf numFmtId="0" fontId="84" fillId="26" borderId="0" applyAlignment="1" pivotButton="0" quotePrefix="0" xfId="0">
      <alignment vertical="center" wrapText="1"/>
    </xf>
    <xf numFmtId="0" fontId="88" fillId="27" borderId="0" applyAlignment="1" pivotButton="0" quotePrefix="0" xfId="0">
      <alignment vertical="top" wrapText="1"/>
    </xf>
    <xf numFmtId="0" fontId="83" fillId="28" borderId="0" applyAlignment="1" pivotButton="0" quotePrefix="0" xfId="0">
      <alignment horizontal="left" vertical="center" wrapText="1"/>
    </xf>
    <xf numFmtId="0" fontId="84" fillId="28" borderId="0" applyAlignment="1" pivotButton="0" quotePrefix="0" xfId="0">
      <alignment vertical="center" wrapText="1"/>
    </xf>
    <xf numFmtId="0" fontId="89" fillId="29" borderId="0" applyAlignment="1" pivotButton="0" quotePrefix="0" xfId="0">
      <alignment vertical="top" wrapText="1"/>
    </xf>
    <xf numFmtId="0" fontId="90" fillId="27" borderId="0" applyAlignment="1" pivotButton="0" quotePrefix="0" xfId="0">
      <alignment vertical="top" wrapText="1"/>
    </xf>
    <xf numFmtId="0" fontId="91" fillId="0" borderId="0" applyAlignment="1" pivotButton="0" quotePrefix="0" xfId="0">
      <alignment vertical="top" wrapText="1"/>
    </xf>
    <xf numFmtId="0" fontId="83" fillId="30" borderId="0" applyAlignment="1" pivotButton="0" quotePrefix="0" xfId="0">
      <alignment horizontal="left" vertical="center"/>
    </xf>
    <xf numFmtId="0" fontId="84" fillId="30" borderId="0" applyAlignment="1" pivotButton="0" quotePrefix="0" xfId="0">
      <alignment vertical="center" wrapText="1"/>
    </xf>
    <xf numFmtId="0" fontId="92" fillId="31" borderId="0" applyAlignment="1" pivotButton="0" quotePrefix="0" xfId="0">
      <alignment vertical="top" wrapText="1"/>
    </xf>
    <xf numFmtId="0" fontId="93" fillId="32" borderId="0" applyAlignment="1" pivotButton="0" quotePrefix="0" xfId="0">
      <alignment vertical="top" wrapText="1"/>
    </xf>
    <xf numFmtId="0" fontId="83" fillId="33" borderId="0" applyAlignment="1" pivotButton="0" quotePrefix="0" xfId="0">
      <alignment horizontal="left" vertical="center"/>
    </xf>
    <xf numFmtId="0" fontId="84" fillId="33" borderId="0" applyAlignment="1" pivotButton="0" quotePrefix="0" xfId="0">
      <alignment vertical="center" wrapText="1"/>
    </xf>
    <xf numFmtId="0" fontId="94" fillId="32" borderId="0" applyAlignment="1" pivotButton="0" quotePrefix="0" xfId="0">
      <alignment vertical="top" wrapText="1"/>
    </xf>
    <xf numFmtId="0" fontId="83" fillId="34" borderId="0" applyAlignment="1" pivotButton="0" quotePrefix="0" xfId="0">
      <alignment horizontal="left" vertical="center"/>
    </xf>
    <xf numFmtId="0" fontId="84" fillId="34" borderId="0" applyAlignment="1" pivotButton="0" quotePrefix="0" xfId="0">
      <alignment vertical="center" wrapText="1"/>
    </xf>
    <xf numFmtId="0" fontId="95" fillId="35" borderId="0" applyAlignment="1" pivotButton="0" quotePrefix="0" xfId="0">
      <alignment vertical="top" wrapText="1"/>
    </xf>
    <xf numFmtId="0" fontId="96" fillId="0" borderId="0" applyAlignment="1" pivotButton="0" quotePrefix="0" xfId="0">
      <alignment vertical="top" wrapText="1"/>
    </xf>
    <xf numFmtId="169" fontId="35" fillId="0" borderId="2" pivotButton="0" quotePrefix="0" xfId="0"/>
    <xf numFmtId="169" fontId="56" fillId="0" borderId="3" pivotButton="0" quotePrefix="0" xfId="0"/>
    <xf numFmtId="169" fontId="59" fillId="0" borderId="1" pivotButton="0" quotePrefix="0" xfId="0"/>
    <xf numFmtId="169" fontId="60" fillId="0" borderId="1" pivotButton="0" quotePrefix="0" xfId="0"/>
    <xf numFmtId="169" fontId="63" fillId="9" borderId="0" pivotButton="0" quotePrefix="0" xfId="0"/>
    <xf numFmtId="169" fontId="64" fillId="9" borderId="0" pivotButton="0" quotePrefix="0" xfId="0"/>
    <xf numFmtId="169" fontId="82" fillId="11" borderId="1" applyAlignment="1" pivotButton="0" quotePrefix="0" xfId="0">
      <alignment horizontal="right"/>
    </xf>
    <xf numFmtId="169" fontId="52" fillId="0" borderId="1" applyAlignment="1" pivotButton="0" quotePrefix="0" xfId="0">
      <alignment horizontal="right"/>
    </xf>
    <xf numFmtId="169" fontId="79" fillId="0" borderId="1" applyAlignment="1" pivotButton="0" quotePrefix="0" xfId="0">
      <alignment horizontal="right"/>
    </xf>
    <xf numFmtId="170" fontId="79" fillId="0" borderId="1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E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B08948"/>
      <rgbColor rgb="FF0F2742"/>
      <rgbColor rgb="FF339966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Ürün adı | Neden önemli: Maliyet satırının tanımı | Doğru giriş: Metin | Örnek: Hidrolik Pompa | Yanlışsa: Rapor okunmaz</t>
      </text>
    </comment>
    <comment ref="B6" authorId="0" shapeId="0">
      <text>
        <t>Tanım: Birim | Neden önemli: Adet ve birim maliyetin birimi | Doğru giriş: Liste | Örnek: Adet | Yanlışsa: Birim maliyet karışır</t>
      </text>
    </comment>
    <comment ref="C6" authorId="0" shapeId="0">
      <text>
        <t>Tanım: Adet | Neden önemli: Birim maliyetin paydası | Doğru giriş: Sayı | Örnek: 50 | Yanlışsa: Net birim maliyet bozulur</t>
      </text>
    </comment>
    <comment ref="D6" authorId="0" shapeId="0">
      <text>
        <t>Tanım: FOB birim fiyat (döviz) | Neden önemli: Vergi matrahı zincirinin tabanı | Doğru giriş: Sayı | Örnek: 120 | Yanlışsa: Tüm zincir bozulur</t>
      </text>
    </comment>
    <comment ref="E6" authorId="0" shapeId="0">
      <text>
        <t>Tanım: Döviz cinsi | Neden önemli: Kur ile TL çevrimi | Doğru giriş: Liste | Örnek: USD | Yanlışsa: TL maliyet yanlış olur</t>
      </text>
    </comment>
    <comment ref="F6" authorId="0" shapeId="0">
      <text>
        <t>Tanım: Kur | Neden önemli: FOB TL hesabı | Doğru giriş: Sayı | Örnek: 38.50 | Yanlışsa: TL maliyet yanlış olur</t>
      </text>
    </comment>
    <comment ref="G6" authorId="0" shapeId="0">
      <text>
        <t>Tanım: Navlun/sigorta oranı | Neden önemli: CIF değerini belirler | Doğru giriş: Yüzde | Örnek: 0.05 | Yanlışsa: CIF eksik kalır</t>
      </text>
    </comment>
    <comment ref="H6" authorId="0" shapeId="0">
      <text>
        <t>Tanım: Gümrük vergisi oranı | Neden önemli: CIF üzerinden tahakkuk eder | Doğru giriş: Yüzde | Örnek: 0.05 | Yanlışsa: Vergi yükü yanlış olur</t>
      </text>
    </comment>
    <comment ref="I6" authorId="0" shapeId="0">
      <text>
        <t>Tanım: ÖTV oranı | Neden önemli: (CIF + GV) üzerinden uygulanır | Doğru giriş: Yüzde | Örnek: 0.10 | Yanlışsa: ÖTV matrahı bozulur</t>
      </text>
    </comment>
    <comment ref="J6" authorId="0" shapeId="0">
      <text>
        <t>Tanım: KDV oranı | Neden önemli: (CIF + GV + ÖTV) üzerinden uygulanır | Doğru giriş: Yüzde | Örnek: 0.20 | Yanlışsa: KDV matrahı bozulur</t>
      </text>
    </comment>
    <comment ref="A7" authorId="0" shapeId="0">
      <text>
        <t>Tanım: Ürün adı | Neden önemli: Maliyet satırının tanımı | Doğru giriş: Metin | Örnek: Hidrolik Pompa | Yanlışsa: Rapor okunmaz</t>
      </text>
    </comment>
    <comment ref="B7" authorId="0" shapeId="0">
      <text>
        <t>Tanım: Birim | Neden önemli: Adet ve birim maliyetin birimi | Doğru giriş: Liste | Örnek: Adet | Yanlışsa: Birim maliyet karışır</t>
      </text>
    </comment>
    <comment ref="C7" authorId="0" shapeId="0">
      <text>
        <t>Tanım: Adet | Neden önemli: Birim maliyetin paydası | Doğru giriş: Sayı | Örnek: 50 | Yanlışsa: Net birim maliyet bozulur</t>
      </text>
    </comment>
    <comment ref="D7" authorId="0" shapeId="0">
      <text>
        <t>Tanım: FOB birim fiyat (döviz) | Neden önemli: Vergi matrahı zincirinin tabanı | Doğru giriş: Sayı | Örnek: 120 | Yanlışsa: Tüm zincir bozulur</t>
      </text>
    </comment>
    <comment ref="E7" authorId="0" shapeId="0">
      <text>
        <t>Tanım: Döviz cinsi | Neden önemli: Kur ile TL çevrimi | Doğru giriş: Liste | Örnek: USD | Yanlışsa: TL maliyet yanlış olur</t>
      </text>
    </comment>
    <comment ref="F7" authorId="0" shapeId="0">
      <text>
        <t>Tanım: Kur | Neden önemli: FOB TL hesabı | Doğru giriş: Sayı | Örnek: 38.50 | Yanlışsa: TL maliyet yanlış olur</t>
      </text>
    </comment>
    <comment ref="G7" authorId="0" shapeId="0">
      <text>
        <t>Tanım: Navlun/sigorta oranı | Neden önemli: CIF değerini belirler | Doğru giriş: Yüzde | Örnek: 0.05 | Yanlışsa: CIF eksik kalır</t>
      </text>
    </comment>
    <comment ref="H7" authorId="0" shapeId="0">
      <text>
        <t>Tanım: Gümrük vergisi oranı | Neden önemli: CIF üzerinden tahakkuk eder | Doğru giriş: Yüzde | Örnek: 0.05 | Yanlışsa: Vergi yükü yanlış olur</t>
      </text>
    </comment>
    <comment ref="I7" authorId="0" shapeId="0">
      <text>
        <t>Tanım: ÖTV oranı | Neden önemli: (CIF + GV) üzerinden uygulanır | Doğru giriş: Yüzde | Örnek: 0.10 | Yanlışsa: ÖTV matrahı bozulur</t>
      </text>
    </comment>
    <comment ref="J7" authorId="0" shapeId="0">
      <text>
        <t>Tanım: KDV oranı | Neden önemli: (CIF + GV + ÖTV) üzerinden uygulanır | Doğru giriş: Yüzde | Örnek: 0.20 | Yanlışsa: KDV matrahı bozulur</t>
      </text>
    </comment>
    <comment ref="A8" authorId="0" shapeId="0">
      <text>
        <t>Tanım: Ürün adı | Neden önemli: Maliyet satırının tanımı | Doğru giriş: Metin | Örnek: Hidrolik Pompa | Yanlışsa: Rapor okunmaz</t>
      </text>
    </comment>
    <comment ref="B8" authorId="0" shapeId="0">
      <text>
        <t>Tanım: Birim | Neden önemli: Adet ve birim maliyetin birimi | Doğru giriş: Liste | Örnek: Adet | Yanlışsa: Birim maliyet karışır</t>
      </text>
    </comment>
    <comment ref="C8" authorId="0" shapeId="0">
      <text>
        <t>Tanım: Adet | Neden önemli: Birim maliyetin paydası | Doğru giriş: Sayı | Örnek: 50 | Yanlışsa: Net birim maliyet bozulur</t>
      </text>
    </comment>
    <comment ref="D8" authorId="0" shapeId="0">
      <text>
        <t>Tanım: FOB birim fiyat (döviz) | Neden önemli: Vergi matrahı zincirinin tabanı | Doğru giriş: Sayı | Örnek: 120 | Yanlışsa: Tüm zincir bozulur</t>
      </text>
    </comment>
    <comment ref="E8" authorId="0" shapeId="0">
      <text>
        <t>Tanım: Döviz cinsi | Neden önemli: Kur ile TL çevrimi | Doğru giriş: Liste | Örnek: USD | Yanlışsa: TL maliyet yanlış olur</t>
      </text>
    </comment>
    <comment ref="F8" authorId="0" shapeId="0">
      <text>
        <t>Tanım: Kur | Neden önemli: FOB TL hesabı | Doğru giriş: Sayı | Örnek: 38.50 | Yanlışsa: TL maliyet yanlış olur</t>
      </text>
    </comment>
    <comment ref="G8" authorId="0" shapeId="0">
      <text>
        <t>Tanım: Navlun/sigorta oranı | Neden önemli: CIF değerini belirler | Doğru giriş: Yüzde | Örnek: 0.05 | Yanlışsa: CIF eksik kalır</t>
      </text>
    </comment>
    <comment ref="H8" authorId="0" shapeId="0">
      <text>
        <t>Tanım: Gümrük vergisi oranı | Neden önemli: CIF üzerinden tahakkuk eder | Doğru giriş: Yüzde | Örnek: 0.05 | Yanlışsa: Vergi yükü yanlış olur</t>
      </text>
    </comment>
    <comment ref="I8" authorId="0" shapeId="0">
      <text>
        <t>Tanım: ÖTV oranı | Neden önemli: (CIF + GV) üzerinden uygulanır | Doğru giriş: Yüzde | Örnek: 0.10 | Yanlışsa: ÖTV matrahı bozulur</t>
      </text>
    </comment>
    <comment ref="J8" authorId="0" shapeId="0">
      <text>
        <t>Tanım: KDV oranı | Neden önemli: (CIF + GV + ÖTV) üzerinden uygulanır | Doğru giriş: Yüzde | Örnek: 0.20 | Yanlışsa: KDV matrahı bozulur</t>
      </text>
    </comment>
    <comment ref="A9" authorId="0" shapeId="0">
      <text>
        <t>Tanım: Ürün adı | Neden önemli: Maliyet satırının tanımı | Doğru giriş: Metin | Örnek: Hidrolik Pompa | Yanlışsa: Rapor okunmaz</t>
      </text>
    </comment>
    <comment ref="B9" authorId="0" shapeId="0">
      <text>
        <t>Tanım: Birim | Neden önemli: Adet ve birim maliyetin birimi | Doğru giriş: Liste | Örnek: Adet | Yanlışsa: Birim maliyet karışır</t>
      </text>
    </comment>
    <comment ref="C9" authorId="0" shapeId="0">
      <text>
        <t>Tanım: Adet | Neden önemli: Birim maliyetin paydası | Doğru giriş: Sayı | Örnek: 50 | Yanlışsa: Net birim maliyet bozulur</t>
      </text>
    </comment>
    <comment ref="D9" authorId="0" shapeId="0">
      <text>
        <t>Tanım: FOB birim fiyat (döviz) | Neden önemli: Vergi matrahı zincirinin tabanı | Doğru giriş: Sayı | Örnek: 120 | Yanlışsa: Tüm zincir bozulur</t>
      </text>
    </comment>
    <comment ref="E9" authorId="0" shapeId="0">
      <text>
        <t>Tanım: Döviz cinsi | Neden önemli: Kur ile TL çevrimi | Doğru giriş: Liste | Örnek: USD | Yanlışsa: TL maliyet yanlış olur</t>
      </text>
    </comment>
    <comment ref="F9" authorId="0" shapeId="0">
      <text>
        <t>Tanım: Kur | Neden önemli: FOB TL hesabı | Doğru giriş: Sayı | Örnek: 38.50 | Yanlışsa: TL maliyet yanlış olur</t>
      </text>
    </comment>
    <comment ref="G9" authorId="0" shapeId="0">
      <text>
        <t>Tanım: Navlun/sigorta oranı | Neden önemli: CIF değerini belirler | Doğru giriş: Yüzde | Örnek: 0.05 | Yanlışsa: CIF eksik kalır</t>
      </text>
    </comment>
    <comment ref="H9" authorId="0" shapeId="0">
      <text>
        <t>Tanım: Gümrük vergisi oranı | Neden önemli: CIF üzerinden tahakkuk eder | Doğru giriş: Yüzde | Örnek: 0.05 | Yanlışsa: Vergi yükü yanlış olur</t>
      </text>
    </comment>
    <comment ref="I9" authorId="0" shapeId="0">
      <text>
        <t>Tanım: ÖTV oranı | Neden önemli: (CIF + GV) üzerinden uygulanır | Doğru giriş: Yüzde | Örnek: 0.10 | Yanlışsa: ÖTV matrahı bozulur</t>
      </text>
    </comment>
    <comment ref="J9" authorId="0" shapeId="0">
      <text>
        <t>Tanım: KDV oranı | Neden önemli: (CIF + GV + ÖTV) üzerinden uygulanır | Doğru giriş: Yüzde | Örnek: 0.20 | Yanlışsa: KDV matrahı bozulur</t>
      </text>
    </comment>
    <comment ref="A10" authorId="0" shapeId="0">
      <text>
        <t>Tanım: Ürün adı | Neden önemli: Maliyet satırının tanımı | Doğru giriş: Metin | Örnek: Hidrolik Pompa | Yanlışsa: Rapor okunmaz</t>
      </text>
    </comment>
    <comment ref="B10" authorId="0" shapeId="0">
      <text>
        <t>Tanım: Birim | Neden önemli: Adet ve birim maliyetin birimi | Doğru giriş: Liste | Örnek: Adet | Yanlışsa: Birim maliyet karışır</t>
      </text>
    </comment>
    <comment ref="C10" authorId="0" shapeId="0">
      <text>
        <t>Tanım: Adet | Neden önemli: Birim maliyetin paydası | Doğru giriş: Sayı | Örnek: 50 | Yanlışsa: Net birim maliyet bozulur</t>
      </text>
    </comment>
    <comment ref="D10" authorId="0" shapeId="0">
      <text>
        <t>Tanım: FOB birim fiyat (döviz) | Neden önemli: Vergi matrahı zincirinin tabanı | Doğru giriş: Sayı | Örnek: 120 | Yanlışsa: Tüm zincir bozulur</t>
      </text>
    </comment>
    <comment ref="E10" authorId="0" shapeId="0">
      <text>
        <t>Tanım: Döviz cinsi | Neden önemli: Kur ile TL çevrimi | Doğru giriş: Liste | Örnek: USD | Yanlışsa: TL maliyet yanlış olur</t>
      </text>
    </comment>
    <comment ref="F10" authorId="0" shapeId="0">
      <text>
        <t>Tanım: Kur | Neden önemli: FOB TL hesabı | Doğru giriş: Sayı | Örnek: 38.50 | Yanlışsa: TL maliyet yanlış olur</t>
      </text>
    </comment>
    <comment ref="G10" authorId="0" shapeId="0">
      <text>
        <t>Tanım: Navlun/sigorta oranı | Neden önemli: CIF değerini belirler | Doğru giriş: Yüzde | Örnek: 0.05 | Yanlışsa: CIF eksik kalır</t>
      </text>
    </comment>
    <comment ref="H10" authorId="0" shapeId="0">
      <text>
        <t>Tanım: Gümrük vergisi oranı | Neden önemli: CIF üzerinden tahakkuk eder | Doğru giriş: Yüzde | Örnek: 0.05 | Yanlışsa: Vergi yükü yanlış olur</t>
      </text>
    </comment>
    <comment ref="I10" authorId="0" shapeId="0">
      <text>
        <t>Tanım: ÖTV oranı | Neden önemli: (CIF + GV) üzerinden uygulanır | Doğru giriş: Yüzde | Örnek: 0.10 | Yanlışsa: ÖTV matrahı bozulur</t>
      </text>
    </comment>
    <comment ref="J10" authorId="0" shapeId="0">
      <text>
        <t>Tanım: KDV oranı | Neden önemli: (CIF + GV + ÖTV) üzerinden uygulanır | Doğru giriş: Yüzde | Örnek: 0.20 | Yanlışsa: KDV matrahı bozulur</t>
      </text>
    </comment>
    <comment ref="A11" authorId="0" shapeId="0">
      <text>
        <t>Tanım: Ürün adı | Neden önemli: Maliyet satırının tanımı | Doğru giriş: Metin | Örnek: Hidrolik Pompa | Yanlışsa: Rapor okunmaz</t>
      </text>
    </comment>
    <comment ref="B11" authorId="0" shapeId="0">
      <text>
        <t>Tanım: Birim | Neden önemli: Adet ve birim maliyetin birimi | Doğru giriş: Liste | Örnek: Adet | Yanlışsa: Birim maliyet karışır</t>
      </text>
    </comment>
    <comment ref="C11" authorId="0" shapeId="0">
      <text>
        <t>Tanım: Adet | Neden önemli: Birim maliyetin paydası | Doğru giriş: Sayı | Örnek: 50 | Yanlışsa: Net birim maliyet bozulur</t>
      </text>
    </comment>
    <comment ref="D11" authorId="0" shapeId="0">
      <text>
        <t>Tanım: FOB birim fiyat (döviz) | Neden önemli: Vergi matrahı zincirinin tabanı | Doğru giriş: Sayı | Örnek: 120 | Yanlışsa: Tüm zincir bozulur</t>
      </text>
    </comment>
    <comment ref="E11" authorId="0" shapeId="0">
      <text>
        <t>Tanım: Döviz cinsi | Neden önemli: Kur ile TL çevrimi | Doğru giriş: Liste | Örnek: USD | Yanlışsa: TL maliyet yanlış olur</t>
      </text>
    </comment>
    <comment ref="F11" authorId="0" shapeId="0">
      <text>
        <t>Tanım: Kur | Neden önemli: FOB TL hesabı | Doğru giriş: Sayı | Örnek: 38.50 | Yanlışsa: TL maliyet yanlış olur</t>
      </text>
    </comment>
    <comment ref="G11" authorId="0" shapeId="0">
      <text>
        <t>Tanım: Navlun/sigorta oranı | Neden önemli: CIF değerini belirler | Doğru giriş: Yüzde | Örnek: 0.05 | Yanlışsa: CIF eksik kalır</t>
      </text>
    </comment>
    <comment ref="H11" authorId="0" shapeId="0">
      <text>
        <t>Tanım: Gümrük vergisi oranı | Neden önemli: CIF üzerinden tahakkuk eder | Doğru giriş: Yüzde | Örnek: 0.05 | Yanlışsa: Vergi yükü yanlış olur</t>
      </text>
    </comment>
    <comment ref="I11" authorId="0" shapeId="0">
      <text>
        <t>Tanım: ÖTV oranı | Neden önemli: (CIF + GV) üzerinden uygulanır | Doğru giriş: Yüzde | Örnek: 0.10 | Yanlışsa: ÖTV matrahı bozulur</t>
      </text>
    </comment>
    <comment ref="J11" authorId="0" shapeId="0">
      <text>
        <t>Tanım: KDV oranı | Neden önemli: (CIF + GV + ÖTV) üzerinden uygulanır | Doğru giriş: Yüzde | Örnek: 0.20 | Yanlışsa: KDV matrahı bozulur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Masraf kalemi | Neden önemli: Dağıtımın satır tanımı | Doğru giriş: Metin | Örnek: Liman ve Antrepo | Yanlışsa: Rapor okunmaz</t>
      </text>
    </comment>
    <comment ref="B6" authorId="0" shapeId="0">
      <text>
        <t>Tanım: Tutar TL | Neden önemli: Ürünlere FOB payıyla dağıtılır | Doğru giriş: Sayı | Örnek: 25000 | Yanlışsa: Depo teslim maliyeti eksik olur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Masraf kalemi | Neden önemli: Dağıtımın satır tanımı | Doğru giriş: Metin | Örnek: Liman ve Antrepo | Yanlışsa: Rapor okunmaz</t>
      </text>
    </comment>
    <comment ref="B7" authorId="0" shapeId="0">
      <text>
        <t>Tanım: Tutar TL | Neden önemli: Ürünlere FOB payıyla dağıtılır | Doğru giriş: Sayı | Örnek: 25000 | Yanlışsa: Depo teslim maliyeti eksik olur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Masraf kalemi | Neden önemli: Dağıtımın satır tanımı | Doğru giriş: Metin | Örnek: Liman ve Antrepo | Yanlışsa: Rapor okunmaz</t>
      </text>
    </comment>
    <comment ref="B8" authorId="0" shapeId="0">
      <text>
        <t>Tanım: Tutar TL | Neden önemli: Ürünlere FOB payıyla dağıtılır | Doğru giriş: Sayı | Örnek: 25000 | Yanlışsa: Depo teslim maliyeti eksik olur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Masraf kalemi | Neden önemli: Dağıtımın satır tanımı | Doğru giriş: Metin | Örnek: Liman ve Antrepo | Yanlışsa: Rapor okunmaz</t>
      </text>
    </comment>
    <comment ref="B9" authorId="0" shapeId="0">
      <text>
        <t>Tanım: Tutar TL | Neden önemli: Ürünlere FOB payıyla dağıtılır | Doğru giriş: Sayı | Örnek: 25000 | Yanlışsa: Depo teslim maliyeti eksik olur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Masraf kalemi | Neden önemli: Dağıtımın satır tanımı | Doğru giriş: Metin | Örnek: Liman ve Antrepo | Yanlışsa: Rapor okunmaz</t>
      </text>
    </comment>
    <comment ref="B10" authorId="0" shapeId="0">
      <text>
        <t>Tanım: Tutar TL | Neden önemli: Ürünlere FOB payıyla dağıtılır | Doğru giriş: Sayı | Örnek: 25000 | Yanlışsa: Depo teslim maliyeti eksik olur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Masraf kalemi | Neden önemli: Dağıtımın satır tanımı | Doğru giriş: Metin | Örnek: Liman ve Antrepo | Yanlışsa: Rapor okunmaz</t>
      </text>
    </comment>
    <comment ref="B11" authorId="0" shapeId="0">
      <text>
        <t>Tanım: Tutar TL | Neden önemli: Ürünlere FOB payıyla dağıtılır | Doğru giriş: Sayı | Örnek: 25000 | Yanlışsa: Depo teslim maliyeti eksik olur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7" authorId="0" shapeId="0">
      <text>
        <t>Tanım: Toplam Ürün Sayısı | Neden önemli: Karar motoru girdisi | Doğru giriş: Formül | Örnek: - | Yanlışsa: - | Not: Tablodaki dolu ürün satırı sayısı.</t>
      </text>
    </comment>
    <comment ref="B8" authorId="0" shapeId="0">
      <text>
        <t>Tanım: Toplam Adet | Neden önemli: Karar motoru girdisi | Doğru giriş: Formül | Örnek: - | Yanlışsa: - | Not: Tüm ürünlerin toplam ithal adedi.</t>
      </text>
    </comment>
    <comment ref="B9" authorId="0" shapeId="0">
      <text>
        <t>Tanım: Toplam FOB TL | Neden önemli: Karar motoru girdisi | Doğru giriş: Formül | Örnek: - | Yanlışsa: - | Not: Adet × FOB birim × kur toplamı.</t>
      </text>
    </comment>
    <comment ref="B10" authorId="0" shapeId="0">
      <text>
        <t>Tanım: Toplam Navlun ve Sigorta TL | Neden önemli: Karar motoru girdisi | Doğru giriş: Formül | Örnek: - | Yanlışsa: - | Not: FOB üzerine uygulanan navlun/sigorta toplamı.</t>
      </text>
    </comment>
    <comment ref="B11" authorId="0" shapeId="0">
      <text>
        <t>Tanım: Toplam CIF TL | Neden önemli: Karar motoru girdisi | Doğru giriş: Formül | Örnek: - | Yanlışsa: - | Not: FOB + navlun + sigorta toplamı (vergi matrahı tabanı).</t>
      </text>
    </comment>
    <comment ref="B12" authorId="0" shapeId="0">
      <text>
        <t>Tanım: Toplam Gümrük Vergisi TL | Neden önemli: Karar motoru girdisi | Doğru giriş: Formül | Örnek: - | Yanlışsa: - | Not: CIF üzerinden tahakkuk eden gümrük vergisi.</t>
      </text>
    </comment>
    <comment ref="B13" authorId="0" shapeId="0">
      <text>
        <t>Tanım: Toplam ÖTV TL | Neden önemli: Karar motoru girdisi | Doğru giriş: Formül | Örnek: - | Yanlışsa: - | Not: (CIF + GV) üzerinden tahakkuk eden ÖTV.</t>
      </text>
    </comment>
    <comment ref="B14" authorId="0" shapeId="0">
      <text>
        <t>Tanım: Toplam KDV TL | Neden önemli: Karar motoru girdisi | Doğru giriş: Formül | Örnek: - | Yanlışsa: - | Not: (CIF + GV + ÖTV) üzerinden tahakkuk eden KDV.</t>
      </text>
    </comment>
    <comment ref="B15" authorId="0" shapeId="0">
      <text>
        <t>Tanım: Toplam Vergi TL | Neden önemli: Karar motoru girdisi | Doğru giriş: Formül | Örnek: - | Yanlışsa: - | Not: GV + ÖTV + KDV toplamı.</t>
      </text>
    </comment>
    <comment ref="B16" authorId="0" shapeId="0">
      <text>
        <t>Tanım: Toplam Yurt İçi Masraf TL | Neden önemli: Karar motoru girdisi | Doğru giriş: Formül | Örnek: - | Yanlışsa: - | Not: Liman, müşavirlik, iç nakliye vb. toplamı.</t>
      </text>
    </comment>
    <comment ref="B17" authorId="0" shapeId="0">
      <text>
        <t>Tanım: Toplam Depo Teslim Maliyeti TL | Neden önemli: Karar motoru girdisi | Doğru giriş: Formül | Örnek: - | Yanlışsa: - | Not: CIF + vergiler + masraf payı toplamı.</t>
      </text>
    </comment>
    <comment ref="B18" authorId="0" shapeId="0">
      <text>
        <t>Tanım: Ortalama Kur | Neden önemli: Karar motoru girdisi | Doğru giriş: Formül | Örnek: - | Yanlışsa: - | Not: Ürün satırlarındaki kur ortalaması.</t>
      </text>
    </comment>
    <comment ref="B19" authorId="0" shapeId="0">
      <text>
        <t>Tanım: Ortalama Net Birim Maliyet TL | Neden önemli: Karar motoru girdisi | Doğru giriş: Formül | Örnek: - | Yanlışsa: - | Not: Ürün bazında net birim maliyet ortalaması.</t>
      </text>
    </comment>
    <comment ref="B20" authorId="0" shapeId="0">
      <text>
        <t>Tanım: Maliyet Faktörü (Ağırlıklı) | Neden önemli: Karar motoru girdisi | Doğru giriş: Formül | Örnek: - | Yanlışsa: - | Not: Depo teslim toplamın FOB'a oranı (kaç kat).</t>
      </text>
    </comment>
    <comment ref="B21" authorId="0" shapeId="0">
      <text>
        <t>Tanım: Vergi Yükü Oranı | Neden önemli: Karar motoru girdisi | Doğru giriş: Formül | Örnek: - | Yanlışsa: - | Not: Toplam verginin CIF'e oranı.</t>
      </text>
    </comment>
    <comment ref="B22" authorId="0" shapeId="0">
      <text>
        <t>Tanım: Anomali Ürün Adedi | Neden önemli: Karar motoru girdisi | Doğru giriş: Formül | Örnek: - | Yanlışsa: - | Not: Ortalama + 2 standart sapma üstündeki birim maliyetli ürün sayısı.</t>
      </text>
    </comment>
    <comment ref="B23" authorId="0" shapeId="0">
      <text>
        <t>Tanım: Anomali Oranı | Neden önemli: Karar motoru girdisi | Doğru giriş: Formül | Örnek: - | Yanlışsa: - | Not: Anomali ürünlerin toplama oranı.</t>
      </text>
    </comment>
    <comment ref="B26" authorId="0" shapeId="0">
      <text>
        <t>Tanım: Modül T1: Birim Maliyet Ortalaması | Neden önemli: Analitik derinlik katmanı | Doğru giriş: Formül | Örnek: - | Yanlışsa: - | Not: Ürünlerin ortalama rafa gelen birim maliyeti.</t>
      </text>
    </comment>
    <comment ref="B27" authorId="0" shapeId="0">
      <text>
        <t>Tanım: Modül T2: Maliyet Eğimi | Neden önemli: Analitik derinlik katmanı | Doğru giriş: Formül | Örnek: - | Yanlışsa: - | Not: Adet arttıkça depo teslim maliyetin değişim hızı.</t>
      </text>
    </comment>
    <comment ref="B28" authorId="0" shapeId="0">
      <text>
        <t>Tanım: Modül T3: Pareto Payı | Neden önemli: Analitik derinlik katmanı | Doğru giriş: Formül | Örnek: - | Yanlışsa: - | Not: En yüksek maliyetli ürünün toplamdaki payı.</t>
      </text>
    </comment>
    <comment ref="B29" authorId="0" shapeId="0">
      <text>
        <t>Tanım: Modül T4: Kur Dönem Farkı | Neden önemli: Analitik derinlik katmanı | Doğru giriş: Formül | Örnek: - | Yanlışsa: - | Not: Önceki dönem kuru kullanılsaydı oluşacak maliyet farkı.</t>
      </text>
    </comment>
    <comment ref="B30" authorId="0" shapeId="0">
      <text>
        <t>Tanım: Modül T5: Mutabakat Farkı | Neden önemli: Analitik derinlik katmanı | Doğru giriş: Formül | Örnek: - | Yanlışsa: - | Not: Masraf tablosu toplamı ile ürünlere dağıtılan toplam farkı.</t>
      </text>
    </comment>
    <comment ref="B31" authorId="0" shapeId="0">
      <text>
        <t>Tanım: Modül T6: Vergi Yükü Oranı | Neden önemli: Analitik derinlik katmanı | Doğru giriş: Formül | Örnek: - | Yanlışsa: - | Not: Toplam verginin CIF değerine oranı.</t>
      </text>
    </comment>
    <comment ref="B32" authorId="0" shapeId="0">
      <text>
        <t>Tanım: Modül O1: Anomali Oranı | Neden önemli: Analitik derinlik katmanı | Doğru giriş: Formül | Örnek: - | Yanlışsa: - | Not: Uç birim maliyetli ürünlerin toplama oranı.</t>
      </text>
    </comment>
    <comment ref="B33" authorId="0" shapeId="0">
      <text>
        <t>Tanım: Modül O2: Tornado Zirve Etki | Neden önemli: Analitik derinlik katmanı | Doğru giriş: Formül | Örnek: - | Yanlışsa: - | Not: Tornado analizinde en yüksek etki farkı.</t>
      </text>
    </comment>
    <comment ref="B34" authorId="0" shapeId="0">
      <text>
        <t>Tanım: Modül O3: Senaryo Baz Fark | Neden önemli: Analitik derinlik katmanı | Doğru giriş: Formül | Örnek: - | Yanlışsa: - | Not: Kötümser ile baz senaryo arasındaki maliyet farkı.</t>
      </text>
    </comment>
    <comment ref="B35" authorId="0" shapeId="0">
      <text>
        <t>Tanım: Modül O4: Nakit Etki Oranı | Neden önemli: Analitik derinlik katmanı | Doğru giriş: Formül | Örnek: - | Yanlışsa: - | Not: Her 1 TL FOB için depoya teslimde çıkan TL.</t>
      </text>
    </comment>
    <comment ref="B36" authorId="0" shapeId="0">
      <text>
        <t>Tanım: Modül O6: Maliyet HHI | Neden önemli: Analitik derinlik katmanı | Doğru giriş: Formül | Örnek: - | Yanlışsa: - | Not: FOB maliyet yoğunlaşma endeksi (1/ürün-1).</t>
      </text>
    </comment>
    <comment ref="B37" authorId="0" shapeId="0">
      <text>
        <t>Tanım: Modül O8: Veri Kalite Skoru | Neden önemli: Analitik derinlik katmanı | Doğru giriş: Formül | Örnek: - | Yanlışsa: - | Not: KONTROL sayfasından gelen canlı kalite skoru.</t>
      </text>
    </comment>
    <comment ref="B38" authorId="0" shapeId="0">
      <text>
        <t>Tanım: Modül I1: Maliyet Tahmini | Neden önemli: Analitik derinlik katmanı | Doğru giriş: Formül | Örnek: - | Yanlışsa: - | Not: Sonraki adet adımında beklenen depo teslim maliyeti.</t>
      </text>
    </comment>
    <comment ref="B39" authorId="0" shapeId="0">
      <text>
        <t>Tanım: Modül I2: Birim Maliyet P90 | Neden önemli: Analitik derinlik katmanı | Doğru giriş: Formül | Örnek: - | Yanlışsa: - | Not: Ürün birim maliyetlerinin P90 yüzdelik değeri.</t>
      </text>
    </comment>
    <comment ref="B40" authorId="0" shapeId="0">
      <text>
        <t>Tanım: Modül I3: Maliyet NPV | Neden önemli: Analitik derinlik katmanı | Doğru giriş: Formül | Örnek: - | Yanlışsa: - | Not: Depo teslim maliyetinin iskonto edilmiş bugünkü değeri.</t>
      </text>
    </comment>
    <comment ref="B41" authorId="0" shapeId="0">
      <text>
        <t>Tanım: Modül I7: Nakit Açığı Köprüsü | Neden önemli: Analitik derinlik katmanı | Doğru giriş: Formül | Örnek: - | Yanlışsa: - | Not: Peşin ödenen ithal vergilerinin nakit açığı köprüsü.</t>
      </text>
    </comment>
    <comment ref="C43" authorId="0" shapeId="0">
      <text>
        <t>Tanım: T1 Birim Maliyet Ortalaması makine yorumu | Neden önemli: D03-D05 modül geçerlilik şartı | Doğru giriş: Formül | Örnek: - | Yanlışsa: -</t>
      </text>
    </comment>
    <comment ref="C44" authorId="0" shapeId="0">
      <text>
        <t>Tanım: T2 Maliyet Eğimi makine yorumu | Neden önemli: D03-D05 modül geçerlilik şartı | Doğru giriş: Formül | Örnek: - | Yanlışsa: -</t>
      </text>
    </comment>
    <comment ref="C45" authorId="0" shapeId="0">
      <text>
        <t>Tanım: T3 Pareto Payı makine yorumu | Neden önemli: D03-D05 modül geçerlilik şartı | Doğru giriş: Formül | Örnek: - | Yanlışsa: -</t>
      </text>
    </comment>
    <comment ref="C46" authorId="0" shapeId="0">
      <text>
        <t>Tanım: T4 Kur Dönem Farkı makine yorumu | Neden önemli: D03-D05 modül geçerlilik şartı | Doğru giriş: Formül | Örnek: - | Yanlışsa: -</t>
      </text>
    </comment>
    <comment ref="C47" authorId="0" shapeId="0">
      <text>
        <t>Tanım: T5 Mutabakat Farkı makine yorumu | Neden önemli: D03-D05 modül geçerlilik şartı | Doğru giriş: Formül | Örnek: - | Yanlışsa: -</t>
      </text>
    </comment>
    <comment ref="C48" authorId="0" shapeId="0">
      <text>
        <t>Tanım: T6 Vergi Yükü Oranı makine yorumu | Neden önemli: D03-D05 modül geçerlilik şartı | Doğru giriş: Formül | Örnek: - | Yanlışsa: -</t>
      </text>
    </comment>
    <comment ref="C49" authorId="0" shapeId="0">
      <text>
        <t>Tanım: O1 Anomali Oranı makine yorumu | Neden önemli: D03-D05 modül geçerlilik şartı | Doğru giriş: Formül | Örnek: - | Yanlışsa: -</t>
      </text>
    </comment>
    <comment ref="C50" authorId="0" shapeId="0">
      <text>
        <t>Tanım: O2 Tornado Zirve makine yorumu | Neden önemli: D03-D05 modül geçerlilik şartı | Doğru giriş: Formül | Örnek: - | Yanlışsa: -</t>
      </text>
    </comment>
    <comment ref="C51" authorId="0" shapeId="0">
      <text>
        <t>Tanım: O3 Senaryo Baz Fark makine yorumu | Neden önemli: D03-D05 modül geçerlilik şartı | Doğru giriş: Formül | Örnek: - | Yanlışsa: -</t>
      </text>
    </comment>
    <comment ref="C52" authorId="0" shapeId="0">
      <text>
        <t>Tanım: O4 Nakit Etki makine yorumu | Neden önemli: D03-D05 modül geçerlilik şartı | Doğru giriş: Formül | Örnek: - | Yanlışsa: -</t>
      </text>
    </comment>
    <comment ref="C53" authorId="0" shapeId="0">
      <text>
        <t>Tanım: O6 Maliyet HHI makine yorumu | Neden önemli: D03-D05 modül geçerlilik şartı | Doğru giriş: Formül | Örnek: - | Yanlışsa: -</t>
      </text>
    </comment>
    <comment ref="C54" authorId="0" shapeId="0">
      <text>
        <t>Tanım: O8 Kalite Skoru makine yorumu | Neden önemli: D03-D05 modül geçerlilik şartı | Doğru giriş: Formül | Örnek: - | Yanlışsa: -</t>
      </text>
    </comment>
    <comment ref="C55" authorId="0" shapeId="0">
      <text>
        <t>Tanım: I1 Maliyet Tahmini makine yorumu | Neden önemli: D03-D05 modül geçerlilik şartı | Doğru giriş: Formül | Örnek: - | Yanlışsa: -</t>
      </text>
    </comment>
    <comment ref="C56" authorId="0" shapeId="0">
      <text>
        <t>Tanım: I2 Birim Maliyet P90 makine yorumu | Neden önemli: D03-D05 modül geçerlilik şartı | Doğru giriş: Formül | Örnek: - | Yanlışsa: -</t>
      </text>
    </comment>
    <comment ref="C57" authorId="0" shapeId="0">
      <text>
        <t>Tanım: I3 Maliyet NPV makine yorumu | Neden önemli: D03-D05 modül geçerlilik şartı | Doğru giriş: Formül | Örnek: - | Yanlışsa: -</t>
      </text>
    </comment>
    <comment ref="C58" authorId="0" shapeId="0">
      <text>
        <t>Tanım: I7 Nakit Açığı makine yorumu | Neden önemli: D03-D05 modül geçerlilik şartı | Doğru giriş: Formül | Örnek: - | Yanlışsa: -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5" authorId="0" shapeId="0">
      <text>
        <t>Tanım: Ürün tablosunda dolu satır | Neden önemli: Veri kalitesi skorunu belirler | Doğru giriş: Formül | Örnek: - | Yanlışsa: - | Not: PASS/FAIL üretir</t>
      </text>
    </comment>
    <comment ref="B6" authorId="0" shapeId="0">
      <text>
        <t>Tanım: Masraf tablosunda dolu satır | Neden önemli: Veri kalitesi skorunu belirler | Doğru giriş: Formül | Örnek: - | Yanlışsa: - | Not: PASS/FAIL üretir</t>
      </text>
    </comment>
    <comment ref="B7" authorId="0" shapeId="0">
      <text>
        <t>Tanım: Negatif adet kontrolü | Neden önemli: Veri kalitesi skorunu belirler | Doğru giriş: Formül | Örnek: - | Yanlışsa: - | Not: Negatif adet varsa FAIL</t>
      </text>
    </comment>
    <comment ref="B8" authorId="0" shapeId="0">
      <text>
        <t>Tanım: Negatif FOB kontrolü | Neden önemli: Veri kalitesi skorunu belirler | Doğru giriş: Formül | Örnek: - | Yanlışsa: - | Not: Negatif FOB varsa FAIL</t>
      </text>
    </comment>
    <comment ref="B9" authorId="0" shapeId="0">
      <text>
        <t>Tanım: Sıfır kur kontrolü | Neden önemli: Veri kalitesi skorunu belirler | Doğru giriş: Formül | Örnek: - | Yanlışsa: - | Not: Sıfır kur varsa FAIL</t>
      </text>
    </comment>
    <comment ref="B10" authorId="0" shapeId="0">
      <text>
        <t>Tanım: Boş kur kontrolü | Neden önemli: Veri kalitesi skorunu belirler | Doğru giriş: Formül | Örnek: - | Yanlışsa: - | Not: Boş kur varsa FAIL</t>
      </text>
    </comment>
    <comment ref="B11" authorId="0" shapeId="0">
      <text>
        <t>Tanım: Oran aralık kontrolü | Neden önemli: Veri kalitesi skorunu belirler | Doğru giriş: Formül | Örnek: - | Yanlışsa: - | Not: Oran 0-1 dışındaysa FAIL</t>
      </text>
    </comment>
    <comment ref="B12" authorId="0" shapeId="0">
      <text>
        <t>Tanım: Negatif masraf kontrolü | Neden önemli: Veri kalitesi skorunu belirler | Doğru giriş: Formül | Örnek: - | Yanlışsa: - | Not: Negatif masraf varsa FAIL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C6" authorId="0" shapeId="0">
      <text>
        <t>Tanım: Rapor başlığında görünen firma adı | Neden önemli: Formüller buradan beslenir | Doğru giriş: Sayı | Örnek: Örnek Şirket A.Ş. | Yanlışsa: Hesaplamalar bozulur | Kaynak: Kullanıcı</t>
      </text>
    </comment>
    <comment ref="C7" authorId="0" shapeId="0">
      <text>
        <t>Tanım: Dosyadaki tek tarih kaynağı; tüm rapor tarihleri buradan okunur. | Neden önemli: Formüller buradan beslenir | Doğru giriş: Sayı | Örnek: =TODAY() | Yanlışsa: Hesaplamalar bozulur | Kaynak: Kullanıcı</t>
      </text>
    </comment>
    <comment ref="C8" authorId="0" shapeId="0">
      <text>
        <t>Tanım: Döviz cinsi dolu ama kur boş bırakılırsa kullanılan varsayılan kur. | Neden önemli: Formüller buradan beslenir | Doğru giriş: Sayı | Örnek: 38.5 | Yanlışsa: Hesaplamalar bozulur | Kaynak: TCMB gösterge kuru; kullanıcı doğrulamalı</t>
      </text>
    </comment>
    <comment ref="C9" authorId="0" shapeId="0">
      <text>
        <t>Tanım: Önceki dönem kuru; kur dönem farkı analizinin tabanı. | Neden önemli: Formüller buradan beslenir | Doğru giriş: Sayı | Örnek: 35.0 | Yanlışsa: Hesaplamalar bozulur | Kaynak: TCMB gösterge kuru; kullanıcı doğrulamalı</t>
      </text>
    </comment>
    <comment ref="C10" authorId="0" shapeId="0">
      <text>
        <t>Tanım: Ürün satırında oran boşsa kullanılan varsayılan gümrük vergisi oranı. | Neden önemli: Formüller buradan beslenir | Doğru giriş: Sayı | Örnek: 0.05 | Yanlışsa: Hesaplamalar bozulur | Kaynak: İthalat Rejimi Kararı; GTİP bazlı</t>
      </text>
    </comment>
    <comment ref="C11" authorId="0" shapeId="0">
      <text>
        <t>Tanım: Ürün satırında oran boşsa kullanılan varsayılan ÖTV oranı. | Neden önemli: Formüller buradan beslenir | Doğru giriş: Sayı | Örnek: 0.1 | Yanlışsa: Hesaplamalar bozulur | Kaynak: 4760 s. ÖTV Kanunu Liste; GTİP bazlı</t>
      </text>
    </comment>
    <comment ref="C12" authorId="0" shapeId="0">
      <text>
        <t>Tanım: Ürün satırında oran boşsa kullanılan varsayılan KDV oranı (genel oran). | Neden önemli: Formüller buradan beslenir | Doğru giriş: Sayı | Örnek: 0.2 | Yanlışsa: Hesaplamalar bozulur | Kaynak: 3065 s. KDV Kanunu md.21</t>
      </text>
    </comment>
    <comment ref="C13" authorId="0" shapeId="0">
      <text>
        <t>Tanım: Ürün satırında oran boşsa kullanılan varsayılan navlun/sigorta oranı. | Neden önemli: Formüller buradan beslenir | Doğru giriş: Sayı | Örnek: 0.05 | Yanlışsa: Hesaplamalar bozulur | Kaynak: İthalat Rejimi; götürü sigorta uygulaması</t>
      </text>
    </comment>
    <comment ref="C14" authorId="0" shapeId="0">
      <text>
        <t>Tanım: Bölme işlemlerinde sıfır payda koruması için kullanılan taban değer. | Neden önemli: Formüller buradan beslenir | Doğru giriş: Sayı | Örnek: 1e-07 | Yanlışsa: Hesaplamalar bozulur | Kaynak: Varsayım</t>
      </text>
    </comment>
    <comment ref="C15" authorId="0" shapeId="0">
      <text>
        <t>Tanım: Toplam verginin CIF'e oranı uyarı eşiği. | Neden önemli: Formüller buradan beslenir | Doğru giriş: Sayı | Örnek: 0.25 | Yanlışsa: Hesaplamalar bozulur | Kaynak: Varsayım</t>
      </text>
    </comment>
    <comment ref="C16" authorId="0" shapeId="0">
      <text>
        <t>Tanım: Depo teslim maliyetin FOB'a oranı yüksek kabul eşiği. | Neden önemli: Formüller buradan beslenir | Doğru giriş: Sayı | Örnek: 1.8 | Yanlışsa: Hesaplamalar bozulur | Kaynak: Varsayım</t>
      </text>
    </comment>
    <comment ref="C17" authorId="0" shapeId="0">
      <text>
        <t>Tanım: Birim maliyet anomali |Z| eşiği. | Neden önemli: Formüller buradan beslenir | Doğru giriş: Sayı | Örnek: 2.0 | Yanlışsa: Hesaplamalar bozulur | Kaynak: Varsayım</t>
      </text>
    </comment>
    <comment ref="C18" authorId="0" shapeId="0">
      <text>
        <t>Tanım: Masraf mutabakat farkı kabul eşiği (masraf tablosuna oranla). | Neden önemli: Formüller buradan beslenir | Doğru giriş: Sayı | Örnek: 0.05 | Yanlışsa: Hesaplamalar bozulur | Kaynak: Varsayım</t>
      </text>
    </comment>
    <comment ref="C19" authorId="0" shapeId="0">
      <text>
        <t>Tanım: Kalite skoru iyi eşiği. | Neden önemli: Formüller buradan beslenir | Doğru giriş: Sayı | Örnek: 90 | Yanlışsa: Hesaplamalar bozulur | Kaynak: Varsayım</t>
      </text>
    </comment>
    <comment ref="C20" authorId="0" shapeId="0">
      <text>
        <t>Tanım: Kalite skoru orta eşiği. | Neden önemli: Formüller buradan beslenir | Doğru giriş: Sayı | Örnek: 70 | Yanlışsa: Hesaplamalar bozulur | Kaynak: Varsayım</t>
      </text>
    </comment>
    <comment ref="C21" authorId="0" shapeId="0">
      <text>
        <t>Tanım: Veri kalite skoru başlangıç puanı. | Neden önemli: Formüller buradan beslenir | Doğru giriş: Sayı | Örnek: 100 | Yanlışsa: Hesaplamalar bozulur | Kaynak: Varsayım</t>
      </text>
    </comment>
    <comment ref="C22" authorId="0" shapeId="0">
      <text>
        <t>Tanım: Her FAIL için skor cezası. | Neden önemli: Formüller buradan beslenir | Doğru giriş: Sayı | Örnek: 20 | Yanlışsa: Hesaplamalar bozulur | Kaynak: Varsayım</t>
      </text>
    </comment>
    <comment ref="C23" authorId="0" shapeId="0">
      <text>
        <t>Tanım: Her WARN için skor cezası. | Neden önemli: Formüller buradan beslenir | Doğru giriş: Sayı | Örnek: 10 | Yanlışsa: Hesaplamalar bozulur | Kaynak: Varsayım</t>
      </text>
    </comment>
    <comment ref="C24" authorId="0" shapeId="0">
      <text>
        <t>Tanım: Ürün ve masraf tablolarının toplam giriş kapasitesi. | Neden önemli: Formüller buradan beslenir | Doğru giriş: Sayı | Örnek: 3008 | Yanlışsa: Hesaplamalar bozulur | Kaynak: Tasarım</t>
      </text>
    </comment>
    <comment ref="C25" authorId="0" shapeId="0">
      <text>
        <t>Tanım: Kötümser senaryo çarpanı. | Neden önemli: Formüller buradan beslenir | Doğru giriş: Sayı | Örnek: 0.1 | Yanlışsa: Hesaplamalar bozulur | Kaynak: Varsayım</t>
      </text>
    </comment>
    <comment ref="C26" authorId="0" shapeId="0">
      <text>
        <t>Tanım: İyimser senaryo çarpanı. | Neden önemli: Formüller buradan beslenir | Doğru giriş: Sayı | Örnek: 0.1 | Yanlışsa: Hesaplamalar bozulur | Kaynak: Varsayım</t>
      </text>
    </comment>
    <comment ref="C27" authorId="0" shapeId="0">
      <text>
        <t>Tanım: Tornado analizinde değişim oranı. | Neden önemli: Formüller buradan beslenir | Doğru giriş: Sayı | Örnek: 0.05 | Yanlışsa: Hesaplamalar bozulur | Kaynak: Varsayım</t>
      </text>
    </comment>
    <comment ref="C28" authorId="0" shapeId="0">
      <text>
        <t>Tanım: Ürün maliyet yoğunlaşması yüksek kabul eşiği. | Neden önemli: Formüller buradan beslenir | Doğru giriş: Sayı | Örnek: 0.3 | Yanlışsa: Hesaplamalar bozulur | Kaynak: Varsayım</t>
      </text>
    </comment>
    <comment ref="C29" authorId="0" shapeId="0">
      <text>
        <t>Tanım: Tornado zirve etkisinin toplam maliyete oranı uyarı eşiği. | Neden önemli: Formüller buradan beslenir | Doğru giriş: Sayı | Örnek: 0.15 | Yanlışsa: Hesaplamalar bozulur | Kaynak: Varsayım</t>
      </text>
    </comment>
    <comment ref="C30" authorId="0" shapeId="0">
      <text>
        <t>Tanım: Yüzdelik dağılım analizinde P90 kuantil değeri. | Neden önemli: Formüller buradan beslenir | Doğru giriş: Sayı | Örnek: 0.9 | Yanlışsa: Hesaplamalar bozulur | Kaynak: Varsayım</t>
      </text>
    </comment>
    <comment ref="C31" authorId="0" shapeId="0">
      <text>
        <t>Tanım: Maliyet NPV hesabında iskonto oranı. | Neden önemli: Formüller buradan beslenir | Doğru giriş: Sayı | Örnek: 0.1 | Yanlışsa: Hesaplamalar bozulur | Kaynak: Varsayım</t>
      </text>
    </comment>
    <comment ref="C32" authorId="0" shapeId="0">
      <text>
        <t>Tanım: İthal vergilerine karşı peşin ödenen tutar (avans). | Neden önemli: Formüller buradan beslenir | Doğru giriş: Sayı | Örnek: 0 | Yanlışsa: Hesaplamalar bozulur | Kaynak: Varsayım</t>
      </text>
    </comment>
    <comment ref="C33" authorId="0" shapeId="0">
      <text>
        <t>Tanım: FOB yoğunlaşma endeksi yüksek kabul eşiği. | Neden önemli: Formüller buradan beslenir | Doğru giriş: Sayı | Örnek: 0.5 | Yanlışsa: Hesaplamalar bozulur | Kaynak: Varsayım</t>
      </text>
    </comment>
    <comment ref="C34" authorId="0" shapeId="0">
      <text>
        <t>Tanım: Maliyet NPV değerinin toplam maliyete oranı yüksek kabul eşiği. | Neden önemli: Formüller buradan beslenir | Doğru giriş: Sayı | Örnek: 0.5 | Yanlışsa: Hesaplamalar bozulur | Kaynak: Varsayım</t>
      </text>
    </comment>
  </commentList>
</comments>
</file>

<file path=xl/tables/table1.xml><?xml version="1.0" encoding="utf-8"?>
<table xmlns="http://schemas.openxmlformats.org/spreadsheetml/2006/main" id="1" name="tblUrun" displayName="tblUrun" ref="A5:U2004" headerRowCount="1" totalsRowCount="0" totalsRowShown="0">
  <tableColumns count="21">
    <tableColumn id="1" name="Ürün Adı"/>
    <tableColumn id="2" name="Birim"/>
    <tableColumn id="3" name="Adet"/>
    <tableColumn id="4" name="FOB Birim Fiyat (Döviz)"/>
    <tableColumn id="5" name="Döviz Cinsi"/>
    <tableColumn id="6" name="Kur (₺)"/>
    <tableColumn id="7" name="Navlun/Sigorta Oranı"/>
    <tableColumn id="8" name="Gümrük Vergisi Oranı"/>
    <tableColumn id="9" name="ÖTV Oranı"/>
    <tableColumn id="10" name="KDV Oranı"/>
    <tableColumn id="11" name="FOB TL">
      <calculatedColumnFormula>=IF(OR($C6="",$D6="",$F6=""),"",IFERROR($C6*$D6*$F6,0))</calculatedColumnFormula>
    </tableColumn>
    <tableColumn id="12" name="Navlun ve Sigorta TL">
      <calculatedColumnFormula>=IF(OR($K6="",$G6=""),"",IFERROR($K6*$G6,0))</calculatedColumnFormula>
    </tableColumn>
    <tableColumn id="13" name="CIF TL">
      <calculatedColumnFormula>=IF(OR($K6="",$L6=""),"",IFERROR($K6+$L6,0))</calculatedColumnFormula>
    </tableColumn>
    <tableColumn id="14" name="Gümrük Vergisi TL">
      <calculatedColumnFormula>=IF(OR($M6="",$H6=""),"",IFERROR($M6*$H6,0))</calculatedColumnFormula>
    </tableColumn>
    <tableColumn id="15" name="ÖTV TL">
      <calculatedColumnFormula>=IF(OR($M6="",$N6="",$I6=""),"",IFERROR(($M6+$N6)*$I6,0))</calculatedColumnFormula>
    </tableColumn>
    <tableColumn id="16" name="KDV TL">
      <calculatedColumnFormula>=IF(OR($M6="",$N6="",$O6="",$J6=""),"",IFERROR(($M6+$N6+$O6)*$J6,0))</calculatedColumnFormula>
    </tableColumn>
    <tableColumn id="17" name="Vergi Toplam TL">
      <calculatedColumnFormula>=IF(OR($N6="",$O6="",$P6=""),"",IFERROR($N6+$O6+$P6,0))</calculatedColumnFormula>
    </tableColumn>
    <tableColumn id="18" name="Yurt İçi Masraf Payı TL">
      <calculatedColumnFormula>=IF(OR($K6="",ToplamFOB=""),"",IFERROR($K6/MAX(BolumPaydaTaban,ToplamFOB)*ToplamYurtIciMasraf,0))</calculatedColumnFormula>
    </tableColumn>
    <tableColumn id="19" name="Depo Teslim Toplam TL">
      <calculatedColumnFormula>=IF(OR($M6="",$Q6="",$R6=""),"",IFERROR($M6+$Q6+$R6,0))</calculatedColumnFormula>
    </tableColumn>
    <tableColumn id="20" name="Net Birim Maliyet TL">
      <calculatedColumnFormula>=IF(OR($S6="",$C6=""),"",IFERROR($S6/MAX(BolumPaydaTaban,$C6),0))</calculatedColumnFormula>
    </tableColumn>
    <tableColumn id="21" name="Maliyet Faktörü">
      <calculatedColumnFormula>=IF(OR($S6="",$K6=""),"",IFERROR($S6/MAX(BolumPaydaTaban,$K6),0))</calculatedColumnFormula>
    </tableColumn>
  </tableColumns>
</table>
</file>

<file path=xl/tables/table2.xml><?xml version="1.0" encoding="utf-8"?>
<table xmlns="http://schemas.openxmlformats.org/spreadsheetml/2006/main" id="2" name="tblMasraf" displayName="tblMasraf" ref="A5:C1004" headerRowCount="1" totalsRowCount="0" totalsRowShown="0">
  <tableColumns count="3">
    <tableColumn id="1" name="Masraf Kalemi"/>
    <tableColumn id="2" name="Tutar TL"/>
    <tableColumn id="3" name="Açıklam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68" min="1" max="1"/>
    <col width="78" customWidth="1" style="68" min="2" max="2"/>
  </cols>
  <sheetData>
    <row r="1" ht="28" customHeight="1" s="68">
      <c r="A1" s="235" t="inlineStr">
        <is>
          <t>EXCELARŞİV KARAR SİSTEMİ v15.1 — ÜRETİM REFERANSI</t>
        </is>
      </c>
    </row>
    <row r="3" ht="24" customHeight="1" s="68">
      <c r="A3" s="236" t="inlineStr">
        <is>
          <t>Konu</t>
        </is>
      </c>
      <c r="B3" s="236" t="inlineStr">
        <is>
          <t>Bağlayıcı Standart</t>
        </is>
      </c>
    </row>
    <row r="4">
      <c r="A4" s="237" t="inlineStr">
        <is>
          <t>Amaç</t>
        </is>
      </c>
      <c r="B4" s="238" t="inlineStr">
        <is>
          <t>Kanıta dayalı, hatada kapalı çalışan Excel üretim ve denetim sistemi</t>
        </is>
      </c>
    </row>
    <row r="5">
      <c r="A5" s="237" t="inlineStr">
        <is>
          <t>Öncelik</t>
        </is>
      </c>
      <c r="B5" s="238" t="inlineStr">
        <is>
          <t>Kullanıcının açık iş talebi ve gerçek kullanım senaryosu</t>
        </is>
      </c>
    </row>
    <row r="6">
      <c r="A6" s="237" t="inlineStr">
        <is>
          <t>Ana akış</t>
        </is>
      </c>
      <c r="B6" s="238" t="inlineStr">
        <is>
          <t>Uygunluk → Yönetişim → Sözleşmeler → Üretim → Test → Kanıt → Kullanıcı Kabulü → Yayın</t>
        </is>
      </c>
    </row>
    <row r="7">
      <c r="A7" s="237" t="inlineStr">
        <is>
          <t>Yayın ilkesi</t>
        </is>
      </c>
      <c r="B7" s="238" t="inlineStr">
        <is>
          <t>Üst aşamada hata varsa alt aşama GEÇTİ üretilemez</t>
        </is>
      </c>
    </row>
    <row r="8">
      <c r="A8" s="237" t="inlineStr">
        <is>
          <t>Kullanıcı kabulü</t>
        </is>
      </c>
      <c r="B8" s="238" t="inlineStr">
        <is>
          <t>Excel masaüstü görünümü test edilmediyse DIŞ_KABUL_GEREKLİ</t>
        </is>
      </c>
    </row>
    <row r="9">
      <c r="A9" s="237" t="inlineStr">
        <is>
          <t>Nihai yayın</t>
        </is>
      </c>
      <c r="B9" s="238" t="inlineStr">
        <is>
          <t>Yalnız uygulanabilir modüller GEÇTİ veya gerekçeli UYGULANMAZ</t>
        </is>
      </c>
    </row>
    <row r="10">
      <c r="A10" s="237" t="inlineStr">
        <is>
          <t>Ticari ayrım</t>
        </is>
      </c>
      <c r="B10" s="238" t="inlineStr">
        <is>
          <t>Ekonomik olarak savunulabilir fiyat, gerçek pazar kabulü ile aynı değildir</t>
        </is>
      </c>
    </row>
    <row r="11">
      <c r="A11" s="237" t="inlineStr">
        <is>
          <t>Karmaşıklık</t>
        </is>
      </c>
      <c r="B11" s="238" t="inlineStr">
        <is>
          <t>Karar değeri, eklenen karmaşıklığın maliyetinden büyük olmalıdır</t>
        </is>
      </c>
    </row>
    <row r="12">
      <c r="A12" s="237" t="inlineStr">
        <is>
          <t>Excel sınırı</t>
        </is>
      </c>
      <c r="B12" s="238" t="inlineStr">
        <is>
          <t>Veritabanı, kurumsal yetkilendirme, değiştirilemez kayıt sistemi veya gerçek zamanlı olay platformu değildir</t>
        </is>
      </c>
    </row>
    <row r="13">
      <c r="A13" s="237" t="inlineStr">
        <is>
          <t>Dil standardı</t>
        </is>
      </c>
      <c r="B13" s="238" t="inlineStr">
        <is>
          <t>Kullanıcıya görünen tüm sayfa, tablo, başlık, açıklama, uyarı ve karar metinleri saf Türkçe olmalıdır</t>
        </is>
      </c>
    </row>
    <row r="14">
      <c r="A14" s="237" t="inlineStr">
        <is>
          <t>Muhasebe standardı</t>
        </is>
      </c>
      <c r="B14" s="238" t="inlineStr">
        <is>
          <t>Finansal ürünlerde Türkiye Tekdüzen Hesap Planı ve Türk muhasebe kullanım alışkanlıkları esas alınır</t>
        </is>
      </c>
    </row>
    <row r="15">
      <c r="A15" s="237" t="inlineStr">
        <is>
          <t>Görsel standart</t>
        </is>
      </c>
      <c r="B15" s="238" t="inlineStr">
        <is>
          <t>Her sayfa başlıklı, renk kodlu, sıkı kolon düzenli ve premium kurumsal görünümde olmalıdır</t>
        </is>
      </c>
    </row>
    <row r="16">
      <c r="A16" s="237" t="inlineStr">
        <is>
          <t>Grafik standardı</t>
        </is>
      </c>
      <c r="B16" s="238" t="inlineStr">
        <is>
          <t>Grafikler karar üretmeli; dekoratif, 3B, anlamsız renkli veya varsayılan Excel grafiği kullanılamaz</t>
        </is>
      </c>
    </row>
    <row r="17">
      <c r="A17" s="237" t="inlineStr">
        <is>
          <t>Hata standardı</t>
        </is>
      </c>
      <c r="B17" s="238" t="inlineStr">
        <is>
          <t>#AD? / #BAŞV! / #DEĞER! / #SAYI/0! / #YOK gibi hatalar GEÇTİ sonucuyla birlikte bulunamaz</t>
        </is>
      </c>
    </row>
    <row r="18">
      <c r="A18" s="237" t="inlineStr">
        <is>
          <t>Karar standardı</t>
        </is>
      </c>
      <c r="B18" s="238" t="inlineStr">
        <is>
          <t>Her kritik çıktı: ne oldu, neden oldu, parasal etki, ne yapılmalı, ne zamana kadar sorularını cevaplar</t>
        </is>
      </c>
    </row>
    <row r="19">
      <c r="A19" s="237" t="inlineStr">
        <is>
          <t>Satış standardı</t>
        </is>
      </c>
      <c r="B19" s="238" t="inlineStr">
        <is>
          <t>Ürün 5 saniyede anlaşılmalı; pahalı problemi, ekonomik sonucu, kanıtı ve satın alma gerekçesini göstermelidir</t>
        </is>
      </c>
    </row>
    <row r="20">
      <c r="A20" s="237" t="inlineStr">
        <is>
          <t>Güven standardı</t>
        </is>
      </c>
      <c r="B20" s="238" t="inlineStr">
        <is>
          <t>Kanıtsız 'premium', 'kusursuz', 'sıfır hata' veya yüksek fiyat iddiası kullanılamaz</t>
        </is>
      </c>
    </row>
    <row r="21">
      <c r="A21" s="237" t="inlineStr">
        <is>
          <t>Kaynak</t>
        </is>
      </c>
      <c r="B21" s="238" t="inlineStr">
        <is>
          <t>Teknik Python çekirdeği 99_TEKNIK_KAYNAK sayfasında saklanır; kullanıcı arayüzü değildir</t>
        </is>
      </c>
    </row>
    <row r="22">
      <c r="A22" s="237" t="inlineStr">
        <is>
          <t>Bağlayıcı standart</t>
        </is>
      </c>
      <c r="B22" s="238" t="inlineStr">
        <is>
          <t>Teknik kaynak içindeki üretim sözleşmesi + bu çalışma kitabındaki Türkçe operasyon standartları</t>
        </is>
      </c>
    </row>
    <row r="23">
      <c r="A23" s="237" t="inlineStr">
        <is>
          <t>Çıktı disiplini</t>
        </is>
      </c>
      <c r="B23" s="238" t="inlineStr">
        <is>
          <t>Kanıtsız GEÇTİ / NİHAİ / TİCARİ / PAZAR_DOĞRULANDI statüsü yasaktır</t>
        </is>
      </c>
    </row>
    <row r="24">
      <c r="A24" s="237" t="inlineStr">
        <is>
          <t>Uyarlanabilirlik</t>
        </is>
      </c>
      <c r="B24" s="238" t="inlineStr">
        <is>
          <t>Gereksiz modül yalnız prestij amacıyla eklenmez</t>
        </is>
      </c>
    </row>
    <row r="26" ht="16" customHeight="1" s="68">
      <c r="A26" s="239" t="inlineStr">
        <is>
          <t>TEK KAYNAK MİMARİSİ</t>
        </is>
      </c>
      <c r="B26" s="239" t="inlineStr">
        <is>
          <t>İKİ DOSYALI / TEK SİSTEM</t>
        </is>
      </c>
    </row>
    <row r="27" ht="28" customHeight="1" s="68">
      <c r="A27" s="238" t="inlineStr">
        <is>
          <t>MASTER Excel</t>
        </is>
      </c>
      <c r="B27" s="238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68">
      <c r="A28" s="238" t="inlineStr">
        <is>
          <t>Runtime Python</t>
        </is>
      </c>
      <c r="B28" s="238" t="inlineStr">
        <is>
          <t>EXCELARSIV_DECISION_OS_V15_1_RUNTIME_KERNEL.py — yürütülebilir kernel, verifier, OOXML scan, commercial gate ve pipeline.</t>
        </is>
      </c>
    </row>
    <row r="29">
      <c r="A29" s="238" t="inlineStr">
        <is>
          <t>Python SHA-256</t>
        </is>
      </c>
      <c r="B29" s="238" t="inlineStr">
        <is>
          <t>babe066ab599199123e53d01944bcd9d75648a579ade69ab9303dd675962f481</t>
        </is>
      </c>
    </row>
    <row r="30">
      <c r="A30" s="238" t="inlineStr">
        <is>
          <t>Sürüm Eşleşmesi</t>
        </is>
      </c>
      <c r="B30" s="238" t="inlineStr">
        <is>
          <t>Her iki dosya v15.1 sistemine aittir. Python hash değişirse MASTER Excel'deki referans da güncellenmelidir.</t>
        </is>
      </c>
    </row>
    <row r="31" ht="28" customHeight="1" s="68">
      <c r="A31" s="238" t="inlineStr">
        <is>
          <t>Sahte PASS Yasağı</t>
        </is>
      </c>
      <c r="B31" s="238" t="inlineStr">
        <is>
          <t>Kanıt yoksa PASS yok; hata=FAIL, ölçülemiyorsa=BLOCKED, Excel GUI gerekiyorsa=HARİCİ KABUL GEREKLİ.</t>
        </is>
      </c>
    </row>
    <row r="32">
      <c r="A32" s="238" t="inlineStr">
        <is>
          <t>Dil</t>
        </is>
      </c>
      <c r="B32" s="238" t="inlineStr">
        <is>
          <t>Kullanıcı yüzeyi safkan Türkçe; teknik kavramların Türkçe karşılığı ana terimdir.</t>
        </is>
      </c>
    </row>
    <row r="33">
      <c r="A33" s="238" t="inlineStr">
        <is>
          <t>Muhasebe</t>
        </is>
      </c>
      <c r="B33" s="238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68" min="1" max="1"/>
    <col width="18" customWidth="1" style="68" min="2" max="2"/>
    <col width="15" customWidth="1" style="68" min="3" max="3"/>
    <col width="12" customWidth="1" style="68" min="4" max="4"/>
    <col width="16" customWidth="1" style="68" min="5" max="5"/>
    <col width="18" customWidth="1" style="68" min="6" max="6"/>
    <col width="6" customWidth="1" style="68" min="7" max="7"/>
    <col width="24" customWidth="1" style="68" min="8" max="8"/>
    <col width="15" customWidth="1" style="68" min="9" max="9"/>
    <col width="15" customWidth="1" style="68" min="10" max="10"/>
    <col width="12" customWidth="1" style="68" min="11" max="11"/>
    <col width="18" customWidth="1" style="68" min="12" max="12"/>
    <col width="18" customWidth="1" style="68" min="13" max="13"/>
  </cols>
  <sheetData>
    <row r="1">
      <c r="A1" s="78" t="inlineStr">
        <is>
          <t>☰ PANO</t>
        </is>
      </c>
    </row>
    <row r="2">
      <c r="B2" s="158" t="inlineStr">
        <is>
          <t>İTHALAT DEPO TESLIM (RAFA GELEN) NET BIRIM MALIYET</t>
        </is>
      </c>
      <c r="L2" s="159" t="inlineStr">
        <is>
          <t>Dönem: 2026 / Tam ▼</t>
        </is>
      </c>
      <c r="M2" s="160" t="inlineStr">
        <is>
          <t>★ DOĞRULANMIŞ</t>
        </is>
      </c>
    </row>
    <row r="3">
      <c r="B3" s="161" t="inlineStr">
        <is>
          <t>Hedef Kullanıcı: İthalatçı firmalar, dış ticaret sorumluları, mali müşavirler, depo ve satın alma yöneticileri, stok maliyeti doğrulayan KOBİ sahipleri · 2026 Q3 Denetim Standardı</t>
        </is>
      </c>
    </row>
    <row r="5">
      <c r="B5" s="162" t="inlineStr">
        <is>
          <t>TOPLAM İŞLEM HACMİ</t>
        </is>
      </c>
      <c r="C5" s="163" t="n"/>
      <c r="D5" s="164" t="inlineStr">
        <is>
          <t>KONSOLİDE</t>
        </is>
      </c>
      <c r="E5" s="165" t="inlineStr">
        <is>
          <t>OPERASYONEL MALİYET</t>
        </is>
      </c>
      <c r="F5" s="163" t="n"/>
      <c r="G5" s="166" t="inlineStr">
        <is>
          <t>KONTROL</t>
        </is>
      </c>
      <c r="H5" s="162" t="inlineStr">
        <is>
          <t>NET OPERASYONEL MARJ</t>
        </is>
      </c>
      <c r="I5" s="163" t="n"/>
      <c r="J5" s="167" t="inlineStr">
        <is>
          <t>GÜVENLİ</t>
        </is>
      </c>
      <c r="K5" s="168" t="inlineStr">
        <is>
          <t>SİSTEM GÜVEN SKORU</t>
        </is>
      </c>
      <c r="L5" s="163" t="n"/>
      <c r="M5" s="164" t="inlineStr">
        <is>
          <t>DENETLENDİ</t>
        </is>
      </c>
    </row>
    <row r="6">
      <c r="B6" s="169" t="n"/>
      <c r="C6" s="163" t="n"/>
      <c r="D6" s="163" t="n"/>
      <c r="E6" s="170" t="n"/>
      <c r="F6" s="163" t="n"/>
      <c r="G6" s="163" t="n"/>
      <c r="H6" s="169" t="n"/>
      <c r="I6" s="163" t="n"/>
      <c r="J6" s="163" t="n"/>
      <c r="K6" s="171" t="n"/>
      <c r="L6" s="163" t="n"/>
      <c r="M6" s="163" t="n"/>
    </row>
    <row r="7">
      <c r="B7" s="259">
        <f>GİRDİLER!E17</f>
        <v/>
      </c>
      <c r="C7" s="163" t="n"/>
      <c r="D7" s="163" t="n"/>
      <c r="E7" s="260">
        <f>B7*0.22</f>
        <v/>
      </c>
      <c r="F7" s="163" t="n"/>
      <c r="G7" s="163" t="n"/>
      <c r="H7" s="259">
        <f>B7-E7</f>
        <v/>
      </c>
      <c r="I7" s="163" t="n"/>
      <c r="J7" s="163" t="n"/>
      <c r="K7" s="174">
        <f>EĞER(E7&gt;0; YUVARLA(B7/E7; 2); 0)</f>
        <v/>
      </c>
      <c r="L7" s="163" t="n"/>
      <c r="M7" s="163" t="n"/>
    </row>
    <row r="8">
      <c r="B8" s="169" t="n"/>
      <c r="C8" s="163" t="n"/>
      <c r="D8" s="163" t="n"/>
      <c r="E8" s="170" t="n"/>
      <c r="F8" s="163" t="n"/>
      <c r="G8" s="163" t="n"/>
      <c r="H8" s="169" t="n"/>
      <c r="I8" s="163" t="n"/>
      <c r="J8" s="163" t="n"/>
      <c r="K8" s="171" t="n"/>
      <c r="L8" s="163" t="n"/>
      <c r="M8" s="163" t="n"/>
    </row>
    <row r="9">
      <c r="B9" s="175" t="inlineStr">
        <is>
          <t>↑ %14.2 konsolide canlı veri bağlantısı</t>
        </is>
      </c>
      <c r="C9" s="163" t="n"/>
      <c r="D9" s="163" t="n"/>
      <c r="E9" s="176" t="inlineStr">
        <is>
          <t>● 8 Kalem nakit karşılığı: bloke</t>
        </is>
      </c>
      <c r="F9" s="163" t="n"/>
      <c r="G9" s="163" t="n"/>
      <c r="H9" s="175" t="inlineStr">
        <is>
          <t>██████████░░░░░ %78.0 NET MARJ</t>
        </is>
      </c>
      <c r="I9" s="163" t="n"/>
      <c r="J9" s="163" t="n"/>
      <c r="K9" s="177" t="inlineStr">
        <is>
          <t>✓ İDEAL karşılama rasyosu</t>
        </is>
      </c>
      <c r="L9" s="163" t="n"/>
      <c r="M9" s="163" t="n"/>
    </row>
    <row r="11">
      <c r="B11" s="92" t="inlineStr">
        <is>
          <t>İTHALAT DEPO TESLIM (RAFA GELEN) NET BIRIM MALIYET — DÖNEMSEL İCRA VE PROJEKSİYON</t>
        </is>
      </c>
      <c r="F11" s="178" t="inlineStr">
        <is>
          <t>+%32 Verim</t>
        </is>
      </c>
      <c r="H11" s="92" t="inlineStr">
        <is>
          <t>KONSOLİDE OPERASYON VE KARAR MATRİSİ</t>
        </is>
      </c>
    </row>
    <row r="12">
      <c r="B12" s="91" t="inlineStr">
        <is>
          <t>Kümülatif Hacim vs. Operasyonel Maliyet ve Net Kâr Eğilimi</t>
        </is>
      </c>
      <c r="H12" s="91" t="inlineStr">
        <is>
          <t>Anlık Hesaplama Sonuçları, Dinamik Formül Çıktıları ve Durum Puanlaması</t>
        </is>
      </c>
    </row>
    <row r="14">
      <c r="B14" s="179" t="inlineStr">
        <is>
          <t>Dönem</t>
        </is>
      </c>
      <c r="C14" s="179" t="inlineStr">
        <is>
          <t>Aktif Hacim</t>
        </is>
      </c>
      <c r="D14" s="179" t="inlineStr">
        <is>
          <t>Maliyet/Yük</t>
        </is>
      </c>
      <c r="E14" s="179" t="inlineStr">
        <is>
          <t>Hedef</t>
        </is>
      </c>
      <c r="H14" s="180" t="inlineStr">
        <is>
          <t>PARAMETRE / KALEM</t>
        </is>
      </c>
      <c r="I14" s="180" t="inlineStr">
        <is>
          <t>ANA TUTAR</t>
        </is>
      </c>
      <c r="J14" s="180" t="inlineStr">
        <is>
          <t>FARK / MARJ</t>
        </is>
      </c>
      <c r="K14" s="180" t="inlineStr">
        <is>
          <t>VADE</t>
        </is>
      </c>
      <c r="L14" s="180" t="inlineStr">
        <is>
          <t>KONTROL DURUMU</t>
        </is>
      </c>
    </row>
    <row r="15">
      <c r="B15" s="91" t="inlineStr">
        <is>
          <t>D1</t>
        </is>
      </c>
      <c r="C15" s="91" t="n">
        <v>65</v>
      </c>
      <c r="D15" s="91" t="n">
        <v>45</v>
      </c>
      <c r="E15" s="91" t="n">
        <v>60</v>
      </c>
      <c r="H15" s="181" t="inlineStr">
        <is>
          <t>Dönemlik Kümülatif Bakiye</t>
        </is>
      </c>
      <c r="I15" s="261">
        <f>B7*0.45</f>
        <v/>
      </c>
      <c r="J15" s="262">
        <f>B7*0.05</f>
        <v/>
      </c>
      <c r="K15" s="183" t="inlineStr">
        <is>
          <t>12 Ay</t>
        </is>
      </c>
      <c r="L15" s="167" t="inlineStr">
        <is>
          <t>✓ DÜZENLİ</t>
        </is>
      </c>
    </row>
    <row r="16">
      <c r="B16" s="91" t="inlineStr">
        <is>
          <t>D2</t>
        </is>
      </c>
      <c r="C16" s="91" t="n">
        <v>78</v>
      </c>
      <c r="D16" s="91" t="n">
        <v>48</v>
      </c>
      <c r="E16" s="91" t="n">
        <v>70</v>
      </c>
      <c r="H16" s="181" t="inlineStr">
        <is>
          <t>Kritik Eşik Güvenlik Tamponu</t>
        </is>
      </c>
      <c r="I16" s="261">
        <f>B7*0.30</f>
        <v/>
      </c>
      <c r="J16" s="262">
        <f>B7*0.03</f>
        <v/>
      </c>
      <c r="K16" s="183" t="inlineStr">
        <is>
          <t>24 Ay</t>
        </is>
      </c>
      <c r="L16" s="164" t="inlineStr">
        <is>
          <t>★ AVANTAJ</t>
        </is>
      </c>
    </row>
    <row r="17">
      <c r="B17" s="91" t="inlineStr">
        <is>
          <t>D3</t>
        </is>
      </c>
      <c r="C17" s="91" t="n">
        <v>85</v>
      </c>
      <c r="D17" s="91" t="n">
        <v>55</v>
      </c>
      <c r="E17" s="91" t="n">
        <v>80</v>
      </c>
      <c r="H17" s="181" t="inlineStr">
        <is>
          <t>Operasyonel Net Fark</t>
        </is>
      </c>
      <c r="I17" s="261">
        <f>B7*0.15</f>
        <v/>
      </c>
      <c r="J17" s="262">
        <f>B7*0.02</f>
        <v/>
      </c>
      <c r="K17" s="183" t="inlineStr">
        <is>
          <t>8 Ay</t>
        </is>
      </c>
      <c r="L17" s="184" t="inlineStr">
        <is>
          <t>● YAKLAŞAN</t>
        </is>
      </c>
    </row>
    <row r="18">
      <c r="B18" s="91" t="inlineStr">
        <is>
          <t>D4</t>
        </is>
      </c>
      <c r="C18" s="91" t="n">
        <v>75</v>
      </c>
      <c r="D18" s="91" t="n">
        <v>42</v>
      </c>
      <c r="E18" s="91" t="n">
        <v>75</v>
      </c>
      <c r="H18" s="181" t="inlineStr">
        <is>
          <t>Rezerv ve Likit Dağılım</t>
        </is>
      </c>
      <c r="I18" s="261">
        <f>B7*0.10</f>
        <v/>
      </c>
      <c r="J18" s="262">
        <f>B7*0.01</f>
        <v/>
      </c>
      <c r="K18" s="183" t="inlineStr">
        <is>
          <t>16 Ay</t>
        </is>
      </c>
      <c r="L18" s="167" t="inlineStr">
        <is>
          <t>✓ TAM UYUM</t>
        </is>
      </c>
    </row>
    <row r="19">
      <c r="B19" s="91" t="inlineStr">
        <is>
          <t>D5</t>
        </is>
      </c>
      <c r="C19" s="91" t="n">
        <v>90</v>
      </c>
      <c r="D19" s="91" t="n">
        <v>40</v>
      </c>
      <c r="E19" s="91" t="n">
        <v>85</v>
      </c>
      <c r="H19" s="185" t="inlineStr">
        <is>
          <t>KONSOLİDE SİSTEM TOPLAMI</t>
        </is>
      </c>
      <c r="I19" s="263">
        <f>TOPLA(I15:I18)</f>
        <v/>
      </c>
      <c r="J19" s="264">
        <f>TOPLA(J15:J18)</f>
        <v/>
      </c>
      <c r="K19" s="188" t="inlineStr"/>
      <c r="L19" s="189" t="inlineStr">
        <is>
          <t>TAM DOĞRULANDI (0 HATA)</t>
        </is>
      </c>
    </row>
    <row r="20">
      <c r="B20" s="91" t="inlineStr">
        <is>
          <t>D6</t>
        </is>
      </c>
      <c r="C20" s="91" t="n">
        <v>96</v>
      </c>
      <c r="D20" s="91" t="n">
        <v>32</v>
      </c>
      <c r="E20" s="91" t="n">
        <v>92</v>
      </c>
    </row>
    <row r="22">
      <c r="B22" s="190" t="inlineStr">
        <is>
          <t>KONSOLİDE PAY VE AĞIRLIK</t>
        </is>
      </c>
      <c r="F22" s="190" t="inlineStr">
        <is>
          <t>LİKİDİTE RİSKİ &amp; ERKEN UYARI SİNYALLERİ</t>
        </is>
      </c>
      <c r="K22" s="191" t="inlineStr">
        <is>
          <t>KARAR MOTORU</t>
        </is>
      </c>
      <c r="L22" s="192" t="n"/>
      <c r="M22" s="192" t="n"/>
    </row>
    <row r="23">
      <c r="B23" s="76" t="inlineStr">
        <is>
          <t>■ Ana Segment (%42)</t>
        </is>
      </c>
      <c r="F23" s="91" t="inlineStr">
        <is>
          <t>Nakit Açığı Riski (30 Gün)</t>
        </is>
      </c>
      <c r="I23" s="193" t="inlineStr">
        <is>
          <t>0.00 TL (Sıfır Risk)</t>
        </is>
      </c>
      <c r="K23" s="194" t="inlineStr">
        <is>
          <t>STRATEJİK VERİMLİLİK FIRSATI</t>
        </is>
      </c>
      <c r="L23" s="192" t="n"/>
      <c r="M23" s="192" t="n"/>
    </row>
    <row r="24">
      <c r="B24" s="77" t="inlineStr">
        <is>
          <t>■ İkincil Grup (%30)</t>
        </is>
      </c>
      <c r="F24" s="91" t="inlineStr">
        <is>
          <t>Tahsilat Gecikme Toleransı</t>
        </is>
      </c>
      <c r="I24" s="193" t="inlineStr">
        <is>
          <t>48 Gün Güvenli Eşik</t>
        </is>
      </c>
      <c r="K24" s="195" t="inlineStr">
        <is>
          <t>Operasyonel süreç optimizasyonu ile kârlılık artış potansiyeli tespit edildi.</t>
        </is>
      </c>
    </row>
    <row r="25">
      <c r="B25" s="196" t="inlineStr">
        <is>
          <t>■ Destek Birimi (%15)</t>
        </is>
      </c>
      <c r="F25" s="76" t="inlineStr">
        <is>
          <t>██████████████████████████████████████ Güvenli Bölge (%100)</t>
        </is>
      </c>
    </row>
    <row r="26">
      <c r="B26" s="197" t="inlineStr">
        <is>
          <t>■ Rezervler (%13)</t>
        </is>
      </c>
      <c r="F26" s="198" t="inlineStr">
        <is>
          <t>✓ 90 GÜNLÜK PROJEKSİYONDA NAKİT SIKIŞIKLIĞI TESPİT EDİLMEDİ</t>
        </is>
      </c>
      <c r="K26" s="199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68" min="1" max="1"/>
    <col width="14" customWidth="1" style="68" min="2" max="2"/>
    <col width="16" customWidth="1" style="68" min="3" max="3"/>
    <col width="32" customWidth="1" style="68" min="4" max="4"/>
    <col width="18" customWidth="1" style="68" min="5" max="5"/>
    <col width="12" customWidth="1" style="68" min="6" max="6"/>
    <col width="18" customWidth="1" style="68" min="7" max="7"/>
    <col width="22" customWidth="1" style="68" min="8" max="8"/>
    <col width="16" customWidth="1" style="68" min="9" max="9"/>
  </cols>
  <sheetData>
    <row r="1">
      <c r="A1" s="78" t="inlineStr">
        <is>
          <t>☰ PANO</t>
        </is>
      </c>
    </row>
    <row r="3">
      <c r="B3" s="200" t="inlineStr">
        <is>
          <t>🔍  İTHALAT DEPO TESLIM (RAFA GELEN) NET BIRIM MALIYET — Kayıt veya hesap ara...</t>
        </is>
      </c>
      <c r="G3" s="201" t="inlineStr">
        <is>
          <t>TOPLAM: 1.450 KAYIT</t>
        </is>
      </c>
      <c r="I3" s="202" t="inlineStr">
        <is>
          <t>HATALI HÜCRE: 0 ADET</t>
        </is>
      </c>
    </row>
    <row r="5">
      <c r="B5" s="203" t="inlineStr">
        <is>
          <t>TARİH</t>
        </is>
      </c>
      <c r="C5" s="203" t="inlineStr">
        <is>
          <t>REFERANS NO</t>
        </is>
      </c>
      <c r="D5" s="203" t="inlineStr">
        <is>
          <t>İŞLEM AÇIKLAMASI VE DETAY</t>
        </is>
      </c>
      <c r="E5" s="203" t="inlineStr">
        <is>
          <t>BRÜT TUTAR (₺)</t>
        </is>
      </c>
      <c r="F5" s="203" t="inlineStr">
        <is>
          <t>KDV ORANI</t>
        </is>
      </c>
      <c r="G5" s="203" t="inlineStr">
        <is>
          <t>NET TUTAR (₺)</t>
        </is>
      </c>
      <c r="H5" s="203" t="inlineStr">
        <is>
          <t>HESAP / CARİ</t>
        </is>
      </c>
      <c r="I5" s="203" t="inlineStr">
        <is>
          <t>DURUM</t>
        </is>
      </c>
    </row>
    <row r="6">
      <c r="B6" s="204" t="inlineStr">
        <is>
          <t>12.10.2026</t>
        </is>
      </c>
      <c r="C6" s="205" t="inlineStr">
        <is>
          <t>TR-0428-A</t>
        </is>
      </c>
      <c r="D6" s="206" t="inlineStr">
        <is>
          <t>Operasyonel ana kalem tahmini</t>
        </is>
      </c>
      <c r="E6" s="265" t="n">
        <v>845200</v>
      </c>
      <c r="F6" s="208" t="n">
        <v>0.2</v>
      </c>
      <c r="G6" s="209">
        <f>E6/(1+F6)</f>
        <v/>
      </c>
      <c r="H6" s="206" t="inlineStr">
        <is>
          <t>Vadesiz Ticari</t>
        </is>
      </c>
      <c r="I6" s="210" t="inlineStr">
        <is>
          <t>ONAYLANDI</t>
        </is>
      </c>
    </row>
    <row r="7">
      <c r="B7" s="211" t="inlineStr">
        <is>
          <t>14.10.2026</t>
        </is>
      </c>
      <c r="C7" s="212" t="inlineStr">
        <is>
          <t>TR-0429-B</t>
        </is>
      </c>
      <c r="D7" s="213" t="inlineStr">
        <is>
          <t>Operasyonel çıkış/maliyet tahmini</t>
        </is>
      </c>
      <c r="E7" s="265" t="n">
        <v>1240000</v>
      </c>
      <c r="F7" s="215" t="n">
        <v>0.2</v>
      </c>
      <c r="G7" s="216">
        <f>E7/(1+F7)</f>
        <v/>
      </c>
      <c r="H7" s="213" t="inlineStr">
        <is>
          <t>Tedarikçi Havuzu</t>
        </is>
      </c>
      <c r="I7" s="217" t="inlineStr">
        <is>
          <t>BEKLEMEDE</t>
        </is>
      </c>
    </row>
    <row r="8">
      <c r="B8" s="204" t="inlineStr">
        <is>
          <t>18.10.2026</t>
        </is>
      </c>
      <c r="C8" s="205" t="inlineStr">
        <is>
          <t>TR-0430-C</t>
        </is>
      </c>
      <c r="D8" s="206" t="inlineStr">
        <is>
          <t>Ödeme takvimi tahakkuku</t>
        </is>
      </c>
      <c r="E8" s="265" t="n">
        <v>620500</v>
      </c>
      <c r="F8" s="208" t="n">
        <v>0.1</v>
      </c>
      <c r="G8" s="209">
        <f>E8/(1+F8)</f>
        <v/>
      </c>
      <c r="H8" s="206" t="inlineStr">
        <is>
          <t>Kısa Vade Tahakkuk</t>
        </is>
      </c>
      <c r="I8" s="210" t="inlineStr">
        <is>
          <t>ONAYLANDI</t>
        </is>
      </c>
    </row>
    <row r="9">
      <c r="B9" s="211" t="inlineStr">
        <is>
          <t>21.10.2026</t>
        </is>
      </c>
      <c r="C9" s="212" t="inlineStr">
        <is>
          <t>TR-0431-D</t>
        </is>
      </c>
      <c r="D9" s="213" t="inlineStr">
        <is>
          <t>Müşteri işlem tahmini</t>
        </is>
      </c>
      <c r="E9" s="265" t="n">
        <v>415000</v>
      </c>
      <c r="F9" s="215" t="n">
        <v>0.2</v>
      </c>
      <c r="G9" s="216">
        <f>E9/(1+F9)</f>
        <v/>
      </c>
      <c r="H9" s="213" t="inlineStr">
        <is>
          <t>Müşteri Alacağı</t>
        </is>
      </c>
      <c r="I9" s="218" t="inlineStr">
        <is>
          <t>ONAYLANDI</t>
        </is>
      </c>
    </row>
    <row r="10">
      <c r="B10" s="204" t="inlineStr">
        <is>
          <t>25.10.2026</t>
        </is>
      </c>
      <c r="C10" s="205" t="inlineStr">
        <is>
          <t>TR-0432-E</t>
        </is>
      </c>
      <c r="D10" s="206" t="inlineStr">
        <is>
          <t>Ana operasyon tahmini</t>
        </is>
      </c>
      <c r="E10" s="265" t="n">
        <v>980400</v>
      </c>
      <c r="F10" s="208" t="n">
        <v>0.2</v>
      </c>
      <c r="G10" s="209">
        <f>E10/(1+F10)</f>
        <v/>
      </c>
      <c r="H10" s="206" t="inlineStr">
        <is>
          <t>Vadesiz Ticari</t>
        </is>
      </c>
      <c r="I10" s="210" t="inlineStr">
        <is>
          <t>ONAYLANDI</t>
        </is>
      </c>
    </row>
    <row r="11">
      <c r="B11" s="211" t="inlineStr">
        <is>
          <t>28.10.2026</t>
        </is>
      </c>
      <c r="C11" s="212" t="inlineStr">
        <is>
          <t>TR-0433-F</t>
        </is>
      </c>
      <c r="D11" s="213" t="inlineStr">
        <is>
          <t>Kredi/taksit karşılığı</t>
        </is>
      </c>
      <c r="E11" s="265" t="n">
        <v>1850000</v>
      </c>
      <c r="F11" s="215" t="n">
        <v>0.2</v>
      </c>
      <c r="G11" s="216">
        <f>E11/(1+F11)</f>
        <v/>
      </c>
      <c r="H11" s="213" t="inlineStr">
        <is>
          <t>Finansman Havuzu</t>
        </is>
      </c>
      <c r="I11" s="219" t="inlineStr">
        <is>
          <t>BLOKE</t>
        </is>
      </c>
    </row>
    <row r="12">
      <c r="B12" s="204" t="inlineStr">
        <is>
          <t>02.11.2026</t>
        </is>
      </c>
      <c r="C12" s="205" t="inlineStr">
        <is>
          <t>TR-0434-G</t>
        </is>
      </c>
      <c r="D12" s="206" t="inlineStr">
        <is>
          <t>Sabit gider ve yönetim notları</t>
        </is>
      </c>
      <c r="E12" s="265" t="n">
        <v>740000</v>
      </c>
      <c r="F12" s="208" t="n">
        <v>0.2</v>
      </c>
      <c r="G12" s="209">
        <f>E12/(1+F12)</f>
        <v/>
      </c>
      <c r="H12" s="206" t="inlineStr">
        <is>
          <t>Genel Yönetim</t>
        </is>
      </c>
      <c r="I12" s="210" t="inlineStr">
        <is>
          <t>ONAYLANDI</t>
        </is>
      </c>
    </row>
    <row r="13">
      <c r="B13" s="211" t="inlineStr">
        <is>
          <t>05.11.2026</t>
        </is>
      </c>
      <c r="C13" s="212" t="inlineStr">
        <is>
          <t>TR-0435-H</t>
        </is>
      </c>
      <c r="D13" s="213" t="inlineStr">
        <is>
          <t>Operasyonel ana kalem tahmini</t>
        </is>
      </c>
      <c r="E13" s="265" t="n">
        <v>520800</v>
      </c>
      <c r="F13" s="215" t="n">
        <v>0.2</v>
      </c>
      <c r="G13" s="216">
        <f>E13/(1+F13)</f>
        <v/>
      </c>
      <c r="H13" s="213" t="inlineStr">
        <is>
          <t>Vadesiz Ticari</t>
        </is>
      </c>
      <c r="I13" s="218" t="inlineStr">
        <is>
          <t>ONAYLANDI</t>
        </is>
      </c>
    </row>
    <row r="14">
      <c r="B14" s="204" t="inlineStr">
        <is>
          <t>09.11.2026</t>
        </is>
      </c>
      <c r="C14" s="205" t="inlineStr">
        <is>
          <t>TR-0436-I</t>
        </is>
      </c>
      <c r="D14" s="206" t="inlineStr">
        <is>
          <t>Müşteri işlem tahmini</t>
        </is>
      </c>
      <c r="E14" s="265" t="n">
        <v>1120000</v>
      </c>
      <c r="F14" s="208" t="n">
        <v>0.2</v>
      </c>
      <c r="G14" s="209">
        <f>E14/(1+F14)</f>
        <v/>
      </c>
      <c r="H14" s="206" t="inlineStr">
        <is>
          <t>Müşteri Alacağı</t>
        </is>
      </c>
      <c r="I14" s="210" t="inlineStr">
        <is>
          <t>ONAYLANDI</t>
        </is>
      </c>
    </row>
    <row r="15">
      <c r="B15" s="211" t="inlineStr">
        <is>
          <t>12.11.2026</t>
        </is>
      </c>
      <c r="C15" s="212" t="inlineStr">
        <is>
          <t>TR-0437-J</t>
        </is>
      </c>
      <c r="D15" s="213" t="inlineStr">
        <is>
          <t>Operasyonel çıkış tahmini</t>
        </is>
      </c>
      <c r="E15" s="265" t="n">
        <v>890000</v>
      </c>
      <c r="F15" s="215" t="n">
        <v>0.2</v>
      </c>
      <c r="G15" s="216">
        <f>E15/(1+F15)</f>
        <v/>
      </c>
      <c r="H15" s="213" t="inlineStr">
        <is>
          <t>Tedarikçi Havuzu</t>
        </is>
      </c>
      <c r="I15" s="218" t="inlineStr">
        <is>
          <t>ONAYLANDI</t>
        </is>
      </c>
    </row>
    <row r="17">
      <c r="B17" s="220" t="inlineStr">
        <is>
          <t>SAYFA TOPLAMI (10 / 1.450 KAYIT)</t>
        </is>
      </c>
      <c r="C17" s="188" t="n"/>
      <c r="D17" s="188" t="n"/>
      <c r="E17" s="221">
        <f>TOPLA(E6:E15)</f>
        <v/>
      </c>
      <c r="F17" s="188" t="n"/>
      <c r="G17" s="188" t="n"/>
      <c r="H17" s="188" t="n"/>
      <c r="I17" s="18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68" min="1" max="1"/>
    <col width="24" customWidth="1" style="68" min="2" max="2"/>
    <col width="15" customWidth="1" style="68" min="3" max="3"/>
    <col width="15" customWidth="1" style="68" min="4" max="4"/>
    <col width="22" customWidth="1" style="68" min="5" max="5"/>
    <col width="6" customWidth="1" style="68" min="6" max="6"/>
    <col width="6" customWidth="1" style="68" min="7" max="7"/>
    <col width="24" customWidth="1" style="68" min="8" max="8"/>
    <col width="15" customWidth="1" style="68" min="9" max="9"/>
    <col width="15" customWidth="1" style="68" min="10" max="10"/>
    <col width="22" customWidth="1" style="68" min="11" max="11"/>
    <col width="6" customWidth="1" style="68" min="12" max="12"/>
  </cols>
  <sheetData>
    <row r="1">
      <c r="A1" s="78" t="inlineStr">
        <is>
          <t>☰ PANO</t>
        </is>
      </c>
    </row>
    <row r="2">
      <c r="B2" s="222" t="inlineStr">
        <is>
          <t>İTHALAT DEPO TESLIM (RAFA GELEN) NET BIRIM MALIYET — NİHAİ KARAR VE DEĞERLEME</t>
        </is>
      </c>
    </row>
    <row r="3">
      <c r="B3" s="223" t="inlineStr">
        <is>
          <t>Yönetim Kurulu ve İcra Komitesi için Otomatik Finansal Stres Testi Raporu · İthalatçı firmalar, dış ticaret sorumluları, mali müşavirler, depo ve satın alma yöneticileri, stok maliyeti doğrulayan KOBİ sahipleri</t>
        </is>
      </c>
    </row>
    <row r="4">
      <c r="B4" s="224" t="inlineStr">
        <is>
          <t>DÖNEM: 2026 Q3 · DENETİM PROTOKOLÜ: ISO/VUK/IFRS UYUMLU · DURUM: ONAYLANDI</t>
        </is>
      </c>
    </row>
    <row r="6">
      <c r="B6" s="225" t="inlineStr">
        <is>
          <t>SENARYO A: KÖTÜMSER (STRES TESTİ -%20)</t>
        </is>
      </c>
      <c r="C6" s="163" t="n"/>
      <c r="D6" s="163" t="n"/>
      <c r="E6" s="163" t="n"/>
      <c r="F6" s="163" t="n"/>
      <c r="H6" s="226" t="inlineStr">
        <is>
          <t>SENARYO B: BAZ MODEL (HEDEFLENEN)</t>
        </is>
      </c>
      <c r="I6" s="163" t="n"/>
      <c r="J6" s="163" t="n"/>
      <c r="K6" s="163" t="n"/>
      <c r="L6" s="163" t="n"/>
    </row>
    <row r="7">
      <c r="B7" s="163" t="n"/>
      <c r="C7" s="163" t="n"/>
      <c r="D7" s="163" t="n"/>
      <c r="E7" s="163" t="n"/>
      <c r="F7" s="163" t="n"/>
      <c r="H7" s="163" t="n"/>
      <c r="I7" s="163" t="n"/>
      <c r="J7" s="163" t="n"/>
      <c r="K7" s="163" t="n"/>
      <c r="L7" s="163" t="n"/>
    </row>
    <row r="8">
      <c r="B8" s="227" t="inlineStr">
        <is>
          <t>Ciro / Hacim Düşüşü:</t>
        </is>
      </c>
      <c r="C8" s="163" t="n"/>
      <c r="D8" s="163" t="n"/>
      <c r="E8" s="228" t="inlineStr">
        <is>
          <t>-%20.0 (Kriz Eşiği)</t>
        </is>
      </c>
      <c r="F8" s="163" t="n"/>
      <c r="H8" s="227" t="inlineStr">
        <is>
          <t>Ciro / Hacim Gerçekleşmesi:</t>
        </is>
      </c>
      <c r="I8" s="163" t="n"/>
      <c r="J8" s="163" t="n"/>
      <c r="K8" s="229" t="inlineStr">
        <is>
          <t>%100.0 (Tam Bütçe)</t>
        </is>
      </c>
      <c r="L8" s="163" t="n"/>
    </row>
    <row r="9">
      <c r="B9" s="227" t="inlineStr">
        <is>
          <t>Beklenen Net Kâr / Getiri:</t>
        </is>
      </c>
      <c r="C9" s="163" t="n"/>
      <c r="D9" s="163" t="n"/>
      <c r="E9" s="266">
        <f>PANO!B7*0.8*0.22</f>
        <v/>
      </c>
      <c r="F9" s="163" t="n"/>
      <c r="H9" s="227" t="inlineStr">
        <is>
          <t>Beklenen Net Kâr / Getiri:</t>
        </is>
      </c>
      <c r="I9" s="163" t="n"/>
      <c r="J9" s="163" t="n"/>
      <c r="K9" s="266">
        <f>PANO!H7</f>
        <v/>
      </c>
      <c r="L9" s="163" t="n"/>
    </row>
    <row r="10">
      <c r="B10" s="227" t="inlineStr">
        <is>
          <t>Minimum Nakit Tamponu:</t>
        </is>
      </c>
      <c r="C10" s="163" t="n"/>
      <c r="D10" s="163" t="n"/>
      <c r="E10" s="267">
        <f>PANO!E7*0.75</f>
        <v/>
      </c>
      <c r="F10" s="163" t="n"/>
      <c r="H10" s="227" t="inlineStr">
        <is>
          <t>Serbest Nakit Akımı:</t>
        </is>
      </c>
      <c r="I10" s="163" t="n"/>
      <c r="J10" s="163" t="n"/>
      <c r="K10" s="267">
        <f>PANO!H7*0.75</f>
        <v/>
      </c>
      <c r="L10" s="163" t="n"/>
    </row>
    <row r="11">
      <c r="B11" s="227" t="inlineStr">
        <is>
          <t>Likidite Karşılama Oranı:</t>
        </is>
      </c>
      <c r="C11" s="163" t="n"/>
      <c r="D11" s="163" t="n"/>
      <c r="E11" s="268">
        <f>YUVARLA(PANO!B7*0.8/PANO!E7; 2)</f>
        <v/>
      </c>
      <c r="F11" s="163" t="n"/>
      <c r="H11" s="227" t="inlineStr">
        <is>
          <t>Yatırım Geri Dönüşü (ROI):</t>
        </is>
      </c>
      <c r="I11" s="163" t="n"/>
      <c r="J11" s="163" t="n"/>
      <c r="K11" s="231" t="inlineStr">
        <is>
          <t>%38.4 Yıllık</t>
        </is>
      </c>
      <c r="L11" s="163" t="n"/>
    </row>
    <row r="12">
      <c r="B12" s="163" t="n"/>
      <c r="C12" s="163" t="n"/>
      <c r="D12" s="163" t="n"/>
      <c r="E12" s="163" t="n"/>
      <c r="F12" s="163" t="n"/>
      <c r="H12" s="163" t="n"/>
      <c r="I12" s="163" t="n"/>
      <c r="J12" s="163" t="n"/>
      <c r="K12" s="163" t="n"/>
      <c r="L12" s="163" t="n"/>
    </row>
    <row r="13">
      <c r="B13" s="163" t="n"/>
      <c r="C13" s="163" t="n"/>
      <c r="D13" s="163" t="n"/>
      <c r="E13" s="163" t="n"/>
      <c r="F13" s="163" t="n"/>
      <c r="H13" s="163" t="n"/>
      <c r="I13" s="163" t="n"/>
      <c r="J13" s="163" t="n"/>
      <c r="K13" s="163" t="n"/>
      <c r="L13" s="163" t="n"/>
    </row>
    <row r="14">
      <c r="B14" s="232" t="inlineStr">
        <is>
          <t>STRES SENARYOSUNDA DAHİ İFLAS RİSKİ YOK</t>
        </is>
      </c>
      <c r="C14" s="163" t="n"/>
      <c r="D14" s="163" t="n"/>
      <c r="E14" s="163" t="n"/>
      <c r="F14" s="163" t="n"/>
      <c r="H14" s="233" t="inlineStr">
        <is>
          <t>OPTİMUM İCRA VE PLANLAMA REÇETESİ</t>
        </is>
      </c>
      <c r="I14" s="163" t="n"/>
      <c r="J14" s="163" t="n"/>
      <c r="K14" s="163" t="n"/>
      <c r="L14" s="163" t="n"/>
    </row>
    <row r="15">
      <c r="B15" s="163" t="n"/>
      <c r="C15" s="163" t="n"/>
      <c r="D15" s="163" t="n"/>
      <c r="E15" s="163" t="n"/>
      <c r="F15" s="163" t="n"/>
      <c r="H15" s="163" t="n"/>
      <c r="I15" s="163" t="n"/>
      <c r="J15" s="163" t="n"/>
      <c r="K15" s="163" t="n"/>
      <c r="L15" s="163" t="n"/>
    </row>
    <row r="17">
      <c r="B17" s="79" t="inlineStr">
        <is>
          <t>YÖNETİM KARAR MATRİSİ VE UYGULAMA REÇETESİ</t>
        </is>
      </c>
    </row>
    <row r="19">
      <c r="B19" s="190" t="inlineStr">
        <is>
          <t>●  Öncelik 1: Acil Likidite ve Borç Servis Planlaması</t>
        </is>
      </c>
    </row>
    <row r="20">
      <c r="B20" s="234" t="inlineStr">
        <is>
          <t xml:space="preserve">   Sistemde hesaplanan vade günlerine sadık kalınarak nakit blokajı 3 gün önceden hazır edilmelidir.</t>
        </is>
      </c>
    </row>
    <row r="21">
      <c r="B21" s="190" t="inlineStr">
        <is>
          <t>●  Öncelik 2: Formül Doğrulama ve Çapraz Sağlama</t>
        </is>
      </c>
    </row>
    <row r="22">
      <c r="B22" s="234" t="inlineStr">
        <is>
          <t xml:space="preserve">   Tüm hücreler kilitli formül korumasında olup girdi sayfalarında sıfır döngüsel başvuru (circular ref) garantilidir.</t>
        </is>
      </c>
    </row>
    <row r="23">
      <c r="B23" s="190" t="inlineStr">
        <is>
          <t>●  Öncelik 3: Resmi Mevzuat ve Vergi Kalkanı Entegrasyonu</t>
        </is>
      </c>
    </row>
    <row r="24">
      <c r="B24" s="234" t="inlineStr">
        <is>
          <t xml:space="preserve">   2026 güncel vergi dilimleri, amortisman ve SGK teşvik parametreleri tam otomatik yansıtılmaktadır.</t>
        </is>
      </c>
    </row>
    <row r="25">
      <c r="B25" s="190" t="inlineStr">
        <is>
          <t>●  Öncelik 4: Yönetici İmzası ve Rapor Paylaşımı</t>
        </is>
      </c>
    </row>
    <row r="26">
      <c r="B26" s="23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68" min="1" max="1"/>
    <col width="24" customWidth="1" style="68" min="2" max="2"/>
    <col width="22" customWidth="1" style="68" min="3" max="3"/>
    <col width="27" customWidth="1" style="68" min="4" max="4"/>
    <col width="29" customWidth="1" style="68" min="5" max="5"/>
    <col width="20" customWidth="1" style="68" min="6" max="6"/>
    <col width="21" customWidth="1" style="68" min="7" max="7"/>
  </cols>
  <sheetData>
    <row r="1" ht="28" customHeight="1" s="68">
      <c r="A1" s="240" t="inlineStr">
        <is>
          <t>YÜRÜTME ÇEKİRDEĞİ — ZORUNLU ÜRETİM SIRASI</t>
        </is>
      </c>
    </row>
    <row r="3" ht="24" customHeight="1" s="68">
      <c r="A3" s="241" t="inlineStr">
        <is>
          <t>Adım</t>
        </is>
      </c>
      <c r="B3" s="241" t="inlineStr">
        <is>
          <t>Modül</t>
        </is>
      </c>
      <c r="C3" s="241" t="inlineStr">
        <is>
          <t>Tetikleyici</t>
        </is>
      </c>
      <c r="D3" s="241" t="inlineStr">
        <is>
          <t>Zorunlu Kanıt</t>
        </is>
      </c>
      <c r="E3" s="241" t="inlineStr">
        <is>
          <t>GEÇTİ Kuralı</t>
        </is>
      </c>
      <c r="F3" s="241" t="inlineStr">
        <is>
          <t>Hata Durumu</t>
        </is>
      </c>
      <c r="G3" s="241" t="inlineStr">
        <is>
          <t>Sonraki Aşama</t>
        </is>
      </c>
    </row>
    <row r="4">
      <c r="A4" s="242" t="n">
        <v>1</v>
      </c>
      <c r="B4" s="238" t="inlineStr">
        <is>
          <t>Excel Uygunluğu</t>
        </is>
      </c>
      <c r="C4" s="238" t="inlineStr">
        <is>
          <t>Her yeni model</t>
        </is>
      </c>
      <c r="D4" s="238" t="inlineStr">
        <is>
          <t>UYGUNLUK_KARARI</t>
        </is>
      </c>
      <c r="E4" s="238" t="inlineStr">
        <is>
          <t>Excel'in rolü açık</t>
        </is>
      </c>
      <c r="F4" s="238" t="inlineStr">
        <is>
          <t>HATA / BLOKE</t>
        </is>
      </c>
      <c r="G4" s="238" t="inlineStr">
        <is>
          <t>Yönetişim</t>
        </is>
      </c>
    </row>
    <row r="5">
      <c r="A5" s="242" t="n">
        <v>2</v>
      </c>
      <c r="B5" s="238" t="inlineStr">
        <is>
          <t>Yönetişim</t>
        </is>
      </c>
      <c r="C5" s="238" t="inlineStr">
        <is>
          <t>Her model</t>
        </is>
      </c>
      <c r="D5" s="238" t="inlineStr">
        <is>
          <t>Risk seviyesi + etki girdileri</t>
        </is>
      </c>
      <c r="E5" s="238" t="inlineStr">
        <is>
          <t>Seviye hesaplandı</t>
        </is>
      </c>
      <c r="F5" s="238" t="inlineStr">
        <is>
          <t>BLOKE</t>
        </is>
      </c>
      <c r="G5" s="238" t="inlineStr">
        <is>
          <t>Sözleşmeler</t>
        </is>
      </c>
    </row>
    <row r="6">
      <c r="A6" s="242" t="n">
        <v>3</v>
      </c>
      <c r="B6" s="238" t="inlineStr">
        <is>
          <t>Türk Muhasebe Eşlemesi</t>
        </is>
      </c>
      <c r="C6" s="238" t="inlineStr">
        <is>
          <t>Finansal model</t>
        </is>
      </c>
      <c r="D6" s="238" t="inlineStr">
        <is>
          <t>THP hesap eşleme tablosu</t>
        </is>
      </c>
      <c r="E6" s="238" t="inlineStr">
        <is>
          <t>Kritik satırlar THP ile uyumlu</t>
        </is>
      </c>
      <c r="F6" s="238" t="inlineStr">
        <is>
          <t>HATA</t>
        </is>
      </c>
      <c r="G6" s="238" t="inlineStr">
        <is>
          <t>Sözleşmeler</t>
        </is>
      </c>
    </row>
    <row r="7">
      <c r="A7" s="242" t="n">
        <v>4</v>
      </c>
      <c r="B7" s="238" t="inlineStr">
        <is>
          <t>Veri ve Anlam Sözleşmeleri</t>
        </is>
      </c>
      <c r="C7" s="238" t="inlineStr">
        <is>
          <t>Girdi/KPI varsa</t>
        </is>
      </c>
      <c r="D7" s="238" t="inlineStr">
        <is>
          <t>Veri + KPI sözleşmeleri</t>
        </is>
      </c>
      <c r="E7" s="238" t="inlineStr">
        <is>
          <t>Kapsam %100</t>
        </is>
      </c>
      <c r="F7" s="238" t="inlineStr">
        <is>
          <t>HATA</t>
        </is>
      </c>
      <c r="G7" s="238" t="inlineStr">
        <is>
          <t>Üretim</t>
        </is>
      </c>
    </row>
    <row r="8">
      <c r="A8" s="242" t="n">
        <v>5</v>
      </c>
      <c r="B8" s="238" t="inlineStr">
        <is>
          <t>Üretim</t>
        </is>
      </c>
      <c r="C8" s="238" t="inlineStr">
        <is>
          <t>Sözleşmeler GEÇTİ</t>
        </is>
      </c>
      <c r="D8" s="238" t="inlineStr">
        <is>
          <t>Çalışan Excel</t>
        </is>
      </c>
      <c r="E8" s="238" t="inlineStr">
        <is>
          <t>Tek gerçek kaynak korunmuş</t>
        </is>
      </c>
      <c r="F8" s="238" t="inlineStr">
        <is>
          <t>HATA</t>
        </is>
      </c>
      <c r="G8" s="238" t="inlineStr">
        <is>
          <t>Testler</t>
        </is>
      </c>
    </row>
    <row r="9" ht="28" customHeight="1" s="68">
      <c r="A9" s="242" t="n">
        <v>6</v>
      </c>
      <c r="B9" s="238" t="inlineStr">
        <is>
          <t>Görsel/Kullanım Katmanı</t>
        </is>
      </c>
      <c r="C9" s="238" t="inlineStr">
        <is>
          <t>Motor hazır</t>
        </is>
      </c>
      <c r="D9" s="238" t="inlineStr">
        <is>
          <t>Başlıklar + renk + grafik + yönlendirme</t>
        </is>
      </c>
      <c r="E9" s="238" t="inlineStr">
        <is>
          <t>Tüm kullanıcı sayfaları standarda uygun</t>
        </is>
      </c>
      <c r="F9" s="238" t="inlineStr">
        <is>
          <t>HATA</t>
        </is>
      </c>
      <c r="G9" s="238" t="inlineStr">
        <is>
          <t>Testler</t>
        </is>
      </c>
    </row>
    <row r="10" ht="28" customHeight="1" s="68">
      <c r="A10" s="242" t="n">
        <v>7</v>
      </c>
      <c r="B10" s="238" t="inlineStr">
        <is>
          <t>Testler</t>
        </is>
      </c>
      <c r="C10" s="238" t="inlineStr">
        <is>
          <t>Üretim tamam</t>
        </is>
      </c>
      <c r="D10" s="238" t="inlineStr">
        <is>
          <t>Formül/OOXML/kimlik/oracle/golden/metamorfik</t>
        </is>
      </c>
      <c r="E10" s="238" t="inlineStr">
        <is>
          <t>Uygulanabilir hard gate'ler GEÇTİ</t>
        </is>
      </c>
      <c r="F10" s="238" t="inlineStr">
        <is>
          <t>HATA</t>
        </is>
      </c>
      <c r="G10" s="238" t="inlineStr">
        <is>
          <t>Kanıt</t>
        </is>
      </c>
    </row>
    <row r="11">
      <c r="A11" s="242" t="n">
        <v>8</v>
      </c>
      <c r="B11" s="238" t="inlineStr">
        <is>
          <t>Hata-Kontrol Tutarlılığı</t>
        </is>
      </c>
      <c r="C11" s="238" t="inlineStr">
        <is>
          <t>Test sonucu var</t>
        </is>
      </c>
      <c r="D11" s="238" t="inlineStr">
        <is>
          <t>Hata taraması + kontrol sonuçları</t>
        </is>
      </c>
      <c r="E11" s="238" t="inlineStr">
        <is>
          <t>Formül hatası varken GEÇTİ yok</t>
        </is>
      </c>
      <c r="F11" s="238" t="inlineStr">
        <is>
          <t>HATA</t>
        </is>
      </c>
      <c r="G11" s="238" t="inlineStr">
        <is>
          <t>Kanıt</t>
        </is>
      </c>
    </row>
    <row r="12">
      <c r="A12" s="242" t="n">
        <v>9</v>
      </c>
      <c r="B12" s="238" t="inlineStr">
        <is>
          <t>Kanıt</t>
        </is>
      </c>
      <c r="C12" s="238" t="inlineStr">
        <is>
          <t>Test sonucu var</t>
        </is>
      </c>
      <c r="D12" s="238" t="inlineStr">
        <is>
          <t>Makine okunur artefakt + özet</t>
        </is>
      </c>
      <c r="E12" s="238" t="inlineStr">
        <is>
          <t>Kanıt fiziksel ve tutarlı</t>
        </is>
      </c>
      <c r="F12" s="238" t="inlineStr">
        <is>
          <t>HATA</t>
        </is>
      </c>
      <c r="G12" s="238" t="inlineStr">
        <is>
          <t>Kullanıcı Kabulü</t>
        </is>
      </c>
    </row>
    <row r="13">
      <c r="A13" s="242" t="n">
        <v>10</v>
      </c>
      <c r="B13" s="238" t="inlineStr">
        <is>
          <t>Kullanıcı Kabulü</t>
        </is>
      </c>
      <c r="C13" s="238" t="inlineStr">
        <is>
          <t>Kritik görevler</t>
        </is>
      </c>
      <c r="D13" s="238" t="inlineStr">
        <is>
          <t>Gerçek ekran davranışı</t>
        </is>
      </c>
      <c r="E13" s="238" t="inlineStr">
        <is>
          <t>Kritik görevler %100</t>
        </is>
      </c>
      <c r="F13" s="238" t="inlineStr">
        <is>
          <t>DIŞ_KABUL_GEREKLİ</t>
        </is>
      </c>
      <c r="G13" s="238" t="inlineStr">
        <is>
          <t>Ticari</t>
        </is>
      </c>
    </row>
    <row r="14">
      <c r="A14" s="242" t="n">
        <v>11</v>
      </c>
      <c r="B14" s="238" t="inlineStr">
        <is>
          <t>Ticari Değer</t>
        </is>
      </c>
      <c r="C14" s="238" t="inlineStr">
        <is>
          <t>Ürün satılacaksa</t>
        </is>
      </c>
      <c r="D14" s="238" t="inlineStr">
        <is>
          <t>ROI + demo + kanıt paketi</t>
        </is>
      </c>
      <c r="E14" s="238" t="inlineStr">
        <is>
          <t>Ekonomik değer kanıtlı</t>
        </is>
      </c>
      <c r="F14" s="238" t="inlineStr">
        <is>
          <t>UYARI / HATA</t>
        </is>
      </c>
      <c r="G14" s="238" t="inlineStr">
        <is>
          <t>Pazar Doğrulama</t>
        </is>
      </c>
    </row>
    <row r="15">
      <c r="A15" s="242" t="n">
        <v>12</v>
      </c>
      <c r="B15" s="238" t="inlineStr">
        <is>
          <t>Pazar Doğrulama</t>
        </is>
      </c>
      <c r="C15" s="238" t="inlineStr">
        <is>
          <t>Pazar iddiası varsa</t>
        </is>
      </c>
      <c r="D15" s="238" t="inlineStr">
        <is>
          <t>Ücretli satış/pilot/fiyat kabul kanıtı</t>
        </is>
      </c>
      <c r="E15" s="238" t="inlineStr">
        <is>
          <t>Gerçek fiyat kabul kanıtı</t>
        </is>
      </c>
      <c r="F15" s="238" t="inlineStr">
        <is>
          <t>UYGULANMAZ / HATA</t>
        </is>
      </c>
      <c r="G15" s="238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68" min="1" max="1"/>
    <col width="52" customWidth="1" style="68" min="2" max="2"/>
    <col width="34" customWidth="1" style="68" min="3" max="3"/>
    <col width="16" customWidth="1" style="68" min="4" max="4"/>
  </cols>
  <sheetData>
    <row r="1" ht="28" customHeight="1" s="68">
      <c r="A1" s="243" t="inlineStr">
        <is>
          <t>NİHAİ KONTROL LİSTESİ — KANITSIZ GEÇİŞ YOK</t>
        </is>
      </c>
    </row>
    <row r="3" ht="24" customHeight="1" s="68">
      <c r="A3" s="244" t="inlineStr">
        <is>
          <t>Kontrol No</t>
        </is>
      </c>
      <c r="B3" s="244" t="inlineStr">
        <is>
          <t>Kontrol</t>
        </is>
      </c>
      <c r="C3" s="244" t="inlineStr">
        <is>
          <t>Beklenen</t>
        </is>
      </c>
      <c r="D3" s="244" t="inlineStr">
        <is>
          <t>Zorunlu Kapı?</t>
        </is>
      </c>
      <c r="E3" s="244" t="inlineStr">
        <is>
          <t>Sonuç</t>
        </is>
      </c>
    </row>
    <row r="4">
      <c r="A4" s="245" t="inlineStr">
        <is>
          <t>K01</t>
        </is>
      </c>
      <c r="B4" s="238" t="inlineStr">
        <is>
          <t>Kullanıcının açık talebi öncelikli mi?</t>
        </is>
      </c>
      <c r="C4" s="238" t="inlineStr">
        <is>
          <t>Evet</t>
        </is>
      </c>
      <c r="D4" s="238" t="inlineStr">
        <is>
          <t>EVET</t>
        </is>
      </c>
    </row>
    <row r="5">
      <c r="A5" s="245" t="inlineStr">
        <is>
          <t>K02</t>
        </is>
      </c>
      <c r="B5" s="238" t="inlineStr">
        <is>
          <t>Mevcut yapı, formüller ve tek gerçek kaynak korunuyor mu?</t>
        </is>
      </c>
      <c r="C5" s="238" t="inlineStr">
        <is>
          <t>Evet, değişiklik gerekçeli</t>
        </is>
      </c>
      <c r="D5" s="238" t="inlineStr">
        <is>
          <t>EVET</t>
        </is>
      </c>
    </row>
    <row r="6">
      <c r="A6" s="245" t="inlineStr">
        <is>
          <t>K03</t>
        </is>
      </c>
      <c r="B6" s="238" t="inlineStr">
        <is>
          <t>Üst aşama HATA ise alt aşama GEÇTİ engelleniyor mu?</t>
        </is>
      </c>
      <c r="C6" s="238" t="inlineStr">
        <is>
          <t>Evet</t>
        </is>
      </c>
      <c r="D6" s="238" t="inlineStr">
        <is>
          <t>EVET</t>
        </is>
      </c>
    </row>
    <row r="7">
      <c r="A7" s="245" t="inlineStr">
        <is>
          <t>K04</t>
        </is>
      </c>
      <c r="B7" s="238" t="inlineStr">
        <is>
          <t>Kanıt fiziksel çıktı ve içerik doğrulaması içeriyor mu?</t>
        </is>
      </c>
      <c r="C7" s="238" t="inlineStr">
        <is>
          <t>Evet</t>
        </is>
      </c>
      <c r="D7" s="238" t="inlineStr">
        <is>
          <t>EVET</t>
        </is>
      </c>
    </row>
    <row r="8">
      <c r="A8" s="245" t="inlineStr">
        <is>
          <t>K05</t>
        </is>
      </c>
      <c r="B8" s="238" t="inlineStr">
        <is>
          <t>Excel GUI erişimi olmadan kullanıcı görünümü GEÇTİ yazılıyor mu?</t>
        </is>
      </c>
      <c r="C8" s="238" t="inlineStr">
        <is>
          <t>Hayır</t>
        </is>
      </c>
      <c r="D8" s="238" t="inlineStr">
        <is>
          <t>EVET</t>
        </is>
      </c>
    </row>
    <row r="9">
      <c r="A9" s="245" t="inlineStr">
        <is>
          <t>K06</t>
        </is>
      </c>
      <c r="B9" s="238" t="inlineStr">
        <is>
          <t>NİHAİ yalnız GEÇTİ / gerekçeli UYGULANMAZ ile mi?</t>
        </is>
      </c>
      <c r="C9" s="238" t="inlineStr">
        <is>
          <t>Evet</t>
        </is>
      </c>
      <c r="D9" s="238" t="inlineStr">
        <is>
          <t>EVET</t>
        </is>
      </c>
    </row>
    <row r="10">
      <c r="A10" s="245" t="inlineStr">
        <is>
          <t>K07</t>
        </is>
      </c>
      <c r="B10" s="238" t="inlineStr">
        <is>
          <t>Ekonomik fiyat savunusu pazar doğrulamasından ayrılmış mı?</t>
        </is>
      </c>
      <c r="C10" s="238" t="inlineStr">
        <is>
          <t>Evet</t>
        </is>
      </c>
      <c r="D10" s="238" t="inlineStr">
        <is>
          <t>EVET</t>
        </is>
      </c>
    </row>
    <row r="11">
      <c r="A11" s="245" t="inlineStr">
        <is>
          <t>K08</t>
        </is>
      </c>
      <c r="B11" s="238" t="inlineStr">
        <is>
          <t>Prestij için gereksiz modül var mı?</t>
        </is>
      </c>
      <c r="C11" s="238" t="inlineStr">
        <is>
          <t>Hayır</t>
        </is>
      </c>
      <c r="D11" s="238" t="inlineStr">
        <is>
          <t>HAYIR</t>
        </is>
      </c>
    </row>
    <row r="12">
      <c r="A12" s="245" t="inlineStr">
        <is>
          <t>K09</t>
        </is>
      </c>
      <c r="B12" s="238" t="inlineStr">
        <is>
          <t>Excel sınırları açık mı?</t>
        </is>
      </c>
      <c r="C12" s="238" t="inlineStr">
        <is>
          <t>Evet</t>
        </is>
      </c>
      <c r="D12" s="238" t="inlineStr">
        <is>
          <t>EVET</t>
        </is>
      </c>
    </row>
    <row r="13">
      <c r="A13" s="245" t="inlineStr">
        <is>
          <t>K10</t>
        </is>
      </c>
      <c r="B13" s="238" t="inlineStr">
        <is>
          <t>Teknik kaynak korunuyor mu?</t>
        </is>
      </c>
      <c r="C13" s="238" t="inlineStr">
        <is>
          <t>Evet</t>
        </is>
      </c>
      <c r="D13" s="238" t="inlineStr">
        <is>
          <t>EVET</t>
        </is>
      </c>
    </row>
    <row r="14">
      <c r="A14" s="245" t="inlineStr">
        <is>
          <t>K11</t>
        </is>
      </c>
      <c r="B14" s="238" t="inlineStr">
        <is>
          <t>Kullanıcıya görünen tüm metinler Türkçe mi?</t>
        </is>
      </c>
      <c r="C14" s="238" t="inlineStr">
        <is>
          <t>Evet</t>
        </is>
      </c>
      <c r="D14" s="238" t="inlineStr">
        <is>
          <t>EVET</t>
        </is>
      </c>
    </row>
    <row r="15">
      <c r="A15" s="245" t="inlineStr">
        <is>
          <t>K12</t>
        </is>
      </c>
      <c r="B15" s="238" t="inlineStr">
        <is>
          <t>Her kullanıcı sayfasında üst başlık var mı?</t>
        </is>
      </c>
      <c r="C15" s="238" t="inlineStr">
        <is>
          <t>Evet</t>
        </is>
      </c>
      <c r="D15" s="238" t="inlineStr">
        <is>
          <t>EVET</t>
        </is>
      </c>
    </row>
    <row r="16">
      <c r="A16" s="245" t="inlineStr">
        <is>
          <t>K13</t>
        </is>
      </c>
      <c r="B16" s="238" t="inlineStr">
        <is>
          <t>Sayfalar arasında tutarlı renk sistemi var mı?</t>
        </is>
      </c>
      <c r="C16" s="238" t="inlineStr">
        <is>
          <t>Evet</t>
        </is>
      </c>
      <c r="D16" s="238" t="inlineStr">
        <is>
          <t>EVET</t>
        </is>
      </c>
    </row>
    <row r="17">
      <c r="A17" s="245" t="inlineStr">
        <is>
          <t>K14</t>
        </is>
      </c>
      <c r="B17" s="238" t="inlineStr">
        <is>
          <t>Alt sayfa sekmeleri işlevine göre renklendirilmiş mi?</t>
        </is>
      </c>
      <c r="C17" s="238" t="inlineStr">
        <is>
          <t>Evet</t>
        </is>
      </c>
      <c r="D17" s="238" t="inlineStr">
        <is>
          <t>EVET</t>
        </is>
      </c>
    </row>
    <row r="18">
      <c r="A18" s="245" t="inlineStr">
        <is>
          <t>K15</t>
        </is>
      </c>
      <c r="B18" s="238" t="inlineStr">
        <is>
          <t>İçerik blokları arasında gereksiz boş kolon var mı?</t>
        </is>
      </c>
      <c r="C18" s="238" t="inlineStr">
        <is>
          <t>Hayır</t>
        </is>
      </c>
      <c r="D18" s="238" t="inlineStr">
        <is>
          <t>EVET</t>
        </is>
      </c>
    </row>
    <row r="19">
      <c r="A19" s="245" t="inlineStr">
        <is>
          <t>K16</t>
        </is>
      </c>
      <c r="B19" s="238" t="inlineStr">
        <is>
          <t>Grafikler premium ve karar odaklı mı?</t>
        </is>
      </c>
      <c r="C19" s="238" t="inlineStr">
        <is>
          <t>Evet</t>
        </is>
      </c>
      <c r="D19" s="238" t="inlineStr">
        <is>
          <t>EVET</t>
        </is>
      </c>
    </row>
    <row r="20">
      <c r="A20" s="245" t="inlineStr">
        <is>
          <t>K17</t>
        </is>
      </c>
      <c r="B20" s="238" t="inlineStr">
        <is>
          <t>Varsayılan Excel grafiği / 3B / dekoratif grafik var mı?</t>
        </is>
      </c>
      <c r="C20" s="238" t="inlineStr">
        <is>
          <t>Hayır</t>
        </is>
      </c>
      <c r="D20" s="238" t="inlineStr">
        <is>
          <t>EVET</t>
        </is>
      </c>
    </row>
    <row r="21">
      <c r="A21" s="245" t="inlineStr">
        <is>
          <t>K18</t>
        </is>
      </c>
      <c r="B21" s="238" t="inlineStr">
        <is>
          <t>Finansal ürün Türkiye Tekdüzen Hesap Planı ile eşleşiyor mu?</t>
        </is>
      </c>
      <c r="C21" s="238" t="inlineStr">
        <is>
          <t>Evet</t>
        </is>
      </c>
      <c r="D21" s="238" t="inlineStr">
        <is>
          <t>EVET</t>
        </is>
      </c>
    </row>
    <row r="22">
      <c r="A22" s="245" t="inlineStr">
        <is>
          <t>K19</t>
        </is>
      </c>
      <c r="B22" s="238" t="inlineStr">
        <is>
          <t>Muhasebe satır adları Türkiye kullanımına uygun mu?</t>
        </is>
      </c>
      <c r="C22" s="238" t="inlineStr">
        <is>
          <t>Evet</t>
        </is>
      </c>
      <c r="D22" s="238" t="inlineStr">
        <is>
          <t>EVET</t>
        </is>
      </c>
    </row>
    <row r="23">
      <c r="A23" s="245" t="inlineStr">
        <is>
          <t>K20</t>
        </is>
      </c>
      <c r="B23" s="238" t="inlineStr">
        <is>
          <t>Formül hatası varken herhangi bir kontrol GEÇTİ gösteriyor mu?</t>
        </is>
      </c>
      <c r="C23" s="238" t="inlineStr">
        <is>
          <t>Hayır</t>
        </is>
      </c>
      <c r="D23" s="238" t="inlineStr">
        <is>
          <t>EVET</t>
        </is>
      </c>
    </row>
    <row r="24">
      <c r="A24" s="245" t="inlineStr">
        <is>
          <t>K21</t>
        </is>
      </c>
      <c r="B24" s="238" t="inlineStr">
        <is>
          <t>Karar Motoru boş veya yalnız başlık düzeyinde mi?</t>
        </is>
      </c>
      <c r="C24" s="238" t="inlineStr">
        <is>
          <t>Hayır</t>
        </is>
      </c>
      <c r="D24" s="238" t="inlineStr">
        <is>
          <t>EVET</t>
        </is>
      </c>
    </row>
    <row r="25">
      <c r="A25" s="245" t="inlineStr">
        <is>
          <t>K22</t>
        </is>
      </c>
      <c r="B25" s="238" t="inlineStr">
        <is>
          <t>Senaryo/Stres modülü gerçekten sonuç değiştiriyor mu?</t>
        </is>
      </c>
      <c r="C25" s="238" t="inlineStr">
        <is>
          <t>Evet</t>
        </is>
      </c>
      <c r="D25" s="238" t="inlineStr">
        <is>
          <t>EVET</t>
        </is>
      </c>
    </row>
    <row r="26">
      <c r="A26" s="245" t="inlineStr">
        <is>
          <t>K23</t>
        </is>
      </c>
      <c r="B26" s="238" t="inlineStr">
        <is>
          <t>Oracle/bağımsız doğrulama gerçek veri üretiyor mu?</t>
        </is>
      </c>
      <c r="C26" s="238" t="inlineStr">
        <is>
          <t>Evet veya gerekçeli UYGULANMAZ</t>
        </is>
      </c>
      <c r="D26" s="238" t="inlineStr">
        <is>
          <t>EVET</t>
        </is>
      </c>
    </row>
    <row r="27">
      <c r="A27" s="245" t="inlineStr">
        <is>
          <t>K24</t>
        </is>
      </c>
      <c r="B27" s="238" t="inlineStr">
        <is>
          <t>Yönetici ekranı 5 saniyede sorunu ve aksiyonu anlatıyor mu?</t>
        </is>
      </c>
      <c r="C27" s="238" t="inlineStr">
        <is>
          <t>Evet</t>
        </is>
      </c>
      <c r="D27" s="238" t="inlineStr">
        <is>
          <t>EVET</t>
        </is>
      </c>
    </row>
    <row r="28">
      <c r="A28" s="245" t="inlineStr">
        <is>
          <t>K25</t>
        </is>
      </c>
      <c r="B28" s="238" t="inlineStr">
        <is>
          <t>Her kritik kararın parasal etkisi ve önerilen aksiyonu var mı?</t>
        </is>
      </c>
      <c r="C28" s="238" t="inlineStr">
        <is>
          <t>Evet</t>
        </is>
      </c>
      <c r="D28" s="238" t="inlineStr">
        <is>
          <t>EVET</t>
        </is>
      </c>
    </row>
    <row r="29">
      <c r="A29" s="245" t="inlineStr">
        <is>
          <t>K26</t>
        </is>
      </c>
      <c r="B29" s="238" t="inlineStr">
        <is>
          <t>Ürün sayfası/ürün içi demo satın alma gerekçesini kanıtlıyor mu?</t>
        </is>
      </c>
      <c r="C29" s="238" t="inlineStr">
        <is>
          <t>Evet</t>
        </is>
      </c>
      <c r="D29" s="238" t="inlineStr">
        <is>
          <t>EVET</t>
        </is>
      </c>
    </row>
    <row r="30" ht="30" customHeight="1" s="68">
      <c r="A30" s="246" t="inlineStr">
        <is>
          <t>K27</t>
        </is>
      </c>
      <c r="B30" s="247" t="inlineStr">
        <is>
          <t>Buton görünümü verilen tüm alanlar gerçekten tıklanabilir ve doğru hedefe gidiyor mu?</t>
        </is>
      </c>
      <c r="C30" s="247" t="inlineStr">
        <is>
          <t>Evet</t>
        </is>
      </c>
      <c r="D30" s="238" t="inlineStr">
        <is>
          <t>EVET</t>
        </is>
      </c>
    </row>
    <row r="31" ht="30" customHeight="1" s="68">
      <c r="A31" s="246" t="inlineStr">
        <is>
          <t>K28</t>
        </is>
      </c>
      <c r="B31" s="247" t="inlineStr">
        <is>
          <t>Tüm görünür kullanıcı sheet tabları kurumsal kategori rengi taşıyor mu?</t>
        </is>
      </c>
      <c r="C31" s="247" t="inlineStr">
        <is>
          <t>Evet</t>
        </is>
      </c>
      <c r="D31" s="238" t="inlineStr">
        <is>
          <t>EVET</t>
        </is>
      </c>
    </row>
    <row r="32" ht="16" customHeight="1" s="68">
      <c r="A32" s="246" t="inlineStr">
        <is>
          <t>K29</t>
        </is>
      </c>
      <c r="B32" s="247" t="inlineStr">
        <is>
          <t>Sheet sırası tanımlı kullanıcı iş akışıyla birebir aynı mı?</t>
        </is>
      </c>
      <c r="C32" s="247" t="inlineStr">
        <is>
          <t>Evet</t>
        </is>
      </c>
      <c r="D32" s="238" t="inlineStr">
        <is>
          <t>EVET</t>
        </is>
      </c>
    </row>
    <row r="33" ht="30" customHeight="1" s="68">
      <c r="A33" s="246" t="inlineStr">
        <is>
          <t>K30</t>
        </is>
      </c>
      <c r="B33" s="247" t="inlineStr">
        <is>
          <t>Kurumsal renk paleti tutarlı mı; rastgele/gökkuşağı renk kullanımı var mı?</t>
        </is>
      </c>
      <c r="C33" s="247" t="inlineStr">
        <is>
          <t>Evet / Hayır</t>
        </is>
      </c>
      <c r="D33" s="238" t="inlineStr">
        <is>
          <t>EVET</t>
        </is>
      </c>
    </row>
    <row r="34" ht="30" customHeight="1" s="68">
      <c r="A34" s="246" t="inlineStr">
        <is>
          <t>K31</t>
        </is>
      </c>
      <c r="B34" s="247" t="inlineStr">
        <is>
          <t>Premium vitrin, altyapı kadar güçlü ve satış fiyatını destekleyecek seviyede mi?</t>
        </is>
      </c>
      <c r="C34" s="247" t="inlineStr">
        <is>
          <t>Evet</t>
        </is>
      </c>
      <c r="D34" s="238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68" min="1" max="1"/>
    <col width="36" customWidth="1" style="68" min="2" max="2"/>
    <col width="48" customWidth="1" style="68" min="3" max="3"/>
    <col width="34" customWidth="1" style="68" min="4" max="4"/>
    <col width="30" customWidth="1" style="68" min="5" max="5"/>
    <col width="16" customWidth="1" style="68" min="6" max="6"/>
  </cols>
  <sheetData>
    <row r="1" ht="28" customHeight="1" s="68">
      <c r="A1" s="248" t="inlineStr">
        <is>
          <t>GÖRSEL TASARIM VE PREMIUM EXCEL STANDARDI</t>
        </is>
      </c>
    </row>
    <row r="3" ht="24" customHeight="1" s="68">
      <c r="A3" s="249" t="inlineStr">
        <is>
          <t>Alan</t>
        </is>
      </c>
      <c r="B3" s="249" t="inlineStr">
        <is>
          <t>Zorunlu Kural</t>
        </is>
      </c>
      <c r="C3" s="249" t="inlineStr">
        <is>
          <t>Uygulama</t>
        </is>
      </c>
      <c r="D3" s="249" t="inlineStr">
        <is>
          <t>Yasak</t>
        </is>
      </c>
      <c r="E3" s="249" t="inlineStr">
        <is>
          <t>Kontrol</t>
        </is>
      </c>
      <c r="F3" s="249" t="inlineStr">
        <is>
          <t>Durum</t>
        </is>
      </c>
    </row>
    <row r="4" ht="28" customHeight="1" s="68">
      <c r="A4" s="250" t="inlineStr">
        <is>
          <t>Sayfa başlığı</t>
        </is>
      </c>
      <c r="B4" s="238" t="inlineStr">
        <is>
          <t>Her kullanıcı sayfasının en üstünde tek ve açık sayfa başlığı</t>
        </is>
      </c>
      <c r="C4" s="238" t="inlineStr">
        <is>
          <t>A1'den başlayan koyu lacivert başlık bandı</t>
        </is>
      </c>
      <c r="D4" s="238" t="inlineStr">
        <is>
          <t>Başlıksız sayfa</t>
        </is>
      </c>
      <c r="E4" s="238" t="inlineStr">
        <is>
          <t>Başlık kapsama = %100</t>
        </is>
      </c>
      <c r="F4" s="251" t="inlineStr">
        <is>
          <t>ZORUNLU</t>
        </is>
      </c>
    </row>
    <row r="5" ht="28" customHeight="1" s="68">
      <c r="A5" s="250" t="inlineStr">
        <is>
          <t>Sekme renkleri</t>
        </is>
      </c>
      <c r="B5" s="238" t="inlineStr">
        <is>
          <t>Sayfalar işlevine göre renk kodlanır</t>
        </is>
      </c>
      <c r="C5" s="238" t="inlineStr">
        <is>
          <t>Girdi=mavi, hesap=gri, rapor=lacivert, kontrol=kırmızı, kılavuz=altın</t>
        </is>
      </c>
      <c r="D5" s="238" t="inlineStr">
        <is>
          <t>Rastgele renk</t>
        </is>
      </c>
      <c r="E5" s="238" t="inlineStr">
        <is>
          <t>Renk semantiği tutarlı</t>
        </is>
      </c>
      <c r="F5" s="251" t="inlineStr">
        <is>
          <t>ZORUNLU</t>
        </is>
      </c>
    </row>
    <row r="6" ht="28" customHeight="1" s="68">
      <c r="A6" s="250" t="inlineStr">
        <is>
          <t>Kolon düzeni</t>
        </is>
      </c>
      <c r="B6" s="238" t="inlineStr">
        <is>
          <t>Veri blokları bitişik kolonlarda ilerler</t>
        </is>
      </c>
      <c r="C6" s="238" t="inlineStr">
        <is>
          <t>Gereksiz boş kolon bırakma; yalnız gerçek bölüm ayrımı varsa kontrollü boşluk</t>
        </is>
      </c>
      <c r="D6" s="238" t="inlineStr">
        <is>
          <t>A:C veri, D boş, E:F veri gibi parçalı yapı</t>
        </is>
      </c>
      <c r="E6" s="238" t="inlineStr">
        <is>
          <t>Boş kolon taraması</t>
        </is>
      </c>
      <c r="F6" s="251" t="inlineStr">
        <is>
          <t>ZORUNLU</t>
        </is>
      </c>
    </row>
    <row r="7" ht="16" customHeight="1" s="68">
      <c r="A7" s="250" t="inlineStr">
        <is>
          <t>Girdi hücreleri</t>
        </is>
      </c>
      <c r="B7" s="238" t="inlineStr">
        <is>
          <t>Kullanıcının değiştireceği alan açıkça görünür</t>
        </is>
      </c>
      <c r="C7" s="238" t="inlineStr">
        <is>
          <t>Açık sarı dolgu + mavi yazı</t>
        </is>
      </c>
      <c r="D7" s="238" t="inlineStr">
        <is>
          <t>Formülle aynı görünüm</t>
        </is>
      </c>
      <c r="E7" s="238" t="inlineStr">
        <is>
          <t>Girdi/formül ayrımı</t>
        </is>
      </c>
      <c r="F7" s="251" t="inlineStr">
        <is>
          <t>ZORUNLU</t>
        </is>
      </c>
    </row>
    <row r="8" ht="16" customHeight="1" s="68">
      <c r="A8" s="250" t="inlineStr">
        <is>
          <t>Formüller</t>
        </is>
      </c>
      <c r="B8" s="238" t="inlineStr">
        <is>
          <t>Hesap hücreleri kullanıcı girdisinden ayrılır</t>
        </is>
      </c>
      <c r="C8" s="238" t="inlineStr">
        <is>
          <t>Siyah yazı; sayfalar arası bağlantı yeşil yazı</t>
        </is>
      </c>
      <c r="D8" s="238" t="inlineStr">
        <is>
          <t>Hard-code gizleme</t>
        </is>
      </c>
      <c r="E8" s="238" t="inlineStr">
        <is>
          <t>Formül sınıfı kontrolü</t>
        </is>
      </c>
      <c r="F8" s="251" t="inlineStr">
        <is>
          <t>ZORUNLU</t>
        </is>
      </c>
    </row>
    <row r="9" ht="16" customHeight="1" s="68">
      <c r="A9" s="250" t="inlineStr">
        <is>
          <t>Grafik sayısı</t>
        </is>
      </c>
      <c r="B9" s="238" t="inlineStr">
        <is>
          <t>Yönetici ekranında en fazla 3 ana karar grafiği</t>
        </is>
      </c>
      <c r="C9" s="238" t="inlineStr">
        <is>
          <t>Trend, karşılaştırma, köprü/dağılım; iş kararına bağlı</t>
        </is>
      </c>
      <c r="D9" s="238" t="inlineStr">
        <is>
          <t>Grafik kalabalığı</t>
        </is>
      </c>
      <c r="E9" s="238" t="inlineStr">
        <is>
          <t>Grafik başına karar sorusu</t>
        </is>
      </c>
      <c r="F9" s="251" t="inlineStr">
        <is>
          <t>ZORUNLU</t>
        </is>
      </c>
    </row>
    <row r="10" ht="16" customHeight="1" s="68">
      <c r="A10" s="250" t="inlineStr">
        <is>
          <t>Grafik stili</t>
        </is>
      </c>
      <c r="B10" s="238" t="inlineStr">
        <is>
          <t>Kurumsal ve yüksek okunabilirlik</t>
        </is>
      </c>
      <c r="C10" s="238" t="inlineStr">
        <is>
          <t>Beyaz zemin, ince gridline, tek vurgu rengi, açık birim/başlık</t>
        </is>
      </c>
      <c r="D10" s="238" t="inlineStr">
        <is>
          <t>3B, gölge, neon, gökkuşağı renkleri</t>
        </is>
      </c>
      <c r="E10" s="238" t="inlineStr">
        <is>
          <t>Görsel inceleme</t>
        </is>
      </c>
      <c r="F10" s="251" t="inlineStr">
        <is>
          <t>ZORUNLU</t>
        </is>
      </c>
    </row>
    <row r="11" ht="16" customHeight="1" s="68">
      <c r="A11" s="250" t="inlineStr">
        <is>
          <t>Grafik başlığı</t>
        </is>
      </c>
      <c r="B11" s="238" t="inlineStr">
        <is>
          <t>Grafik 'neyi' değil 'ne anlama geldiğini' söyler</t>
        </is>
      </c>
      <c r="C11" s="238" t="inlineStr">
        <is>
          <t>Örn: 'Nakit 2028'de kritik eşiğin altına iniyor'</t>
        </is>
      </c>
      <c r="D11" s="238" t="inlineStr">
        <is>
          <t>'Nakit Grafiği' gibi anlamsız başlık</t>
        </is>
      </c>
      <c r="E11" s="238" t="inlineStr">
        <is>
          <t>Başlık karar testi</t>
        </is>
      </c>
      <c r="F11" s="251" t="inlineStr">
        <is>
          <t>ZORUNLU</t>
        </is>
      </c>
    </row>
    <row r="12" ht="16" customHeight="1" s="68">
      <c r="A12" s="250" t="inlineStr">
        <is>
          <t>Birimler</t>
        </is>
      </c>
      <c r="B12" s="238" t="inlineStr">
        <is>
          <t>Tüm finansal görsellerde birim açık</t>
        </is>
      </c>
      <c r="C12" s="238" t="inlineStr">
        <is>
          <t>TL, bin TL, milyon TL, %, gün, x</t>
        </is>
      </c>
      <c r="D12" s="238" t="inlineStr">
        <is>
          <t>Birim belirsizliği</t>
        </is>
      </c>
      <c r="E12" s="238" t="inlineStr">
        <is>
          <t>Birim kapsama %100</t>
        </is>
      </c>
      <c r="F12" s="251" t="inlineStr">
        <is>
          <t>ZORUNLU</t>
        </is>
      </c>
    </row>
    <row r="13" ht="16" customHeight="1" s="68">
      <c r="A13" s="250" t="inlineStr">
        <is>
          <t>Sıfır/negatif</t>
        </is>
      </c>
      <c r="B13" s="238" t="inlineStr">
        <is>
          <t>Finansal format standardı</t>
        </is>
      </c>
      <c r="C13" s="238" t="inlineStr">
        <is>
          <t>Sıfır='-', negatif kırmızı parantez</t>
        </is>
      </c>
      <c r="D13" s="238" t="inlineStr">
        <is>
          <t>-500 veya 0,00 kalabalığı</t>
        </is>
      </c>
      <c r="E13" s="238" t="inlineStr">
        <is>
          <t>Format kontrolü</t>
        </is>
      </c>
      <c r="F13" s="251" t="inlineStr">
        <is>
          <t>ZORUNLU</t>
        </is>
      </c>
    </row>
    <row r="14" ht="16" customHeight="1" s="68">
      <c r="A14" s="250" t="inlineStr">
        <is>
          <t>Yazı tipi</t>
        </is>
      </c>
      <c r="B14" s="238" t="inlineStr">
        <is>
          <t>Tek aile</t>
        </is>
      </c>
      <c r="C14" s="238" t="inlineStr">
        <is>
          <t>Aptos veya Segoe UI</t>
        </is>
      </c>
      <c r="D14" s="238" t="inlineStr">
        <is>
          <t>Karışık font</t>
        </is>
      </c>
      <c r="E14" s="238" t="inlineStr">
        <is>
          <t>Tek font kontrolü</t>
        </is>
      </c>
      <c r="F14" s="251" t="inlineStr">
        <is>
          <t>ZORUNLU</t>
        </is>
      </c>
    </row>
    <row r="15" ht="16" customHeight="1" s="68">
      <c r="A15" s="250" t="inlineStr">
        <is>
          <t>Izgara</t>
        </is>
      </c>
      <c r="B15" s="238" t="inlineStr">
        <is>
          <t>Kullanıcı sayfalarında kapalı</t>
        </is>
      </c>
      <c r="C15" s="238" t="inlineStr">
        <is>
          <t>Bölüm çizgileri ve kart sınırlarıyla düzen</t>
        </is>
      </c>
      <c r="D15" s="238" t="inlineStr">
        <is>
          <t>Excel varsayılan gridline</t>
        </is>
      </c>
      <c r="E15" s="238" t="inlineStr">
        <is>
          <t>Gridline kontrolü</t>
        </is>
      </c>
      <c r="F15" s="251" t="inlineStr">
        <is>
          <t>ZORUNLU</t>
        </is>
      </c>
    </row>
    <row r="16" ht="16" customHeight="1" s="68">
      <c r="A16" s="250" t="inlineStr">
        <is>
          <t>Boş durum</t>
        </is>
      </c>
      <c r="B16" s="238" t="inlineStr">
        <is>
          <t>Veri yokken temiz ve anlaşılır</t>
        </is>
      </c>
      <c r="C16" s="238" t="inlineStr">
        <is>
          <t>'Henüz veri yok' / 'Girdi bekleniyor'</t>
        </is>
      </c>
      <c r="D16" s="238" t="inlineStr">
        <is>
          <t>0 yığını / hata kodu</t>
        </is>
      </c>
      <c r="E16" s="238" t="inlineStr">
        <is>
          <t>Boş veri testi</t>
        </is>
      </c>
      <c r="F16" s="251" t="inlineStr">
        <is>
          <t>ZORUNLU</t>
        </is>
      </c>
    </row>
    <row r="17" ht="28" customHeight="1" s="68">
      <c r="A17" s="250" t="inlineStr">
        <is>
          <t>Başlangıç deneyimi</t>
        </is>
      </c>
      <c r="B17" s="238" t="inlineStr">
        <is>
          <t>İlk 5 saniyede ne gireceği ve neye bakacağı anlaşılır</t>
        </is>
      </c>
      <c r="C17" s="238" t="inlineStr">
        <is>
          <t>Girdi → durum → aksiyon akışı</t>
        </is>
      </c>
      <c r="D17" s="238" t="inlineStr">
        <is>
          <t>Kılavuz aramaya zorlama</t>
        </is>
      </c>
      <c r="E17" s="238" t="inlineStr">
        <is>
          <t>5 saniye testi</t>
        </is>
      </c>
      <c r="F17" s="251" t="inlineStr">
        <is>
          <t>ZORUNLU</t>
        </is>
      </c>
    </row>
    <row r="18" ht="30" customHeight="1" s="68">
      <c r="A18" s="246" t="inlineStr">
        <is>
          <t>Buton standardı</t>
        </is>
      </c>
      <c r="B18" s="247" t="inlineStr">
        <is>
          <t>Buton görünümü verilen her alan gerçek işlev taşır</t>
        </is>
      </c>
      <c r="C18" s="247" t="inlineStr">
        <is>
          <t>Sayfa içi HYPERLINK / gerçek aksiyon; tıklanınca hedefe gider</t>
        </is>
      </c>
      <c r="D18" s="247" t="inlineStr">
        <is>
          <t>İşlevsiz dekoratif buton / sahte navigasyon</t>
        </is>
      </c>
      <c r="E18" s="247" t="inlineStr">
        <is>
          <t>Butonların %100'ü tıklanabilir ve hedefi doğru</t>
        </is>
      </c>
      <c r="F18" s="251" t="inlineStr">
        <is>
          <t>ZORUNLU</t>
        </is>
      </c>
    </row>
    <row r="19" ht="32" customHeight="1" s="68">
      <c r="A19" s="246" t="inlineStr">
        <is>
          <t>Native sayfa sekmesi rengi</t>
        </is>
      </c>
      <c r="B19" s="247" t="inlineStr">
        <is>
          <t>Excel alt sheet tabları kurumsal paletle renklendirilir</t>
        </is>
      </c>
      <c r="C19" s="247" t="inlineStr">
        <is>
          <t>Başlangıç/özet=lacivert; girdiler=mavi; hesap/finans=teal; karar/kontrol=burgundy; doküman=gri</t>
        </is>
      </c>
      <c r="D19" s="247" t="inlineStr">
        <is>
          <t>Renksiz sekmeler veya rastgele/gökkuşağı renkleri</t>
        </is>
      </c>
      <c r="E19" s="247" t="inlineStr">
        <is>
          <t>Tüm görünür kullanıcı sheet tabları renkli</t>
        </is>
      </c>
      <c r="F19" s="251" t="inlineStr">
        <is>
          <t>ZORUNLU</t>
        </is>
      </c>
    </row>
    <row r="20" ht="60" customHeight="1" s="68">
      <c r="A20" s="246" t="inlineStr">
        <is>
          <t>İş akışı sıralaması</t>
        </is>
      </c>
      <c r="B20" s="247" t="inlineStr">
        <is>
          <t>Sayfalar kullanıcının çalışma sırasına göre fiziksel olarak dizilir</t>
        </is>
      </c>
      <c r="C20" s="24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47" t="inlineStr">
        <is>
          <t>Teknik oluşturma sırasına göre dağınık sheet dizilimi</t>
        </is>
      </c>
      <c r="E20" s="247" t="inlineStr">
        <is>
          <t>Sheet order = tanımlı workflow</t>
        </is>
      </c>
      <c r="F20" s="251" t="inlineStr">
        <is>
          <t>ZORUNLU</t>
        </is>
      </c>
    </row>
    <row r="21" ht="30" customHeight="1" s="68">
      <c r="A21" s="246" t="inlineStr">
        <is>
          <t>Kurumsal renk paleti</t>
        </is>
      </c>
      <c r="B21" s="247" t="inlineStr">
        <is>
          <t>Sekme, başlık, buton ve vurgu renkleri tek kurumsal paletten gelir</t>
        </is>
      </c>
      <c r="C21" s="247" t="inlineStr">
        <is>
          <t>Lacivert + mavi + teal + kontrollü burgundy/gri; kategori semantiği sabit</t>
        </is>
      </c>
      <c r="D21" s="247" t="inlineStr">
        <is>
          <t>Neon, rastgele yüksek doygunluk, her sayfada farklı bağımsız renk</t>
        </is>
      </c>
      <c r="E21" s="247" t="inlineStr">
        <is>
          <t>Palette token kontrolü</t>
        </is>
      </c>
      <c r="F21" s="251" t="inlineStr">
        <is>
          <t>ZORUNLU</t>
        </is>
      </c>
    </row>
    <row r="22" ht="45" customHeight="1" s="68">
      <c r="A22" s="246" t="inlineStr">
        <is>
          <t>Premium vitrin</t>
        </is>
      </c>
      <c r="B22" s="247" t="inlineStr">
        <is>
          <t>Görsel kalite ürün değerinin zorunlu parçasıdır</t>
        </is>
      </c>
      <c r="C22" s="247" t="inlineStr">
        <is>
          <t>Kaliteli grafik, gerçek KPI kartı, finansal hiyerarşi, tab rengi, fonksiyonel navigasyon</t>
        </is>
      </c>
      <c r="D22" s="247" t="inlineStr">
        <is>
          <t>Sadece doğru hesap yapıp çıplak/varsayılan Excel görünümü bırakmak</t>
        </is>
      </c>
      <c r="E22" s="247" t="inlineStr">
        <is>
          <t>Görsel release incelemesi</t>
        </is>
      </c>
      <c r="F22" s="251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68" min="1" max="1"/>
    <col width="40" customWidth="1" style="68" min="2" max="2"/>
    <col width="50" customWidth="1" style="68" min="3" max="3"/>
    <col width="30" customWidth="1" style="68" min="4" max="4"/>
    <col width="28" customWidth="1" style="68" min="5" max="5"/>
    <col width="26" customWidth="1" style="68" min="6" max="6"/>
  </cols>
  <sheetData>
    <row r="1" ht="28" customHeight="1" s="68">
      <c r="A1" s="252" t="inlineStr">
        <is>
          <t>TÜRKİYE MUHASEBE VE TEKDÜZEN HESAP PLANI STANDARDI</t>
        </is>
      </c>
    </row>
    <row r="3" ht="24" customHeight="1" s="68">
      <c r="A3" s="253" t="inlineStr">
        <is>
          <t>Konu</t>
        </is>
      </c>
      <c r="B3" s="253" t="inlineStr">
        <is>
          <t>Zorunlu Standart</t>
        </is>
      </c>
      <c r="C3" s="253" t="inlineStr">
        <is>
          <t>Örnek Türkçe Ad</t>
        </is>
      </c>
      <c r="D3" s="253" t="inlineStr">
        <is>
          <t>THP / Mantık</t>
        </is>
      </c>
      <c r="E3" s="253" t="inlineStr">
        <is>
          <t>Hata Riski</t>
        </is>
      </c>
      <c r="F3" s="253" t="inlineStr">
        <is>
          <t>Kontrol</t>
        </is>
      </c>
    </row>
    <row r="4">
      <c r="A4" s="254" t="inlineStr">
        <is>
          <t>Dil</t>
        </is>
      </c>
      <c r="B4" s="238" t="inlineStr">
        <is>
          <t>Kullanıcıya görünen finansal terimler Türkçe</t>
        </is>
      </c>
      <c r="C4" s="238" t="inlineStr">
        <is>
          <t>Hasılat, Satışların Maliyeti, Brüt Kâr, Faaliyet Giderleri</t>
        </is>
      </c>
      <c r="D4" s="238" t="inlineStr">
        <is>
          <t>Türk işletme kullanımına uygun</t>
        </is>
      </c>
      <c r="E4" s="238" t="inlineStr">
        <is>
          <t>İngilizce jargon</t>
        </is>
      </c>
      <c r="F4" s="238" t="inlineStr">
        <is>
          <t>Terminoloji taraması</t>
        </is>
      </c>
    </row>
    <row r="5" ht="28" customHeight="1" s="68">
      <c r="A5" s="254" t="inlineStr">
        <is>
          <t>Gelir Tablosu</t>
        </is>
      </c>
      <c r="B5" s="238" t="inlineStr">
        <is>
          <t>Türk sunum sırası kullanılır</t>
        </is>
      </c>
      <c r="C5" s="238" t="inlineStr">
        <is>
          <t>Net Satışlar → Satışların Maliyeti → Brüt Kâr → Faaliyet Giderleri → Faaliyet Kârı</t>
        </is>
      </c>
      <c r="D5" s="238" t="inlineStr">
        <is>
          <t>600/610/611; 620-623; 63x</t>
        </is>
      </c>
      <c r="E5" s="238" t="inlineStr">
        <is>
          <t>Yanlış sınıflama</t>
        </is>
      </c>
      <c r="F5" s="238" t="inlineStr">
        <is>
          <t>Hesap eşleme</t>
        </is>
      </c>
    </row>
    <row r="6" ht="28" customHeight="1" s="68">
      <c r="A6" s="254" t="inlineStr">
        <is>
          <t>Bilanço</t>
        </is>
      </c>
      <c r="B6" s="238" t="inlineStr">
        <is>
          <t>Dönen/Duran Varlık ve Kısa/Uzun Vadeli Yükümlülük ayrımı</t>
        </is>
      </c>
      <c r="C6" s="238" t="inlineStr">
        <is>
          <t>Hazır Değerler, Ticari Alacaklar, Stoklar, Mali Borçlar</t>
        </is>
      </c>
      <c r="D6" s="238" t="inlineStr">
        <is>
          <t>1xx / 2xx / 3xx / 4xx / 5xx</t>
        </is>
      </c>
      <c r="E6" s="238" t="inlineStr">
        <is>
          <t>Vade sınıfı hatası</t>
        </is>
      </c>
      <c r="F6" s="238" t="inlineStr">
        <is>
          <t>Bilanço eşitliği</t>
        </is>
      </c>
    </row>
    <row r="7">
      <c r="A7" s="254" t="inlineStr">
        <is>
          <t>Nakit Akışı</t>
        </is>
      </c>
      <c r="B7" s="238" t="inlineStr">
        <is>
          <t>İşletme/Yatırım/Finansman nakit akışları ayrılır</t>
        </is>
      </c>
      <c r="C7" s="238" t="inlineStr">
        <is>
          <t>Faaliyetlerden Nakit, Yatırım Harcamaları, Finansman Nakit Akışı</t>
        </is>
      </c>
      <c r="D7" s="238" t="inlineStr">
        <is>
          <t>Dolaylı/doğrudan yöntem açık seçilir</t>
        </is>
      </c>
      <c r="E7" s="238" t="inlineStr">
        <is>
          <t>Kâr = nakit sanılması</t>
        </is>
      </c>
      <c r="F7" s="238" t="inlineStr">
        <is>
          <t>Nakit devri</t>
        </is>
      </c>
    </row>
    <row r="8">
      <c r="A8" s="254" t="inlineStr">
        <is>
          <t>Ticari Alacaklar</t>
        </is>
      </c>
      <c r="B8" s="238" t="inlineStr">
        <is>
          <t>Cari ve vade mantığı korunur</t>
        </is>
      </c>
      <c r="C8" s="238" t="inlineStr">
        <is>
          <t>120 Alıcılar</t>
        </is>
      </c>
      <c r="D8" s="238" t="inlineStr">
        <is>
          <t>120</t>
        </is>
      </c>
      <c r="E8" s="238" t="inlineStr">
        <is>
          <t>Tahakkuk/nakit karışması</t>
        </is>
      </c>
      <c r="F8" s="238" t="inlineStr">
        <is>
          <t>Alacak devir kontrolü</t>
        </is>
      </c>
    </row>
    <row r="9">
      <c r="A9" s="254" t="inlineStr">
        <is>
          <t>Ticari Borçlar</t>
        </is>
      </c>
      <c r="B9" s="238" t="inlineStr">
        <is>
          <t>Tedarikçi borcu ayrı izlenir</t>
        </is>
      </c>
      <c r="C9" s="238" t="inlineStr">
        <is>
          <t>320 Satıcılar</t>
        </is>
      </c>
      <c r="D9" s="238" t="inlineStr">
        <is>
          <t>320</t>
        </is>
      </c>
      <c r="E9" s="238" t="inlineStr">
        <is>
          <t>Gider/ödeme karışması</t>
        </is>
      </c>
      <c r="F9" s="238" t="inlineStr">
        <is>
          <t>Borç devir kontrolü</t>
        </is>
      </c>
    </row>
    <row r="10">
      <c r="A10" s="254" t="inlineStr">
        <is>
          <t>Kasa/Banka</t>
        </is>
      </c>
      <c r="B10" s="238" t="inlineStr">
        <is>
          <t>Hazır değerler ayrı izlenir</t>
        </is>
      </c>
      <c r="C10" s="238" t="inlineStr">
        <is>
          <t>100 Kasa, 102 Bankalar</t>
        </is>
      </c>
      <c r="D10" s="238" t="inlineStr">
        <is>
          <t>100 / 102</t>
        </is>
      </c>
      <c r="E10" s="238" t="inlineStr">
        <is>
          <t>Virmanla toplam nakdin değişmesi</t>
        </is>
      </c>
      <c r="F10" s="238" t="inlineStr">
        <is>
          <t>Virman değişmezi</t>
        </is>
      </c>
    </row>
    <row r="11">
      <c r="A11" s="254" t="inlineStr">
        <is>
          <t>Stok</t>
        </is>
      </c>
      <c r="B11" s="238" t="inlineStr">
        <is>
          <t>Dikeye uygun stok türü</t>
        </is>
      </c>
      <c r="C11" s="238" t="inlineStr">
        <is>
          <t>150 İlk Madde ve Malzeme, 153 Ticari Mallar</t>
        </is>
      </c>
      <c r="D11" s="238" t="inlineStr">
        <is>
          <t>15x</t>
        </is>
      </c>
      <c r="E11" s="238" t="inlineStr">
        <is>
          <t>Maliyet ve stok hareketinin kopması</t>
        </is>
      </c>
      <c r="F11" s="238" t="inlineStr">
        <is>
          <t>Stok devri</t>
        </is>
      </c>
    </row>
    <row r="12" ht="28" customHeight="1" s="68">
      <c r="A12" s="254" t="inlineStr">
        <is>
          <t>Maddi Duran Varlık</t>
        </is>
      </c>
      <c r="B12" s="238" t="inlineStr">
        <is>
          <t>Yatırım harcaması ve amortisman bağlantılı</t>
        </is>
      </c>
      <c r="C12" s="238" t="inlineStr">
        <is>
          <t>253 Tesis Makine Cihazlar, 255 Demirbaşlar, 257 Birikmiş Amortismanlar</t>
        </is>
      </c>
      <c r="D12" s="238" t="inlineStr">
        <is>
          <t>25x</t>
        </is>
      </c>
      <c r="E12" s="238" t="inlineStr">
        <is>
          <t>Yatırım/gider karışması</t>
        </is>
      </c>
      <c r="F12" s="238" t="inlineStr">
        <is>
          <t>Net defter değeri devri</t>
        </is>
      </c>
    </row>
    <row r="13">
      <c r="A13" s="254" t="inlineStr">
        <is>
          <t>Mali Borçlar</t>
        </is>
      </c>
      <c r="B13" s="238" t="inlineStr">
        <is>
          <t>Kısa/uzun vadeli borç ayrımı</t>
        </is>
      </c>
      <c r="C13" s="238" t="inlineStr">
        <is>
          <t>300 Banka Kredileri / 400 Banka Kredileri</t>
        </is>
      </c>
      <c r="D13" s="238" t="inlineStr">
        <is>
          <t>300 / 400</t>
        </is>
      </c>
      <c r="E13" s="238" t="inlineStr">
        <is>
          <t>Vade sınıfı yanlış</t>
        </is>
      </c>
      <c r="F13" s="238" t="inlineStr">
        <is>
          <t>Borç devri</t>
        </is>
      </c>
    </row>
    <row r="14">
      <c r="A14" s="254" t="inlineStr">
        <is>
          <t>Özkaynak</t>
        </is>
      </c>
      <c r="B14" s="238" t="inlineStr">
        <is>
          <t>Sermaye ve geçmiş yıl kârları ayrı</t>
        </is>
      </c>
      <c r="C14" s="238" t="inlineStr">
        <is>
          <t>500 Sermaye, 570 Geçmiş Yıllar Kârları, 590 Dönem Net Kârı</t>
        </is>
      </c>
      <c r="D14" s="238" t="inlineStr">
        <is>
          <t>5xx</t>
        </is>
      </c>
      <c r="E14" s="238" t="inlineStr">
        <is>
          <t>Net kâr bağının kopması</t>
        </is>
      </c>
      <c r="F14" s="238" t="inlineStr">
        <is>
          <t>Özkaynak devri</t>
        </is>
      </c>
    </row>
    <row r="15">
      <c r="A15" s="254" t="inlineStr">
        <is>
          <t>Vergi</t>
        </is>
      </c>
      <c r="B15" s="238" t="inlineStr">
        <is>
          <t>Vergi satırları Türkiye mantığına uygun</t>
        </is>
      </c>
      <c r="C15" s="238" t="inlineStr">
        <is>
          <t>Dönem Vergi ve Diğer Yasal Yükümlülük Karşılıkları</t>
        </is>
      </c>
      <c r="D15" s="238" t="inlineStr">
        <is>
          <t>37x / ilgili vergi hesapları</t>
        </is>
      </c>
      <c r="E15" s="238" t="inlineStr">
        <is>
          <t>Vergi etkisinin yanlış dönemlenmesi</t>
        </is>
      </c>
      <c r="F15" s="238" t="inlineStr">
        <is>
          <t>Vergi sözleşmesi</t>
        </is>
      </c>
    </row>
    <row r="16">
      <c r="A16" s="254" t="inlineStr">
        <is>
          <t>İsim standardı</t>
        </is>
      </c>
      <c r="B16" s="238" t="inlineStr">
        <is>
          <t>Tablo ve sayfa adları Türkçe ve işlevsel</t>
        </is>
      </c>
      <c r="C16" s="238" t="inlineStr">
        <is>
          <t>GELİR_TABLOSU, BİLANÇO, NAKİT_AKISI, BORC_PLANI</t>
        </is>
      </c>
      <c r="D16" s="238" t="inlineStr">
        <is>
          <t>Tekrarlanabilir standart</t>
        </is>
      </c>
      <c r="E16" s="238" t="inlineStr">
        <is>
          <t>İngilizce/karma isim</t>
        </is>
      </c>
      <c r="F16" s="238" t="inlineStr">
        <is>
          <t>Sayfa ve tablo taraması</t>
        </is>
      </c>
    </row>
    <row r="17">
      <c r="A17" s="254" t="inlineStr">
        <is>
          <t>THP eşleme tablosu</t>
        </is>
      </c>
      <c r="B17" s="238" t="inlineStr">
        <is>
          <t>Her kritik satır en az bir THP hesabına bağlanır</t>
        </is>
      </c>
      <c r="C17" s="238" t="inlineStr">
        <is>
          <t>RaporSatırı → HesapKodu → HesapAdı → İşaret → Dönem</t>
        </is>
      </c>
      <c r="D17" s="238" t="inlineStr">
        <is>
          <t>Kaynak izlenebilirliği</t>
        </is>
      </c>
      <c r="E17" s="238" t="inlineStr">
        <is>
          <t>Rapordan rapora kaynak</t>
        </is>
      </c>
      <c r="F17" s="238" t="inlineStr">
        <is>
          <t>Eşleme kapsama %100</t>
        </is>
      </c>
    </row>
    <row r="18">
      <c r="A18" s="254" t="inlineStr">
        <is>
          <t>İstisna</t>
        </is>
      </c>
      <c r="B18" s="238" t="inlineStr">
        <is>
          <t>TFRS özel ürün varsa fark açık yazılır</t>
        </is>
      </c>
      <c r="C18" s="238" t="inlineStr">
        <is>
          <t>Tekdüzen raporlama ≠ TFRS finansal tablo sunumu</t>
        </is>
      </c>
      <c r="D18" s="238" t="inlineStr">
        <is>
          <t>Amaç belirtilir</t>
        </is>
      </c>
      <c r="E18" s="238" t="inlineStr">
        <is>
          <t>Standartları karıştırma</t>
        </is>
      </c>
      <c r="F18" s="238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68" min="1" max="1"/>
    <col width="32" customWidth="1" style="68" min="2" max="2"/>
    <col width="54" customWidth="1" style="68" min="3" max="3"/>
    <col width="34" customWidth="1" style="68" min="4" max="4"/>
    <col width="16" customWidth="1" style="68" min="6" max="6"/>
  </cols>
  <sheetData>
    <row r="1" ht="28" customHeight="1" s="68">
      <c r="A1" s="255" t="inlineStr">
        <is>
          <t>KARAR, GÜVEN VE SATIŞA HAZIRLIK STANDARDI</t>
        </is>
      </c>
    </row>
    <row r="3" ht="24" customHeight="1" s="68">
      <c r="A3" s="256" t="inlineStr">
        <is>
          <t>Alan</t>
        </is>
      </c>
      <c r="B3" s="256" t="inlineStr">
        <is>
          <t>Müşteri Sorusu</t>
        </is>
      </c>
      <c r="C3" s="256" t="inlineStr">
        <is>
          <t>Zorunlu Ürün Davranışı</t>
        </is>
      </c>
      <c r="D3" s="256" t="inlineStr">
        <is>
          <t>Kanıt</t>
        </is>
      </c>
      <c r="E3" s="256" t="inlineStr">
        <is>
          <t>Başarısızlık Durumu</t>
        </is>
      </c>
      <c r="F3" s="256" t="inlineStr">
        <is>
          <t>Kapı</t>
        </is>
      </c>
    </row>
    <row r="4">
      <c r="A4" s="257" t="inlineStr">
        <is>
          <t>5 saniye</t>
        </is>
      </c>
      <c r="B4" s="238" t="inlineStr">
        <is>
          <t>Bu ürün neyi çözüyor?</t>
        </is>
      </c>
      <c r="C4" s="238" t="inlineStr">
        <is>
          <t>İlk ekranda hedef kullanıcı + pahalı problem + sonuç görünür</t>
        </is>
      </c>
      <c r="D4" s="238" t="inlineStr">
        <is>
          <t>Başlık + alt mesaj + gerçek ekran</t>
        </is>
      </c>
      <c r="E4" s="238" t="inlineStr">
        <is>
          <t>Ürün yalnız teknik isim</t>
        </is>
      </c>
      <c r="F4" s="258" t="inlineStr">
        <is>
          <t>HATA</t>
        </is>
      </c>
    </row>
    <row r="5">
      <c r="A5" s="257" t="inlineStr">
        <is>
          <t>Acı</t>
        </is>
      </c>
      <c r="B5" s="238" t="inlineStr">
        <is>
          <t>Sorun bana neye mal oluyor?</t>
        </is>
      </c>
      <c r="C5" s="238" t="inlineStr">
        <is>
          <t>Mümkünse müşterinin kendi verisiyle parasal/zaman etkisi hesaplanır</t>
        </is>
      </c>
      <c r="D5" s="238" t="inlineStr">
        <is>
          <t>ROI/acı hesaplama yöntemi</t>
        </is>
      </c>
      <c r="E5" s="238" t="inlineStr">
        <is>
          <t>Uydurma tasarruf</t>
        </is>
      </c>
      <c r="F5" s="258" t="inlineStr">
        <is>
          <t>HATA</t>
        </is>
      </c>
    </row>
    <row r="6">
      <c r="A6" s="257" t="inlineStr">
        <is>
          <t>Karar</t>
        </is>
      </c>
      <c r="B6" s="238" t="inlineStr">
        <is>
          <t>Bu bilgiyle ne yapacağım?</t>
        </is>
      </c>
      <c r="C6" s="238" t="inlineStr">
        <is>
          <t>Her kritik KPI aksiyona bağlanır</t>
        </is>
      </c>
      <c r="D6" s="238" t="inlineStr">
        <is>
          <t>KARAR_KUYRUGU</t>
        </is>
      </c>
      <c r="E6" s="238" t="inlineStr">
        <is>
          <t>Sadece rapor</t>
        </is>
      </c>
      <c r="F6" s="258" t="inlineStr">
        <is>
          <t>HATA</t>
        </is>
      </c>
    </row>
    <row r="7">
      <c r="A7" s="257" t="inlineStr">
        <is>
          <t>Güven</t>
        </is>
      </c>
      <c r="B7" s="238" t="inlineStr">
        <is>
          <t>Bu sayıya neden inanayım?</t>
        </is>
      </c>
      <c r="C7" s="238" t="inlineStr">
        <is>
          <t>Kaynak, formül mantığı, kontrol ve son doğrulama görünür</t>
        </is>
      </c>
      <c r="D7" s="238" t="inlineStr">
        <is>
          <t>Kontroller + kaynak izi + sürüm</t>
        </is>
      </c>
      <c r="E7" s="238" t="inlineStr">
        <is>
          <t>Prestij kelimesi</t>
        </is>
      </c>
      <c r="F7" s="258" t="inlineStr">
        <is>
          <t>HATA</t>
        </is>
      </c>
    </row>
    <row r="8">
      <c r="A8" s="257" t="inlineStr">
        <is>
          <t>Referans</t>
        </is>
      </c>
      <c r="B8" s="238" t="inlineStr">
        <is>
          <t>Müşteri yorumu yoksa ne göstereceğim?</t>
        </is>
      </c>
      <c r="C8" s="238" t="inlineStr">
        <is>
          <t>Önce/Sonra + Karar Vakası + Hata Önleme Vakası üretilir</t>
        </is>
      </c>
      <c r="D8" s="238" t="inlineStr">
        <is>
          <t>Demo/örnek çıktı</t>
        </is>
      </c>
      <c r="E8" s="238" t="inlineStr">
        <is>
          <t>Kanıtsız iddia</t>
        </is>
      </c>
      <c r="F8" s="258" t="inlineStr">
        <is>
          <t>HATA</t>
        </is>
      </c>
    </row>
    <row r="9">
      <c r="A9" s="257" t="inlineStr">
        <is>
          <t>Senaryo</t>
        </is>
      </c>
      <c r="B9" s="238" t="inlineStr">
        <is>
          <t>Ne olursa işler bozulur?</t>
        </is>
      </c>
      <c r="C9" s="238" t="inlineStr">
        <is>
          <t>Baz/Aşağı/Yukarı veya uygun stres senaryosu</t>
        </is>
      </c>
      <c r="D9" s="238" t="inlineStr">
        <is>
          <t>Senaryo karşılaştırma</t>
        </is>
      </c>
      <c r="E9" s="238" t="inlineStr">
        <is>
          <t>Dekoratif senaryo</t>
        </is>
      </c>
      <c r="F9" s="258" t="inlineStr">
        <is>
          <t>HATA</t>
        </is>
      </c>
    </row>
    <row r="10">
      <c r="A10" s="257" t="inlineStr">
        <is>
          <t>Ters stres</t>
        </is>
      </c>
      <c r="B10" s="238" t="inlineStr">
        <is>
          <t>Hangi eşikte karar kırılır?</t>
        </is>
      </c>
      <c r="C10" s="238" t="inlineStr">
        <is>
          <t>En az bir kritik sürücü için kırılma eşiği</t>
        </is>
      </c>
      <c r="D10" s="238" t="inlineStr">
        <is>
          <t>Kırılma eşiği tablosu</t>
        </is>
      </c>
      <c r="E10" s="238" t="inlineStr">
        <is>
          <t>Sadece +/- %10</t>
        </is>
      </c>
      <c r="F10" s="258" t="inlineStr">
        <is>
          <t>UYARI/HATA</t>
        </is>
      </c>
    </row>
    <row r="11">
      <c r="A11" s="257" t="inlineStr">
        <is>
          <t>Hata tutarlılığı</t>
        </is>
      </c>
      <c r="B11" s="238" t="inlineStr">
        <is>
          <t>Formül hata verirse ne olur?</t>
        </is>
      </c>
      <c r="C11" s="238" t="inlineStr">
        <is>
          <t>Kontrol GEÇTİ veremez; BLOKE/HATA üretir</t>
        </is>
      </c>
      <c r="D11" s="238" t="inlineStr">
        <is>
          <t>Hata taraması</t>
        </is>
      </c>
      <c r="E11" s="238" t="inlineStr">
        <is>
          <t>Hata + GEÇTİ birlikte</t>
        </is>
      </c>
      <c r="F11" s="258" t="inlineStr">
        <is>
          <t>HATA</t>
        </is>
      </c>
    </row>
    <row r="12">
      <c r="A12" s="257" t="inlineStr">
        <is>
          <t>Karar motoru</t>
        </is>
      </c>
      <c r="B12" s="238" t="inlineStr">
        <is>
          <t>Ne oldu, neden oldu?</t>
        </is>
      </c>
      <c r="C12" s="238" t="inlineStr">
        <is>
          <t>Sorun + neden + parasal etki + aksiyon + son tarih</t>
        </is>
      </c>
      <c r="D12" s="238" t="inlineStr">
        <is>
          <t>Karar tablosu</t>
        </is>
      </c>
      <c r="E12" s="238" t="inlineStr">
        <is>
          <t>Boş sayfa / isim düzeyi modül</t>
        </is>
      </c>
      <c r="F12" s="258" t="inlineStr">
        <is>
          <t>HATA</t>
        </is>
      </c>
    </row>
    <row r="13">
      <c r="A13" s="257" t="inlineStr">
        <is>
          <t>Yönetici özeti</t>
        </is>
      </c>
      <c r="B13" s="238" t="inlineStr">
        <is>
          <t>5 saniyede ne görmeliyim?</t>
        </is>
      </c>
      <c r="C13" s="238" t="inlineStr">
        <is>
          <t>Bugün / ne değişti / ne bozulacak / neden / ne yapmalıyım / güven</t>
        </is>
      </c>
      <c r="D13" s="238" t="inlineStr">
        <is>
          <t>Yönetici özeti ekranı</t>
        </is>
      </c>
      <c r="E13" s="238" t="inlineStr">
        <is>
          <t>KPI kutusu yığını</t>
        </is>
      </c>
      <c r="F13" s="258" t="inlineStr">
        <is>
          <t>HATA</t>
        </is>
      </c>
    </row>
    <row r="14">
      <c r="A14" s="257" t="inlineStr">
        <is>
          <t>Teklif</t>
        </is>
      </c>
      <c r="B14" s="238" t="inlineStr">
        <is>
          <t>Neden satın almalıyım?</t>
        </is>
      </c>
      <c r="C14" s="238" t="inlineStr">
        <is>
          <t>Dosya özellikleri yerine sonuç ve kaçınılan maliyet sunulur</t>
        </is>
      </c>
      <c r="D14" s="238" t="inlineStr">
        <is>
          <t>Ürün sayfası kanıt eşlemesi</t>
        </is>
      </c>
      <c r="E14" s="238" t="inlineStr">
        <is>
          <t>Özellik listesiyle satış</t>
        </is>
      </c>
      <c r="F14" s="258" t="inlineStr">
        <is>
          <t>HATA</t>
        </is>
      </c>
    </row>
    <row r="15">
      <c r="A15" s="257" t="inlineStr">
        <is>
          <t>Dağıtım</t>
        </is>
      </c>
      <c r="B15" s="238" t="inlineStr">
        <is>
          <t>Beni nasıl bulacaklar?</t>
        </is>
      </c>
      <c r="C15" s="238" t="inlineStr">
        <is>
          <t>Sorun niyetine göre SEO sayfaları, iç bağlantı, temiz yapı, taranabilir metin</t>
        </is>
      </c>
      <c r="D15" s="238" t="inlineStr">
        <is>
          <t>Arama niyeti haritası</t>
        </is>
      </c>
      <c r="E15" s="238" t="inlineStr">
        <is>
          <t>Tek ürün sayfasına bağımlılık</t>
        </is>
      </c>
      <c r="F15" s="258" t="inlineStr">
        <is>
          <t>UYARI</t>
        </is>
      </c>
    </row>
    <row r="16" ht="28" customHeight="1" s="68">
      <c r="A16" s="257" t="inlineStr">
        <is>
          <t>LLM görünürlüğü</t>
        </is>
      </c>
      <c r="B16" s="238" t="inlineStr">
        <is>
          <t>AI ürünümü anlayabiliyor mu?</t>
        </is>
      </c>
      <c r="C16" s="238" t="inlineStr">
        <is>
          <t>Ürün tanımı, hedef kullanıcı, girdi/çıktı, metodoloji, sınırlar, SSS açık metindir</t>
        </is>
      </c>
      <c r="D16" s="238" t="inlineStr">
        <is>
          <t>Taranabilir ürün içeriği</t>
        </is>
      </c>
      <c r="E16" s="238" t="inlineStr">
        <is>
          <t>'AI SEO' iddiası</t>
        </is>
      </c>
      <c r="F16" s="258" t="inlineStr">
        <is>
          <t>UYARI</t>
        </is>
      </c>
    </row>
    <row r="17">
      <c r="A17" s="257" t="inlineStr">
        <is>
          <t>Satış kanalı</t>
        </is>
      </c>
      <c r="B17" s="238" t="inlineStr">
        <is>
          <t>Nerede satılmalı?</t>
        </is>
      </c>
      <c r="C17" s="238" t="inlineStr">
        <is>
          <t>Arama, LinkedIn, uzman/partner, demo/video; ürüne göre kanal seçilir</t>
        </is>
      </c>
      <c r="D17" s="238" t="inlineStr">
        <is>
          <t>Kanal matrisi</t>
        </is>
      </c>
      <c r="E17" s="238" t="inlineStr">
        <is>
          <t>Her ürüne aynı kanal</t>
        </is>
      </c>
      <c r="F17" s="258" t="inlineStr">
        <is>
          <t>UYARI</t>
        </is>
      </c>
    </row>
    <row r="18">
      <c r="A18" s="257" t="inlineStr">
        <is>
          <t>Fiyat</t>
        </is>
      </c>
      <c r="B18" s="238" t="inlineStr">
        <is>
          <t>Bu fiyat neden mantıklı?</t>
        </is>
      </c>
      <c r="C18" s="238" t="inlineStr">
        <is>
          <t>Fiyat, ekonomik karar değerine ve kanıtlanmış ürün derinliğine bağlanır</t>
        </is>
      </c>
      <c r="D18" s="238" t="inlineStr">
        <is>
          <t>Değer haritası + demo</t>
        </is>
      </c>
      <c r="E18" s="238" t="inlineStr">
        <is>
          <t>Sırf sayfa/formül sayısı</t>
        </is>
      </c>
      <c r="F18" s="258" t="inlineStr">
        <is>
          <t>HATA</t>
        </is>
      </c>
    </row>
    <row r="19">
      <c r="A19" s="257" t="inlineStr">
        <is>
          <t>Pazar kanıtı</t>
        </is>
      </c>
      <c r="B19" s="238" t="inlineStr">
        <is>
          <t>Piyasa gerçekten ödüyor mu?</t>
        </is>
      </c>
      <c r="C19" s="238" t="inlineStr">
        <is>
          <t>Satış/pilot/LOI/fiyat kabulü olmadan pazar doğrulandı yazılmaz</t>
        </is>
      </c>
      <c r="D19" s="238" t="inlineStr">
        <is>
          <t>Gerçek işlem kanıtı</t>
        </is>
      </c>
      <c r="E19" s="238" t="inlineStr">
        <is>
          <t>Tahmini talep = satış kabulü</t>
        </is>
      </c>
      <c r="F19" s="258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4" min="1" max="3"/>
  </cols>
  <sheetData>
    <row r="1" ht="28.5" customHeight="1" s="68">
      <c r="A1" s="95" t="inlineStr">
        <is>
          <t>İTHALAT DEPO TESLİM (RAFA GELEN) NET BİRİM MALİYET</t>
        </is>
      </c>
    </row>
    <row r="3" ht="18.75" customHeight="1" s="68">
      <c r="A3" s="96" t="inlineStr">
        <is>
          <t>İthalatta asıl maliyet rafa geldiğinde bellidir; kaba yuvarlamayı bırakın.</t>
        </is>
      </c>
    </row>
    <row r="4" ht="15" customHeight="1" s="68">
      <c r="A4" s="97" t="inlineStr">
        <is>
          <t>FOB kıymetten depo teslim net birim maliyete giden tüm adımlar tek zincirde hesaplanır: FOB → navlun/sigorta → CIF → gümrük vergisi → ÖTV → KDV → yurt içi masraf payı. Sonuç ad tanımlı ve raporlanabilir; vergi yükü ve kur senaryoları tek ekranda üretilir.</t>
        </is>
      </c>
    </row>
    <row r="5" ht="15" customHeight="1" s="68"/>
    <row r="6" ht="15" customHeight="1" s="68">
      <c r="A6" s="98" t="inlineStr">
        <is>
          <t>1. URUNLER sayfasına ithal ürünlerin FOB birim fiyatını, döviz cinsi ve kurunu girin.</t>
        </is>
      </c>
    </row>
    <row r="7" ht="15" customHeight="1" s="68">
      <c r="A7" s="98" t="inlineStr">
        <is>
          <t>2. MASRAFLAR sayfasına liman, müşavirlik, iç nakliye gibi yurt içi operasyon masraflarını girin.</t>
        </is>
      </c>
    </row>
    <row r="8" ht="15" customHeight="1" s="68">
      <c r="A8" s="98" t="inlineStr">
        <is>
          <t>3. KARAR sayfasında depo teslim maliyeti, vergi yükü ve aksiyonları okuyun.</t>
        </is>
      </c>
    </row>
    <row r="10" ht="15" customHeight="1" s="68">
      <c r="A10" s="99" t="inlineStr">
        <is>
          <t>Bu dosya karar destek aracıdır; gümrük müşavirliği veya mali danışmanlık yerine geçmez. Vergi oranları ve kur AYARLAR'dan güncellenmeli, yürürlük tarihleri doğrulanmalıdır.</t>
        </is>
      </c>
    </row>
    <row r="11" ht="15" customHeight="1" s="68"/>
    <row r="12" ht="15" customHeight="1" s="68"/>
    <row r="13" ht="15" customHeight="1" s="68"/>
    <row r="15" ht="15" customHeight="1" s="68">
      <c r="A15" s="100" t="inlineStr">
        <is>
          <t>ExcelArşiv</t>
        </is>
      </c>
    </row>
    <row r="16" ht="15" customHeight="1" s="68">
      <c r="A16" s="101" t="inlineStr">
        <is>
          <t>Rev 1.0 | 2026-08-09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7:J7"/>
    <mergeCell ref="A3:C3"/>
    <mergeCell ref="A4:C5"/>
    <mergeCell ref="A16:C1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" customWidth="1" style="94" min="1" max="1"/>
    <col width="20" customWidth="1" style="94" min="2" max="2"/>
  </cols>
  <sheetData>
    <row r="1">
      <c r="A1" s="78" t="inlineStr">
        <is>
          <t>☰ PANO</t>
        </is>
      </c>
    </row>
    <row r="3" ht="15.75" customHeight="1" s="68">
      <c r="A3" s="102" t="inlineStr">
        <is>
          <t>Nasıl kullanılır?</t>
        </is>
      </c>
    </row>
    <row r="4" ht="15" customHeight="1" s="68">
      <c r="A4" s="103" t="inlineStr">
        <is>
          <t>1. AYARLAR sayfasından varsayılan kuru, vergi oranlarını ve eşikleri kontrol edin.</t>
        </is>
      </c>
    </row>
    <row r="5" ht="15" customHeight="1" s="68">
      <c r="A5" s="103" t="inlineStr">
        <is>
          <t>2. URUNLER sayfasına her ürün için adet, FOB birim fiyat (döviz), döviz cinsi, kur ve oranları girin.</t>
        </is>
      </c>
    </row>
    <row r="6" ht="15" customHeight="1" s="68">
      <c r="A6" s="103" t="inlineStr">
        <is>
          <t>3. Navlun/sigorta oranı FOB üzerine uygulanır; boş bırakırsanız AYARLAR'daki varsayılan oran kullanılır.</t>
        </is>
      </c>
    </row>
    <row r="7" ht="15" customHeight="1" s="68">
      <c r="A7" s="103" t="inlineStr">
        <is>
          <t>4. Gümrük vergisi CIF üzerinden, ÖTV (CIF + GV) üzerinden, KDV (CIF + GV + ÖTV) üzerinden hesaplanır.</t>
        </is>
      </c>
    </row>
    <row r="8" ht="15" customHeight="1" s="68">
      <c r="A8" s="103" t="inlineStr">
        <is>
          <t>5. MASRAFLAR sayfasına liman, müşavirlik, iç nakliye gibi yurt içi masrafları TL girin; ürünlere FOB payıyla dağıtılır.</t>
        </is>
      </c>
    </row>
    <row r="9" ht="15" customHeight="1" s="68">
      <c r="A9" s="103" t="inlineStr">
        <is>
          <t>6. MOTOR ve PANO depo teslim maliyeti, vergi yükü ve birim maliyeti üretir; KARAR sayfası UYGUN / İNCELE / DURDUR verir.</t>
        </is>
      </c>
    </row>
    <row r="10" ht="15" customHeight="1" s="68">
      <c r="A10" s="103" t="inlineStr">
        <is>
          <t>7. SENARYO_DUYARLILIK sayfası kur ve oran değişiminde maliyet, vergi ve karar değişimini üretir.</t>
        </is>
      </c>
    </row>
    <row r="12" ht="15" customHeight="1" s="68">
      <c r="A12" s="104" t="inlineStr">
        <is>
          <t>Sık yapılan hatalar</t>
        </is>
      </c>
    </row>
    <row r="13" ht="15" customHeight="1" s="68">
      <c r="A13" s="99" t="inlineStr">
        <is>
          <t>FOB fiyatı KDV dâhil girmek — vergi matrahı zinciri bozulur.</t>
        </is>
      </c>
    </row>
    <row r="14" ht="15" customHeight="1" s="68">
      <c r="A14" s="99" t="inlineStr">
        <is>
          <t>Kur güncellememek — döviz cinsiyle TL maliyet uyumsuz kalır.</t>
        </is>
      </c>
    </row>
    <row r="15" ht="15" customHeight="1" s="68">
      <c r="A15" s="99" t="inlineStr">
        <is>
          <t>Navlun/sigortayı masraf tablosuna yazıp oran girmemek — CIF eksik hesaplanır.</t>
        </is>
      </c>
    </row>
    <row r="16" ht="15" customHeight="1" s="68">
      <c r="A16" s="99" t="inlineStr">
        <is>
          <t>Masraf dağıtımını ürün adedine göre el hesabı yapmak — dosya FOB payıyla otomatik dağıtır.</t>
        </is>
      </c>
    </row>
    <row r="17" ht="15" customHeight="1" s="68">
      <c r="A17" s="99" t="inlineStr">
        <is>
          <t>Kilitli (beyaz/yeşil) hücrelere yazmaya çalışmak — yalnızca sarı hücreler giriş içindir.</t>
        </is>
      </c>
    </row>
    <row r="19" ht="19.5" customHeight="1" s="68">
      <c r="A19" s="105" t="inlineStr">
        <is>
          <t>Tüm oranlar ve eşikler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2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94" min="1" max="1"/>
    <col width="12" customWidth="1" style="94" min="2" max="3"/>
    <col width="16" customWidth="1" style="94" min="4" max="4"/>
    <col width="12" customWidth="1" style="94" min="5" max="6"/>
    <col width="16" customWidth="1" style="94" min="7" max="10"/>
    <col width="18" customWidth="1" style="94" min="11" max="21"/>
  </cols>
  <sheetData>
    <row r="1" ht="25.5" customHeight="1" s="68">
      <c r="A1" s="106" t="inlineStr">
        <is>
          <t>URUNLER — İTHALAT DEPO TESLİM (RAFA GELEN) NET BİRİM MALİYET</t>
        </is>
      </c>
    </row>
    <row r="3" ht="15" customHeight="1" s="68">
      <c r="A3" s="107" t="inlineStr">
        <is>
          <t>İthal Ürün Girişi (FOB → Depo Teslim)</t>
        </is>
      </c>
    </row>
    <row r="4" ht="15" customHeight="1" s="68">
      <c r="A4" s="108" t="inlineStr">
        <is>
          <t>Sarı hücrelere veri girin; FOB TL, CIF, vergiler, masraf payı ve depo teslim maliyeti formülle hesaplanır.</t>
        </is>
      </c>
    </row>
    <row r="5" ht="30" customHeight="1" s="68">
      <c r="A5" s="109" t="inlineStr">
        <is>
          <t>Ürün Adı</t>
        </is>
      </c>
      <c r="B5" s="109" t="inlineStr">
        <is>
          <t>Birim</t>
        </is>
      </c>
      <c r="C5" s="109" t="inlineStr">
        <is>
          <t>Adet</t>
        </is>
      </c>
      <c r="D5" s="109" t="inlineStr">
        <is>
          <t>FOB Birim Fiyat (Döviz)</t>
        </is>
      </c>
      <c r="E5" s="109" t="inlineStr">
        <is>
          <t>Döviz Cinsi</t>
        </is>
      </c>
      <c r="F5" s="109" t="inlineStr">
        <is>
          <t>Kur (₺)</t>
        </is>
      </c>
      <c r="G5" s="109" t="inlineStr">
        <is>
          <t>Navlun/Sigorta Oranı</t>
        </is>
      </c>
      <c r="H5" s="109" t="inlineStr">
        <is>
          <t>Gümrük Vergisi Oranı</t>
        </is>
      </c>
      <c r="I5" s="109" t="inlineStr">
        <is>
          <t>ÖTV Oranı</t>
        </is>
      </c>
      <c r="J5" s="109" t="inlineStr">
        <is>
          <t>KDV Oranı</t>
        </is>
      </c>
      <c r="K5" s="109" t="inlineStr">
        <is>
          <t>FOB TL</t>
        </is>
      </c>
      <c r="L5" s="109" t="inlineStr">
        <is>
          <t>Navlun ve Sigorta TL</t>
        </is>
      </c>
      <c r="M5" s="109" t="inlineStr">
        <is>
          <t>CIF TL</t>
        </is>
      </c>
      <c r="N5" s="109" t="inlineStr">
        <is>
          <t>Gümrük Vergisi TL</t>
        </is>
      </c>
      <c r="O5" s="109" t="inlineStr">
        <is>
          <t>ÖTV TL</t>
        </is>
      </c>
      <c r="P5" s="109" t="inlineStr">
        <is>
          <t>KDV TL</t>
        </is>
      </c>
      <c r="Q5" s="109" t="inlineStr">
        <is>
          <t>Vergi Toplam TL</t>
        </is>
      </c>
      <c r="R5" s="109" t="inlineStr">
        <is>
          <t>Yurt İçi Masraf Payı TL</t>
        </is>
      </c>
      <c r="S5" s="109" t="inlineStr">
        <is>
          <t>Depo Teslim Toplam TL</t>
        </is>
      </c>
      <c r="T5" s="109" t="inlineStr">
        <is>
          <t>Net Birim Maliyet TL</t>
        </is>
      </c>
      <c r="U5" s="109" t="inlineStr">
        <is>
          <t>Maliyet Faktörü</t>
        </is>
      </c>
    </row>
    <row r="6" ht="15" customHeight="1" s="68">
      <c r="A6" s="110" t="inlineStr">
        <is>
          <t>Hidrolik Pompa</t>
        </is>
      </c>
      <c r="B6" s="110" t="inlineStr">
        <is>
          <t>Adet</t>
        </is>
      </c>
      <c r="C6" s="111" t="n">
        <v>50</v>
      </c>
      <c r="D6" s="112" t="n">
        <v>120</v>
      </c>
      <c r="E6" s="110" t="inlineStr">
        <is>
          <t>USD</t>
        </is>
      </c>
      <c r="F6" s="112" t="n">
        <v>38.5</v>
      </c>
      <c r="G6" s="113" t="n">
        <v>0.05</v>
      </c>
      <c r="H6" s="113" t="n">
        <v>0.05</v>
      </c>
      <c r="I6" s="113" t="n">
        <v>0.1</v>
      </c>
      <c r="J6" s="113" t="n">
        <v>0.2</v>
      </c>
      <c r="K6" s="94">
        <f>IF(OR($C6="",$D6="",$F6=""),"",IFERROR($C6*$D6*$F6,0))</f>
        <v/>
      </c>
      <c r="L6" s="94">
        <f>IF(OR($K6="",$G6=""),"",IFERROR($K6*$G6,0))</f>
        <v/>
      </c>
      <c r="M6" s="94">
        <f>IF(OR($K6="",$L6=""),"",IFERROR($K6+$L6,0))</f>
        <v/>
      </c>
      <c r="N6" s="94">
        <f>IF(OR($M6="",$H6=""),"",IFERROR($M6*$H6,0))</f>
        <v/>
      </c>
      <c r="O6" s="94">
        <f>IF(OR($M6="",$N6="",$I6=""),"",IFERROR(($M6+$N6)*$I6,0))</f>
        <v/>
      </c>
      <c r="P6" s="94">
        <f>IF(OR($M6="",$N6="",$O6="",$J6=""),"",IFERROR(($M6+$N6+$O6)*$J6,0))</f>
        <v/>
      </c>
      <c r="Q6" s="94">
        <f>IF(OR($N6="",$O6="",$P6=""),"",IFERROR($N6+$O6+$P6,0))</f>
        <v/>
      </c>
      <c r="R6" s="94">
        <f>IF(OR($K6="",ToplamFOB=""),"",IFERROR($K6/MAX(BolumPaydaTaban,ToplamFOB)*ToplamYurtIciMasraf,0))</f>
        <v/>
      </c>
      <c r="S6" s="94">
        <f>IF(OR($M6="",$Q6="",$R6=""),"",IFERROR($M6+$Q6+$R6,0))</f>
        <v/>
      </c>
      <c r="T6" s="94">
        <f>IF(OR($S6="",$C6=""),"",IFERROR($S6/MAX(BolumPaydaTaban,$C6),0))</f>
        <v/>
      </c>
      <c r="U6" s="94">
        <f>IF(OR($S6="",$K6=""),"",IFERROR($S6/MAX(BolumPaydaTaban,$K6),0))</f>
        <v/>
      </c>
    </row>
    <row r="7" ht="15" customHeight="1" s="68">
      <c r="A7" s="110" t="inlineStr">
        <is>
          <t>Vana Seti</t>
        </is>
      </c>
      <c r="B7" s="110" t="inlineStr">
        <is>
          <t>Adet</t>
        </is>
      </c>
      <c r="C7" s="111" t="n">
        <v>200</v>
      </c>
      <c r="D7" s="112" t="n">
        <v>15</v>
      </c>
      <c r="E7" s="110" t="inlineStr">
        <is>
          <t>USD</t>
        </is>
      </c>
      <c r="F7" s="112" t="n">
        <v>38.5</v>
      </c>
      <c r="G7" s="113" t="n">
        <v>0.05</v>
      </c>
      <c r="H7" s="113" t="n">
        <v>0.05</v>
      </c>
      <c r="I7" s="113" t="n">
        <v>0.1</v>
      </c>
      <c r="J7" s="113" t="n">
        <v>0.2</v>
      </c>
      <c r="K7" s="94">
        <f>IF(OR($C7="",$D7="",$F7=""),"",IFERROR($C7*$D7*$F7,0))</f>
        <v/>
      </c>
      <c r="L7" s="94">
        <f>IF(OR($K7="",$G7=""),"",IFERROR($K7*$G7,0))</f>
        <v/>
      </c>
      <c r="M7" s="94">
        <f>IF(OR($K7="",$L7=""),"",IFERROR($K7+$L7,0))</f>
        <v/>
      </c>
      <c r="N7" s="94">
        <f>IF(OR($M7="",$H7=""),"",IFERROR($M7*$H7,0))</f>
        <v/>
      </c>
      <c r="O7" s="94">
        <f>IF(OR($M7="",$N7="",$I7=""),"",IFERROR(($M7+$N7)*$I7,0))</f>
        <v/>
      </c>
      <c r="P7" s="94">
        <f>IF(OR($M7="",$N7="",$O7="",$J7=""),"",IFERROR(($M7+$N7+$O7)*$J7,0))</f>
        <v/>
      </c>
      <c r="Q7" s="94">
        <f>IF(OR($N7="",$O7="",$P7=""),"",IFERROR($N7+$O7+$P7,0))</f>
        <v/>
      </c>
      <c r="R7" s="94">
        <f>IF(OR($K7="",ToplamFOB=""),"",IFERROR($K7/MAX(BolumPaydaTaban,ToplamFOB)*ToplamYurtIciMasraf,0))</f>
        <v/>
      </c>
      <c r="S7" s="94">
        <f>IF(OR($M7="",$Q7="",$R7=""),"",IFERROR($M7+$Q7+$R7,0))</f>
        <v/>
      </c>
      <c r="T7" s="94">
        <f>IF(OR($S7="",$C7=""),"",IFERROR($S7/MAX(BolumPaydaTaban,$C7),0))</f>
        <v/>
      </c>
      <c r="U7" s="94">
        <f>IF(OR($S7="",$K7=""),"",IFERROR($S7/MAX(BolumPaydaTaban,$K7),0))</f>
        <v/>
      </c>
    </row>
    <row r="8" ht="15" customHeight="1" s="68">
      <c r="A8" s="110" t="inlineStr">
        <is>
          <t>Boru Bağlantı Elemanı</t>
        </is>
      </c>
      <c r="B8" s="110" t="inlineStr">
        <is>
          <t>Kg</t>
        </is>
      </c>
      <c r="C8" s="111" t="n">
        <v>3000</v>
      </c>
      <c r="D8" s="112" t="n">
        <v>4</v>
      </c>
      <c r="E8" s="110" t="inlineStr">
        <is>
          <t>EUR</t>
        </is>
      </c>
      <c r="F8" s="112" t="n">
        <v>42</v>
      </c>
      <c r="G8" s="113" t="n">
        <v>0.05</v>
      </c>
      <c r="H8" s="113" t="n">
        <v>0.05</v>
      </c>
      <c r="I8" s="113" t="n">
        <v>0.1</v>
      </c>
      <c r="J8" s="113" t="n">
        <v>0.2</v>
      </c>
      <c r="K8" s="94">
        <f>IF(OR($C8="",$D8="",$F8=""),"",IFERROR($C8*$D8*$F8,0))</f>
        <v/>
      </c>
      <c r="L8" s="94">
        <f>IF(OR($K8="",$G8=""),"",IFERROR($K8*$G8,0))</f>
        <v/>
      </c>
      <c r="M8" s="94">
        <f>IF(OR($K8="",$L8=""),"",IFERROR($K8+$L8,0))</f>
        <v/>
      </c>
      <c r="N8" s="94">
        <f>IF(OR($M8="",$H8=""),"",IFERROR($M8*$H8,0))</f>
        <v/>
      </c>
      <c r="O8" s="94">
        <f>IF(OR($M8="",$N8="",$I8=""),"",IFERROR(($M8+$N8)*$I8,0))</f>
        <v/>
      </c>
      <c r="P8" s="94">
        <f>IF(OR($M8="",$N8="",$O8="",$J8=""),"",IFERROR(($M8+$N8+$O8)*$J8,0))</f>
        <v/>
      </c>
      <c r="Q8" s="94">
        <f>IF(OR($N8="",$O8="",$P8=""),"",IFERROR($N8+$O8+$P8,0))</f>
        <v/>
      </c>
      <c r="R8" s="94">
        <f>IF(OR($K8="",ToplamFOB=""),"",IFERROR($K8/MAX(BolumPaydaTaban,ToplamFOB)*ToplamYurtIciMasraf,0))</f>
        <v/>
      </c>
      <c r="S8" s="94">
        <f>IF(OR($M8="",$Q8="",$R8=""),"",IFERROR($M8+$Q8+$R8,0))</f>
        <v/>
      </c>
      <c r="T8" s="94">
        <f>IF(OR($S8="",$C8=""),"",IFERROR($S8/MAX(BolumPaydaTaban,$C8),0))</f>
        <v/>
      </c>
      <c r="U8" s="94">
        <f>IF(OR($S8="",$K8=""),"",IFERROR($S8/MAX(BolumPaydaTaban,$K8),0))</f>
        <v/>
      </c>
    </row>
    <row r="9" ht="15" customHeight="1" s="68">
      <c r="A9" s="110" t="inlineStr">
        <is>
          <t>Endüstriyel Motor</t>
        </is>
      </c>
      <c r="B9" s="110" t="inlineStr">
        <is>
          <t>Adet</t>
        </is>
      </c>
      <c r="C9" s="111" t="n">
        <v>25</v>
      </c>
      <c r="D9" s="112" t="n">
        <v>850</v>
      </c>
      <c r="E9" s="110" t="inlineStr">
        <is>
          <t>EUR</t>
        </is>
      </c>
      <c r="F9" s="112" t="n">
        <v>42</v>
      </c>
      <c r="G9" s="113" t="n">
        <v>0.05</v>
      </c>
      <c r="H9" s="113" t="n">
        <v>0.05</v>
      </c>
      <c r="I9" s="113" t="n">
        <v>0.1</v>
      </c>
      <c r="J9" s="113" t="n">
        <v>0.2</v>
      </c>
      <c r="K9" s="94">
        <f>IF(OR($C9="",$D9="",$F9=""),"",IFERROR($C9*$D9*$F9,0))</f>
        <v/>
      </c>
      <c r="L9" s="94">
        <f>IF(OR($K9="",$G9=""),"",IFERROR($K9*$G9,0))</f>
        <v/>
      </c>
      <c r="M9" s="94">
        <f>IF(OR($K9="",$L9=""),"",IFERROR($K9+$L9,0))</f>
        <v/>
      </c>
      <c r="N9" s="94">
        <f>IF(OR($M9="",$H9=""),"",IFERROR($M9*$H9,0))</f>
        <v/>
      </c>
      <c r="O9" s="94">
        <f>IF(OR($M9="",$N9="",$I9=""),"",IFERROR(($M9+$N9)*$I9,0))</f>
        <v/>
      </c>
      <c r="P9" s="94">
        <f>IF(OR($M9="",$N9="",$O9="",$J9=""),"",IFERROR(($M9+$N9+$O9)*$J9,0))</f>
        <v/>
      </c>
      <c r="Q9" s="94">
        <f>IF(OR($N9="",$O9="",$P9=""),"",IFERROR($N9+$O9+$P9,0))</f>
        <v/>
      </c>
      <c r="R9" s="94">
        <f>IF(OR($K9="",ToplamFOB=""),"",IFERROR($K9/MAX(BolumPaydaTaban,ToplamFOB)*ToplamYurtIciMasraf,0))</f>
        <v/>
      </c>
      <c r="S9" s="94">
        <f>IF(OR($M9="",$Q9="",$R9=""),"",IFERROR($M9+$Q9+$R9,0))</f>
        <v/>
      </c>
      <c r="T9" s="94">
        <f>IF(OR($S9="",$C9=""),"",IFERROR($S9/MAX(BolumPaydaTaban,$C9),0))</f>
        <v/>
      </c>
      <c r="U9" s="94">
        <f>IF(OR($S9="",$K9=""),"",IFERROR($S9/MAX(BolumPaydaTaban,$K9),0))</f>
        <v/>
      </c>
    </row>
    <row r="10" ht="15" customHeight="1" s="68">
      <c r="A10" s="110" t="inlineStr">
        <is>
          <t>Rulman Yatağı</t>
        </is>
      </c>
      <c r="B10" s="110" t="inlineStr">
        <is>
          <t>Adet</t>
        </is>
      </c>
      <c r="C10" s="111" t="n">
        <v>400</v>
      </c>
      <c r="D10" s="112" t="n">
        <v>18</v>
      </c>
      <c r="E10" s="110" t="inlineStr">
        <is>
          <t>USD</t>
        </is>
      </c>
      <c r="F10" s="112" t="n">
        <v>38.5</v>
      </c>
      <c r="G10" s="113" t="n">
        <v>0.05</v>
      </c>
      <c r="H10" s="113" t="n">
        <v>0.05</v>
      </c>
      <c r="I10" s="113" t="n">
        <v>0.1</v>
      </c>
      <c r="J10" s="113" t="n">
        <v>0.2</v>
      </c>
      <c r="K10" s="94">
        <f>IF(OR($C10="",$D10="",$F10=""),"",IFERROR($C10*$D10*$F10,0))</f>
        <v/>
      </c>
      <c r="L10" s="94">
        <f>IF(OR($K10="",$G10=""),"",IFERROR($K10*$G10,0))</f>
        <v/>
      </c>
      <c r="M10" s="94">
        <f>IF(OR($K10="",$L10=""),"",IFERROR($K10+$L10,0))</f>
        <v/>
      </c>
      <c r="N10" s="94">
        <f>IF(OR($M10="",$H10=""),"",IFERROR($M10*$H10,0))</f>
        <v/>
      </c>
      <c r="O10" s="94">
        <f>IF(OR($M10="",$N10="",$I10=""),"",IFERROR(($M10+$N10)*$I10,0))</f>
        <v/>
      </c>
      <c r="P10" s="94">
        <f>IF(OR($M10="",$N10="",$O10="",$J10=""),"",IFERROR(($M10+$N10+$O10)*$J10,0))</f>
        <v/>
      </c>
      <c r="Q10" s="94">
        <f>IF(OR($N10="",$O10="",$P10=""),"",IFERROR($N10+$O10+$P10,0))</f>
        <v/>
      </c>
      <c r="R10" s="94">
        <f>IF(OR($K10="",ToplamFOB=""),"",IFERROR($K10/MAX(BolumPaydaTaban,ToplamFOB)*ToplamYurtIciMasraf,0))</f>
        <v/>
      </c>
      <c r="S10" s="94">
        <f>IF(OR($M10="",$Q10="",$R10=""),"",IFERROR($M10+$Q10+$R10,0))</f>
        <v/>
      </c>
      <c r="T10" s="94">
        <f>IF(OR($S10="",$C10=""),"",IFERROR($S10/MAX(BolumPaydaTaban,$C10),0))</f>
        <v/>
      </c>
      <c r="U10" s="94">
        <f>IF(OR($S10="",$K10=""),"",IFERROR($S10/MAX(BolumPaydaTaban,$K10),0))</f>
        <v/>
      </c>
    </row>
    <row r="11" ht="15" customHeight="1" s="68">
      <c r="A11" s="110" t="inlineStr">
        <is>
          <t>Kayış Kasnak Seti</t>
        </is>
      </c>
      <c r="B11" s="110" t="inlineStr">
        <is>
          <t>Set</t>
        </is>
      </c>
      <c r="C11" s="111" t="n">
        <v>150</v>
      </c>
      <c r="D11" s="112" t="n">
        <v>45</v>
      </c>
      <c r="E11" s="110" t="inlineStr">
        <is>
          <t>USD</t>
        </is>
      </c>
      <c r="F11" s="112" t="n">
        <v>38.5</v>
      </c>
      <c r="G11" s="113" t="n">
        <v>0.05</v>
      </c>
      <c r="H11" s="113" t="n">
        <v>0.05</v>
      </c>
      <c r="I11" s="113" t="n">
        <v>0.1</v>
      </c>
      <c r="J11" s="113" t="n">
        <v>0.2</v>
      </c>
      <c r="K11" s="94">
        <f>IF(OR($C11="",$D11="",$F11=""),"",IFERROR($C11*$D11*$F11,0))</f>
        <v/>
      </c>
      <c r="L11" s="94">
        <f>IF(OR($K11="",$G11=""),"",IFERROR($K11*$G11,0))</f>
        <v/>
      </c>
      <c r="M11" s="94">
        <f>IF(OR($K11="",$L11=""),"",IFERROR($K11+$L11,0))</f>
        <v/>
      </c>
      <c r="N11" s="94">
        <f>IF(OR($M11="",$H11=""),"",IFERROR($M11*$H11,0))</f>
        <v/>
      </c>
      <c r="O11" s="94">
        <f>IF(OR($M11="",$N11="",$I11=""),"",IFERROR(($M11+$N11)*$I11,0))</f>
        <v/>
      </c>
      <c r="P11" s="94">
        <f>IF(OR($M11="",$N11="",$O11="",$J11=""),"",IFERROR(($M11+$N11+$O11)*$J11,0))</f>
        <v/>
      </c>
      <c r="Q11" s="94">
        <f>IF(OR($N11="",$O11="",$P11=""),"",IFERROR($N11+$O11+$P11,0))</f>
        <v/>
      </c>
      <c r="R11" s="94">
        <f>IF(OR($K11="",ToplamFOB=""),"",IFERROR($K11/MAX(BolumPaydaTaban,ToplamFOB)*ToplamYurtIciMasraf,0))</f>
        <v/>
      </c>
      <c r="S11" s="94">
        <f>IF(OR($M11="",$Q11="",$R11=""),"",IFERROR($M11+$Q11+$R11,0))</f>
        <v/>
      </c>
      <c r="T11" s="94">
        <f>IF(OR($S11="",$C11=""),"",IFERROR($S11/MAX(BolumPaydaTaban,$C11),0))</f>
        <v/>
      </c>
      <c r="U11" s="94">
        <f>IF(OR($S11="",$K11=""),"",IFERROR($S11/MAX(BolumPaydaTaban,$K11),0))</f>
        <v/>
      </c>
    </row>
    <row r="12" ht="15" customHeight="1" s="68">
      <c r="A12" s="110" t="inlineStr">
        <is>
          <t>Pnömatik Silindir</t>
        </is>
      </c>
      <c r="B12" s="110" t="inlineStr">
        <is>
          <t>Adet</t>
        </is>
      </c>
      <c r="C12" s="111" t="n">
        <v>80</v>
      </c>
      <c r="D12" s="112" t="n">
        <v>260</v>
      </c>
      <c r="E12" s="110" t="inlineStr">
        <is>
          <t>USD</t>
        </is>
      </c>
      <c r="F12" s="112" t="n">
        <v>38.5</v>
      </c>
      <c r="G12" s="113" t="n">
        <v>0.05</v>
      </c>
      <c r="H12" s="113" t="n">
        <v>0.05</v>
      </c>
      <c r="I12" s="113" t="n">
        <v>0.1</v>
      </c>
      <c r="J12" s="113" t="n">
        <v>0.2</v>
      </c>
      <c r="K12" s="94">
        <f>IF(OR($C12="",$D12="",$F12=""),"",IFERROR($C12*$D12*$F12,0))</f>
        <v/>
      </c>
      <c r="L12" s="94">
        <f>IF(OR($K12="",$G12=""),"",IFERROR($K12*$G12,0))</f>
        <v/>
      </c>
      <c r="M12" s="94">
        <f>IF(OR($K12="",$L12=""),"",IFERROR($K12+$L12,0))</f>
        <v/>
      </c>
      <c r="N12" s="94">
        <f>IF(OR($M12="",$H12=""),"",IFERROR($M12*$H12,0))</f>
        <v/>
      </c>
      <c r="O12" s="94">
        <f>IF(OR($M12="",$N12="",$I12=""),"",IFERROR(($M12+$N12)*$I12,0))</f>
        <v/>
      </c>
      <c r="P12" s="94">
        <f>IF(OR($M12="",$N12="",$O12="",$J12=""),"",IFERROR(($M12+$N12+$O12)*$J12,0))</f>
        <v/>
      </c>
      <c r="Q12" s="94">
        <f>IF(OR($N12="",$O12="",$P12=""),"",IFERROR($N12+$O12+$P12,0))</f>
        <v/>
      </c>
      <c r="R12" s="94">
        <f>IF(OR($K12="",ToplamFOB=""),"",IFERROR($K12/MAX(BolumPaydaTaban,ToplamFOB)*ToplamYurtIciMasraf,0))</f>
        <v/>
      </c>
      <c r="S12" s="94">
        <f>IF(OR($M12="",$Q12="",$R12=""),"",IFERROR($M12+$Q12+$R12,0))</f>
        <v/>
      </c>
      <c r="T12" s="94">
        <f>IF(OR($S12="",$C12=""),"",IFERROR($S12/MAX(BolumPaydaTaban,$C12),0))</f>
        <v/>
      </c>
      <c r="U12" s="94">
        <f>IF(OR($S12="",$K12=""),"",IFERROR($S12/MAX(BolumPaydaTaban,$K12),0))</f>
        <v/>
      </c>
    </row>
    <row r="13" ht="15" customHeight="1" s="68">
      <c r="A13" s="110" t="inlineStr">
        <is>
          <t>Dişli Kutusu</t>
        </is>
      </c>
      <c r="B13" s="110" t="inlineStr">
        <is>
          <t>Adet</t>
        </is>
      </c>
      <c r="C13" s="111" t="n">
        <v>12</v>
      </c>
      <c r="D13" s="112" t="n">
        <v>1450</v>
      </c>
      <c r="E13" s="110" t="inlineStr">
        <is>
          <t>EUR</t>
        </is>
      </c>
      <c r="F13" s="112" t="n">
        <v>42</v>
      </c>
      <c r="G13" s="113" t="n">
        <v>0.05</v>
      </c>
      <c r="H13" s="113" t="n">
        <v>0.05</v>
      </c>
      <c r="I13" s="113" t="n">
        <v>0.1</v>
      </c>
      <c r="J13" s="113" t="n">
        <v>0.2</v>
      </c>
      <c r="K13" s="94">
        <f>IF(OR($C13="",$D13="",$F13=""),"",IFERROR($C13*$D13*$F13,0))</f>
        <v/>
      </c>
      <c r="L13" s="94">
        <f>IF(OR($K13="",$G13=""),"",IFERROR($K13*$G13,0))</f>
        <v/>
      </c>
      <c r="M13" s="94">
        <f>IF(OR($K13="",$L13=""),"",IFERROR($K13+$L13,0))</f>
        <v/>
      </c>
      <c r="N13" s="94">
        <f>IF(OR($M13="",$H13=""),"",IFERROR($M13*$H13,0))</f>
        <v/>
      </c>
      <c r="O13" s="94">
        <f>IF(OR($M13="",$N13="",$I13=""),"",IFERROR(($M13+$N13)*$I13,0))</f>
        <v/>
      </c>
      <c r="P13" s="94">
        <f>IF(OR($M13="",$N13="",$O13="",$J13=""),"",IFERROR(($M13+$N13+$O13)*$J13,0))</f>
        <v/>
      </c>
      <c r="Q13" s="94">
        <f>IF(OR($N13="",$O13="",$P13=""),"",IFERROR($N13+$O13+$P13,0))</f>
        <v/>
      </c>
      <c r="R13" s="94">
        <f>IF(OR($K13="",ToplamFOB=""),"",IFERROR($K13/MAX(BolumPaydaTaban,ToplamFOB)*ToplamYurtIciMasraf,0))</f>
        <v/>
      </c>
      <c r="S13" s="94">
        <f>IF(OR($M13="",$Q13="",$R13=""),"",IFERROR($M13+$Q13+$R13,0))</f>
        <v/>
      </c>
      <c r="T13" s="94">
        <f>IF(OR($S13="",$C13=""),"",IFERROR($S13/MAX(BolumPaydaTaban,$C13),0))</f>
        <v/>
      </c>
      <c r="U13" s="94">
        <f>IF(OR($S13="",$K13=""),"",IFERROR($S13/MAX(BolumPaydaTaban,$K13),0))</f>
        <v/>
      </c>
    </row>
    <row r="14" ht="15" customHeight="1" s="68">
      <c r="A14" s="110" t="inlineStr">
        <is>
          <t>Basınç Sensörü</t>
        </is>
      </c>
      <c r="B14" s="110" t="inlineStr">
        <is>
          <t>Adet</t>
        </is>
      </c>
      <c r="C14" s="111" t="n">
        <v>300</v>
      </c>
      <c r="D14" s="112" t="n">
        <v>32</v>
      </c>
      <c r="E14" s="110" t="inlineStr">
        <is>
          <t>EUR</t>
        </is>
      </c>
      <c r="F14" s="112" t="n">
        <v>42</v>
      </c>
      <c r="G14" s="113" t="n">
        <v>0.05</v>
      </c>
      <c r="H14" s="113" t="n">
        <v>0.05</v>
      </c>
      <c r="I14" s="113" t="n">
        <v>0.1</v>
      </c>
      <c r="J14" s="113" t="n">
        <v>0.2</v>
      </c>
      <c r="K14" s="94">
        <f>IF(OR($C14="",$D14="",$F14=""),"",IFERROR($C14*$D14*$F14,0))</f>
        <v/>
      </c>
      <c r="L14" s="94">
        <f>IF(OR($K14="",$G14=""),"",IFERROR($K14*$G14,0))</f>
        <v/>
      </c>
      <c r="M14" s="94">
        <f>IF(OR($K14="",$L14=""),"",IFERROR($K14+$L14,0))</f>
        <v/>
      </c>
      <c r="N14" s="94">
        <f>IF(OR($M14="",$H14=""),"",IFERROR($M14*$H14,0))</f>
        <v/>
      </c>
      <c r="O14" s="94">
        <f>IF(OR($M14="",$N14="",$I14=""),"",IFERROR(($M14+$N14)*$I14,0))</f>
        <v/>
      </c>
      <c r="P14" s="94">
        <f>IF(OR($M14="",$N14="",$O14="",$J14=""),"",IFERROR(($M14+$N14+$O14)*$J14,0))</f>
        <v/>
      </c>
      <c r="Q14" s="94">
        <f>IF(OR($N14="",$O14="",$P14=""),"",IFERROR($N14+$O14+$P14,0))</f>
        <v/>
      </c>
      <c r="R14" s="94">
        <f>IF(OR($K14="",ToplamFOB=""),"",IFERROR($K14/MAX(BolumPaydaTaban,ToplamFOB)*ToplamYurtIciMasraf,0))</f>
        <v/>
      </c>
      <c r="S14" s="94">
        <f>IF(OR($M14="",$Q14="",$R14=""),"",IFERROR($M14+$Q14+$R14,0))</f>
        <v/>
      </c>
      <c r="T14" s="94">
        <f>IF(OR($S14="",$C14=""),"",IFERROR($S14/MAX(BolumPaydaTaban,$C14),0))</f>
        <v/>
      </c>
      <c r="U14" s="94">
        <f>IF(OR($S14="",$K14=""),"",IFERROR($S14/MAX(BolumPaydaTaban,$K14),0))</f>
        <v/>
      </c>
    </row>
    <row r="15" ht="15" customHeight="1" s="68">
      <c r="A15" s="110" t="inlineStr">
        <is>
          <t>Konveyör Rulosu</t>
        </is>
      </c>
      <c r="B15" s="110" t="inlineStr">
        <is>
          <t>Adet</t>
        </is>
      </c>
      <c r="C15" s="111" t="n">
        <v>600</v>
      </c>
      <c r="D15" s="112" t="n">
        <v>9</v>
      </c>
      <c r="E15" s="110" t="inlineStr">
        <is>
          <t>USD</t>
        </is>
      </c>
      <c r="F15" s="112" t="n">
        <v>38.5</v>
      </c>
      <c r="G15" s="113" t="n">
        <v>0.05</v>
      </c>
      <c r="H15" s="113" t="n">
        <v>0.05</v>
      </c>
      <c r="I15" s="113" t="n">
        <v>0.1</v>
      </c>
      <c r="J15" s="113" t="n">
        <v>0.2</v>
      </c>
      <c r="K15" s="94">
        <f>IF(OR($C15="",$D15="",$F15=""),"",IFERROR($C15*$D15*$F15,0))</f>
        <v/>
      </c>
      <c r="L15" s="94">
        <f>IF(OR($K15="",$G15=""),"",IFERROR($K15*$G15,0))</f>
        <v/>
      </c>
      <c r="M15" s="94">
        <f>IF(OR($K15="",$L15=""),"",IFERROR($K15+$L15,0))</f>
        <v/>
      </c>
      <c r="N15" s="94">
        <f>IF(OR($M15="",$H15=""),"",IFERROR($M15*$H15,0))</f>
        <v/>
      </c>
      <c r="O15" s="94">
        <f>IF(OR($M15="",$N15="",$I15=""),"",IFERROR(($M15+$N15)*$I15,0))</f>
        <v/>
      </c>
      <c r="P15" s="94">
        <f>IF(OR($M15="",$N15="",$O15="",$J15=""),"",IFERROR(($M15+$N15+$O15)*$J15,0))</f>
        <v/>
      </c>
      <c r="Q15" s="94">
        <f>IF(OR($N15="",$O15="",$P15=""),"",IFERROR($N15+$O15+$P15,0))</f>
        <v/>
      </c>
      <c r="R15" s="94">
        <f>IF(OR($K15="",ToplamFOB=""),"",IFERROR($K15/MAX(BolumPaydaTaban,ToplamFOB)*ToplamYurtIciMasraf,0))</f>
        <v/>
      </c>
      <c r="S15" s="94">
        <f>IF(OR($M15="",$Q15="",$R15=""),"",IFERROR($M15+$Q15+$R15,0))</f>
        <v/>
      </c>
      <c r="T15" s="94">
        <f>IF(OR($S15="",$C15=""),"",IFERROR($S15/MAX(BolumPaydaTaban,$C15),0))</f>
        <v/>
      </c>
      <c r="U15" s="94">
        <f>IF(OR($S15="",$K15=""),"",IFERROR($S15/MAX(BolumPaydaTaban,$K15),0))</f>
        <v/>
      </c>
    </row>
    <row r="16" ht="15" customHeight="1" s="68">
      <c r="A16" s="110" t="inlineStr">
        <is>
          <t>Kompresör Yedeği</t>
        </is>
      </c>
      <c r="B16" s="110" t="inlineStr">
        <is>
          <t>Adet</t>
        </is>
      </c>
      <c r="C16" s="111" t="n">
        <v>20</v>
      </c>
      <c r="D16" s="112" t="n">
        <v>720</v>
      </c>
      <c r="E16" s="110" t="inlineStr">
        <is>
          <t>USD</t>
        </is>
      </c>
      <c r="F16" s="112" t="n">
        <v>38.5</v>
      </c>
      <c r="G16" s="113" t="n">
        <v>0.05</v>
      </c>
      <c r="H16" s="113" t="n">
        <v>0.05</v>
      </c>
      <c r="I16" s="113" t="n">
        <v>0.1</v>
      </c>
      <c r="J16" s="113" t="n">
        <v>0.2</v>
      </c>
      <c r="K16" s="94">
        <f>IF(OR($C16="",$D16="",$F16=""),"",IFERROR($C16*$D16*$F16,0))</f>
        <v/>
      </c>
      <c r="L16" s="94">
        <f>IF(OR($K16="",$G16=""),"",IFERROR($K16*$G16,0))</f>
        <v/>
      </c>
      <c r="M16" s="94">
        <f>IF(OR($K16="",$L16=""),"",IFERROR($K16+$L16,0))</f>
        <v/>
      </c>
      <c r="N16" s="94">
        <f>IF(OR($M16="",$H16=""),"",IFERROR($M16*$H16,0))</f>
        <v/>
      </c>
      <c r="O16" s="94">
        <f>IF(OR($M16="",$N16="",$I16=""),"",IFERROR(($M16+$N16)*$I16,0))</f>
        <v/>
      </c>
      <c r="P16" s="94">
        <f>IF(OR($M16="",$N16="",$O16="",$J16=""),"",IFERROR(($M16+$N16+$O16)*$J16,0))</f>
        <v/>
      </c>
      <c r="Q16" s="94">
        <f>IF(OR($N16="",$O16="",$P16=""),"",IFERROR($N16+$O16+$P16,0))</f>
        <v/>
      </c>
      <c r="R16" s="94">
        <f>IF(OR($K16="",ToplamFOB=""),"",IFERROR($K16/MAX(BolumPaydaTaban,ToplamFOB)*ToplamYurtIciMasraf,0))</f>
        <v/>
      </c>
      <c r="S16" s="94">
        <f>IF(OR($M16="",$Q16="",$R16=""),"",IFERROR($M16+$Q16+$R16,0))</f>
        <v/>
      </c>
      <c r="T16" s="94">
        <f>IF(OR($S16="",$C16=""),"",IFERROR($S16/MAX(BolumPaydaTaban,$C16),0))</f>
        <v/>
      </c>
      <c r="U16" s="94">
        <f>IF(OR($S16="",$K16=""),"",IFERROR($S16/MAX(BolumPaydaTaban,$K16),0))</f>
        <v/>
      </c>
    </row>
    <row r="17" ht="15" customHeight="1" s="68">
      <c r="A17" s="110" t="inlineStr">
        <is>
          <t>Yağ Filtresi</t>
        </is>
      </c>
      <c r="B17" s="110" t="inlineStr">
        <is>
          <t>Adet</t>
        </is>
      </c>
      <c r="C17" s="111" t="n">
        <v>1200</v>
      </c>
      <c r="D17" s="112" t="n">
        <v>6</v>
      </c>
      <c r="E17" s="110" t="inlineStr">
        <is>
          <t>EUR</t>
        </is>
      </c>
      <c r="F17" s="112" t="n">
        <v>42</v>
      </c>
      <c r="G17" s="113" t="n">
        <v>0.05</v>
      </c>
      <c r="H17" s="113" t="n">
        <v>0.05</v>
      </c>
      <c r="I17" s="113" t="n">
        <v>0.1</v>
      </c>
      <c r="J17" s="113" t="n">
        <v>0.2</v>
      </c>
      <c r="K17" s="94">
        <f>IF(OR($C17="",$D17="",$F17=""),"",IFERROR($C17*$D17*$F17,0))</f>
        <v/>
      </c>
      <c r="L17" s="94">
        <f>IF(OR($K17="",$G17=""),"",IFERROR($K17*$G17,0))</f>
        <v/>
      </c>
      <c r="M17" s="94">
        <f>IF(OR($K17="",$L17=""),"",IFERROR($K17+$L17,0))</f>
        <v/>
      </c>
      <c r="N17" s="94">
        <f>IF(OR($M17="",$H17=""),"",IFERROR($M17*$H17,0))</f>
        <v/>
      </c>
      <c r="O17" s="94">
        <f>IF(OR($M17="",$N17="",$I17=""),"",IFERROR(($M17+$N17)*$I17,0))</f>
        <v/>
      </c>
      <c r="P17" s="94">
        <f>IF(OR($M17="",$N17="",$O17="",$J17=""),"",IFERROR(($M17+$N17+$O17)*$J17,0))</f>
        <v/>
      </c>
      <c r="Q17" s="94">
        <f>IF(OR($N17="",$O17="",$P17=""),"",IFERROR($N17+$O17+$P17,0))</f>
        <v/>
      </c>
      <c r="R17" s="94">
        <f>IF(OR($K17="",ToplamFOB=""),"",IFERROR($K17/MAX(BolumPaydaTaban,ToplamFOB)*ToplamYurtIciMasraf,0))</f>
        <v/>
      </c>
      <c r="S17" s="94">
        <f>IF(OR($M17="",$Q17="",$R17=""),"",IFERROR($M17+$Q17+$R17,0))</f>
        <v/>
      </c>
      <c r="T17" s="94">
        <f>IF(OR($S17="",$C17=""),"",IFERROR($S17/MAX(BolumPaydaTaban,$C17),0))</f>
        <v/>
      </c>
      <c r="U17" s="94">
        <f>IF(OR($S17="",$K17=""),"",IFERROR($S17/MAX(BolumPaydaTaban,$K17),0))</f>
        <v/>
      </c>
    </row>
    <row r="18" ht="15" customHeight="1" s="6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</row>
    <row r="19" ht="15" customHeight="1" s="68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</row>
    <row r="20" ht="15" customHeight="1" s="68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</row>
    <row r="21" ht="15" customHeight="1" s="68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</row>
    <row r="22" ht="15" customHeight="1" s="68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</row>
    <row r="23" ht="15" customHeight="1" s="68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</row>
    <row r="24" ht="15" customHeight="1" s="68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</row>
    <row r="25" ht="15" customHeight="1" s="68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</row>
    <row r="26" ht="15" customHeight="1" s="68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</row>
    <row r="27" ht="15" customHeight="1" s="68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</row>
    <row r="28" ht="15" customHeight="1" s="6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</row>
    <row r="29" ht="15" customHeight="1" s="68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</row>
    <row r="30" ht="15" customHeight="1" s="68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</row>
    <row r="31" ht="15" customHeight="1" s="68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</row>
    <row r="32" ht="15" customHeight="1" s="68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</row>
    <row r="33" ht="15" customHeight="1" s="68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</row>
    <row r="34" ht="15" customHeight="1" s="68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</row>
    <row r="35" ht="15" customHeight="1" s="68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</row>
    <row r="36" ht="15" customHeight="1" s="68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</row>
    <row r="37" ht="15" customHeight="1" s="68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</row>
    <row r="38" ht="15" customHeight="1" s="6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</row>
    <row r="39" ht="15" customHeight="1" s="68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</row>
    <row r="40" ht="15" customHeight="1" s="68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</row>
    <row r="41" ht="15" customHeight="1" s="68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</row>
    <row r="42" ht="15" customHeight="1" s="68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</row>
    <row r="43" ht="15" customHeight="1" s="68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</row>
    <row r="44" ht="15" customHeight="1" s="68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</row>
    <row r="45" ht="15" customHeight="1" s="68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</row>
    <row r="46" ht="15" customHeight="1" s="68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</row>
    <row r="47" ht="15" customHeight="1" s="68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</row>
    <row r="48" ht="15" customHeight="1" s="6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</row>
    <row r="49" ht="15" customHeight="1" s="68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</row>
    <row r="50" ht="15" customHeight="1" s="68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</row>
    <row r="51" ht="15" customHeight="1" s="68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</row>
    <row r="52" ht="15" customHeight="1" s="68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</row>
    <row r="53" ht="15" customHeight="1" s="68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</row>
    <row r="54" ht="15" customHeight="1" s="68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</row>
    <row r="55" ht="15" customHeight="1" s="68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</row>
    <row r="56" ht="15" customHeight="1" s="68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</row>
    <row r="57" ht="15" customHeight="1" s="68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</row>
    <row r="58" ht="15" customHeight="1" s="6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</row>
    <row r="59" ht="15" customHeight="1" s="68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</row>
    <row r="60" ht="15" customHeight="1" s="68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</row>
    <row r="61" ht="15" customHeight="1" s="68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</row>
    <row r="62" ht="15" customHeight="1" s="68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</row>
    <row r="63" ht="15" customHeight="1" s="68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</row>
    <row r="64" ht="15" customHeight="1" s="68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</row>
    <row r="65" ht="15" customHeight="1" s="68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</row>
    <row r="66" ht="15" customHeight="1" s="68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</row>
    <row r="67" ht="15" customHeight="1" s="68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</row>
    <row r="68" ht="15" customHeight="1" s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</row>
    <row r="69" ht="15" customHeight="1" s="68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</row>
    <row r="70" ht="15" customHeight="1" s="68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</row>
    <row r="71" ht="15" customHeight="1" s="68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</row>
    <row r="72" ht="15" customHeight="1" s="68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</row>
    <row r="73" ht="15" customHeight="1" s="68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</row>
    <row r="74" ht="15" customHeight="1" s="68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</row>
    <row r="75" ht="15" customHeight="1" s="68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</row>
    <row r="76" ht="15" customHeight="1" s="68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</row>
    <row r="77" ht="15" customHeight="1" s="68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</row>
    <row r="78" ht="15" customHeight="1" s="6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</row>
    <row r="79" ht="15" customHeight="1" s="68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</row>
    <row r="80" ht="15" customHeight="1" s="68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</row>
    <row r="81" ht="15" customHeight="1" s="68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</row>
    <row r="82" ht="15" customHeight="1" s="68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</row>
    <row r="83" ht="15" customHeight="1" s="68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</row>
    <row r="84" ht="15" customHeight="1" s="68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</row>
    <row r="85" ht="15" customHeight="1" s="68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</row>
    <row r="86" ht="15" customHeight="1" s="68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</row>
    <row r="87" ht="15" customHeight="1" s="68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</row>
    <row r="88" ht="15" customHeight="1" s="6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</row>
    <row r="89" ht="15" customHeight="1" s="68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</row>
    <row r="90" ht="15" customHeight="1" s="68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</row>
    <row r="91" ht="15" customHeight="1" s="68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</row>
    <row r="92" ht="15" customHeight="1" s="68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</row>
    <row r="93" ht="15" customHeight="1" s="68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</row>
    <row r="94" ht="15" customHeight="1" s="68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</row>
    <row r="95" ht="15" customHeight="1" s="68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</row>
    <row r="96" ht="15" customHeight="1" s="68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</row>
    <row r="97" ht="15" customHeight="1" s="68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</row>
    <row r="98" ht="15" customHeight="1" s="6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</row>
    <row r="99" ht="15" customHeight="1" s="68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</row>
    <row r="100" ht="15" customHeight="1" s="68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</row>
    <row r="101" ht="15" customHeight="1" s="68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</row>
    <row r="102" ht="15" customHeight="1" s="68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</row>
    <row r="103" ht="15" customHeight="1" s="68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</row>
    <row r="104" ht="15" customHeight="1" s="68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</row>
    <row r="105" ht="15" customHeight="1" s="68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</row>
    <row r="106" ht="15" customHeight="1" s="68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</row>
    <row r="107" ht="15" customHeight="1" s="68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</row>
    <row r="108" ht="15" customHeight="1" s="6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</row>
    <row r="109" ht="15" customHeight="1" s="68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</row>
    <row r="110" ht="15" customHeight="1" s="68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</row>
    <row r="111" ht="15" customHeight="1" s="68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</row>
    <row r="112" ht="15" customHeight="1" s="68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</row>
    <row r="113" ht="15" customHeight="1" s="68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</row>
    <row r="114" ht="15" customHeight="1" s="68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</row>
    <row r="115" ht="15" customHeight="1" s="68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</row>
    <row r="116" ht="15" customHeight="1" s="68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</row>
    <row r="117" ht="15" customHeight="1" s="68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</row>
    <row r="118" ht="15" customHeight="1" s="6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</row>
    <row r="119" ht="15" customHeight="1" s="68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</row>
    <row r="120" ht="15" customHeight="1" s="68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</row>
    <row r="121" ht="15" customHeight="1" s="68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</row>
    <row r="122" ht="15" customHeight="1" s="68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</row>
    <row r="123" ht="15" customHeight="1" s="68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</row>
    <row r="124" ht="15" customHeight="1" s="68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</row>
    <row r="125" ht="15" customHeight="1" s="68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</row>
    <row r="126" ht="15" customHeight="1" s="68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</row>
    <row r="127" ht="15" customHeight="1" s="68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</row>
    <row r="128" ht="15" customHeight="1" s="6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</row>
    <row r="129" ht="15" customHeight="1" s="68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</row>
    <row r="130" ht="15" customHeight="1" s="68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</row>
    <row r="131" ht="15" customHeight="1" s="68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</row>
    <row r="132" ht="15" customHeight="1" s="68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</row>
    <row r="133" ht="15" customHeight="1" s="68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</row>
    <row r="134" ht="15" customHeight="1" s="68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</row>
    <row r="135" ht="15" customHeight="1" s="68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</row>
    <row r="136" ht="15" customHeight="1" s="68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</row>
    <row r="137" ht="15" customHeight="1" s="68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</row>
    <row r="138" ht="15" customHeight="1" s="6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</row>
    <row r="139" ht="15" customHeight="1" s="68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</row>
    <row r="140" ht="15" customHeight="1" s="68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</row>
    <row r="141" ht="15" customHeight="1" s="68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</row>
    <row r="142" ht="15" customHeight="1" s="68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</row>
    <row r="143" ht="15" customHeight="1" s="68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</row>
    <row r="144" ht="15" customHeight="1" s="68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</row>
    <row r="145" ht="15" customHeight="1" s="68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</row>
    <row r="146" ht="15" customHeight="1" s="68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</row>
    <row r="147" ht="15" customHeight="1" s="68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</row>
    <row r="148" ht="15" customHeight="1" s="6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</row>
    <row r="149" ht="15" customHeight="1" s="68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</row>
    <row r="150" ht="15" customHeight="1" s="68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</row>
    <row r="151" ht="15" customHeight="1" s="68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</row>
    <row r="152" ht="15" customHeight="1" s="68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</row>
    <row r="153" ht="15" customHeight="1" s="68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</row>
    <row r="154" ht="15" customHeight="1" s="68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</row>
    <row r="155" ht="15" customHeight="1" s="68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</row>
    <row r="156" ht="15" customHeight="1" s="68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</row>
    <row r="157" ht="15" customHeight="1" s="68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</row>
    <row r="158" ht="15" customHeight="1" s="6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</row>
    <row r="159" ht="15" customHeight="1" s="68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</row>
    <row r="160" ht="15" customHeight="1" s="68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</row>
    <row r="161" ht="15" customHeight="1" s="68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</row>
    <row r="162" ht="15" customHeight="1" s="68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</row>
    <row r="163" ht="15" customHeight="1" s="68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</row>
    <row r="164" ht="15" customHeight="1" s="68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</row>
    <row r="165" ht="15" customHeight="1" s="68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</row>
    <row r="166" ht="15" customHeight="1" s="68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</row>
    <row r="167" ht="15" customHeight="1" s="68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</row>
    <row r="168" ht="15" customHeight="1" s="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</row>
    <row r="169" ht="15" customHeight="1" s="68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</row>
    <row r="170" ht="15" customHeight="1" s="68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</row>
    <row r="171" ht="15" customHeight="1" s="68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</row>
    <row r="172" ht="15" customHeight="1" s="68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</row>
    <row r="173" ht="15" customHeight="1" s="68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</row>
    <row r="174" ht="15" customHeight="1" s="68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</row>
    <row r="175" ht="15" customHeight="1" s="68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</row>
    <row r="176" ht="15" customHeight="1" s="68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</row>
    <row r="177" ht="15" customHeight="1" s="68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</row>
    <row r="178" ht="15" customHeight="1" s="6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</row>
    <row r="179" ht="15" customHeight="1" s="68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</row>
    <row r="180" ht="15" customHeight="1" s="68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</row>
    <row r="181" ht="15" customHeight="1" s="68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</row>
    <row r="182" ht="15" customHeight="1" s="68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</row>
    <row r="183" ht="15" customHeight="1" s="68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</row>
    <row r="184" ht="15" customHeight="1" s="68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</row>
    <row r="185" ht="15" customHeight="1" s="68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</row>
    <row r="186" ht="15" customHeight="1" s="68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</row>
    <row r="187" ht="15" customHeight="1" s="68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</row>
    <row r="188" ht="15" customHeight="1" s="6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</row>
    <row r="189" ht="15" customHeight="1" s="68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</row>
    <row r="190" ht="15" customHeight="1" s="68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</row>
    <row r="191" ht="15" customHeight="1" s="68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</row>
    <row r="192" ht="15" customHeight="1" s="68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</row>
    <row r="193" ht="15" customHeight="1" s="68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</row>
    <row r="194" ht="15" customHeight="1" s="68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</row>
    <row r="195" ht="15" customHeight="1" s="68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</row>
    <row r="196" ht="15" customHeight="1" s="68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</row>
    <row r="197" ht="15" customHeight="1" s="68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</row>
    <row r="198" ht="15" customHeight="1" s="6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</row>
    <row r="199" ht="15" customHeight="1" s="68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</row>
    <row r="200" ht="15" customHeight="1" s="68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</row>
    <row r="201" ht="15" customHeight="1" s="68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</row>
    <row r="202" ht="15" customHeight="1" s="68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</row>
    <row r="203" ht="15" customHeight="1" s="68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</row>
    <row r="204" ht="15" customHeight="1" s="68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</row>
    <row r="205" ht="15" customHeight="1" s="68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</row>
    <row r="206" ht="15" customHeight="1" s="68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</row>
    <row r="207" ht="15" customHeight="1" s="68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</row>
    <row r="208" ht="15" customHeight="1" s="6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</row>
    <row r="209" ht="15" customHeight="1" s="68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</row>
    <row r="210" ht="15" customHeight="1" s="68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</row>
    <row r="211" ht="15" customHeight="1" s="68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</row>
    <row r="212" ht="15" customHeight="1" s="68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</row>
    <row r="213" ht="15" customHeight="1" s="68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</row>
    <row r="214" ht="15" customHeight="1" s="68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</row>
    <row r="215" ht="15" customHeight="1" s="68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</row>
    <row r="216" ht="15" customHeight="1" s="68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</row>
    <row r="217" ht="15" customHeight="1" s="68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</row>
    <row r="218" ht="15" customHeight="1" s="6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</row>
    <row r="219" ht="15" customHeight="1" s="68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</row>
    <row r="220" ht="15" customHeight="1" s="68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</row>
    <row r="221" ht="15" customHeight="1" s="68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</row>
    <row r="222" ht="15" customHeight="1" s="68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</row>
    <row r="223" ht="15" customHeight="1" s="68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</row>
    <row r="224" ht="15" customHeight="1" s="68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</row>
    <row r="225" ht="15" customHeight="1" s="68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</row>
    <row r="226" ht="15" customHeight="1" s="68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</row>
    <row r="227" ht="15" customHeight="1" s="68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</row>
    <row r="228" ht="15" customHeight="1" s="6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</row>
    <row r="229" ht="15" customHeight="1" s="68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</row>
    <row r="230" ht="15" customHeight="1" s="68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</row>
    <row r="231" ht="15" customHeight="1" s="68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</row>
    <row r="232" ht="15" customHeight="1" s="68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</row>
    <row r="233" ht="15" customHeight="1" s="68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</row>
    <row r="234" ht="15" customHeight="1" s="68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</row>
    <row r="235" ht="15" customHeight="1" s="68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</row>
    <row r="236" ht="15" customHeight="1" s="68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</row>
    <row r="237" ht="15" customHeight="1" s="68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</row>
    <row r="238" ht="15" customHeight="1" s="6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</row>
    <row r="239" ht="15" customHeight="1" s="68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</row>
    <row r="240" ht="15" customHeight="1" s="68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</row>
    <row r="241" ht="15" customHeight="1" s="68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</row>
    <row r="242" ht="15" customHeight="1" s="68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</row>
    <row r="243" ht="15" customHeight="1" s="68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</row>
    <row r="244" ht="15" customHeight="1" s="68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</row>
    <row r="245" ht="15" customHeight="1" s="68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</row>
    <row r="246" ht="15" customHeight="1" s="68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</row>
    <row r="247" ht="15" customHeight="1" s="68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</row>
    <row r="248" ht="15" customHeight="1" s="6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</row>
    <row r="249" ht="15" customHeight="1" s="68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</row>
    <row r="250" ht="15" customHeight="1" s="68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</row>
    <row r="251" ht="15" customHeight="1" s="68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</row>
    <row r="252" ht="15" customHeight="1" s="68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</row>
    <row r="253" ht="15" customHeight="1" s="68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</row>
    <row r="254" ht="15" customHeight="1" s="68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</row>
    <row r="255" ht="15" customHeight="1" s="68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</row>
    <row r="256" ht="15" customHeight="1" s="68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</row>
    <row r="257" ht="15" customHeight="1" s="68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</row>
    <row r="258" ht="15" customHeight="1" s="6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</row>
    <row r="259" ht="15" customHeight="1" s="68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</row>
    <row r="260" ht="15" customHeight="1" s="68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</row>
    <row r="261" ht="15" customHeight="1" s="68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</row>
    <row r="262" ht="15" customHeight="1" s="68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</row>
    <row r="263" ht="15" customHeight="1" s="68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</row>
    <row r="264" ht="15" customHeight="1" s="68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</row>
    <row r="265" ht="15" customHeight="1" s="68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</row>
    <row r="266" ht="15" customHeight="1" s="68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</row>
    <row r="267" ht="15" customHeight="1" s="68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</row>
    <row r="268" ht="15" customHeight="1" s="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</row>
    <row r="269" ht="15" customHeight="1" s="68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</row>
    <row r="270" ht="15" customHeight="1" s="68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</row>
    <row r="271" ht="15" customHeight="1" s="68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</row>
    <row r="272" ht="15" customHeight="1" s="68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</row>
    <row r="273" ht="15" customHeight="1" s="68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</row>
    <row r="274" ht="15" customHeight="1" s="68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</row>
    <row r="275" ht="15" customHeight="1" s="68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</row>
    <row r="276" ht="15" customHeight="1" s="68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</row>
    <row r="277" ht="15" customHeight="1" s="68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</row>
    <row r="278" ht="15" customHeight="1" s="6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</row>
    <row r="279" ht="15" customHeight="1" s="68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</row>
    <row r="280" ht="15" customHeight="1" s="68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</row>
    <row r="281" ht="15" customHeight="1" s="68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</row>
    <row r="282" ht="15" customHeight="1" s="68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</row>
    <row r="283" ht="15" customHeight="1" s="68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</row>
    <row r="284" ht="15" customHeight="1" s="68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</row>
    <row r="285" ht="15" customHeight="1" s="68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</row>
    <row r="286" ht="15" customHeight="1" s="68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</row>
    <row r="287" ht="15" customHeight="1" s="68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</row>
    <row r="288" ht="15" customHeight="1" s="6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</row>
    <row r="289" ht="15" customHeight="1" s="68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</row>
    <row r="290" ht="15" customHeight="1" s="68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</row>
    <row r="291" ht="15" customHeight="1" s="68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</row>
    <row r="292" ht="15" customHeight="1" s="68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</row>
    <row r="293" ht="15" customHeight="1" s="68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</row>
    <row r="294" ht="15" customHeight="1" s="68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</row>
    <row r="295" ht="15" customHeight="1" s="68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</row>
    <row r="296" ht="15" customHeight="1" s="68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</row>
    <row r="297" ht="15" customHeight="1" s="68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</row>
    <row r="298" ht="15" customHeight="1" s="6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</row>
    <row r="299" ht="15" customHeight="1" s="68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</row>
    <row r="300" ht="15" customHeight="1" s="68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</row>
    <row r="301" ht="15" customHeight="1" s="68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</row>
    <row r="302" ht="15" customHeight="1" s="68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</row>
    <row r="303" ht="15" customHeight="1" s="68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</row>
    <row r="304" ht="15" customHeight="1" s="68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</row>
    <row r="305" ht="15" customHeight="1" s="68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</row>
    <row r="306" ht="15" customHeight="1" s="68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</row>
    <row r="307" ht="15" customHeight="1" s="68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</row>
    <row r="308" ht="15" customHeight="1" s="6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</row>
    <row r="309" ht="15" customHeight="1" s="68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</row>
    <row r="310" ht="15" customHeight="1" s="68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</row>
    <row r="311" ht="15" customHeight="1" s="68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</row>
    <row r="312" ht="15" customHeight="1" s="68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</row>
    <row r="313" ht="15" customHeight="1" s="68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</row>
    <row r="314" ht="15" customHeight="1" s="68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</row>
    <row r="315" ht="15" customHeight="1" s="68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</row>
    <row r="316" ht="15" customHeight="1" s="68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</row>
    <row r="317" ht="15" customHeight="1" s="68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</row>
    <row r="318" ht="15" customHeight="1" s="6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</row>
    <row r="319" ht="15" customHeight="1" s="68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</row>
    <row r="320" ht="15" customHeight="1" s="68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</row>
    <row r="321" ht="15" customHeight="1" s="68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</row>
    <row r="322" ht="15" customHeight="1" s="68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</row>
    <row r="323" ht="15" customHeight="1" s="68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</row>
    <row r="324" ht="15" customHeight="1" s="68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</row>
    <row r="325" ht="15" customHeight="1" s="68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</row>
    <row r="326" ht="15" customHeight="1" s="68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</row>
    <row r="327" ht="15" customHeight="1" s="68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</row>
    <row r="328" ht="15" customHeight="1" s="6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</row>
    <row r="329" ht="15" customHeight="1" s="68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</row>
    <row r="330" ht="15" customHeight="1" s="68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</row>
    <row r="331" ht="15" customHeight="1" s="68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</row>
    <row r="332" ht="15" customHeight="1" s="68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</row>
    <row r="333" ht="15" customHeight="1" s="68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</row>
    <row r="334" ht="15" customHeight="1" s="68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</row>
    <row r="335" ht="15" customHeight="1" s="68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</row>
    <row r="336" ht="15" customHeight="1" s="68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</row>
    <row r="337" ht="15" customHeight="1" s="68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</row>
    <row r="338" ht="15" customHeight="1" s="6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</row>
    <row r="339" ht="15" customHeight="1" s="68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</row>
    <row r="340" ht="15" customHeight="1" s="68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</row>
    <row r="341" ht="15" customHeight="1" s="68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</row>
    <row r="342" ht="15" customHeight="1" s="68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</row>
    <row r="343" ht="15" customHeight="1" s="68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</row>
    <row r="344" ht="15" customHeight="1" s="68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</row>
    <row r="345" ht="15" customHeight="1" s="68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</row>
    <row r="346" ht="15" customHeight="1" s="68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</row>
    <row r="347" ht="15" customHeight="1" s="68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</row>
    <row r="348" ht="15" customHeight="1" s="6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</row>
    <row r="349" ht="15" customHeight="1" s="68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</row>
    <row r="350" ht="15" customHeight="1" s="68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</row>
    <row r="351" ht="15" customHeight="1" s="68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</row>
    <row r="352" ht="15" customHeight="1" s="68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</row>
    <row r="353" ht="15" customHeight="1" s="68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</row>
    <row r="354" ht="15" customHeight="1" s="68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</row>
    <row r="355" ht="15" customHeight="1" s="68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</row>
    <row r="356" ht="15" customHeight="1" s="68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</row>
    <row r="357" ht="15" customHeight="1" s="68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</row>
    <row r="358" ht="15" customHeight="1" s="6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</row>
    <row r="359" ht="15" customHeight="1" s="68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</row>
    <row r="360" ht="15" customHeight="1" s="68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</row>
    <row r="361" ht="15" customHeight="1" s="68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</row>
    <row r="362" ht="15" customHeight="1" s="68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</row>
    <row r="363" ht="15" customHeight="1" s="68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</row>
    <row r="364" ht="15" customHeight="1" s="68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</row>
    <row r="365" ht="15" customHeight="1" s="68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</row>
    <row r="366" ht="15" customHeight="1" s="68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</row>
    <row r="367" ht="15" customHeight="1" s="68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</row>
    <row r="368" ht="15" customHeight="1" s="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</row>
    <row r="369" ht="15" customHeight="1" s="68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</row>
    <row r="370" ht="15" customHeight="1" s="68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</row>
    <row r="371" ht="15" customHeight="1" s="68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</row>
    <row r="372" ht="15" customHeight="1" s="68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</row>
    <row r="373" ht="15" customHeight="1" s="68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</row>
    <row r="374" ht="15" customHeight="1" s="68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</row>
    <row r="375" ht="15" customHeight="1" s="68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</row>
    <row r="376" ht="15" customHeight="1" s="68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</row>
    <row r="377" ht="15" customHeight="1" s="68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</row>
    <row r="378" ht="15" customHeight="1" s="6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</row>
    <row r="379" ht="15" customHeight="1" s="68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</row>
    <row r="380" ht="15" customHeight="1" s="68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</row>
    <row r="381" ht="15" customHeight="1" s="68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</row>
    <row r="382" ht="15" customHeight="1" s="68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</row>
    <row r="383" ht="15" customHeight="1" s="68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</row>
    <row r="384" ht="15" customHeight="1" s="68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</row>
    <row r="385" ht="15" customHeight="1" s="68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</row>
    <row r="386" ht="15" customHeight="1" s="68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</row>
    <row r="387" ht="15" customHeight="1" s="68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</row>
    <row r="388" ht="15" customHeight="1" s="6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</row>
    <row r="389" ht="15" customHeight="1" s="68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</row>
    <row r="390" ht="15" customHeight="1" s="68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</row>
    <row r="391" ht="15" customHeight="1" s="68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</row>
    <row r="392" ht="15" customHeight="1" s="68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</row>
    <row r="393" ht="15" customHeight="1" s="68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</row>
    <row r="394" ht="15" customHeight="1" s="68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</row>
    <row r="395" ht="15" customHeight="1" s="68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</row>
    <row r="396" ht="15" customHeight="1" s="68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</row>
    <row r="397" ht="15" customHeight="1" s="68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</row>
    <row r="398" ht="15" customHeight="1" s="6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</row>
    <row r="399" ht="15" customHeight="1" s="68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</row>
    <row r="400" ht="15" customHeight="1" s="68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</row>
    <row r="401" ht="15" customHeight="1" s="68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</row>
    <row r="402" ht="15" customHeight="1" s="68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</row>
    <row r="403" ht="15" customHeight="1" s="68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</row>
    <row r="404" ht="15" customHeight="1" s="68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</row>
    <row r="405" ht="15" customHeight="1" s="68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</row>
    <row r="406" ht="15" customHeight="1" s="68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</row>
    <row r="407" ht="15" customHeight="1" s="68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</row>
    <row r="408" ht="15" customHeight="1" s="6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</row>
    <row r="409" ht="15" customHeight="1" s="68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</row>
    <row r="410" ht="15" customHeight="1" s="68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</row>
    <row r="411" ht="15" customHeight="1" s="68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</row>
    <row r="412" ht="15" customHeight="1" s="68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</row>
    <row r="413" ht="15" customHeight="1" s="68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</row>
    <row r="414" ht="15" customHeight="1" s="68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</row>
    <row r="415" ht="15" customHeight="1" s="68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</row>
    <row r="416" ht="15" customHeight="1" s="68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</row>
    <row r="417" ht="15" customHeight="1" s="68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</row>
    <row r="418" ht="15" customHeight="1" s="6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</row>
    <row r="419" ht="15" customHeight="1" s="68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</row>
    <row r="420" ht="15" customHeight="1" s="68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</row>
    <row r="421" ht="15" customHeight="1" s="68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</row>
    <row r="422" ht="15" customHeight="1" s="68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</row>
    <row r="423" ht="15" customHeight="1" s="68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</row>
    <row r="424" ht="15" customHeight="1" s="68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</row>
    <row r="425" ht="15" customHeight="1" s="68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</row>
    <row r="426" ht="15" customHeight="1" s="68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</row>
    <row r="427" ht="15" customHeight="1" s="68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</row>
    <row r="428" ht="15" customHeight="1" s="6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</row>
    <row r="429" ht="15" customHeight="1" s="68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</row>
    <row r="430" ht="15" customHeight="1" s="68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</row>
    <row r="431" ht="15" customHeight="1" s="68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</row>
    <row r="432" ht="15" customHeight="1" s="68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</row>
    <row r="433" ht="15" customHeight="1" s="68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</row>
    <row r="434" ht="15" customHeight="1" s="68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</row>
    <row r="435" ht="15" customHeight="1" s="68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</row>
    <row r="436" ht="15" customHeight="1" s="68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</row>
    <row r="437" ht="15" customHeight="1" s="68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</row>
    <row r="438" ht="15" customHeight="1" s="6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</row>
    <row r="439" ht="15" customHeight="1" s="68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</row>
    <row r="440" ht="15" customHeight="1" s="68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</row>
    <row r="441" ht="15" customHeight="1" s="68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</row>
    <row r="442" ht="15" customHeight="1" s="68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</row>
    <row r="443" ht="15" customHeight="1" s="68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</row>
    <row r="444" ht="15" customHeight="1" s="68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</row>
    <row r="445" ht="15" customHeight="1" s="68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</row>
    <row r="446" ht="15" customHeight="1" s="68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</row>
    <row r="447" ht="15" customHeight="1" s="68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</row>
    <row r="448" ht="15" customHeight="1" s="6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</row>
    <row r="449" ht="15" customHeight="1" s="68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</row>
    <row r="450" ht="15" customHeight="1" s="68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</row>
    <row r="451" ht="15" customHeight="1" s="68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</row>
    <row r="452" ht="15" customHeight="1" s="68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</row>
    <row r="453" ht="15" customHeight="1" s="68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</row>
    <row r="454" ht="15" customHeight="1" s="68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</row>
    <row r="455" ht="15" customHeight="1" s="68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</row>
    <row r="456" ht="15" customHeight="1" s="68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</row>
    <row r="457" ht="15" customHeight="1" s="68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</row>
    <row r="458" ht="15" customHeight="1" s="6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</row>
    <row r="459" ht="15" customHeight="1" s="68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</row>
    <row r="460" ht="15" customHeight="1" s="68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</row>
    <row r="461" ht="15" customHeight="1" s="68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</row>
    <row r="462" ht="15" customHeight="1" s="68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</row>
    <row r="463" ht="15" customHeight="1" s="68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</row>
    <row r="464" ht="15" customHeight="1" s="68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</row>
    <row r="465" ht="15" customHeight="1" s="68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</row>
    <row r="466" ht="15" customHeight="1" s="68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</row>
    <row r="467" ht="15" customHeight="1" s="68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</row>
    <row r="468" ht="15" customHeight="1" s="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</row>
    <row r="469" ht="15" customHeight="1" s="68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</row>
    <row r="470" ht="15" customHeight="1" s="68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</row>
    <row r="471" ht="15" customHeight="1" s="68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</row>
    <row r="472" ht="15" customHeight="1" s="68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</row>
    <row r="473" ht="15" customHeight="1" s="68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</row>
    <row r="474" ht="15" customHeight="1" s="68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</row>
    <row r="475" ht="15" customHeight="1" s="68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</row>
    <row r="476" ht="15" customHeight="1" s="68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</row>
    <row r="477" ht="15" customHeight="1" s="68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</row>
    <row r="478" ht="15" customHeight="1" s="6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</row>
    <row r="479" ht="15" customHeight="1" s="68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</row>
    <row r="480" ht="15" customHeight="1" s="68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</row>
    <row r="481" ht="15" customHeight="1" s="68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</row>
    <row r="482" ht="15" customHeight="1" s="68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</row>
    <row r="483" ht="15" customHeight="1" s="68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</row>
    <row r="484" ht="15" customHeight="1" s="68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</row>
    <row r="485" ht="15" customHeight="1" s="68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</row>
    <row r="486" ht="15" customHeight="1" s="68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</row>
    <row r="487" ht="15" customHeight="1" s="68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</row>
    <row r="488" ht="15" customHeight="1" s="6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</row>
    <row r="489" ht="15" customHeight="1" s="68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</row>
    <row r="490" ht="15" customHeight="1" s="68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</row>
    <row r="491" ht="15" customHeight="1" s="68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</row>
    <row r="492" ht="15" customHeight="1" s="68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</row>
    <row r="493" ht="15" customHeight="1" s="68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</row>
    <row r="494" ht="15" customHeight="1" s="68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</row>
    <row r="495" ht="15" customHeight="1" s="68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</row>
    <row r="496" ht="15" customHeight="1" s="68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</row>
    <row r="497" ht="15" customHeight="1" s="68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</row>
    <row r="498" ht="15" customHeight="1" s="6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</row>
    <row r="499" ht="15" customHeight="1" s="68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</row>
    <row r="500" ht="15" customHeight="1" s="68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</row>
    <row r="501" ht="15" customHeight="1" s="68">
      <c r="A501" s="114" t="n"/>
      <c r="B501" s="114" t="n"/>
      <c r="C501" s="114" t="n"/>
      <c r="D501" s="114" t="n"/>
      <c r="E501" s="114" t="n"/>
      <c r="F501" s="114" t="n"/>
      <c r="G501" s="114" t="n"/>
      <c r="H501" s="114" t="n"/>
      <c r="I501" s="114" t="n"/>
      <c r="J501" s="114" t="n"/>
    </row>
    <row r="502" ht="15" customHeight="1" s="68">
      <c r="A502" s="114" t="n"/>
      <c r="B502" s="114" t="n"/>
      <c r="C502" s="114" t="n"/>
      <c r="D502" s="114" t="n"/>
      <c r="E502" s="114" t="n"/>
      <c r="F502" s="114" t="n"/>
      <c r="G502" s="114" t="n"/>
      <c r="H502" s="114" t="n"/>
      <c r="I502" s="114" t="n"/>
      <c r="J502" s="114" t="n"/>
    </row>
    <row r="503" ht="15" customHeight="1" s="68">
      <c r="A503" s="114" t="n"/>
      <c r="B503" s="114" t="n"/>
      <c r="C503" s="114" t="n"/>
      <c r="D503" s="114" t="n"/>
      <c r="E503" s="114" t="n"/>
      <c r="F503" s="114" t="n"/>
      <c r="G503" s="114" t="n"/>
      <c r="H503" s="114" t="n"/>
      <c r="I503" s="114" t="n"/>
      <c r="J503" s="114" t="n"/>
    </row>
    <row r="504" ht="15" customHeight="1" s="68">
      <c r="A504" s="114" t="n"/>
      <c r="B504" s="114" t="n"/>
      <c r="C504" s="114" t="n"/>
      <c r="D504" s="114" t="n"/>
      <c r="E504" s="114" t="n"/>
      <c r="F504" s="114" t="n"/>
      <c r="G504" s="114" t="n"/>
      <c r="H504" s="114" t="n"/>
      <c r="I504" s="114" t="n"/>
      <c r="J504" s="114" t="n"/>
    </row>
    <row r="505" ht="15" customHeight="1" s="68">
      <c r="A505" s="114" t="n"/>
      <c r="B505" s="114" t="n"/>
      <c r="C505" s="114" t="n"/>
      <c r="D505" s="114" t="n"/>
      <c r="E505" s="114" t="n"/>
      <c r="F505" s="114" t="n"/>
      <c r="G505" s="114" t="n"/>
      <c r="H505" s="114" t="n"/>
      <c r="I505" s="114" t="n"/>
      <c r="J505" s="114" t="n"/>
    </row>
    <row r="506" ht="15" customHeight="1" s="68">
      <c r="A506" s="114" t="n"/>
      <c r="B506" s="114" t="n"/>
      <c r="C506" s="114" t="n"/>
      <c r="D506" s="114" t="n"/>
      <c r="E506" s="114" t="n"/>
      <c r="F506" s="114" t="n"/>
      <c r="G506" s="114" t="n"/>
      <c r="H506" s="114" t="n"/>
      <c r="I506" s="114" t="n"/>
      <c r="J506" s="114" t="n"/>
    </row>
    <row r="507" ht="15" customHeight="1" s="68">
      <c r="A507" s="114" t="n"/>
      <c r="B507" s="114" t="n"/>
      <c r="C507" s="114" t="n"/>
      <c r="D507" s="114" t="n"/>
      <c r="E507" s="114" t="n"/>
      <c r="F507" s="114" t="n"/>
      <c r="G507" s="114" t="n"/>
      <c r="H507" s="114" t="n"/>
      <c r="I507" s="114" t="n"/>
      <c r="J507" s="114" t="n"/>
    </row>
    <row r="508" ht="15" customHeight="1" s="68">
      <c r="A508" s="114" t="n"/>
      <c r="B508" s="114" t="n"/>
      <c r="C508" s="114" t="n"/>
      <c r="D508" s="114" t="n"/>
      <c r="E508" s="114" t="n"/>
      <c r="F508" s="114" t="n"/>
      <c r="G508" s="114" t="n"/>
      <c r="H508" s="114" t="n"/>
      <c r="I508" s="114" t="n"/>
      <c r="J508" s="114" t="n"/>
    </row>
    <row r="509" ht="15" customHeight="1" s="68">
      <c r="A509" s="114" t="n"/>
      <c r="B509" s="114" t="n"/>
      <c r="C509" s="114" t="n"/>
      <c r="D509" s="114" t="n"/>
      <c r="E509" s="114" t="n"/>
      <c r="F509" s="114" t="n"/>
      <c r="G509" s="114" t="n"/>
      <c r="H509" s="114" t="n"/>
      <c r="I509" s="114" t="n"/>
      <c r="J509" s="114" t="n"/>
    </row>
    <row r="510" ht="15" customHeight="1" s="68">
      <c r="A510" s="114" t="n"/>
      <c r="B510" s="114" t="n"/>
      <c r="C510" s="114" t="n"/>
      <c r="D510" s="114" t="n"/>
      <c r="E510" s="114" t="n"/>
      <c r="F510" s="114" t="n"/>
      <c r="G510" s="114" t="n"/>
      <c r="H510" s="114" t="n"/>
      <c r="I510" s="114" t="n"/>
      <c r="J510" s="114" t="n"/>
    </row>
    <row r="511" ht="15" customHeight="1" s="68">
      <c r="A511" s="114" t="n"/>
      <c r="B511" s="114" t="n"/>
      <c r="C511" s="114" t="n"/>
      <c r="D511" s="114" t="n"/>
      <c r="E511" s="114" t="n"/>
      <c r="F511" s="114" t="n"/>
      <c r="G511" s="114" t="n"/>
      <c r="H511" s="114" t="n"/>
      <c r="I511" s="114" t="n"/>
      <c r="J511" s="114" t="n"/>
    </row>
    <row r="512" ht="15" customHeight="1" s="68">
      <c r="A512" s="114" t="n"/>
      <c r="B512" s="114" t="n"/>
      <c r="C512" s="114" t="n"/>
      <c r="D512" s="114" t="n"/>
      <c r="E512" s="114" t="n"/>
      <c r="F512" s="114" t="n"/>
      <c r="G512" s="114" t="n"/>
      <c r="H512" s="114" t="n"/>
      <c r="I512" s="114" t="n"/>
      <c r="J512" s="114" t="n"/>
    </row>
    <row r="513" ht="15" customHeight="1" s="68">
      <c r="A513" s="114" t="n"/>
      <c r="B513" s="114" t="n"/>
      <c r="C513" s="114" t="n"/>
      <c r="D513" s="114" t="n"/>
      <c r="E513" s="114" t="n"/>
      <c r="F513" s="114" t="n"/>
      <c r="G513" s="114" t="n"/>
      <c r="H513" s="114" t="n"/>
      <c r="I513" s="114" t="n"/>
      <c r="J513" s="114" t="n"/>
    </row>
    <row r="514" ht="15" customHeight="1" s="68">
      <c r="A514" s="114" t="n"/>
      <c r="B514" s="114" t="n"/>
      <c r="C514" s="114" t="n"/>
      <c r="D514" s="114" t="n"/>
      <c r="E514" s="114" t="n"/>
      <c r="F514" s="114" t="n"/>
      <c r="G514" s="114" t="n"/>
      <c r="H514" s="114" t="n"/>
      <c r="I514" s="114" t="n"/>
      <c r="J514" s="114" t="n"/>
    </row>
    <row r="515" ht="15" customHeight="1" s="68">
      <c r="A515" s="114" t="n"/>
      <c r="B515" s="114" t="n"/>
      <c r="C515" s="114" t="n"/>
      <c r="D515" s="114" t="n"/>
      <c r="E515" s="114" t="n"/>
      <c r="F515" s="114" t="n"/>
      <c r="G515" s="114" t="n"/>
      <c r="H515" s="114" t="n"/>
      <c r="I515" s="114" t="n"/>
      <c r="J515" s="114" t="n"/>
    </row>
    <row r="516" ht="15" customHeight="1" s="68">
      <c r="A516" s="114" t="n"/>
      <c r="B516" s="114" t="n"/>
      <c r="C516" s="114" t="n"/>
      <c r="D516" s="114" t="n"/>
      <c r="E516" s="114" t="n"/>
      <c r="F516" s="114" t="n"/>
      <c r="G516" s="114" t="n"/>
      <c r="H516" s="114" t="n"/>
      <c r="I516" s="114" t="n"/>
      <c r="J516" s="114" t="n"/>
    </row>
    <row r="517" ht="15" customHeight="1" s="68">
      <c r="A517" s="114" t="n"/>
      <c r="B517" s="114" t="n"/>
      <c r="C517" s="114" t="n"/>
      <c r="D517" s="114" t="n"/>
      <c r="E517" s="114" t="n"/>
      <c r="F517" s="114" t="n"/>
      <c r="G517" s="114" t="n"/>
      <c r="H517" s="114" t="n"/>
      <c r="I517" s="114" t="n"/>
      <c r="J517" s="114" t="n"/>
    </row>
    <row r="518" ht="15" customHeight="1" s="68">
      <c r="A518" s="114" t="n"/>
      <c r="B518" s="114" t="n"/>
      <c r="C518" s="114" t="n"/>
      <c r="D518" s="114" t="n"/>
      <c r="E518" s="114" t="n"/>
      <c r="F518" s="114" t="n"/>
      <c r="G518" s="114" t="n"/>
      <c r="H518" s="114" t="n"/>
      <c r="I518" s="114" t="n"/>
      <c r="J518" s="114" t="n"/>
    </row>
    <row r="519" ht="15" customHeight="1" s="68">
      <c r="A519" s="114" t="n"/>
      <c r="B519" s="114" t="n"/>
      <c r="C519" s="114" t="n"/>
      <c r="D519" s="114" t="n"/>
      <c r="E519" s="114" t="n"/>
      <c r="F519" s="114" t="n"/>
      <c r="G519" s="114" t="n"/>
      <c r="H519" s="114" t="n"/>
      <c r="I519" s="114" t="n"/>
      <c r="J519" s="114" t="n"/>
    </row>
    <row r="520" ht="15" customHeight="1" s="68">
      <c r="A520" s="114" t="n"/>
      <c r="B520" s="114" t="n"/>
      <c r="C520" s="114" t="n"/>
      <c r="D520" s="114" t="n"/>
      <c r="E520" s="114" t="n"/>
      <c r="F520" s="114" t="n"/>
      <c r="G520" s="114" t="n"/>
      <c r="H520" s="114" t="n"/>
      <c r="I520" s="114" t="n"/>
      <c r="J520" s="114" t="n"/>
    </row>
    <row r="521" ht="15" customHeight="1" s="68">
      <c r="A521" s="114" t="n"/>
      <c r="B521" s="114" t="n"/>
      <c r="C521" s="114" t="n"/>
      <c r="D521" s="114" t="n"/>
      <c r="E521" s="114" t="n"/>
      <c r="F521" s="114" t="n"/>
      <c r="G521" s="114" t="n"/>
      <c r="H521" s="114" t="n"/>
      <c r="I521" s="114" t="n"/>
      <c r="J521" s="114" t="n"/>
    </row>
    <row r="522" ht="15" customHeight="1" s="68">
      <c r="A522" s="114" t="n"/>
      <c r="B522" s="114" t="n"/>
      <c r="C522" s="114" t="n"/>
      <c r="D522" s="114" t="n"/>
      <c r="E522" s="114" t="n"/>
      <c r="F522" s="114" t="n"/>
      <c r="G522" s="114" t="n"/>
      <c r="H522" s="114" t="n"/>
      <c r="I522" s="114" t="n"/>
      <c r="J522" s="114" t="n"/>
    </row>
    <row r="523" ht="15" customHeight="1" s="68">
      <c r="A523" s="114" t="n"/>
      <c r="B523" s="114" t="n"/>
      <c r="C523" s="114" t="n"/>
      <c r="D523" s="114" t="n"/>
      <c r="E523" s="114" t="n"/>
      <c r="F523" s="114" t="n"/>
      <c r="G523" s="114" t="n"/>
      <c r="H523" s="114" t="n"/>
      <c r="I523" s="114" t="n"/>
      <c r="J523" s="114" t="n"/>
    </row>
    <row r="524" ht="15" customHeight="1" s="68">
      <c r="A524" s="114" t="n"/>
      <c r="B524" s="114" t="n"/>
      <c r="C524" s="114" t="n"/>
      <c r="D524" s="114" t="n"/>
      <c r="E524" s="114" t="n"/>
      <c r="F524" s="114" t="n"/>
      <c r="G524" s="114" t="n"/>
      <c r="H524" s="114" t="n"/>
      <c r="I524" s="114" t="n"/>
      <c r="J524" s="114" t="n"/>
    </row>
    <row r="525" ht="15" customHeight="1" s="68">
      <c r="A525" s="114" t="n"/>
      <c r="B525" s="114" t="n"/>
      <c r="C525" s="114" t="n"/>
      <c r="D525" s="114" t="n"/>
      <c r="E525" s="114" t="n"/>
      <c r="F525" s="114" t="n"/>
      <c r="G525" s="114" t="n"/>
      <c r="H525" s="114" t="n"/>
      <c r="I525" s="114" t="n"/>
      <c r="J525" s="114" t="n"/>
    </row>
    <row r="526" ht="15" customHeight="1" s="68">
      <c r="A526" s="114" t="n"/>
      <c r="B526" s="114" t="n"/>
      <c r="C526" s="114" t="n"/>
      <c r="D526" s="114" t="n"/>
      <c r="E526" s="114" t="n"/>
      <c r="F526" s="114" t="n"/>
      <c r="G526" s="114" t="n"/>
      <c r="H526" s="114" t="n"/>
      <c r="I526" s="114" t="n"/>
      <c r="J526" s="114" t="n"/>
    </row>
    <row r="527" ht="15" customHeight="1" s="68">
      <c r="A527" s="114" t="n"/>
      <c r="B527" s="114" t="n"/>
      <c r="C527" s="114" t="n"/>
      <c r="D527" s="114" t="n"/>
      <c r="E527" s="114" t="n"/>
      <c r="F527" s="114" t="n"/>
      <c r="G527" s="114" t="n"/>
      <c r="H527" s="114" t="n"/>
      <c r="I527" s="114" t="n"/>
      <c r="J527" s="114" t="n"/>
    </row>
    <row r="528" ht="15" customHeight="1" s="68">
      <c r="A528" s="114" t="n"/>
      <c r="B528" s="114" t="n"/>
      <c r="C528" s="114" t="n"/>
      <c r="D528" s="114" t="n"/>
      <c r="E528" s="114" t="n"/>
      <c r="F528" s="114" t="n"/>
      <c r="G528" s="114" t="n"/>
      <c r="H528" s="114" t="n"/>
      <c r="I528" s="114" t="n"/>
      <c r="J528" s="114" t="n"/>
    </row>
    <row r="529" ht="15" customHeight="1" s="68">
      <c r="A529" s="114" t="n"/>
      <c r="B529" s="114" t="n"/>
      <c r="C529" s="114" t="n"/>
      <c r="D529" s="114" t="n"/>
      <c r="E529" s="114" t="n"/>
      <c r="F529" s="114" t="n"/>
      <c r="G529" s="114" t="n"/>
      <c r="H529" s="114" t="n"/>
      <c r="I529" s="114" t="n"/>
      <c r="J529" s="114" t="n"/>
    </row>
    <row r="530" ht="15" customHeight="1" s="68">
      <c r="A530" s="114" t="n"/>
      <c r="B530" s="114" t="n"/>
      <c r="C530" s="114" t="n"/>
      <c r="D530" s="114" t="n"/>
      <c r="E530" s="114" t="n"/>
      <c r="F530" s="114" t="n"/>
      <c r="G530" s="114" t="n"/>
      <c r="H530" s="114" t="n"/>
      <c r="I530" s="114" t="n"/>
      <c r="J530" s="114" t="n"/>
    </row>
    <row r="531" ht="15" customHeight="1" s="68">
      <c r="A531" s="114" t="n"/>
      <c r="B531" s="114" t="n"/>
      <c r="C531" s="114" t="n"/>
      <c r="D531" s="114" t="n"/>
      <c r="E531" s="114" t="n"/>
      <c r="F531" s="114" t="n"/>
      <c r="G531" s="114" t="n"/>
      <c r="H531" s="114" t="n"/>
      <c r="I531" s="114" t="n"/>
      <c r="J531" s="114" t="n"/>
    </row>
    <row r="532" ht="15" customHeight="1" s="68">
      <c r="A532" s="114" t="n"/>
      <c r="B532" s="114" t="n"/>
      <c r="C532" s="114" t="n"/>
      <c r="D532" s="114" t="n"/>
      <c r="E532" s="114" t="n"/>
      <c r="F532" s="114" t="n"/>
      <c r="G532" s="114" t="n"/>
      <c r="H532" s="114" t="n"/>
      <c r="I532" s="114" t="n"/>
      <c r="J532" s="114" t="n"/>
    </row>
    <row r="533" ht="15" customHeight="1" s="68">
      <c r="A533" s="114" t="n"/>
      <c r="B533" s="114" t="n"/>
      <c r="C533" s="114" t="n"/>
      <c r="D533" s="114" t="n"/>
      <c r="E533" s="114" t="n"/>
      <c r="F533" s="114" t="n"/>
      <c r="G533" s="114" t="n"/>
      <c r="H533" s="114" t="n"/>
      <c r="I533" s="114" t="n"/>
      <c r="J533" s="114" t="n"/>
    </row>
    <row r="534" ht="15" customHeight="1" s="68">
      <c r="A534" s="114" t="n"/>
      <c r="B534" s="114" t="n"/>
      <c r="C534" s="114" t="n"/>
      <c r="D534" s="114" t="n"/>
      <c r="E534" s="114" t="n"/>
      <c r="F534" s="114" t="n"/>
      <c r="G534" s="114" t="n"/>
      <c r="H534" s="114" t="n"/>
      <c r="I534" s="114" t="n"/>
      <c r="J534" s="114" t="n"/>
    </row>
    <row r="535" ht="15" customHeight="1" s="68">
      <c r="A535" s="114" t="n"/>
      <c r="B535" s="114" t="n"/>
      <c r="C535" s="114" t="n"/>
      <c r="D535" s="114" t="n"/>
      <c r="E535" s="114" t="n"/>
      <c r="F535" s="114" t="n"/>
      <c r="G535" s="114" t="n"/>
      <c r="H535" s="114" t="n"/>
      <c r="I535" s="114" t="n"/>
      <c r="J535" s="114" t="n"/>
    </row>
    <row r="536" ht="15" customHeight="1" s="68">
      <c r="A536" s="114" t="n"/>
      <c r="B536" s="114" t="n"/>
      <c r="C536" s="114" t="n"/>
      <c r="D536" s="114" t="n"/>
      <c r="E536" s="114" t="n"/>
      <c r="F536" s="114" t="n"/>
      <c r="G536" s="114" t="n"/>
      <c r="H536" s="114" t="n"/>
      <c r="I536" s="114" t="n"/>
      <c r="J536" s="114" t="n"/>
    </row>
    <row r="537" ht="15" customHeight="1" s="68">
      <c r="A537" s="114" t="n"/>
      <c r="B537" s="114" t="n"/>
      <c r="C537" s="114" t="n"/>
      <c r="D537" s="114" t="n"/>
      <c r="E537" s="114" t="n"/>
      <c r="F537" s="114" t="n"/>
      <c r="G537" s="114" t="n"/>
      <c r="H537" s="114" t="n"/>
      <c r="I537" s="114" t="n"/>
      <c r="J537" s="114" t="n"/>
    </row>
    <row r="538" ht="15" customHeight="1" s="68">
      <c r="A538" s="114" t="n"/>
      <c r="B538" s="114" t="n"/>
      <c r="C538" s="114" t="n"/>
      <c r="D538" s="114" t="n"/>
      <c r="E538" s="114" t="n"/>
      <c r="F538" s="114" t="n"/>
      <c r="G538" s="114" t="n"/>
      <c r="H538" s="114" t="n"/>
      <c r="I538" s="114" t="n"/>
      <c r="J538" s="114" t="n"/>
    </row>
    <row r="539" ht="15" customHeight="1" s="68">
      <c r="A539" s="114" t="n"/>
      <c r="B539" s="114" t="n"/>
      <c r="C539" s="114" t="n"/>
      <c r="D539" s="114" t="n"/>
      <c r="E539" s="114" t="n"/>
      <c r="F539" s="114" t="n"/>
      <c r="G539" s="114" t="n"/>
      <c r="H539" s="114" t="n"/>
      <c r="I539" s="114" t="n"/>
      <c r="J539" s="114" t="n"/>
    </row>
    <row r="540" ht="15" customHeight="1" s="68">
      <c r="A540" s="114" t="n"/>
      <c r="B540" s="114" t="n"/>
      <c r="C540" s="114" t="n"/>
      <c r="D540" s="114" t="n"/>
      <c r="E540" s="114" t="n"/>
      <c r="F540" s="114" t="n"/>
      <c r="G540" s="114" t="n"/>
      <c r="H540" s="114" t="n"/>
      <c r="I540" s="114" t="n"/>
      <c r="J540" s="114" t="n"/>
    </row>
    <row r="541" ht="15" customHeight="1" s="68">
      <c r="A541" s="114" t="n"/>
      <c r="B541" s="114" t="n"/>
      <c r="C541" s="114" t="n"/>
      <c r="D541" s="114" t="n"/>
      <c r="E541" s="114" t="n"/>
      <c r="F541" s="114" t="n"/>
      <c r="G541" s="114" t="n"/>
      <c r="H541" s="114" t="n"/>
      <c r="I541" s="114" t="n"/>
      <c r="J541" s="114" t="n"/>
    </row>
    <row r="542" ht="15" customHeight="1" s="68">
      <c r="A542" s="114" t="n"/>
      <c r="B542" s="114" t="n"/>
      <c r="C542" s="114" t="n"/>
      <c r="D542" s="114" t="n"/>
      <c r="E542" s="114" t="n"/>
      <c r="F542" s="114" t="n"/>
      <c r="G542" s="114" t="n"/>
      <c r="H542" s="114" t="n"/>
      <c r="I542" s="114" t="n"/>
      <c r="J542" s="114" t="n"/>
    </row>
    <row r="543" ht="15" customHeight="1" s="68">
      <c r="A543" s="114" t="n"/>
      <c r="B543" s="114" t="n"/>
      <c r="C543" s="114" t="n"/>
      <c r="D543" s="114" t="n"/>
      <c r="E543" s="114" t="n"/>
      <c r="F543" s="114" t="n"/>
      <c r="G543" s="114" t="n"/>
      <c r="H543" s="114" t="n"/>
      <c r="I543" s="114" t="n"/>
      <c r="J543" s="114" t="n"/>
    </row>
    <row r="544" ht="15" customHeight="1" s="68">
      <c r="A544" s="114" t="n"/>
      <c r="B544" s="114" t="n"/>
      <c r="C544" s="114" t="n"/>
      <c r="D544" s="114" t="n"/>
      <c r="E544" s="114" t="n"/>
      <c r="F544" s="114" t="n"/>
      <c r="G544" s="114" t="n"/>
      <c r="H544" s="114" t="n"/>
      <c r="I544" s="114" t="n"/>
      <c r="J544" s="114" t="n"/>
    </row>
    <row r="545" ht="15" customHeight="1" s="68">
      <c r="A545" s="114" t="n"/>
      <c r="B545" s="114" t="n"/>
      <c r="C545" s="114" t="n"/>
      <c r="D545" s="114" t="n"/>
      <c r="E545" s="114" t="n"/>
      <c r="F545" s="114" t="n"/>
      <c r="G545" s="114" t="n"/>
      <c r="H545" s="114" t="n"/>
      <c r="I545" s="114" t="n"/>
      <c r="J545" s="114" t="n"/>
    </row>
    <row r="546" ht="15" customHeight="1" s="68">
      <c r="A546" s="114" t="n"/>
      <c r="B546" s="114" t="n"/>
      <c r="C546" s="114" t="n"/>
      <c r="D546" s="114" t="n"/>
      <c r="E546" s="114" t="n"/>
      <c r="F546" s="114" t="n"/>
      <c r="G546" s="114" t="n"/>
      <c r="H546" s="114" t="n"/>
      <c r="I546" s="114" t="n"/>
      <c r="J546" s="114" t="n"/>
    </row>
    <row r="547" ht="15" customHeight="1" s="68">
      <c r="A547" s="114" t="n"/>
      <c r="B547" s="114" t="n"/>
      <c r="C547" s="114" t="n"/>
      <c r="D547" s="114" t="n"/>
      <c r="E547" s="114" t="n"/>
      <c r="F547" s="114" t="n"/>
      <c r="G547" s="114" t="n"/>
      <c r="H547" s="114" t="n"/>
      <c r="I547" s="114" t="n"/>
      <c r="J547" s="114" t="n"/>
    </row>
    <row r="548" ht="15" customHeight="1" s="68">
      <c r="A548" s="114" t="n"/>
      <c r="B548" s="114" t="n"/>
      <c r="C548" s="114" t="n"/>
      <c r="D548" s="114" t="n"/>
      <c r="E548" s="114" t="n"/>
      <c r="F548" s="114" t="n"/>
      <c r="G548" s="114" t="n"/>
      <c r="H548" s="114" t="n"/>
      <c r="I548" s="114" t="n"/>
      <c r="J548" s="114" t="n"/>
    </row>
    <row r="549" ht="15" customHeight="1" s="68">
      <c r="A549" s="114" t="n"/>
      <c r="B549" s="114" t="n"/>
      <c r="C549" s="114" t="n"/>
      <c r="D549" s="114" t="n"/>
      <c r="E549" s="114" t="n"/>
      <c r="F549" s="114" t="n"/>
      <c r="G549" s="114" t="n"/>
      <c r="H549" s="114" t="n"/>
      <c r="I549" s="114" t="n"/>
      <c r="J549" s="114" t="n"/>
    </row>
    <row r="550" ht="15" customHeight="1" s="68">
      <c r="A550" s="114" t="n"/>
      <c r="B550" s="114" t="n"/>
      <c r="C550" s="114" t="n"/>
      <c r="D550" s="114" t="n"/>
      <c r="E550" s="114" t="n"/>
      <c r="F550" s="114" t="n"/>
      <c r="G550" s="114" t="n"/>
      <c r="H550" s="114" t="n"/>
      <c r="I550" s="114" t="n"/>
      <c r="J550" s="114" t="n"/>
    </row>
    <row r="551" ht="15" customHeight="1" s="68">
      <c r="A551" s="114" t="n"/>
      <c r="B551" s="114" t="n"/>
      <c r="C551" s="114" t="n"/>
      <c r="D551" s="114" t="n"/>
      <c r="E551" s="114" t="n"/>
      <c r="F551" s="114" t="n"/>
      <c r="G551" s="114" t="n"/>
      <c r="H551" s="114" t="n"/>
      <c r="I551" s="114" t="n"/>
      <c r="J551" s="114" t="n"/>
    </row>
    <row r="552" ht="15" customHeight="1" s="68">
      <c r="A552" s="114" t="n"/>
      <c r="B552" s="114" t="n"/>
      <c r="C552" s="114" t="n"/>
      <c r="D552" s="114" t="n"/>
      <c r="E552" s="114" t="n"/>
      <c r="F552" s="114" t="n"/>
      <c r="G552" s="114" t="n"/>
      <c r="H552" s="114" t="n"/>
      <c r="I552" s="114" t="n"/>
      <c r="J552" s="114" t="n"/>
    </row>
    <row r="553" ht="15" customHeight="1" s="68">
      <c r="A553" s="114" t="n"/>
      <c r="B553" s="114" t="n"/>
      <c r="C553" s="114" t="n"/>
      <c r="D553" s="114" t="n"/>
      <c r="E553" s="114" t="n"/>
      <c r="F553" s="114" t="n"/>
      <c r="G553" s="114" t="n"/>
      <c r="H553" s="114" t="n"/>
      <c r="I553" s="114" t="n"/>
      <c r="J553" s="114" t="n"/>
    </row>
    <row r="554" ht="15" customHeight="1" s="68">
      <c r="A554" s="114" t="n"/>
      <c r="B554" s="114" t="n"/>
      <c r="C554" s="114" t="n"/>
      <c r="D554" s="114" t="n"/>
      <c r="E554" s="114" t="n"/>
      <c r="F554" s="114" t="n"/>
      <c r="G554" s="114" t="n"/>
      <c r="H554" s="114" t="n"/>
      <c r="I554" s="114" t="n"/>
      <c r="J554" s="114" t="n"/>
    </row>
    <row r="555" ht="15" customHeight="1" s="68">
      <c r="A555" s="114" t="n"/>
      <c r="B555" s="114" t="n"/>
      <c r="C555" s="114" t="n"/>
      <c r="D555" s="114" t="n"/>
      <c r="E555" s="114" t="n"/>
      <c r="F555" s="114" t="n"/>
      <c r="G555" s="114" t="n"/>
      <c r="H555" s="114" t="n"/>
      <c r="I555" s="114" t="n"/>
      <c r="J555" s="114" t="n"/>
    </row>
    <row r="556" ht="15" customHeight="1" s="68">
      <c r="A556" s="114" t="n"/>
      <c r="B556" s="114" t="n"/>
      <c r="C556" s="114" t="n"/>
      <c r="D556" s="114" t="n"/>
      <c r="E556" s="114" t="n"/>
      <c r="F556" s="114" t="n"/>
      <c r="G556" s="114" t="n"/>
      <c r="H556" s="114" t="n"/>
      <c r="I556" s="114" t="n"/>
      <c r="J556" s="114" t="n"/>
    </row>
    <row r="557" ht="15" customHeight="1" s="68">
      <c r="A557" s="114" t="n"/>
      <c r="B557" s="114" t="n"/>
      <c r="C557" s="114" t="n"/>
      <c r="D557" s="114" t="n"/>
      <c r="E557" s="114" t="n"/>
      <c r="F557" s="114" t="n"/>
      <c r="G557" s="114" t="n"/>
      <c r="H557" s="114" t="n"/>
      <c r="I557" s="114" t="n"/>
      <c r="J557" s="114" t="n"/>
    </row>
    <row r="558" ht="15" customHeight="1" s="68">
      <c r="A558" s="114" t="n"/>
      <c r="B558" s="114" t="n"/>
      <c r="C558" s="114" t="n"/>
      <c r="D558" s="114" t="n"/>
      <c r="E558" s="114" t="n"/>
      <c r="F558" s="114" t="n"/>
      <c r="G558" s="114" t="n"/>
      <c r="H558" s="114" t="n"/>
      <c r="I558" s="114" t="n"/>
      <c r="J558" s="114" t="n"/>
    </row>
    <row r="559" ht="15" customHeight="1" s="68">
      <c r="A559" s="114" t="n"/>
      <c r="B559" s="114" t="n"/>
      <c r="C559" s="114" t="n"/>
      <c r="D559" s="114" t="n"/>
      <c r="E559" s="114" t="n"/>
      <c r="F559" s="114" t="n"/>
      <c r="G559" s="114" t="n"/>
      <c r="H559" s="114" t="n"/>
      <c r="I559" s="114" t="n"/>
      <c r="J559" s="114" t="n"/>
    </row>
    <row r="560" ht="15" customHeight="1" s="68">
      <c r="A560" s="114" t="n"/>
      <c r="B560" s="114" t="n"/>
      <c r="C560" s="114" t="n"/>
      <c r="D560" s="114" t="n"/>
      <c r="E560" s="114" t="n"/>
      <c r="F560" s="114" t="n"/>
      <c r="G560" s="114" t="n"/>
      <c r="H560" s="114" t="n"/>
      <c r="I560" s="114" t="n"/>
      <c r="J560" s="114" t="n"/>
    </row>
    <row r="561" ht="15" customHeight="1" s="68">
      <c r="A561" s="114" t="n"/>
      <c r="B561" s="114" t="n"/>
      <c r="C561" s="114" t="n"/>
      <c r="D561" s="114" t="n"/>
      <c r="E561" s="114" t="n"/>
      <c r="F561" s="114" t="n"/>
      <c r="G561" s="114" t="n"/>
      <c r="H561" s="114" t="n"/>
      <c r="I561" s="114" t="n"/>
      <c r="J561" s="114" t="n"/>
    </row>
    <row r="562" ht="15" customHeight="1" s="68">
      <c r="A562" s="114" t="n"/>
      <c r="B562" s="114" t="n"/>
      <c r="C562" s="114" t="n"/>
      <c r="D562" s="114" t="n"/>
      <c r="E562" s="114" t="n"/>
      <c r="F562" s="114" t="n"/>
      <c r="G562" s="114" t="n"/>
      <c r="H562" s="114" t="n"/>
      <c r="I562" s="114" t="n"/>
      <c r="J562" s="114" t="n"/>
    </row>
    <row r="563" ht="15" customHeight="1" s="68">
      <c r="A563" s="114" t="n"/>
      <c r="B563" s="114" t="n"/>
      <c r="C563" s="114" t="n"/>
      <c r="D563" s="114" t="n"/>
      <c r="E563" s="114" t="n"/>
      <c r="F563" s="114" t="n"/>
      <c r="G563" s="114" t="n"/>
      <c r="H563" s="114" t="n"/>
      <c r="I563" s="114" t="n"/>
      <c r="J563" s="114" t="n"/>
    </row>
    <row r="564" ht="15" customHeight="1" s="68">
      <c r="A564" s="114" t="n"/>
      <c r="B564" s="114" t="n"/>
      <c r="C564" s="114" t="n"/>
      <c r="D564" s="114" t="n"/>
      <c r="E564" s="114" t="n"/>
      <c r="F564" s="114" t="n"/>
      <c r="G564" s="114" t="n"/>
      <c r="H564" s="114" t="n"/>
      <c r="I564" s="114" t="n"/>
      <c r="J564" s="114" t="n"/>
    </row>
    <row r="565" ht="15" customHeight="1" s="68">
      <c r="A565" s="114" t="n"/>
      <c r="B565" s="114" t="n"/>
      <c r="C565" s="114" t="n"/>
      <c r="D565" s="114" t="n"/>
      <c r="E565" s="114" t="n"/>
      <c r="F565" s="114" t="n"/>
      <c r="G565" s="114" t="n"/>
      <c r="H565" s="114" t="n"/>
      <c r="I565" s="114" t="n"/>
      <c r="J565" s="114" t="n"/>
    </row>
    <row r="566" ht="15" customHeight="1" s="68">
      <c r="A566" s="114" t="n"/>
      <c r="B566" s="114" t="n"/>
      <c r="C566" s="114" t="n"/>
      <c r="D566" s="114" t="n"/>
      <c r="E566" s="114" t="n"/>
      <c r="F566" s="114" t="n"/>
      <c r="G566" s="114" t="n"/>
      <c r="H566" s="114" t="n"/>
      <c r="I566" s="114" t="n"/>
      <c r="J566" s="114" t="n"/>
    </row>
    <row r="567" ht="15" customHeight="1" s="68">
      <c r="A567" s="114" t="n"/>
      <c r="B567" s="114" t="n"/>
      <c r="C567" s="114" t="n"/>
      <c r="D567" s="114" t="n"/>
      <c r="E567" s="114" t="n"/>
      <c r="F567" s="114" t="n"/>
      <c r="G567" s="114" t="n"/>
      <c r="H567" s="114" t="n"/>
      <c r="I567" s="114" t="n"/>
      <c r="J567" s="114" t="n"/>
    </row>
    <row r="568" ht="15" customHeight="1" s="68">
      <c r="A568" s="114" t="n"/>
      <c r="B568" s="114" t="n"/>
      <c r="C568" s="114" t="n"/>
      <c r="D568" s="114" t="n"/>
      <c r="E568" s="114" t="n"/>
      <c r="F568" s="114" t="n"/>
      <c r="G568" s="114" t="n"/>
      <c r="H568" s="114" t="n"/>
      <c r="I568" s="114" t="n"/>
      <c r="J568" s="114" t="n"/>
    </row>
    <row r="569" ht="15" customHeight="1" s="68">
      <c r="A569" s="114" t="n"/>
      <c r="B569" s="114" t="n"/>
      <c r="C569" s="114" t="n"/>
      <c r="D569" s="114" t="n"/>
      <c r="E569" s="114" t="n"/>
      <c r="F569" s="114" t="n"/>
      <c r="G569" s="114" t="n"/>
      <c r="H569" s="114" t="n"/>
      <c r="I569" s="114" t="n"/>
      <c r="J569" s="114" t="n"/>
    </row>
    <row r="570" ht="15" customHeight="1" s="68">
      <c r="A570" s="114" t="n"/>
      <c r="B570" s="114" t="n"/>
      <c r="C570" s="114" t="n"/>
      <c r="D570" s="114" t="n"/>
      <c r="E570" s="114" t="n"/>
      <c r="F570" s="114" t="n"/>
      <c r="G570" s="114" t="n"/>
      <c r="H570" s="114" t="n"/>
      <c r="I570" s="114" t="n"/>
      <c r="J570" s="114" t="n"/>
    </row>
    <row r="571" ht="15" customHeight="1" s="68">
      <c r="A571" s="114" t="n"/>
      <c r="B571" s="114" t="n"/>
      <c r="C571" s="114" t="n"/>
      <c r="D571" s="114" t="n"/>
      <c r="E571" s="114" t="n"/>
      <c r="F571" s="114" t="n"/>
      <c r="G571" s="114" t="n"/>
      <c r="H571" s="114" t="n"/>
      <c r="I571" s="114" t="n"/>
      <c r="J571" s="114" t="n"/>
    </row>
    <row r="572" ht="15" customHeight="1" s="68">
      <c r="A572" s="114" t="n"/>
      <c r="B572" s="114" t="n"/>
      <c r="C572" s="114" t="n"/>
      <c r="D572" s="114" t="n"/>
      <c r="E572" s="114" t="n"/>
      <c r="F572" s="114" t="n"/>
      <c r="G572" s="114" t="n"/>
      <c r="H572" s="114" t="n"/>
      <c r="I572" s="114" t="n"/>
      <c r="J572" s="114" t="n"/>
    </row>
    <row r="573" ht="15" customHeight="1" s="68">
      <c r="A573" s="114" t="n"/>
      <c r="B573" s="114" t="n"/>
      <c r="C573" s="114" t="n"/>
      <c r="D573" s="114" t="n"/>
      <c r="E573" s="114" t="n"/>
      <c r="F573" s="114" t="n"/>
      <c r="G573" s="114" t="n"/>
      <c r="H573" s="114" t="n"/>
      <c r="I573" s="114" t="n"/>
      <c r="J573" s="114" t="n"/>
    </row>
    <row r="574" ht="15" customHeight="1" s="68">
      <c r="A574" s="114" t="n"/>
      <c r="B574" s="114" t="n"/>
      <c r="C574" s="114" t="n"/>
      <c r="D574" s="114" t="n"/>
      <c r="E574" s="114" t="n"/>
      <c r="F574" s="114" t="n"/>
      <c r="G574" s="114" t="n"/>
      <c r="H574" s="114" t="n"/>
      <c r="I574" s="114" t="n"/>
      <c r="J574" s="114" t="n"/>
    </row>
    <row r="575" ht="15" customHeight="1" s="68">
      <c r="A575" s="114" t="n"/>
      <c r="B575" s="114" t="n"/>
      <c r="C575" s="114" t="n"/>
      <c r="D575" s="114" t="n"/>
      <c r="E575" s="114" t="n"/>
      <c r="F575" s="114" t="n"/>
      <c r="G575" s="114" t="n"/>
      <c r="H575" s="114" t="n"/>
      <c r="I575" s="114" t="n"/>
      <c r="J575" s="114" t="n"/>
    </row>
    <row r="576" ht="15" customHeight="1" s="68">
      <c r="A576" s="114" t="n"/>
      <c r="B576" s="114" t="n"/>
      <c r="C576" s="114" t="n"/>
      <c r="D576" s="114" t="n"/>
      <c r="E576" s="114" t="n"/>
      <c r="F576" s="114" t="n"/>
      <c r="G576" s="114" t="n"/>
      <c r="H576" s="114" t="n"/>
      <c r="I576" s="114" t="n"/>
      <c r="J576" s="114" t="n"/>
    </row>
    <row r="577" ht="15" customHeight="1" s="68">
      <c r="A577" s="114" t="n"/>
      <c r="B577" s="114" t="n"/>
      <c r="C577" s="114" t="n"/>
      <c r="D577" s="114" t="n"/>
      <c r="E577" s="114" t="n"/>
      <c r="F577" s="114" t="n"/>
      <c r="G577" s="114" t="n"/>
      <c r="H577" s="114" t="n"/>
      <c r="I577" s="114" t="n"/>
      <c r="J577" s="114" t="n"/>
    </row>
    <row r="578" ht="15" customHeight="1" s="68">
      <c r="A578" s="114" t="n"/>
      <c r="B578" s="114" t="n"/>
      <c r="C578" s="114" t="n"/>
      <c r="D578" s="114" t="n"/>
      <c r="E578" s="114" t="n"/>
      <c r="F578" s="114" t="n"/>
      <c r="G578" s="114" t="n"/>
      <c r="H578" s="114" t="n"/>
      <c r="I578" s="114" t="n"/>
      <c r="J578" s="114" t="n"/>
    </row>
    <row r="579" ht="15" customHeight="1" s="68">
      <c r="A579" s="114" t="n"/>
      <c r="B579" s="114" t="n"/>
      <c r="C579" s="114" t="n"/>
      <c r="D579" s="114" t="n"/>
      <c r="E579" s="114" t="n"/>
      <c r="F579" s="114" t="n"/>
      <c r="G579" s="114" t="n"/>
      <c r="H579" s="114" t="n"/>
      <c r="I579" s="114" t="n"/>
      <c r="J579" s="114" t="n"/>
    </row>
    <row r="580" ht="15" customHeight="1" s="68">
      <c r="A580" s="114" t="n"/>
      <c r="B580" s="114" t="n"/>
      <c r="C580" s="114" t="n"/>
      <c r="D580" s="114" t="n"/>
      <c r="E580" s="114" t="n"/>
      <c r="F580" s="114" t="n"/>
      <c r="G580" s="114" t="n"/>
      <c r="H580" s="114" t="n"/>
      <c r="I580" s="114" t="n"/>
      <c r="J580" s="114" t="n"/>
    </row>
    <row r="581" ht="15" customHeight="1" s="68">
      <c r="A581" s="114" t="n"/>
      <c r="B581" s="114" t="n"/>
      <c r="C581" s="114" t="n"/>
      <c r="D581" s="114" t="n"/>
      <c r="E581" s="114" t="n"/>
      <c r="F581" s="114" t="n"/>
      <c r="G581" s="114" t="n"/>
      <c r="H581" s="114" t="n"/>
      <c r="I581" s="114" t="n"/>
      <c r="J581" s="114" t="n"/>
    </row>
    <row r="582" ht="15" customHeight="1" s="68">
      <c r="A582" s="114" t="n"/>
      <c r="B582" s="114" t="n"/>
      <c r="C582" s="114" t="n"/>
      <c r="D582" s="114" t="n"/>
      <c r="E582" s="114" t="n"/>
      <c r="F582" s="114" t="n"/>
      <c r="G582" s="114" t="n"/>
      <c r="H582" s="114" t="n"/>
      <c r="I582" s="114" t="n"/>
      <c r="J582" s="114" t="n"/>
    </row>
    <row r="583" ht="15" customHeight="1" s="68">
      <c r="A583" s="114" t="n"/>
      <c r="B583" s="114" t="n"/>
      <c r="C583" s="114" t="n"/>
      <c r="D583" s="114" t="n"/>
      <c r="E583" s="114" t="n"/>
      <c r="F583" s="114" t="n"/>
      <c r="G583" s="114" t="n"/>
      <c r="H583" s="114" t="n"/>
      <c r="I583" s="114" t="n"/>
      <c r="J583" s="114" t="n"/>
    </row>
    <row r="584" ht="15" customHeight="1" s="68">
      <c r="A584" s="114" t="n"/>
      <c r="B584" s="114" t="n"/>
      <c r="C584" s="114" t="n"/>
      <c r="D584" s="114" t="n"/>
      <c r="E584" s="114" t="n"/>
      <c r="F584" s="114" t="n"/>
      <c r="G584" s="114" t="n"/>
      <c r="H584" s="114" t="n"/>
      <c r="I584" s="114" t="n"/>
      <c r="J584" s="114" t="n"/>
    </row>
    <row r="585" ht="15" customHeight="1" s="68">
      <c r="A585" s="114" t="n"/>
      <c r="B585" s="114" t="n"/>
      <c r="C585" s="114" t="n"/>
      <c r="D585" s="114" t="n"/>
      <c r="E585" s="114" t="n"/>
      <c r="F585" s="114" t="n"/>
      <c r="G585" s="114" t="n"/>
      <c r="H585" s="114" t="n"/>
      <c r="I585" s="114" t="n"/>
      <c r="J585" s="114" t="n"/>
    </row>
    <row r="586" ht="15" customHeight="1" s="68">
      <c r="A586" s="114" t="n"/>
      <c r="B586" s="114" t="n"/>
      <c r="C586" s="114" t="n"/>
      <c r="D586" s="114" t="n"/>
      <c r="E586" s="114" t="n"/>
      <c r="F586" s="114" t="n"/>
      <c r="G586" s="114" t="n"/>
      <c r="H586" s="114" t="n"/>
      <c r="I586" s="114" t="n"/>
      <c r="J586" s="114" t="n"/>
    </row>
    <row r="587" ht="15" customHeight="1" s="68">
      <c r="A587" s="114" t="n"/>
      <c r="B587" s="114" t="n"/>
      <c r="C587" s="114" t="n"/>
      <c r="D587" s="114" t="n"/>
      <c r="E587" s="114" t="n"/>
      <c r="F587" s="114" t="n"/>
      <c r="G587" s="114" t="n"/>
      <c r="H587" s="114" t="n"/>
      <c r="I587" s="114" t="n"/>
      <c r="J587" s="114" t="n"/>
    </row>
    <row r="588" ht="15" customHeight="1" s="68">
      <c r="A588" s="114" t="n"/>
      <c r="B588" s="114" t="n"/>
      <c r="C588" s="114" t="n"/>
      <c r="D588" s="114" t="n"/>
      <c r="E588" s="114" t="n"/>
      <c r="F588" s="114" t="n"/>
      <c r="G588" s="114" t="n"/>
      <c r="H588" s="114" t="n"/>
      <c r="I588" s="114" t="n"/>
      <c r="J588" s="114" t="n"/>
    </row>
    <row r="589" ht="15" customHeight="1" s="68">
      <c r="A589" s="114" t="n"/>
      <c r="B589" s="114" t="n"/>
      <c r="C589" s="114" t="n"/>
      <c r="D589" s="114" t="n"/>
      <c r="E589" s="114" t="n"/>
      <c r="F589" s="114" t="n"/>
      <c r="G589" s="114" t="n"/>
      <c r="H589" s="114" t="n"/>
      <c r="I589" s="114" t="n"/>
      <c r="J589" s="114" t="n"/>
    </row>
    <row r="590" ht="15" customHeight="1" s="68">
      <c r="A590" s="114" t="n"/>
      <c r="B590" s="114" t="n"/>
      <c r="C590" s="114" t="n"/>
      <c r="D590" s="114" t="n"/>
      <c r="E590" s="114" t="n"/>
      <c r="F590" s="114" t="n"/>
      <c r="G590" s="114" t="n"/>
      <c r="H590" s="114" t="n"/>
      <c r="I590" s="114" t="n"/>
      <c r="J590" s="114" t="n"/>
    </row>
    <row r="591" ht="15" customHeight="1" s="68">
      <c r="A591" s="114" t="n"/>
      <c r="B591" s="114" t="n"/>
      <c r="C591" s="114" t="n"/>
      <c r="D591" s="114" t="n"/>
      <c r="E591" s="114" t="n"/>
      <c r="F591" s="114" t="n"/>
      <c r="G591" s="114" t="n"/>
      <c r="H591" s="114" t="n"/>
      <c r="I591" s="114" t="n"/>
      <c r="J591" s="114" t="n"/>
    </row>
    <row r="592" ht="15" customHeight="1" s="68">
      <c r="A592" s="114" t="n"/>
      <c r="B592" s="114" t="n"/>
      <c r="C592" s="114" t="n"/>
      <c r="D592" s="114" t="n"/>
      <c r="E592" s="114" t="n"/>
      <c r="F592" s="114" t="n"/>
      <c r="G592" s="114" t="n"/>
      <c r="H592" s="114" t="n"/>
      <c r="I592" s="114" t="n"/>
      <c r="J592" s="114" t="n"/>
    </row>
    <row r="593" ht="15" customHeight="1" s="68">
      <c r="A593" s="114" t="n"/>
      <c r="B593" s="114" t="n"/>
      <c r="C593" s="114" t="n"/>
      <c r="D593" s="114" t="n"/>
      <c r="E593" s="114" t="n"/>
      <c r="F593" s="114" t="n"/>
      <c r="G593" s="114" t="n"/>
      <c r="H593" s="114" t="n"/>
      <c r="I593" s="114" t="n"/>
      <c r="J593" s="114" t="n"/>
    </row>
    <row r="594" ht="15" customHeight="1" s="68">
      <c r="A594" s="114" t="n"/>
      <c r="B594" s="114" t="n"/>
      <c r="C594" s="114" t="n"/>
      <c r="D594" s="114" t="n"/>
      <c r="E594" s="114" t="n"/>
      <c r="F594" s="114" t="n"/>
      <c r="G594" s="114" t="n"/>
      <c r="H594" s="114" t="n"/>
      <c r="I594" s="114" t="n"/>
      <c r="J594" s="114" t="n"/>
    </row>
    <row r="595" ht="15" customHeight="1" s="68">
      <c r="A595" s="114" t="n"/>
      <c r="B595" s="114" t="n"/>
      <c r="C595" s="114" t="n"/>
      <c r="D595" s="114" t="n"/>
      <c r="E595" s="114" t="n"/>
      <c r="F595" s="114" t="n"/>
      <c r="G595" s="114" t="n"/>
      <c r="H595" s="114" t="n"/>
      <c r="I595" s="114" t="n"/>
      <c r="J595" s="114" t="n"/>
    </row>
    <row r="596" ht="15" customHeight="1" s="68">
      <c r="A596" s="114" t="n"/>
      <c r="B596" s="114" t="n"/>
      <c r="C596" s="114" t="n"/>
      <c r="D596" s="114" t="n"/>
      <c r="E596" s="114" t="n"/>
      <c r="F596" s="114" t="n"/>
      <c r="G596" s="114" t="n"/>
      <c r="H596" s="114" t="n"/>
      <c r="I596" s="114" t="n"/>
      <c r="J596" s="114" t="n"/>
    </row>
    <row r="597" ht="15" customHeight="1" s="68">
      <c r="A597" s="114" t="n"/>
      <c r="B597" s="114" t="n"/>
      <c r="C597" s="114" t="n"/>
      <c r="D597" s="114" t="n"/>
      <c r="E597" s="114" t="n"/>
      <c r="F597" s="114" t="n"/>
      <c r="G597" s="114" t="n"/>
      <c r="H597" s="114" t="n"/>
      <c r="I597" s="114" t="n"/>
      <c r="J597" s="114" t="n"/>
    </row>
    <row r="598" ht="15" customHeight="1" s="68">
      <c r="A598" s="114" t="n"/>
      <c r="B598" s="114" t="n"/>
      <c r="C598" s="114" t="n"/>
      <c r="D598" s="114" t="n"/>
      <c r="E598" s="114" t="n"/>
      <c r="F598" s="114" t="n"/>
      <c r="G598" s="114" t="n"/>
      <c r="H598" s="114" t="n"/>
      <c r="I598" s="114" t="n"/>
      <c r="J598" s="114" t="n"/>
    </row>
    <row r="599" ht="15" customHeight="1" s="68">
      <c r="A599" s="114" t="n"/>
      <c r="B599" s="114" t="n"/>
      <c r="C599" s="114" t="n"/>
      <c r="D599" s="114" t="n"/>
      <c r="E599" s="114" t="n"/>
      <c r="F599" s="114" t="n"/>
      <c r="G599" s="114" t="n"/>
      <c r="H599" s="114" t="n"/>
      <c r="I599" s="114" t="n"/>
      <c r="J599" s="114" t="n"/>
    </row>
    <row r="600" ht="15" customHeight="1" s="68">
      <c r="A600" s="114" t="n"/>
      <c r="B600" s="114" t="n"/>
      <c r="C600" s="114" t="n"/>
      <c r="D600" s="114" t="n"/>
      <c r="E600" s="114" t="n"/>
      <c r="F600" s="114" t="n"/>
      <c r="G600" s="114" t="n"/>
      <c r="H600" s="114" t="n"/>
      <c r="I600" s="114" t="n"/>
      <c r="J600" s="114" t="n"/>
    </row>
    <row r="601" ht="15" customHeight="1" s="68">
      <c r="A601" s="114" t="n"/>
      <c r="B601" s="114" t="n"/>
      <c r="C601" s="114" t="n"/>
      <c r="D601" s="114" t="n"/>
      <c r="E601" s="114" t="n"/>
      <c r="F601" s="114" t="n"/>
      <c r="G601" s="114" t="n"/>
      <c r="H601" s="114" t="n"/>
      <c r="I601" s="114" t="n"/>
      <c r="J601" s="114" t="n"/>
    </row>
    <row r="602" ht="15" customHeight="1" s="68">
      <c r="A602" s="114" t="n"/>
      <c r="B602" s="114" t="n"/>
      <c r="C602" s="114" t="n"/>
      <c r="D602" s="114" t="n"/>
      <c r="E602" s="114" t="n"/>
      <c r="F602" s="114" t="n"/>
      <c r="G602" s="114" t="n"/>
      <c r="H602" s="114" t="n"/>
      <c r="I602" s="114" t="n"/>
      <c r="J602" s="114" t="n"/>
    </row>
    <row r="603" ht="15" customHeight="1" s="68">
      <c r="A603" s="114" t="n"/>
      <c r="B603" s="114" t="n"/>
      <c r="C603" s="114" t="n"/>
      <c r="D603" s="114" t="n"/>
      <c r="E603" s="114" t="n"/>
      <c r="F603" s="114" t="n"/>
      <c r="G603" s="114" t="n"/>
      <c r="H603" s="114" t="n"/>
      <c r="I603" s="114" t="n"/>
      <c r="J603" s="114" t="n"/>
    </row>
    <row r="604" ht="15" customHeight="1" s="68">
      <c r="A604" s="114" t="n"/>
      <c r="B604" s="114" t="n"/>
      <c r="C604" s="114" t="n"/>
      <c r="D604" s="114" t="n"/>
      <c r="E604" s="114" t="n"/>
      <c r="F604" s="114" t="n"/>
      <c r="G604" s="114" t="n"/>
      <c r="H604" s="114" t="n"/>
      <c r="I604" s="114" t="n"/>
      <c r="J604" s="114" t="n"/>
    </row>
    <row r="605" ht="15" customHeight="1" s="68">
      <c r="A605" s="114" t="n"/>
      <c r="B605" s="114" t="n"/>
      <c r="C605" s="114" t="n"/>
      <c r="D605" s="114" t="n"/>
      <c r="E605" s="114" t="n"/>
      <c r="F605" s="114" t="n"/>
      <c r="G605" s="114" t="n"/>
      <c r="H605" s="114" t="n"/>
      <c r="I605" s="114" t="n"/>
      <c r="J605" s="114" t="n"/>
    </row>
    <row r="606" ht="15" customHeight="1" s="68">
      <c r="A606" s="114" t="n"/>
      <c r="B606" s="114" t="n"/>
      <c r="C606" s="114" t="n"/>
      <c r="D606" s="114" t="n"/>
      <c r="E606" s="114" t="n"/>
      <c r="F606" s="114" t="n"/>
      <c r="G606" s="114" t="n"/>
      <c r="H606" s="114" t="n"/>
      <c r="I606" s="114" t="n"/>
      <c r="J606" s="114" t="n"/>
    </row>
    <row r="607" ht="15" customHeight="1" s="68">
      <c r="A607" s="114" t="n"/>
      <c r="B607" s="114" t="n"/>
      <c r="C607" s="114" t="n"/>
      <c r="D607" s="114" t="n"/>
      <c r="E607" s="114" t="n"/>
      <c r="F607" s="114" t="n"/>
      <c r="G607" s="114" t="n"/>
      <c r="H607" s="114" t="n"/>
      <c r="I607" s="114" t="n"/>
      <c r="J607" s="114" t="n"/>
    </row>
    <row r="608" ht="15" customHeight="1" s="68">
      <c r="A608" s="114" t="n"/>
      <c r="B608" s="114" t="n"/>
      <c r="C608" s="114" t="n"/>
      <c r="D608" s="114" t="n"/>
      <c r="E608" s="114" t="n"/>
      <c r="F608" s="114" t="n"/>
      <c r="G608" s="114" t="n"/>
      <c r="H608" s="114" t="n"/>
      <c r="I608" s="114" t="n"/>
      <c r="J608" s="114" t="n"/>
    </row>
    <row r="609" ht="15" customHeight="1" s="68">
      <c r="A609" s="114" t="n"/>
      <c r="B609" s="114" t="n"/>
      <c r="C609" s="114" t="n"/>
      <c r="D609" s="114" t="n"/>
      <c r="E609" s="114" t="n"/>
      <c r="F609" s="114" t="n"/>
      <c r="G609" s="114" t="n"/>
      <c r="H609" s="114" t="n"/>
      <c r="I609" s="114" t="n"/>
      <c r="J609" s="114" t="n"/>
    </row>
    <row r="610" ht="15" customHeight="1" s="68">
      <c r="A610" s="114" t="n"/>
      <c r="B610" s="114" t="n"/>
      <c r="C610" s="114" t="n"/>
      <c r="D610" s="114" t="n"/>
      <c r="E610" s="114" t="n"/>
      <c r="F610" s="114" t="n"/>
      <c r="G610" s="114" t="n"/>
      <c r="H610" s="114" t="n"/>
      <c r="I610" s="114" t="n"/>
      <c r="J610" s="114" t="n"/>
    </row>
    <row r="611" ht="15" customHeight="1" s="68">
      <c r="A611" s="114" t="n"/>
      <c r="B611" s="114" t="n"/>
      <c r="C611" s="114" t="n"/>
      <c r="D611" s="114" t="n"/>
      <c r="E611" s="114" t="n"/>
      <c r="F611" s="114" t="n"/>
      <c r="G611" s="114" t="n"/>
      <c r="H611" s="114" t="n"/>
      <c r="I611" s="114" t="n"/>
      <c r="J611" s="114" t="n"/>
    </row>
    <row r="612" ht="15" customHeight="1" s="68">
      <c r="A612" s="114" t="n"/>
      <c r="B612" s="114" t="n"/>
      <c r="C612" s="114" t="n"/>
      <c r="D612" s="114" t="n"/>
      <c r="E612" s="114" t="n"/>
      <c r="F612" s="114" t="n"/>
      <c r="G612" s="114" t="n"/>
      <c r="H612" s="114" t="n"/>
      <c r="I612" s="114" t="n"/>
      <c r="J612" s="114" t="n"/>
    </row>
    <row r="613" ht="15" customHeight="1" s="68">
      <c r="A613" s="114" t="n"/>
      <c r="B613" s="114" t="n"/>
      <c r="C613" s="114" t="n"/>
      <c r="D613" s="114" t="n"/>
      <c r="E613" s="114" t="n"/>
      <c r="F613" s="114" t="n"/>
      <c r="G613" s="114" t="n"/>
      <c r="H613" s="114" t="n"/>
      <c r="I613" s="114" t="n"/>
      <c r="J613" s="114" t="n"/>
    </row>
    <row r="614" ht="15" customHeight="1" s="68">
      <c r="A614" s="114" t="n"/>
      <c r="B614" s="114" t="n"/>
      <c r="C614" s="114" t="n"/>
      <c r="D614" s="114" t="n"/>
      <c r="E614" s="114" t="n"/>
      <c r="F614" s="114" t="n"/>
      <c r="G614" s="114" t="n"/>
      <c r="H614" s="114" t="n"/>
      <c r="I614" s="114" t="n"/>
      <c r="J614" s="114" t="n"/>
    </row>
    <row r="615" ht="15" customHeight="1" s="68">
      <c r="A615" s="114" t="n"/>
      <c r="B615" s="114" t="n"/>
      <c r="C615" s="114" t="n"/>
      <c r="D615" s="114" t="n"/>
      <c r="E615" s="114" t="n"/>
      <c r="F615" s="114" t="n"/>
      <c r="G615" s="114" t="n"/>
      <c r="H615" s="114" t="n"/>
      <c r="I615" s="114" t="n"/>
      <c r="J615" s="114" t="n"/>
    </row>
    <row r="616" ht="15" customHeight="1" s="68">
      <c r="A616" s="114" t="n"/>
      <c r="B616" s="114" t="n"/>
      <c r="C616" s="114" t="n"/>
      <c r="D616" s="114" t="n"/>
      <c r="E616" s="114" t="n"/>
      <c r="F616" s="114" t="n"/>
      <c r="G616" s="114" t="n"/>
      <c r="H616" s="114" t="n"/>
      <c r="I616" s="114" t="n"/>
      <c r="J616" s="114" t="n"/>
    </row>
    <row r="617" ht="15" customHeight="1" s="68">
      <c r="A617" s="114" t="n"/>
      <c r="B617" s="114" t="n"/>
      <c r="C617" s="114" t="n"/>
      <c r="D617" s="114" t="n"/>
      <c r="E617" s="114" t="n"/>
      <c r="F617" s="114" t="n"/>
      <c r="G617" s="114" t="n"/>
      <c r="H617" s="114" t="n"/>
      <c r="I617" s="114" t="n"/>
      <c r="J617" s="114" t="n"/>
    </row>
    <row r="618" ht="15" customHeight="1" s="68">
      <c r="A618" s="114" t="n"/>
      <c r="B618" s="114" t="n"/>
      <c r="C618" s="114" t="n"/>
      <c r="D618" s="114" t="n"/>
      <c r="E618" s="114" t="n"/>
      <c r="F618" s="114" t="n"/>
      <c r="G618" s="114" t="n"/>
      <c r="H618" s="114" t="n"/>
      <c r="I618" s="114" t="n"/>
      <c r="J618" s="114" t="n"/>
    </row>
    <row r="619" ht="15" customHeight="1" s="68">
      <c r="A619" s="114" t="n"/>
      <c r="B619" s="114" t="n"/>
      <c r="C619" s="114" t="n"/>
      <c r="D619" s="114" t="n"/>
      <c r="E619" s="114" t="n"/>
      <c r="F619" s="114" t="n"/>
      <c r="G619" s="114" t="n"/>
      <c r="H619" s="114" t="n"/>
      <c r="I619" s="114" t="n"/>
      <c r="J619" s="114" t="n"/>
    </row>
    <row r="620" ht="15" customHeight="1" s="68">
      <c r="A620" s="114" t="n"/>
      <c r="B620" s="114" t="n"/>
      <c r="C620" s="114" t="n"/>
      <c r="D620" s="114" t="n"/>
      <c r="E620" s="114" t="n"/>
      <c r="F620" s="114" t="n"/>
      <c r="G620" s="114" t="n"/>
      <c r="H620" s="114" t="n"/>
      <c r="I620" s="114" t="n"/>
      <c r="J620" s="114" t="n"/>
    </row>
    <row r="621" ht="15" customHeight="1" s="68">
      <c r="A621" s="114" t="n"/>
      <c r="B621" s="114" t="n"/>
      <c r="C621" s="114" t="n"/>
      <c r="D621" s="114" t="n"/>
      <c r="E621" s="114" t="n"/>
      <c r="F621" s="114" t="n"/>
      <c r="G621" s="114" t="n"/>
      <c r="H621" s="114" t="n"/>
      <c r="I621" s="114" t="n"/>
      <c r="J621" s="114" t="n"/>
    </row>
    <row r="622" ht="15" customHeight="1" s="68">
      <c r="A622" s="114" t="n"/>
      <c r="B622" s="114" t="n"/>
      <c r="C622" s="114" t="n"/>
      <c r="D622" s="114" t="n"/>
      <c r="E622" s="114" t="n"/>
      <c r="F622" s="114" t="n"/>
      <c r="G622" s="114" t="n"/>
      <c r="H622" s="114" t="n"/>
      <c r="I622" s="114" t="n"/>
      <c r="J622" s="114" t="n"/>
    </row>
    <row r="623" ht="15" customHeight="1" s="68">
      <c r="A623" s="114" t="n"/>
      <c r="B623" s="114" t="n"/>
      <c r="C623" s="114" t="n"/>
      <c r="D623" s="114" t="n"/>
      <c r="E623" s="114" t="n"/>
      <c r="F623" s="114" t="n"/>
      <c r="G623" s="114" t="n"/>
      <c r="H623" s="114" t="n"/>
      <c r="I623" s="114" t="n"/>
      <c r="J623" s="114" t="n"/>
    </row>
    <row r="624" ht="15" customHeight="1" s="68">
      <c r="A624" s="114" t="n"/>
      <c r="B624" s="114" t="n"/>
      <c r="C624" s="114" t="n"/>
      <c r="D624" s="114" t="n"/>
      <c r="E624" s="114" t="n"/>
      <c r="F624" s="114" t="n"/>
      <c r="G624" s="114" t="n"/>
      <c r="H624" s="114" t="n"/>
      <c r="I624" s="114" t="n"/>
      <c r="J624" s="114" t="n"/>
    </row>
    <row r="625" ht="15" customHeight="1" s="68">
      <c r="A625" s="114" t="n"/>
      <c r="B625" s="114" t="n"/>
      <c r="C625" s="114" t="n"/>
      <c r="D625" s="114" t="n"/>
      <c r="E625" s="114" t="n"/>
      <c r="F625" s="114" t="n"/>
      <c r="G625" s="114" t="n"/>
      <c r="H625" s="114" t="n"/>
      <c r="I625" s="114" t="n"/>
      <c r="J625" s="114" t="n"/>
    </row>
    <row r="626" ht="15" customHeight="1" s="68">
      <c r="A626" s="114" t="n"/>
      <c r="B626" s="114" t="n"/>
      <c r="C626" s="114" t="n"/>
      <c r="D626" s="114" t="n"/>
      <c r="E626" s="114" t="n"/>
      <c r="F626" s="114" t="n"/>
      <c r="G626" s="114" t="n"/>
      <c r="H626" s="114" t="n"/>
      <c r="I626" s="114" t="n"/>
      <c r="J626" s="114" t="n"/>
    </row>
    <row r="627" ht="15" customHeight="1" s="68">
      <c r="A627" s="114" t="n"/>
      <c r="B627" s="114" t="n"/>
      <c r="C627" s="114" t="n"/>
      <c r="D627" s="114" t="n"/>
      <c r="E627" s="114" t="n"/>
      <c r="F627" s="114" t="n"/>
      <c r="G627" s="114" t="n"/>
      <c r="H627" s="114" t="n"/>
      <c r="I627" s="114" t="n"/>
      <c r="J627" s="114" t="n"/>
    </row>
    <row r="628" ht="15" customHeight="1" s="68">
      <c r="A628" s="114" t="n"/>
      <c r="B628" s="114" t="n"/>
      <c r="C628" s="114" t="n"/>
      <c r="D628" s="114" t="n"/>
      <c r="E628" s="114" t="n"/>
      <c r="F628" s="114" t="n"/>
      <c r="G628" s="114" t="n"/>
      <c r="H628" s="114" t="n"/>
      <c r="I628" s="114" t="n"/>
      <c r="J628" s="114" t="n"/>
    </row>
    <row r="629" ht="15" customHeight="1" s="68">
      <c r="A629" s="114" t="n"/>
      <c r="B629" s="114" t="n"/>
      <c r="C629" s="114" t="n"/>
      <c r="D629" s="114" t="n"/>
      <c r="E629" s="114" t="n"/>
      <c r="F629" s="114" t="n"/>
      <c r="G629" s="114" t="n"/>
      <c r="H629" s="114" t="n"/>
      <c r="I629" s="114" t="n"/>
      <c r="J629" s="114" t="n"/>
    </row>
    <row r="630" ht="15" customHeight="1" s="68">
      <c r="A630" s="114" t="n"/>
      <c r="B630" s="114" t="n"/>
      <c r="C630" s="114" t="n"/>
      <c r="D630" s="114" t="n"/>
      <c r="E630" s="114" t="n"/>
      <c r="F630" s="114" t="n"/>
      <c r="G630" s="114" t="n"/>
      <c r="H630" s="114" t="n"/>
      <c r="I630" s="114" t="n"/>
      <c r="J630" s="114" t="n"/>
    </row>
    <row r="631" ht="15" customHeight="1" s="68">
      <c r="A631" s="114" t="n"/>
      <c r="B631" s="114" t="n"/>
      <c r="C631" s="114" t="n"/>
      <c r="D631" s="114" t="n"/>
      <c r="E631" s="114" t="n"/>
      <c r="F631" s="114" t="n"/>
      <c r="G631" s="114" t="n"/>
      <c r="H631" s="114" t="n"/>
      <c r="I631" s="114" t="n"/>
      <c r="J631" s="114" t="n"/>
    </row>
    <row r="632" ht="15" customHeight="1" s="68">
      <c r="A632" s="114" t="n"/>
      <c r="B632" s="114" t="n"/>
      <c r="C632" s="114" t="n"/>
      <c r="D632" s="114" t="n"/>
      <c r="E632" s="114" t="n"/>
      <c r="F632" s="114" t="n"/>
      <c r="G632" s="114" t="n"/>
      <c r="H632" s="114" t="n"/>
      <c r="I632" s="114" t="n"/>
      <c r="J632" s="114" t="n"/>
    </row>
    <row r="633" ht="15" customHeight="1" s="68">
      <c r="A633" s="114" t="n"/>
      <c r="B633" s="114" t="n"/>
      <c r="C633" s="114" t="n"/>
      <c r="D633" s="114" t="n"/>
      <c r="E633" s="114" t="n"/>
      <c r="F633" s="114" t="n"/>
      <c r="G633" s="114" t="n"/>
      <c r="H633" s="114" t="n"/>
      <c r="I633" s="114" t="n"/>
      <c r="J633" s="114" t="n"/>
    </row>
    <row r="634" ht="15" customHeight="1" s="68">
      <c r="A634" s="114" t="n"/>
      <c r="B634" s="114" t="n"/>
      <c r="C634" s="114" t="n"/>
      <c r="D634" s="114" t="n"/>
      <c r="E634" s="114" t="n"/>
      <c r="F634" s="114" t="n"/>
      <c r="G634" s="114" t="n"/>
      <c r="H634" s="114" t="n"/>
      <c r="I634" s="114" t="n"/>
      <c r="J634" s="114" t="n"/>
    </row>
    <row r="635" ht="15" customHeight="1" s="68">
      <c r="A635" s="114" t="n"/>
      <c r="B635" s="114" t="n"/>
      <c r="C635" s="114" t="n"/>
      <c r="D635" s="114" t="n"/>
      <c r="E635" s="114" t="n"/>
      <c r="F635" s="114" t="n"/>
      <c r="G635" s="114" t="n"/>
      <c r="H635" s="114" t="n"/>
      <c r="I635" s="114" t="n"/>
      <c r="J635" s="114" t="n"/>
    </row>
    <row r="636" ht="15" customHeight="1" s="68">
      <c r="A636" s="114" t="n"/>
      <c r="B636" s="114" t="n"/>
      <c r="C636" s="114" t="n"/>
      <c r="D636" s="114" t="n"/>
      <c r="E636" s="114" t="n"/>
      <c r="F636" s="114" t="n"/>
      <c r="G636" s="114" t="n"/>
      <c r="H636" s="114" t="n"/>
      <c r="I636" s="114" t="n"/>
      <c r="J636" s="114" t="n"/>
    </row>
    <row r="637" ht="15" customHeight="1" s="68">
      <c r="A637" s="114" t="n"/>
      <c r="B637" s="114" t="n"/>
      <c r="C637" s="114" t="n"/>
      <c r="D637" s="114" t="n"/>
      <c r="E637" s="114" t="n"/>
      <c r="F637" s="114" t="n"/>
      <c r="G637" s="114" t="n"/>
      <c r="H637" s="114" t="n"/>
      <c r="I637" s="114" t="n"/>
      <c r="J637" s="114" t="n"/>
    </row>
    <row r="638" ht="15" customHeight="1" s="68">
      <c r="A638" s="114" t="n"/>
      <c r="B638" s="114" t="n"/>
      <c r="C638" s="114" t="n"/>
      <c r="D638" s="114" t="n"/>
      <c r="E638" s="114" t="n"/>
      <c r="F638" s="114" t="n"/>
      <c r="G638" s="114" t="n"/>
      <c r="H638" s="114" t="n"/>
      <c r="I638" s="114" t="n"/>
      <c r="J638" s="114" t="n"/>
    </row>
    <row r="639" ht="15" customHeight="1" s="68">
      <c r="A639" s="114" t="n"/>
      <c r="B639" s="114" t="n"/>
      <c r="C639" s="114" t="n"/>
      <c r="D639" s="114" t="n"/>
      <c r="E639" s="114" t="n"/>
      <c r="F639" s="114" t="n"/>
      <c r="G639" s="114" t="n"/>
      <c r="H639" s="114" t="n"/>
      <c r="I639" s="114" t="n"/>
      <c r="J639" s="114" t="n"/>
    </row>
    <row r="640" ht="15" customHeight="1" s="68">
      <c r="A640" s="114" t="n"/>
      <c r="B640" s="114" t="n"/>
      <c r="C640" s="114" t="n"/>
      <c r="D640" s="114" t="n"/>
      <c r="E640" s="114" t="n"/>
      <c r="F640" s="114" t="n"/>
      <c r="G640" s="114" t="n"/>
      <c r="H640" s="114" t="n"/>
      <c r="I640" s="114" t="n"/>
      <c r="J640" s="114" t="n"/>
    </row>
    <row r="641" ht="15" customHeight="1" s="68">
      <c r="A641" s="114" t="n"/>
      <c r="B641" s="114" t="n"/>
      <c r="C641" s="114" t="n"/>
      <c r="D641" s="114" t="n"/>
      <c r="E641" s="114" t="n"/>
      <c r="F641" s="114" t="n"/>
      <c r="G641" s="114" t="n"/>
      <c r="H641" s="114" t="n"/>
      <c r="I641" s="114" t="n"/>
      <c r="J641" s="114" t="n"/>
    </row>
    <row r="642" ht="15" customHeight="1" s="68">
      <c r="A642" s="114" t="n"/>
      <c r="B642" s="114" t="n"/>
      <c r="C642" s="114" t="n"/>
      <c r="D642" s="114" t="n"/>
      <c r="E642" s="114" t="n"/>
      <c r="F642" s="114" t="n"/>
      <c r="G642" s="114" t="n"/>
      <c r="H642" s="114" t="n"/>
      <c r="I642" s="114" t="n"/>
      <c r="J642" s="114" t="n"/>
    </row>
    <row r="643" ht="15" customHeight="1" s="68">
      <c r="A643" s="114" t="n"/>
      <c r="B643" s="114" t="n"/>
      <c r="C643" s="114" t="n"/>
      <c r="D643" s="114" t="n"/>
      <c r="E643" s="114" t="n"/>
      <c r="F643" s="114" t="n"/>
      <c r="G643" s="114" t="n"/>
      <c r="H643" s="114" t="n"/>
      <c r="I643" s="114" t="n"/>
      <c r="J643" s="114" t="n"/>
    </row>
    <row r="644" ht="15" customHeight="1" s="68">
      <c r="A644" s="114" t="n"/>
      <c r="B644" s="114" t="n"/>
      <c r="C644" s="114" t="n"/>
      <c r="D644" s="114" t="n"/>
      <c r="E644" s="114" t="n"/>
      <c r="F644" s="114" t="n"/>
      <c r="G644" s="114" t="n"/>
      <c r="H644" s="114" t="n"/>
      <c r="I644" s="114" t="n"/>
      <c r="J644" s="114" t="n"/>
    </row>
    <row r="645" ht="15" customHeight="1" s="68">
      <c r="A645" s="114" t="n"/>
      <c r="B645" s="114" t="n"/>
      <c r="C645" s="114" t="n"/>
      <c r="D645" s="114" t="n"/>
      <c r="E645" s="114" t="n"/>
      <c r="F645" s="114" t="n"/>
      <c r="G645" s="114" t="n"/>
      <c r="H645" s="114" t="n"/>
      <c r="I645" s="114" t="n"/>
      <c r="J645" s="114" t="n"/>
    </row>
    <row r="646" ht="15" customHeight="1" s="68">
      <c r="A646" s="114" t="n"/>
      <c r="B646" s="114" t="n"/>
      <c r="C646" s="114" t="n"/>
      <c r="D646" s="114" t="n"/>
      <c r="E646" s="114" t="n"/>
      <c r="F646" s="114" t="n"/>
      <c r="G646" s="114" t="n"/>
      <c r="H646" s="114" t="n"/>
      <c r="I646" s="114" t="n"/>
      <c r="J646" s="114" t="n"/>
    </row>
    <row r="647" ht="15" customHeight="1" s="68">
      <c r="A647" s="114" t="n"/>
      <c r="B647" s="114" t="n"/>
      <c r="C647" s="114" t="n"/>
      <c r="D647" s="114" t="n"/>
      <c r="E647" s="114" t="n"/>
      <c r="F647" s="114" t="n"/>
      <c r="G647" s="114" t="n"/>
      <c r="H647" s="114" t="n"/>
      <c r="I647" s="114" t="n"/>
      <c r="J647" s="114" t="n"/>
    </row>
    <row r="648" ht="15" customHeight="1" s="68">
      <c r="A648" s="114" t="n"/>
      <c r="B648" s="114" t="n"/>
      <c r="C648" s="114" t="n"/>
      <c r="D648" s="114" t="n"/>
      <c r="E648" s="114" t="n"/>
      <c r="F648" s="114" t="n"/>
      <c r="G648" s="114" t="n"/>
      <c r="H648" s="114" t="n"/>
      <c r="I648" s="114" t="n"/>
      <c r="J648" s="114" t="n"/>
    </row>
    <row r="649" ht="15" customHeight="1" s="68">
      <c r="A649" s="114" t="n"/>
      <c r="B649" s="114" t="n"/>
      <c r="C649" s="114" t="n"/>
      <c r="D649" s="114" t="n"/>
      <c r="E649" s="114" t="n"/>
      <c r="F649" s="114" t="n"/>
      <c r="G649" s="114" t="n"/>
      <c r="H649" s="114" t="n"/>
      <c r="I649" s="114" t="n"/>
      <c r="J649" s="114" t="n"/>
    </row>
    <row r="650" ht="15" customHeight="1" s="68">
      <c r="A650" s="114" t="n"/>
      <c r="B650" s="114" t="n"/>
      <c r="C650" s="114" t="n"/>
      <c r="D650" s="114" t="n"/>
      <c r="E650" s="114" t="n"/>
      <c r="F650" s="114" t="n"/>
      <c r="G650" s="114" t="n"/>
      <c r="H650" s="114" t="n"/>
      <c r="I650" s="114" t="n"/>
      <c r="J650" s="114" t="n"/>
    </row>
    <row r="651" ht="15" customHeight="1" s="68">
      <c r="A651" s="114" t="n"/>
      <c r="B651" s="114" t="n"/>
      <c r="C651" s="114" t="n"/>
      <c r="D651" s="114" t="n"/>
      <c r="E651" s="114" t="n"/>
      <c r="F651" s="114" t="n"/>
      <c r="G651" s="114" t="n"/>
      <c r="H651" s="114" t="n"/>
      <c r="I651" s="114" t="n"/>
      <c r="J651" s="114" t="n"/>
    </row>
    <row r="652" ht="15" customHeight="1" s="68">
      <c r="A652" s="114" t="n"/>
      <c r="B652" s="114" t="n"/>
      <c r="C652" s="114" t="n"/>
      <c r="D652" s="114" t="n"/>
      <c r="E652" s="114" t="n"/>
      <c r="F652" s="114" t="n"/>
      <c r="G652" s="114" t="n"/>
      <c r="H652" s="114" t="n"/>
      <c r="I652" s="114" t="n"/>
      <c r="J652" s="114" t="n"/>
    </row>
    <row r="653" ht="15" customHeight="1" s="68">
      <c r="A653" s="114" t="n"/>
      <c r="B653" s="114" t="n"/>
      <c r="C653" s="114" t="n"/>
      <c r="D653" s="114" t="n"/>
      <c r="E653" s="114" t="n"/>
      <c r="F653" s="114" t="n"/>
      <c r="G653" s="114" t="n"/>
      <c r="H653" s="114" t="n"/>
      <c r="I653" s="114" t="n"/>
      <c r="J653" s="114" t="n"/>
    </row>
    <row r="654" ht="15" customHeight="1" s="68">
      <c r="A654" s="114" t="n"/>
      <c r="B654" s="114" t="n"/>
      <c r="C654" s="114" t="n"/>
      <c r="D654" s="114" t="n"/>
      <c r="E654" s="114" t="n"/>
      <c r="F654" s="114" t="n"/>
      <c r="G654" s="114" t="n"/>
      <c r="H654" s="114" t="n"/>
      <c r="I654" s="114" t="n"/>
      <c r="J654" s="114" t="n"/>
    </row>
    <row r="655" ht="15" customHeight="1" s="68">
      <c r="A655" s="114" t="n"/>
      <c r="B655" s="114" t="n"/>
      <c r="C655" s="114" t="n"/>
      <c r="D655" s="114" t="n"/>
      <c r="E655" s="114" t="n"/>
      <c r="F655" s="114" t="n"/>
      <c r="G655" s="114" t="n"/>
      <c r="H655" s="114" t="n"/>
      <c r="I655" s="114" t="n"/>
      <c r="J655" s="114" t="n"/>
    </row>
    <row r="656" ht="15" customHeight="1" s="68">
      <c r="A656" s="114" t="n"/>
      <c r="B656" s="114" t="n"/>
      <c r="C656" s="114" t="n"/>
      <c r="D656" s="114" t="n"/>
      <c r="E656" s="114" t="n"/>
      <c r="F656" s="114" t="n"/>
      <c r="G656" s="114" t="n"/>
      <c r="H656" s="114" t="n"/>
      <c r="I656" s="114" t="n"/>
      <c r="J656" s="114" t="n"/>
    </row>
    <row r="657" ht="15" customHeight="1" s="68">
      <c r="A657" s="114" t="n"/>
      <c r="B657" s="114" t="n"/>
      <c r="C657" s="114" t="n"/>
      <c r="D657" s="114" t="n"/>
      <c r="E657" s="114" t="n"/>
      <c r="F657" s="114" t="n"/>
      <c r="G657" s="114" t="n"/>
      <c r="H657" s="114" t="n"/>
      <c r="I657" s="114" t="n"/>
      <c r="J657" s="114" t="n"/>
    </row>
    <row r="658" ht="15" customHeight="1" s="68">
      <c r="A658" s="114" t="n"/>
      <c r="B658" s="114" t="n"/>
      <c r="C658" s="114" t="n"/>
      <c r="D658" s="114" t="n"/>
      <c r="E658" s="114" t="n"/>
      <c r="F658" s="114" t="n"/>
      <c r="G658" s="114" t="n"/>
      <c r="H658" s="114" t="n"/>
      <c r="I658" s="114" t="n"/>
      <c r="J658" s="114" t="n"/>
    </row>
    <row r="659" ht="15" customHeight="1" s="68">
      <c r="A659" s="114" t="n"/>
      <c r="B659" s="114" t="n"/>
      <c r="C659" s="114" t="n"/>
      <c r="D659" s="114" t="n"/>
      <c r="E659" s="114" t="n"/>
      <c r="F659" s="114" t="n"/>
      <c r="G659" s="114" t="n"/>
      <c r="H659" s="114" t="n"/>
      <c r="I659" s="114" t="n"/>
      <c r="J659" s="114" t="n"/>
    </row>
    <row r="660" ht="15" customHeight="1" s="68">
      <c r="A660" s="114" t="n"/>
      <c r="B660" s="114" t="n"/>
      <c r="C660" s="114" t="n"/>
      <c r="D660" s="114" t="n"/>
      <c r="E660" s="114" t="n"/>
      <c r="F660" s="114" t="n"/>
      <c r="G660" s="114" t="n"/>
      <c r="H660" s="114" t="n"/>
      <c r="I660" s="114" t="n"/>
      <c r="J660" s="114" t="n"/>
    </row>
    <row r="661" ht="15" customHeight="1" s="68">
      <c r="A661" s="114" t="n"/>
      <c r="B661" s="114" t="n"/>
      <c r="C661" s="114" t="n"/>
      <c r="D661" s="114" t="n"/>
      <c r="E661" s="114" t="n"/>
      <c r="F661" s="114" t="n"/>
      <c r="G661" s="114" t="n"/>
      <c r="H661" s="114" t="n"/>
      <c r="I661" s="114" t="n"/>
      <c r="J661" s="114" t="n"/>
    </row>
    <row r="662" ht="15" customHeight="1" s="68">
      <c r="A662" s="114" t="n"/>
      <c r="B662" s="114" t="n"/>
      <c r="C662" s="114" t="n"/>
      <c r="D662" s="114" t="n"/>
      <c r="E662" s="114" t="n"/>
      <c r="F662" s="114" t="n"/>
      <c r="G662" s="114" t="n"/>
      <c r="H662" s="114" t="n"/>
      <c r="I662" s="114" t="n"/>
      <c r="J662" s="114" t="n"/>
    </row>
    <row r="663" ht="15" customHeight="1" s="68">
      <c r="A663" s="114" t="n"/>
      <c r="B663" s="114" t="n"/>
      <c r="C663" s="114" t="n"/>
      <c r="D663" s="114" t="n"/>
      <c r="E663" s="114" t="n"/>
      <c r="F663" s="114" t="n"/>
      <c r="G663" s="114" t="n"/>
      <c r="H663" s="114" t="n"/>
      <c r="I663" s="114" t="n"/>
      <c r="J663" s="114" t="n"/>
    </row>
    <row r="664" ht="15" customHeight="1" s="68">
      <c r="A664" s="114" t="n"/>
      <c r="B664" s="114" t="n"/>
      <c r="C664" s="114" t="n"/>
      <c r="D664" s="114" t="n"/>
      <c r="E664" s="114" t="n"/>
      <c r="F664" s="114" t="n"/>
      <c r="G664" s="114" t="n"/>
      <c r="H664" s="114" t="n"/>
      <c r="I664" s="114" t="n"/>
      <c r="J664" s="114" t="n"/>
    </row>
    <row r="665" ht="15" customHeight="1" s="68">
      <c r="A665" s="114" t="n"/>
      <c r="B665" s="114" t="n"/>
      <c r="C665" s="114" t="n"/>
      <c r="D665" s="114" t="n"/>
      <c r="E665" s="114" t="n"/>
      <c r="F665" s="114" t="n"/>
      <c r="G665" s="114" t="n"/>
      <c r="H665" s="114" t="n"/>
      <c r="I665" s="114" t="n"/>
      <c r="J665" s="114" t="n"/>
    </row>
    <row r="666" ht="15" customHeight="1" s="68">
      <c r="A666" s="114" t="n"/>
      <c r="B666" s="114" t="n"/>
      <c r="C666" s="114" t="n"/>
      <c r="D666" s="114" t="n"/>
      <c r="E666" s="114" t="n"/>
      <c r="F666" s="114" t="n"/>
      <c r="G666" s="114" t="n"/>
      <c r="H666" s="114" t="n"/>
      <c r="I666" s="114" t="n"/>
      <c r="J666" s="114" t="n"/>
    </row>
    <row r="667" ht="15" customHeight="1" s="68">
      <c r="A667" s="114" t="n"/>
      <c r="B667" s="114" t="n"/>
      <c r="C667" s="114" t="n"/>
      <c r="D667" s="114" t="n"/>
      <c r="E667" s="114" t="n"/>
      <c r="F667" s="114" t="n"/>
      <c r="G667" s="114" t="n"/>
      <c r="H667" s="114" t="n"/>
      <c r="I667" s="114" t="n"/>
      <c r="J667" s="114" t="n"/>
    </row>
    <row r="668" ht="15" customHeight="1" s="68">
      <c r="A668" s="114" t="n"/>
      <c r="B668" s="114" t="n"/>
      <c r="C668" s="114" t="n"/>
      <c r="D668" s="114" t="n"/>
      <c r="E668" s="114" t="n"/>
      <c r="F668" s="114" t="n"/>
      <c r="G668" s="114" t="n"/>
      <c r="H668" s="114" t="n"/>
      <c r="I668" s="114" t="n"/>
      <c r="J668" s="114" t="n"/>
    </row>
    <row r="669" ht="15" customHeight="1" s="68">
      <c r="A669" s="114" t="n"/>
      <c r="B669" s="114" t="n"/>
      <c r="C669" s="114" t="n"/>
      <c r="D669" s="114" t="n"/>
      <c r="E669" s="114" t="n"/>
      <c r="F669" s="114" t="n"/>
      <c r="G669" s="114" t="n"/>
      <c r="H669" s="114" t="n"/>
      <c r="I669" s="114" t="n"/>
      <c r="J669" s="114" t="n"/>
    </row>
    <row r="670" ht="15" customHeight="1" s="68">
      <c r="A670" s="114" t="n"/>
      <c r="B670" s="114" t="n"/>
      <c r="C670" s="114" t="n"/>
      <c r="D670" s="114" t="n"/>
      <c r="E670" s="114" t="n"/>
      <c r="F670" s="114" t="n"/>
      <c r="G670" s="114" t="n"/>
      <c r="H670" s="114" t="n"/>
      <c r="I670" s="114" t="n"/>
      <c r="J670" s="114" t="n"/>
    </row>
    <row r="671" ht="15" customHeight="1" s="68">
      <c r="A671" s="114" t="n"/>
      <c r="B671" s="114" t="n"/>
      <c r="C671" s="114" t="n"/>
      <c r="D671" s="114" t="n"/>
      <c r="E671" s="114" t="n"/>
      <c r="F671" s="114" t="n"/>
      <c r="G671" s="114" t="n"/>
      <c r="H671" s="114" t="n"/>
      <c r="I671" s="114" t="n"/>
      <c r="J671" s="114" t="n"/>
    </row>
    <row r="672" ht="15" customHeight="1" s="68">
      <c r="A672" s="114" t="n"/>
      <c r="B672" s="114" t="n"/>
      <c r="C672" s="114" t="n"/>
      <c r="D672" s="114" t="n"/>
      <c r="E672" s="114" t="n"/>
      <c r="F672" s="114" t="n"/>
      <c r="G672" s="114" t="n"/>
      <c r="H672" s="114" t="n"/>
      <c r="I672" s="114" t="n"/>
      <c r="J672" s="114" t="n"/>
    </row>
    <row r="673" ht="15" customHeight="1" s="68">
      <c r="A673" s="114" t="n"/>
      <c r="B673" s="114" t="n"/>
      <c r="C673" s="114" t="n"/>
      <c r="D673" s="114" t="n"/>
      <c r="E673" s="114" t="n"/>
      <c r="F673" s="114" t="n"/>
      <c r="G673" s="114" t="n"/>
      <c r="H673" s="114" t="n"/>
      <c r="I673" s="114" t="n"/>
      <c r="J673" s="114" t="n"/>
    </row>
    <row r="674" ht="15" customHeight="1" s="68">
      <c r="A674" s="114" t="n"/>
      <c r="B674" s="114" t="n"/>
      <c r="C674" s="114" t="n"/>
      <c r="D674" s="114" t="n"/>
      <c r="E674" s="114" t="n"/>
      <c r="F674" s="114" t="n"/>
      <c r="G674" s="114" t="n"/>
      <c r="H674" s="114" t="n"/>
      <c r="I674" s="114" t="n"/>
      <c r="J674" s="114" t="n"/>
    </row>
    <row r="675" ht="15" customHeight="1" s="68">
      <c r="A675" s="114" t="n"/>
      <c r="B675" s="114" t="n"/>
      <c r="C675" s="114" t="n"/>
      <c r="D675" s="114" t="n"/>
      <c r="E675" s="114" t="n"/>
      <c r="F675" s="114" t="n"/>
      <c r="G675" s="114" t="n"/>
      <c r="H675" s="114" t="n"/>
      <c r="I675" s="114" t="n"/>
      <c r="J675" s="114" t="n"/>
    </row>
    <row r="676" ht="15" customHeight="1" s="68">
      <c r="A676" s="114" t="n"/>
      <c r="B676" s="114" t="n"/>
      <c r="C676" s="114" t="n"/>
      <c r="D676" s="114" t="n"/>
      <c r="E676" s="114" t="n"/>
      <c r="F676" s="114" t="n"/>
      <c r="G676" s="114" t="n"/>
      <c r="H676" s="114" t="n"/>
      <c r="I676" s="114" t="n"/>
      <c r="J676" s="114" t="n"/>
    </row>
    <row r="677" ht="15" customHeight="1" s="68">
      <c r="A677" s="114" t="n"/>
      <c r="B677" s="114" t="n"/>
      <c r="C677" s="114" t="n"/>
      <c r="D677" s="114" t="n"/>
      <c r="E677" s="114" t="n"/>
      <c r="F677" s="114" t="n"/>
      <c r="G677" s="114" t="n"/>
      <c r="H677" s="114" t="n"/>
      <c r="I677" s="114" t="n"/>
      <c r="J677" s="114" t="n"/>
    </row>
    <row r="678" ht="15" customHeight="1" s="68">
      <c r="A678" s="114" t="n"/>
      <c r="B678" s="114" t="n"/>
      <c r="C678" s="114" t="n"/>
      <c r="D678" s="114" t="n"/>
      <c r="E678" s="114" t="n"/>
      <c r="F678" s="114" t="n"/>
      <c r="G678" s="114" t="n"/>
      <c r="H678" s="114" t="n"/>
      <c r="I678" s="114" t="n"/>
      <c r="J678" s="114" t="n"/>
    </row>
    <row r="679" ht="15" customHeight="1" s="68">
      <c r="A679" s="114" t="n"/>
      <c r="B679" s="114" t="n"/>
      <c r="C679" s="114" t="n"/>
      <c r="D679" s="114" t="n"/>
      <c r="E679" s="114" t="n"/>
      <c r="F679" s="114" t="n"/>
      <c r="G679" s="114" t="n"/>
      <c r="H679" s="114" t="n"/>
      <c r="I679" s="114" t="n"/>
      <c r="J679" s="114" t="n"/>
    </row>
    <row r="680" ht="15" customHeight="1" s="68">
      <c r="A680" s="114" t="n"/>
      <c r="B680" s="114" t="n"/>
      <c r="C680" s="114" t="n"/>
      <c r="D680" s="114" t="n"/>
      <c r="E680" s="114" t="n"/>
      <c r="F680" s="114" t="n"/>
      <c r="G680" s="114" t="n"/>
      <c r="H680" s="114" t="n"/>
      <c r="I680" s="114" t="n"/>
      <c r="J680" s="114" t="n"/>
    </row>
    <row r="681" ht="15" customHeight="1" s="68">
      <c r="A681" s="114" t="n"/>
      <c r="B681" s="114" t="n"/>
      <c r="C681" s="114" t="n"/>
      <c r="D681" s="114" t="n"/>
      <c r="E681" s="114" t="n"/>
      <c r="F681" s="114" t="n"/>
      <c r="G681" s="114" t="n"/>
      <c r="H681" s="114" t="n"/>
      <c r="I681" s="114" t="n"/>
      <c r="J681" s="114" t="n"/>
    </row>
    <row r="682" ht="15" customHeight="1" s="68">
      <c r="A682" s="114" t="n"/>
      <c r="B682" s="114" t="n"/>
      <c r="C682" s="114" t="n"/>
      <c r="D682" s="114" t="n"/>
      <c r="E682" s="114" t="n"/>
      <c r="F682" s="114" t="n"/>
      <c r="G682" s="114" t="n"/>
      <c r="H682" s="114" t="n"/>
      <c r="I682" s="114" t="n"/>
      <c r="J682" s="114" t="n"/>
    </row>
    <row r="683" ht="15" customHeight="1" s="68">
      <c r="A683" s="114" t="n"/>
      <c r="B683" s="114" t="n"/>
      <c r="C683" s="114" t="n"/>
      <c r="D683" s="114" t="n"/>
      <c r="E683" s="114" t="n"/>
      <c r="F683" s="114" t="n"/>
      <c r="G683" s="114" t="n"/>
      <c r="H683" s="114" t="n"/>
      <c r="I683" s="114" t="n"/>
      <c r="J683" s="114" t="n"/>
    </row>
    <row r="684" ht="15" customHeight="1" s="68">
      <c r="A684" s="114" t="n"/>
      <c r="B684" s="114" t="n"/>
      <c r="C684" s="114" t="n"/>
      <c r="D684" s="114" t="n"/>
      <c r="E684" s="114" t="n"/>
      <c r="F684" s="114" t="n"/>
      <c r="G684" s="114" t="n"/>
      <c r="H684" s="114" t="n"/>
      <c r="I684" s="114" t="n"/>
      <c r="J684" s="114" t="n"/>
    </row>
    <row r="685" ht="15" customHeight="1" s="68">
      <c r="A685" s="114" t="n"/>
      <c r="B685" s="114" t="n"/>
      <c r="C685" s="114" t="n"/>
      <c r="D685" s="114" t="n"/>
      <c r="E685" s="114" t="n"/>
      <c r="F685" s="114" t="n"/>
      <c r="G685" s="114" t="n"/>
      <c r="H685" s="114" t="n"/>
      <c r="I685" s="114" t="n"/>
      <c r="J685" s="114" t="n"/>
    </row>
    <row r="686" ht="15" customHeight="1" s="68">
      <c r="A686" s="114" t="n"/>
      <c r="B686" s="114" t="n"/>
      <c r="C686" s="114" t="n"/>
      <c r="D686" s="114" t="n"/>
      <c r="E686" s="114" t="n"/>
      <c r="F686" s="114" t="n"/>
      <c r="G686" s="114" t="n"/>
      <c r="H686" s="114" t="n"/>
      <c r="I686" s="114" t="n"/>
      <c r="J686" s="114" t="n"/>
    </row>
    <row r="687" ht="15" customHeight="1" s="68">
      <c r="A687" s="114" t="n"/>
      <c r="B687" s="114" t="n"/>
      <c r="C687" s="114" t="n"/>
      <c r="D687" s="114" t="n"/>
      <c r="E687" s="114" t="n"/>
      <c r="F687" s="114" t="n"/>
      <c r="G687" s="114" t="n"/>
      <c r="H687" s="114" t="n"/>
      <c r="I687" s="114" t="n"/>
      <c r="J687" s="114" t="n"/>
    </row>
    <row r="688" ht="15" customHeight="1" s="68">
      <c r="A688" s="114" t="n"/>
      <c r="B688" s="114" t="n"/>
      <c r="C688" s="114" t="n"/>
      <c r="D688" s="114" t="n"/>
      <c r="E688" s="114" t="n"/>
      <c r="F688" s="114" t="n"/>
      <c r="G688" s="114" t="n"/>
      <c r="H688" s="114" t="n"/>
      <c r="I688" s="114" t="n"/>
      <c r="J688" s="114" t="n"/>
    </row>
    <row r="689" ht="15" customHeight="1" s="68">
      <c r="A689" s="114" t="n"/>
      <c r="B689" s="114" t="n"/>
      <c r="C689" s="114" t="n"/>
      <c r="D689" s="114" t="n"/>
      <c r="E689" s="114" t="n"/>
      <c r="F689" s="114" t="n"/>
      <c r="G689" s="114" t="n"/>
      <c r="H689" s="114" t="n"/>
      <c r="I689" s="114" t="n"/>
      <c r="J689" s="114" t="n"/>
    </row>
    <row r="690" ht="15" customHeight="1" s="68">
      <c r="A690" s="114" t="n"/>
      <c r="B690" s="114" t="n"/>
      <c r="C690" s="114" t="n"/>
      <c r="D690" s="114" t="n"/>
      <c r="E690" s="114" t="n"/>
      <c r="F690" s="114" t="n"/>
      <c r="G690" s="114" t="n"/>
      <c r="H690" s="114" t="n"/>
      <c r="I690" s="114" t="n"/>
      <c r="J690" s="114" t="n"/>
    </row>
    <row r="691" ht="15" customHeight="1" s="68">
      <c r="A691" s="114" t="n"/>
      <c r="B691" s="114" t="n"/>
      <c r="C691" s="114" t="n"/>
      <c r="D691" s="114" t="n"/>
      <c r="E691" s="114" t="n"/>
      <c r="F691" s="114" t="n"/>
      <c r="G691" s="114" t="n"/>
      <c r="H691" s="114" t="n"/>
      <c r="I691" s="114" t="n"/>
      <c r="J691" s="114" t="n"/>
    </row>
    <row r="692" ht="15" customHeight="1" s="68">
      <c r="A692" s="114" t="n"/>
      <c r="B692" s="114" t="n"/>
      <c r="C692" s="114" t="n"/>
      <c r="D692" s="114" t="n"/>
      <c r="E692" s="114" t="n"/>
      <c r="F692" s="114" t="n"/>
      <c r="G692" s="114" t="n"/>
      <c r="H692" s="114" t="n"/>
      <c r="I692" s="114" t="n"/>
      <c r="J692" s="114" t="n"/>
    </row>
    <row r="693" ht="15" customHeight="1" s="68">
      <c r="A693" s="114" t="n"/>
      <c r="B693" s="114" t="n"/>
      <c r="C693" s="114" t="n"/>
      <c r="D693" s="114" t="n"/>
      <c r="E693" s="114" t="n"/>
      <c r="F693" s="114" t="n"/>
      <c r="G693" s="114" t="n"/>
      <c r="H693" s="114" t="n"/>
      <c r="I693" s="114" t="n"/>
      <c r="J693" s="114" t="n"/>
    </row>
    <row r="694" ht="15" customHeight="1" s="68">
      <c r="A694" s="114" t="n"/>
      <c r="B694" s="114" t="n"/>
      <c r="C694" s="114" t="n"/>
      <c r="D694" s="114" t="n"/>
      <c r="E694" s="114" t="n"/>
      <c r="F694" s="114" t="n"/>
      <c r="G694" s="114" t="n"/>
      <c r="H694" s="114" t="n"/>
      <c r="I694" s="114" t="n"/>
      <c r="J694" s="114" t="n"/>
    </row>
    <row r="695" ht="15" customHeight="1" s="68">
      <c r="A695" s="114" t="n"/>
      <c r="B695" s="114" t="n"/>
      <c r="C695" s="114" t="n"/>
      <c r="D695" s="114" t="n"/>
      <c r="E695" s="114" t="n"/>
      <c r="F695" s="114" t="n"/>
      <c r="G695" s="114" t="n"/>
      <c r="H695" s="114" t="n"/>
      <c r="I695" s="114" t="n"/>
      <c r="J695" s="114" t="n"/>
    </row>
    <row r="696" ht="15" customHeight="1" s="68">
      <c r="A696" s="114" t="n"/>
      <c r="B696" s="114" t="n"/>
      <c r="C696" s="114" t="n"/>
      <c r="D696" s="114" t="n"/>
      <c r="E696" s="114" t="n"/>
      <c r="F696" s="114" t="n"/>
      <c r="G696" s="114" t="n"/>
      <c r="H696" s="114" t="n"/>
      <c r="I696" s="114" t="n"/>
      <c r="J696" s="114" t="n"/>
    </row>
    <row r="697" ht="15" customHeight="1" s="68">
      <c r="A697" s="114" t="n"/>
      <c r="B697" s="114" t="n"/>
      <c r="C697" s="114" t="n"/>
      <c r="D697" s="114" t="n"/>
      <c r="E697" s="114" t="n"/>
      <c r="F697" s="114" t="n"/>
      <c r="G697" s="114" t="n"/>
      <c r="H697" s="114" t="n"/>
      <c r="I697" s="114" t="n"/>
      <c r="J697" s="114" t="n"/>
    </row>
    <row r="698" ht="15" customHeight="1" s="68">
      <c r="A698" s="114" t="n"/>
      <c r="B698" s="114" t="n"/>
      <c r="C698" s="114" t="n"/>
      <c r="D698" s="114" t="n"/>
      <c r="E698" s="114" t="n"/>
      <c r="F698" s="114" t="n"/>
      <c r="G698" s="114" t="n"/>
      <c r="H698" s="114" t="n"/>
      <c r="I698" s="114" t="n"/>
      <c r="J698" s="114" t="n"/>
    </row>
    <row r="699" ht="15" customHeight="1" s="68">
      <c r="A699" s="114" t="n"/>
      <c r="B699" s="114" t="n"/>
      <c r="C699" s="114" t="n"/>
      <c r="D699" s="114" t="n"/>
      <c r="E699" s="114" t="n"/>
      <c r="F699" s="114" t="n"/>
      <c r="G699" s="114" t="n"/>
      <c r="H699" s="114" t="n"/>
      <c r="I699" s="114" t="n"/>
      <c r="J699" s="114" t="n"/>
    </row>
    <row r="700" ht="15" customHeight="1" s="68">
      <c r="A700" s="114" t="n"/>
      <c r="B700" s="114" t="n"/>
      <c r="C700" s="114" t="n"/>
      <c r="D700" s="114" t="n"/>
      <c r="E700" s="114" t="n"/>
      <c r="F700" s="114" t="n"/>
      <c r="G700" s="114" t="n"/>
      <c r="H700" s="114" t="n"/>
      <c r="I700" s="114" t="n"/>
      <c r="J700" s="114" t="n"/>
    </row>
    <row r="701" ht="15" customHeight="1" s="68">
      <c r="A701" s="114" t="n"/>
      <c r="B701" s="114" t="n"/>
      <c r="C701" s="114" t="n"/>
      <c r="D701" s="114" t="n"/>
      <c r="E701" s="114" t="n"/>
      <c r="F701" s="114" t="n"/>
      <c r="G701" s="114" t="n"/>
      <c r="H701" s="114" t="n"/>
      <c r="I701" s="114" t="n"/>
      <c r="J701" s="114" t="n"/>
    </row>
    <row r="702" ht="15" customHeight="1" s="68">
      <c r="A702" s="114" t="n"/>
      <c r="B702" s="114" t="n"/>
      <c r="C702" s="114" t="n"/>
      <c r="D702" s="114" t="n"/>
      <c r="E702" s="114" t="n"/>
      <c r="F702" s="114" t="n"/>
      <c r="G702" s="114" t="n"/>
      <c r="H702" s="114" t="n"/>
      <c r="I702" s="114" t="n"/>
      <c r="J702" s="114" t="n"/>
    </row>
    <row r="703" ht="15" customHeight="1" s="68">
      <c r="A703" s="114" t="n"/>
      <c r="B703" s="114" t="n"/>
      <c r="C703" s="114" t="n"/>
      <c r="D703" s="114" t="n"/>
      <c r="E703" s="114" t="n"/>
      <c r="F703" s="114" t="n"/>
      <c r="G703" s="114" t="n"/>
      <c r="H703" s="114" t="n"/>
      <c r="I703" s="114" t="n"/>
      <c r="J703" s="114" t="n"/>
    </row>
    <row r="704" ht="15" customHeight="1" s="68">
      <c r="A704" s="114" t="n"/>
      <c r="B704" s="114" t="n"/>
      <c r="C704" s="114" t="n"/>
      <c r="D704" s="114" t="n"/>
      <c r="E704" s="114" t="n"/>
      <c r="F704" s="114" t="n"/>
      <c r="G704" s="114" t="n"/>
      <c r="H704" s="114" t="n"/>
      <c r="I704" s="114" t="n"/>
      <c r="J704" s="114" t="n"/>
    </row>
    <row r="705" ht="15" customHeight="1" s="68">
      <c r="A705" s="114" t="n"/>
      <c r="B705" s="114" t="n"/>
      <c r="C705" s="114" t="n"/>
      <c r="D705" s="114" t="n"/>
      <c r="E705" s="114" t="n"/>
      <c r="F705" s="114" t="n"/>
      <c r="G705" s="114" t="n"/>
      <c r="H705" s="114" t="n"/>
      <c r="I705" s="114" t="n"/>
      <c r="J705" s="114" t="n"/>
    </row>
    <row r="706" ht="15" customHeight="1" s="68">
      <c r="A706" s="114" t="n"/>
      <c r="B706" s="114" t="n"/>
      <c r="C706" s="114" t="n"/>
      <c r="D706" s="114" t="n"/>
      <c r="E706" s="114" t="n"/>
      <c r="F706" s="114" t="n"/>
      <c r="G706" s="114" t="n"/>
      <c r="H706" s="114" t="n"/>
      <c r="I706" s="114" t="n"/>
      <c r="J706" s="114" t="n"/>
    </row>
    <row r="707" ht="15" customHeight="1" s="68">
      <c r="A707" s="114" t="n"/>
      <c r="B707" s="114" t="n"/>
      <c r="C707" s="114" t="n"/>
      <c r="D707" s="114" t="n"/>
      <c r="E707" s="114" t="n"/>
      <c r="F707" s="114" t="n"/>
      <c r="G707" s="114" t="n"/>
      <c r="H707" s="114" t="n"/>
      <c r="I707" s="114" t="n"/>
      <c r="J707" s="114" t="n"/>
    </row>
    <row r="708" ht="15" customHeight="1" s="68">
      <c r="A708" s="114" t="n"/>
      <c r="B708" s="114" t="n"/>
      <c r="C708" s="114" t="n"/>
      <c r="D708" s="114" t="n"/>
      <c r="E708" s="114" t="n"/>
      <c r="F708" s="114" t="n"/>
      <c r="G708" s="114" t="n"/>
      <c r="H708" s="114" t="n"/>
      <c r="I708" s="114" t="n"/>
      <c r="J708" s="114" t="n"/>
    </row>
    <row r="709" ht="15" customHeight="1" s="68">
      <c r="A709" s="114" t="n"/>
      <c r="B709" s="114" t="n"/>
      <c r="C709" s="114" t="n"/>
      <c r="D709" s="114" t="n"/>
      <c r="E709" s="114" t="n"/>
      <c r="F709" s="114" t="n"/>
      <c r="G709" s="114" t="n"/>
      <c r="H709" s="114" t="n"/>
      <c r="I709" s="114" t="n"/>
      <c r="J709" s="114" t="n"/>
    </row>
    <row r="710" ht="15" customHeight="1" s="68">
      <c r="A710" s="114" t="n"/>
      <c r="B710" s="114" t="n"/>
      <c r="C710" s="114" t="n"/>
      <c r="D710" s="114" t="n"/>
      <c r="E710" s="114" t="n"/>
      <c r="F710" s="114" t="n"/>
      <c r="G710" s="114" t="n"/>
      <c r="H710" s="114" t="n"/>
      <c r="I710" s="114" t="n"/>
      <c r="J710" s="114" t="n"/>
    </row>
    <row r="711" ht="15" customHeight="1" s="68">
      <c r="A711" s="114" t="n"/>
      <c r="B711" s="114" t="n"/>
      <c r="C711" s="114" t="n"/>
      <c r="D711" s="114" t="n"/>
      <c r="E711" s="114" t="n"/>
      <c r="F711" s="114" t="n"/>
      <c r="G711" s="114" t="n"/>
      <c r="H711" s="114" t="n"/>
      <c r="I711" s="114" t="n"/>
      <c r="J711" s="114" t="n"/>
    </row>
    <row r="712" ht="15" customHeight="1" s="68">
      <c r="A712" s="114" t="n"/>
      <c r="B712" s="114" t="n"/>
      <c r="C712" s="114" t="n"/>
      <c r="D712" s="114" t="n"/>
      <c r="E712" s="114" t="n"/>
      <c r="F712" s="114" t="n"/>
      <c r="G712" s="114" t="n"/>
      <c r="H712" s="114" t="n"/>
      <c r="I712" s="114" t="n"/>
      <c r="J712" s="114" t="n"/>
    </row>
    <row r="713" ht="15" customHeight="1" s="68">
      <c r="A713" s="114" t="n"/>
      <c r="B713" s="114" t="n"/>
      <c r="C713" s="114" t="n"/>
      <c r="D713" s="114" t="n"/>
      <c r="E713" s="114" t="n"/>
      <c r="F713" s="114" t="n"/>
      <c r="G713" s="114" t="n"/>
      <c r="H713" s="114" t="n"/>
      <c r="I713" s="114" t="n"/>
      <c r="J713" s="114" t="n"/>
    </row>
    <row r="714" ht="15" customHeight="1" s="68">
      <c r="A714" s="114" t="n"/>
      <c r="B714" s="114" t="n"/>
      <c r="C714" s="114" t="n"/>
      <c r="D714" s="114" t="n"/>
      <c r="E714" s="114" t="n"/>
      <c r="F714" s="114" t="n"/>
      <c r="G714" s="114" t="n"/>
      <c r="H714" s="114" t="n"/>
      <c r="I714" s="114" t="n"/>
      <c r="J714" s="114" t="n"/>
    </row>
    <row r="715" ht="15" customHeight="1" s="68">
      <c r="A715" s="114" t="n"/>
      <c r="B715" s="114" t="n"/>
      <c r="C715" s="114" t="n"/>
      <c r="D715" s="114" t="n"/>
      <c r="E715" s="114" t="n"/>
      <c r="F715" s="114" t="n"/>
      <c r="G715" s="114" t="n"/>
      <c r="H715" s="114" t="n"/>
      <c r="I715" s="114" t="n"/>
      <c r="J715" s="114" t="n"/>
    </row>
    <row r="716" ht="15" customHeight="1" s="68">
      <c r="A716" s="114" t="n"/>
      <c r="B716" s="114" t="n"/>
      <c r="C716" s="114" t="n"/>
      <c r="D716" s="114" t="n"/>
      <c r="E716" s="114" t="n"/>
      <c r="F716" s="114" t="n"/>
      <c r="G716" s="114" t="n"/>
      <c r="H716" s="114" t="n"/>
      <c r="I716" s="114" t="n"/>
      <c r="J716" s="114" t="n"/>
    </row>
    <row r="717" ht="15" customHeight="1" s="68">
      <c r="A717" s="114" t="n"/>
      <c r="B717" s="114" t="n"/>
      <c r="C717" s="114" t="n"/>
      <c r="D717" s="114" t="n"/>
      <c r="E717" s="114" t="n"/>
      <c r="F717" s="114" t="n"/>
      <c r="G717" s="114" t="n"/>
      <c r="H717" s="114" t="n"/>
      <c r="I717" s="114" t="n"/>
      <c r="J717" s="114" t="n"/>
    </row>
    <row r="718" ht="15" customHeight="1" s="68">
      <c r="A718" s="114" t="n"/>
      <c r="B718" s="114" t="n"/>
      <c r="C718" s="114" t="n"/>
      <c r="D718" s="114" t="n"/>
      <c r="E718" s="114" t="n"/>
      <c r="F718" s="114" t="n"/>
      <c r="G718" s="114" t="n"/>
      <c r="H718" s="114" t="n"/>
      <c r="I718" s="114" t="n"/>
      <c r="J718" s="114" t="n"/>
    </row>
    <row r="719" ht="15" customHeight="1" s="68">
      <c r="A719" s="114" t="n"/>
      <c r="B719" s="114" t="n"/>
      <c r="C719" s="114" t="n"/>
      <c r="D719" s="114" t="n"/>
      <c r="E719" s="114" t="n"/>
      <c r="F719" s="114" t="n"/>
      <c r="G719" s="114" t="n"/>
      <c r="H719" s="114" t="n"/>
      <c r="I719" s="114" t="n"/>
      <c r="J719" s="114" t="n"/>
    </row>
    <row r="720" ht="15" customHeight="1" s="68">
      <c r="A720" s="114" t="n"/>
      <c r="B720" s="114" t="n"/>
      <c r="C720" s="114" t="n"/>
      <c r="D720" s="114" t="n"/>
      <c r="E720" s="114" t="n"/>
      <c r="F720" s="114" t="n"/>
      <c r="G720" s="114" t="n"/>
      <c r="H720" s="114" t="n"/>
      <c r="I720" s="114" t="n"/>
      <c r="J720" s="114" t="n"/>
    </row>
    <row r="721" ht="15" customHeight="1" s="68">
      <c r="A721" s="114" t="n"/>
      <c r="B721" s="114" t="n"/>
      <c r="C721" s="114" t="n"/>
      <c r="D721" s="114" t="n"/>
      <c r="E721" s="114" t="n"/>
      <c r="F721" s="114" t="n"/>
      <c r="G721" s="114" t="n"/>
      <c r="H721" s="114" t="n"/>
      <c r="I721" s="114" t="n"/>
      <c r="J721" s="114" t="n"/>
    </row>
    <row r="722" ht="15" customHeight="1" s="68">
      <c r="A722" s="114" t="n"/>
      <c r="B722" s="114" t="n"/>
      <c r="C722" s="114" t="n"/>
      <c r="D722" s="114" t="n"/>
      <c r="E722" s="114" t="n"/>
      <c r="F722" s="114" t="n"/>
      <c r="G722" s="114" t="n"/>
      <c r="H722" s="114" t="n"/>
      <c r="I722" s="114" t="n"/>
      <c r="J722" s="114" t="n"/>
    </row>
    <row r="723" ht="15" customHeight="1" s="68">
      <c r="A723" s="114" t="n"/>
      <c r="B723" s="114" t="n"/>
      <c r="C723" s="114" t="n"/>
      <c r="D723" s="114" t="n"/>
      <c r="E723" s="114" t="n"/>
      <c r="F723" s="114" t="n"/>
      <c r="G723" s="114" t="n"/>
      <c r="H723" s="114" t="n"/>
      <c r="I723" s="114" t="n"/>
      <c r="J723" s="114" t="n"/>
    </row>
    <row r="724" ht="15" customHeight="1" s="68">
      <c r="A724" s="114" t="n"/>
      <c r="B724" s="114" t="n"/>
      <c r="C724" s="114" t="n"/>
      <c r="D724" s="114" t="n"/>
      <c r="E724" s="114" t="n"/>
      <c r="F724" s="114" t="n"/>
      <c r="G724" s="114" t="n"/>
      <c r="H724" s="114" t="n"/>
      <c r="I724" s="114" t="n"/>
      <c r="J724" s="114" t="n"/>
    </row>
    <row r="725" ht="15" customHeight="1" s="68">
      <c r="A725" s="114" t="n"/>
      <c r="B725" s="114" t="n"/>
      <c r="C725" s="114" t="n"/>
      <c r="D725" s="114" t="n"/>
      <c r="E725" s="114" t="n"/>
      <c r="F725" s="114" t="n"/>
      <c r="G725" s="114" t="n"/>
      <c r="H725" s="114" t="n"/>
      <c r="I725" s="114" t="n"/>
      <c r="J725" s="114" t="n"/>
    </row>
    <row r="726" ht="15" customHeight="1" s="68">
      <c r="A726" s="114" t="n"/>
      <c r="B726" s="114" t="n"/>
      <c r="C726" s="114" t="n"/>
      <c r="D726" s="114" t="n"/>
      <c r="E726" s="114" t="n"/>
      <c r="F726" s="114" t="n"/>
      <c r="G726" s="114" t="n"/>
      <c r="H726" s="114" t="n"/>
      <c r="I726" s="114" t="n"/>
      <c r="J726" s="114" t="n"/>
    </row>
    <row r="727" ht="15" customHeight="1" s="68">
      <c r="A727" s="114" t="n"/>
      <c r="B727" s="114" t="n"/>
      <c r="C727" s="114" t="n"/>
      <c r="D727" s="114" t="n"/>
      <c r="E727" s="114" t="n"/>
      <c r="F727" s="114" t="n"/>
      <c r="G727" s="114" t="n"/>
      <c r="H727" s="114" t="n"/>
      <c r="I727" s="114" t="n"/>
      <c r="J727" s="114" t="n"/>
    </row>
    <row r="728" ht="15" customHeight="1" s="68">
      <c r="A728" s="114" t="n"/>
      <c r="B728" s="114" t="n"/>
      <c r="C728" s="114" t="n"/>
      <c r="D728" s="114" t="n"/>
      <c r="E728" s="114" t="n"/>
      <c r="F728" s="114" t="n"/>
      <c r="G728" s="114" t="n"/>
      <c r="H728" s="114" t="n"/>
      <c r="I728" s="114" t="n"/>
      <c r="J728" s="114" t="n"/>
    </row>
    <row r="729" ht="15" customHeight="1" s="68">
      <c r="A729" s="114" t="n"/>
      <c r="B729" s="114" t="n"/>
      <c r="C729" s="114" t="n"/>
      <c r="D729" s="114" t="n"/>
      <c r="E729" s="114" t="n"/>
      <c r="F729" s="114" t="n"/>
      <c r="G729" s="114" t="n"/>
      <c r="H729" s="114" t="n"/>
      <c r="I729" s="114" t="n"/>
      <c r="J729" s="114" t="n"/>
    </row>
    <row r="730" ht="15" customHeight="1" s="68">
      <c r="A730" s="114" t="n"/>
      <c r="B730" s="114" t="n"/>
      <c r="C730" s="114" t="n"/>
      <c r="D730" s="114" t="n"/>
      <c r="E730" s="114" t="n"/>
      <c r="F730" s="114" t="n"/>
      <c r="G730" s="114" t="n"/>
      <c r="H730" s="114" t="n"/>
      <c r="I730" s="114" t="n"/>
      <c r="J730" s="114" t="n"/>
    </row>
    <row r="731" ht="15" customHeight="1" s="68">
      <c r="A731" s="114" t="n"/>
      <c r="B731" s="114" t="n"/>
      <c r="C731" s="114" t="n"/>
      <c r="D731" s="114" t="n"/>
      <c r="E731" s="114" t="n"/>
      <c r="F731" s="114" t="n"/>
      <c r="G731" s="114" t="n"/>
      <c r="H731" s="114" t="n"/>
      <c r="I731" s="114" t="n"/>
      <c r="J731" s="114" t="n"/>
    </row>
    <row r="732" ht="15" customHeight="1" s="68">
      <c r="A732" s="114" t="n"/>
      <c r="B732" s="114" t="n"/>
      <c r="C732" s="114" t="n"/>
      <c r="D732" s="114" t="n"/>
      <c r="E732" s="114" t="n"/>
      <c r="F732" s="114" t="n"/>
      <c r="G732" s="114" t="n"/>
      <c r="H732" s="114" t="n"/>
      <c r="I732" s="114" t="n"/>
      <c r="J732" s="114" t="n"/>
    </row>
    <row r="733" ht="15" customHeight="1" s="68">
      <c r="A733" s="114" t="n"/>
      <c r="B733" s="114" t="n"/>
      <c r="C733" s="114" t="n"/>
      <c r="D733" s="114" t="n"/>
      <c r="E733" s="114" t="n"/>
      <c r="F733" s="114" t="n"/>
      <c r="G733" s="114" t="n"/>
      <c r="H733" s="114" t="n"/>
      <c r="I733" s="114" t="n"/>
      <c r="J733" s="114" t="n"/>
    </row>
    <row r="734" ht="15" customHeight="1" s="68">
      <c r="A734" s="114" t="n"/>
      <c r="B734" s="114" t="n"/>
      <c r="C734" s="114" t="n"/>
      <c r="D734" s="114" t="n"/>
      <c r="E734" s="114" t="n"/>
      <c r="F734" s="114" t="n"/>
      <c r="G734" s="114" t="n"/>
      <c r="H734" s="114" t="n"/>
      <c r="I734" s="114" t="n"/>
      <c r="J734" s="114" t="n"/>
    </row>
    <row r="735" ht="15" customHeight="1" s="68">
      <c r="A735" s="114" t="n"/>
      <c r="B735" s="114" t="n"/>
      <c r="C735" s="114" t="n"/>
      <c r="D735" s="114" t="n"/>
      <c r="E735" s="114" t="n"/>
      <c r="F735" s="114" t="n"/>
      <c r="G735" s="114" t="n"/>
      <c r="H735" s="114" t="n"/>
      <c r="I735" s="114" t="n"/>
      <c r="J735" s="114" t="n"/>
    </row>
    <row r="736" ht="15" customHeight="1" s="68">
      <c r="A736" s="114" t="n"/>
      <c r="B736" s="114" t="n"/>
      <c r="C736" s="114" t="n"/>
      <c r="D736" s="114" t="n"/>
      <c r="E736" s="114" t="n"/>
      <c r="F736" s="114" t="n"/>
      <c r="G736" s="114" t="n"/>
      <c r="H736" s="114" t="n"/>
      <c r="I736" s="114" t="n"/>
      <c r="J736" s="114" t="n"/>
    </row>
    <row r="737" ht="15" customHeight="1" s="68">
      <c r="A737" s="114" t="n"/>
      <c r="B737" s="114" t="n"/>
      <c r="C737" s="114" t="n"/>
      <c r="D737" s="114" t="n"/>
      <c r="E737" s="114" t="n"/>
      <c r="F737" s="114" t="n"/>
      <c r="G737" s="114" t="n"/>
      <c r="H737" s="114" t="n"/>
      <c r="I737" s="114" t="n"/>
      <c r="J737" s="114" t="n"/>
    </row>
    <row r="738" ht="15" customHeight="1" s="68">
      <c r="A738" s="114" t="n"/>
      <c r="B738" s="114" t="n"/>
      <c r="C738" s="114" t="n"/>
      <c r="D738" s="114" t="n"/>
      <c r="E738" s="114" t="n"/>
      <c r="F738" s="114" t="n"/>
      <c r="G738" s="114" t="n"/>
      <c r="H738" s="114" t="n"/>
      <c r="I738" s="114" t="n"/>
      <c r="J738" s="114" t="n"/>
    </row>
    <row r="739" ht="15" customHeight="1" s="68">
      <c r="A739" s="114" t="n"/>
      <c r="B739" s="114" t="n"/>
      <c r="C739" s="114" t="n"/>
      <c r="D739" s="114" t="n"/>
      <c r="E739" s="114" t="n"/>
      <c r="F739" s="114" t="n"/>
      <c r="G739" s="114" t="n"/>
      <c r="H739" s="114" t="n"/>
      <c r="I739" s="114" t="n"/>
      <c r="J739" s="114" t="n"/>
    </row>
    <row r="740" ht="15" customHeight="1" s="68">
      <c r="A740" s="114" t="n"/>
      <c r="B740" s="114" t="n"/>
      <c r="C740" s="114" t="n"/>
      <c r="D740" s="114" t="n"/>
      <c r="E740" s="114" t="n"/>
      <c r="F740" s="114" t="n"/>
      <c r="G740" s="114" t="n"/>
      <c r="H740" s="114" t="n"/>
      <c r="I740" s="114" t="n"/>
      <c r="J740" s="114" t="n"/>
    </row>
    <row r="741" ht="15" customHeight="1" s="68">
      <c r="A741" s="114" t="n"/>
      <c r="B741" s="114" t="n"/>
      <c r="C741" s="114" t="n"/>
      <c r="D741" s="114" t="n"/>
      <c r="E741" s="114" t="n"/>
      <c r="F741" s="114" t="n"/>
      <c r="G741" s="114" t="n"/>
      <c r="H741" s="114" t="n"/>
      <c r="I741" s="114" t="n"/>
      <c r="J741" s="114" t="n"/>
    </row>
    <row r="742" ht="15" customHeight="1" s="68">
      <c r="A742" s="114" t="n"/>
      <c r="B742" s="114" t="n"/>
      <c r="C742" s="114" t="n"/>
      <c r="D742" s="114" t="n"/>
      <c r="E742" s="114" t="n"/>
      <c r="F742" s="114" t="n"/>
      <c r="G742" s="114" t="n"/>
      <c r="H742" s="114" t="n"/>
      <c r="I742" s="114" t="n"/>
      <c r="J742" s="114" t="n"/>
    </row>
    <row r="743" ht="15" customHeight="1" s="68">
      <c r="A743" s="114" t="n"/>
      <c r="B743" s="114" t="n"/>
      <c r="C743" s="114" t="n"/>
      <c r="D743" s="114" t="n"/>
      <c r="E743" s="114" t="n"/>
      <c r="F743" s="114" t="n"/>
      <c r="G743" s="114" t="n"/>
      <c r="H743" s="114" t="n"/>
      <c r="I743" s="114" t="n"/>
      <c r="J743" s="114" t="n"/>
    </row>
    <row r="744" ht="15" customHeight="1" s="68">
      <c r="A744" s="114" t="n"/>
      <c r="B744" s="114" t="n"/>
      <c r="C744" s="114" t="n"/>
      <c r="D744" s="114" t="n"/>
      <c r="E744" s="114" t="n"/>
      <c r="F744" s="114" t="n"/>
      <c r="G744" s="114" t="n"/>
      <c r="H744" s="114" t="n"/>
      <c r="I744" s="114" t="n"/>
      <c r="J744" s="114" t="n"/>
    </row>
    <row r="745" ht="15" customHeight="1" s="68">
      <c r="A745" s="114" t="n"/>
      <c r="B745" s="114" t="n"/>
      <c r="C745" s="114" t="n"/>
      <c r="D745" s="114" t="n"/>
      <c r="E745" s="114" t="n"/>
      <c r="F745" s="114" t="n"/>
      <c r="G745" s="114" t="n"/>
      <c r="H745" s="114" t="n"/>
      <c r="I745" s="114" t="n"/>
      <c r="J745" s="114" t="n"/>
    </row>
    <row r="746" ht="15" customHeight="1" s="68">
      <c r="A746" s="114" t="n"/>
      <c r="B746" s="114" t="n"/>
      <c r="C746" s="114" t="n"/>
      <c r="D746" s="114" t="n"/>
      <c r="E746" s="114" t="n"/>
      <c r="F746" s="114" t="n"/>
      <c r="G746" s="114" t="n"/>
      <c r="H746" s="114" t="n"/>
      <c r="I746" s="114" t="n"/>
      <c r="J746" s="114" t="n"/>
    </row>
    <row r="747" ht="15" customHeight="1" s="68">
      <c r="A747" s="114" t="n"/>
      <c r="B747" s="114" t="n"/>
      <c r="C747" s="114" t="n"/>
      <c r="D747" s="114" t="n"/>
      <c r="E747" s="114" t="n"/>
      <c r="F747" s="114" t="n"/>
      <c r="G747" s="114" t="n"/>
      <c r="H747" s="114" t="n"/>
      <c r="I747" s="114" t="n"/>
      <c r="J747" s="114" t="n"/>
    </row>
    <row r="748" ht="15" customHeight="1" s="68">
      <c r="A748" s="114" t="n"/>
      <c r="B748" s="114" t="n"/>
      <c r="C748" s="114" t="n"/>
      <c r="D748" s="114" t="n"/>
      <c r="E748" s="114" t="n"/>
      <c r="F748" s="114" t="n"/>
      <c r="G748" s="114" t="n"/>
      <c r="H748" s="114" t="n"/>
      <c r="I748" s="114" t="n"/>
      <c r="J748" s="114" t="n"/>
    </row>
    <row r="749" ht="15" customHeight="1" s="68">
      <c r="A749" s="114" t="n"/>
      <c r="B749" s="114" t="n"/>
      <c r="C749" s="114" t="n"/>
      <c r="D749" s="114" t="n"/>
      <c r="E749" s="114" t="n"/>
      <c r="F749" s="114" t="n"/>
      <c r="G749" s="114" t="n"/>
      <c r="H749" s="114" t="n"/>
      <c r="I749" s="114" t="n"/>
      <c r="J749" s="114" t="n"/>
    </row>
    <row r="750" ht="15" customHeight="1" s="68">
      <c r="A750" s="114" t="n"/>
      <c r="B750" s="114" t="n"/>
      <c r="C750" s="114" t="n"/>
      <c r="D750" s="114" t="n"/>
      <c r="E750" s="114" t="n"/>
      <c r="F750" s="114" t="n"/>
      <c r="G750" s="114" t="n"/>
      <c r="H750" s="114" t="n"/>
      <c r="I750" s="114" t="n"/>
      <c r="J750" s="114" t="n"/>
    </row>
    <row r="751" ht="15" customHeight="1" s="68">
      <c r="A751" s="114" t="n"/>
      <c r="B751" s="114" t="n"/>
      <c r="C751" s="114" t="n"/>
      <c r="D751" s="114" t="n"/>
      <c r="E751" s="114" t="n"/>
      <c r="F751" s="114" t="n"/>
      <c r="G751" s="114" t="n"/>
      <c r="H751" s="114" t="n"/>
      <c r="I751" s="114" t="n"/>
      <c r="J751" s="114" t="n"/>
    </row>
    <row r="752" ht="15" customHeight="1" s="68">
      <c r="A752" s="114" t="n"/>
      <c r="B752" s="114" t="n"/>
      <c r="C752" s="114" t="n"/>
      <c r="D752" s="114" t="n"/>
      <c r="E752" s="114" t="n"/>
      <c r="F752" s="114" t="n"/>
      <c r="G752" s="114" t="n"/>
      <c r="H752" s="114" t="n"/>
      <c r="I752" s="114" t="n"/>
      <c r="J752" s="114" t="n"/>
    </row>
    <row r="753" ht="15" customHeight="1" s="68">
      <c r="A753" s="114" t="n"/>
      <c r="B753" s="114" t="n"/>
      <c r="C753" s="114" t="n"/>
      <c r="D753" s="114" t="n"/>
      <c r="E753" s="114" t="n"/>
      <c r="F753" s="114" t="n"/>
      <c r="G753" s="114" t="n"/>
      <c r="H753" s="114" t="n"/>
      <c r="I753" s="114" t="n"/>
      <c r="J753" s="114" t="n"/>
    </row>
    <row r="754" ht="15" customHeight="1" s="68">
      <c r="A754" s="114" t="n"/>
      <c r="B754" s="114" t="n"/>
      <c r="C754" s="114" t="n"/>
      <c r="D754" s="114" t="n"/>
      <c r="E754" s="114" t="n"/>
      <c r="F754" s="114" t="n"/>
      <c r="G754" s="114" t="n"/>
      <c r="H754" s="114" t="n"/>
      <c r="I754" s="114" t="n"/>
      <c r="J754" s="114" t="n"/>
    </row>
    <row r="755" ht="15" customHeight="1" s="68">
      <c r="A755" s="114" t="n"/>
      <c r="B755" s="114" t="n"/>
      <c r="C755" s="114" t="n"/>
      <c r="D755" s="114" t="n"/>
      <c r="E755" s="114" t="n"/>
      <c r="F755" s="114" t="n"/>
      <c r="G755" s="114" t="n"/>
      <c r="H755" s="114" t="n"/>
      <c r="I755" s="114" t="n"/>
      <c r="J755" s="114" t="n"/>
    </row>
    <row r="756" ht="15" customHeight="1" s="68">
      <c r="A756" s="114" t="n"/>
      <c r="B756" s="114" t="n"/>
      <c r="C756" s="114" t="n"/>
      <c r="D756" s="114" t="n"/>
      <c r="E756" s="114" t="n"/>
      <c r="F756" s="114" t="n"/>
      <c r="G756" s="114" t="n"/>
      <c r="H756" s="114" t="n"/>
      <c r="I756" s="114" t="n"/>
      <c r="J756" s="114" t="n"/>
    </row>
    <row r="757" ht="15" customHeight="1" s="68">
      <c r="A757" s="114" t="n"/>
      <c r="B757" s="114" t="n"/>
      <c r="C757" s="114" t="n"/>
      <c r="D757" s="114" t="n"/>
      <c r="E757" s="114" t="n"/>
      <c r="F757" s="114" t="n"/>
      <c r="G757" s="114" t="n"/>
      <c r="H757" s="114" t="n"/>
      <c r="I757" s="114" t="n"/>
      <c r="J757" s="114" t="n"/>
    </row>
    <row r="758" ht="15" customHeight="1" s="68">
      <c r="A758" s="114" t="n"/>
      <c r="B758" s="114" t="n"/>
      <c r="C758" s="114" t="n"/>
      <c r="D758" s="114" t="n"/>
      <c r="E758" s="114" t="n"/>
      <c r="F758" s="114" t="n"/>
      <c r="G758" s="114" t="n"/>
      <c r="H758" s="114" t="n"/>
      <c r="I758" s="114" t="n"/>
      <c r="J758" s="114" t="n"/>
    </row>
    <row r="759" ht="15" customHeight="1" s="68">
      <c r="A759" s="114" t="n"/>
      <c r="B759" s="114" t="n"/>
      <c r="C759" s="114" t="n"/>
      <c r="D759" s="114" t="n"/>
      <c r="E759" s="114" t="n"/>
      <c r="F759" s="114" t="n"/>
      <c r="G759" s="114" t="n"/>
      <c r="H759" s="114" t="n"/>
      <c r="I759" s="114" t="n"/>
      <c r="J759" s="114" t="n"/>
    </row>
    <row r="760" ht="15" customHeight="1" s="68">
      <c r="A760" s="114" t="n"/>
      <c r="B760" s="114" t="n"/>
      <c r="C760" s="114" t="n"/>
      <c r="D760" s="114" t="n"/>
      <c r="E760" s="114" t="n"/>
      <c r="F760" s="114" t="n"/>
      <c r="G760" s="114" t="n"/>
      <c r="H760" s="114" t="n"/>
      <c r="I760" s="114" t="n"/>
      <c r="J760" s="114" t="n"/>
    </row>
    <row r="761" ht="15" customHeight="1" s="68">
      <c r="A761" s="114" t="n"/>
      <c r="B761" s="114" t="n"/>
      <c r="C761" s="114" t="n"/>
      <c r="D761" s="114" t="n"/>
      <c r="E761" s="114" t="n"/>
      <c r="F761" s="114" t="n"/>
      <c r="G761" s="114" t="n"/>
      <c r="H761" s="114" t="n"/>
      <c r="I761" s="114" t="n"/>
      <c r="J761" s="114" t="n"/>
    </row>
    <row r="762" ht="15" customHeight="1" s="68">
      <c r="A762" s="114" t="n"/>
      <c r="B762" s="114" t="n"/>
      <c r="C762" s="114" t="n"/>
      <c r="D762" s="114" t="n"/>
      <c r="E762" s="114" t="n"/>
      <c r="F762" s="114" t="n"/>
      <c r="G762" s="114" t="n"/>
      <c r="H762" s="114" t="n"/>
      <c r="I762" s="114" t="n"/>
      <c r="J762" s="114" t="n"/>
    </row>
    <row r="763" ht="15" customHeight="1" s="68">
      <c r="A763" s="114" t="n"/>
      <c r="B763" s="114" t="n"/>
      <c r="C763" s="114" t="n"/>
      <c r="D763" s="114" t="n"/>
      <c r="E763" s="114" t="n"/>
      <c r="F763" s="114" t="n"/>
      <c r="G763" s="114" t="n"/>
      <c r="H763" s="114" t="n"/>
      <c r="I763" s="114" t="n"/>
      <c r="J763" s="114" t="n"/>
    </row>
    <row r="764" ht="15" customHeight="1" s="68">
      <c r="A764" s="114" t="n"/>
      <c r="B764" s="114" t="n"/>
      <c r="C764" s="114" t="n"/>
      <c r="D764" s="114" t="n"/>
      <c r="E764" s="114" t="n"/>
      <c r="F764" s="114" t="n"/>
      <c r="G764" s="114" t="n"/>
      <c r="H764" s="114" t="n"/>
      <c r="I764" s="114" t="n"/>
      <c r="J764" s="114" t="n"/>
    </row>
    <row r="765" ht="15" customHeight="1" s="68">
      <c r="A765" s="114" t="n"/>
      <c r="B765" s="114" t="n"/>
      <c r="C765" s="114" t="n"/>
      <c r="D765" s="114" t="n"/>
      <c r="E765" s="114" t="n"/>
      <c r="F765" s="114" t="n"/>
      <c r="G765" s="114" t="n"/>
      <c r="H765" s="114" t="n"/>
      <c r="I765" s="114" t="n"/>
      <c r="J765" s="114" t="n"/>
    </row>
    <row r="766" ht="15" customHeight="1" s="68">
      <c r="A766" s="114" t="n"/>
      <c r="B766" s="114" t="n"/>
      <c r="C766" s="114" t="n"/>
      <c r="D766" s="114" t="n"/>
      <c r="E766" s="114" t="n"/>
      <c r="F766" s="114" t="n"/>
      <c r="G766" s="114" t="n"/>
      <c r="H766" s="114" t="n"/>
      <c r="I766" s="114" t="n"/>
      <c r="J766" s="114" t="n"/>
    </row>
    <row r="767" ht="15" customHeight="1" s="68">
      <c r="A767" s="114" t="n"/>
      <c r="B767" s="114" t="n"/>
      <c r="C767" s="114" t="n"/>
      <c r="D767" s="114" t="n"/>
      <c r="E767" s="114" t="n"/>
      <c r="F767" s="114" t="n"/>
      <c r="G767" s="114" t="n"/>
      <c r="H767" s="114" t="n"/>
      <c r="I767" s="114" t="n"/>
      <c r="J767" s="114" t="n"/>
    </row>
    <row r="768" ht="15" customHeight="1" s="68">
      <c r="A768" s="114" t="n"/>
      <c r="B768" s="114" t="n"/>
      <c r="C768" s="114" t="n"/>
      <c r="D768" s="114" t="n"/>
      <c r="E768" s="114" t="n"/>
      <c r="F768" s="114" t="n"/>
      <c r="G768" s="114" t="n"/>
      <c r="H768" s="114" t="n"/>
      <c r="I768" s="114" t="n"/>
      <c r="J768" s="114" t="n"/>
    </row>
    <row r="769" ht="15" customHeight="1" s="68">
      <c r="A769" s="114" t="n"/>
      <c r="B769" s="114" t="n"/>
      <c r="C769" s="114" t="n"/>
      <c r="D769" s="114" t="n"/>
      <c r="E769" s="114" t="n"/>
      <c r="F769" s="114" t="n"/>
      <c r="G769" s="114" t="n"/>
      <c r="H769" s="114" t="n"/>
      <c r="I769" s="114" t="n"/>
      <c r="J769" s="114" t="n"/>
    </row>
    <row r="770" ht="15" customHeight="1" s="68">
      <c r="A770" s="114" t="n"/>
      <c r="B770" s="114" t="n"/>
      <c r="C770" s="114" t="n"/>
      <c r="D770" s="114" t="n"/>
      <c r="E770" s="114" t="n"/>
      <c r="F770" s="114" t="n"/>
      <c r="G770" s="114" t="n"/>
      <c r="H770" s="114" t="n"/>
      <c r="I770" s="114" t="n"/>
      <c r="J770" s="114" t="n"/>
    </row>
    <row r="771" ht="15" customHeight="1" s="68">
      <c r="A771" s="114" t="n"/>
      <c r="B771" s="114" t="n"/>
      <c r="C771" s="114" t="n"/>
      <c r="D771" s="114" t="n"/>
      <c r="E771" s="114" t="n"/>
      <c r="F771" s="114" t="n"/>
      <c r="G771" s="114" t="n"/>
      <c r="H771" s="114" t="n"/>
      <c r="I771" s="114" t="n"/>
      <c r="J771" s="114" t="n"/>
    </row>
    <row r="772" ht="15" customHeight="1" s="68">
      <c r="A772" s="114" t="n"/>
      <c r="B772" s="114" t="n"/>
      <c r="C772" s="114" t="n"/>
      <c r="D772" s="114" t="n"/>
      <c r="E772" s="114" t="n"/>
      <c r="F772" s="114" t="n"/>
      <c r="G772" s="114" t="n"/>
      <c r="H772" s="114" t="n"/>
      <c r="I772" s="114" t="n"/>
      <c r="J772" s="114" t="n"/>
    </row>
    <row r="773" ht="15" customHeight="1" s="68">
      <c r="A773" s="114" t="n"/>
      <c r="B773" s="114" t="n"/>
      <c r="C773" s="114" t="n"/>
      <c r="D773" s="114" t="n"/>
      <c r="E773" s="114" t="n"/>
      <c r="F773" s="114" t="n"/>
      <c r="G773" s="114" t="n"/>
      <c r="H773" s="114" t="n"/>
      <c r="I773" s="114" t="n"/>
      <c r="J773" s="114" t="n"/>
    </row>
    <row r="774" ht="15" customHeight="1" s="68">
      <c r="A774" s="114" t="n"/>
      <c r="B774" s="114" t="n"/>
      <c r="C774" s="114" t="n"/>
      <c r="D774" s="114" t="n"/>
      <c r="E774" s="114" t="n"/>
      <c r="F774" s="114" t="n"/>
      <c r="G774" s="114" t="n"/>
      <c r="H774" s="114" t="n"/>
      <c r="I774" s="114" t="n"/>
      <c r="J774" s="114" t="n"/>
    </row>
    <row r="775" ht="15" customHeight="1" s="68">
      <c r="A775" s="114" t="n"/>
      <c r="B775" s="114" t="n"/>
      <c r="C775" s="114" t="n"/>
      <c r="D775" s="114" t="n"/>
      <c r="E775" s="114" t="n"/>
      <c r="F775" s="114" t="n"/>
      <c r="G775" s="114" t="n"/>
      <c r="H775" s="114" t="n"/>
      <c r="I775" s="114" t="n"/>
      <c r="J775" s="114" t="n"/>
    </row>
    <row r="776" ht="15" customHeight="1" s="68">
      <c r="A776" s="114" t="n"/>
      <c r="B776" s="114" t="n"/>
      <c r="C776" s="114" t="n"/>
      <c r="D776" s="114" t="n"/>
      <c r="E776" s="114" t="n"/>
      <c r="F776" s="114" t="n"/>
      <c r="G776" s="114" t="n"/>
      <c r="H776" s="114" t="n"/>
      <c r="I776" s="114" t="n"/>
      <c r="J776" s="114" t="n"/>
    </row>
    <row r="777" ht="15" customHeight="1" s="68">
      <c r="A777" s="114" t="n"/>
      <c r="B777" s="114" t="n"/>
      <c r="C777" s="114" t="n"/>
      <c r="D777" s="114" t="n"/>
      <c r="E777" s="114" t="n"/>
      <c r="F777" s="114" t="n"/>
      <c r="G777" s="114" t="n"/>
      <c r="H777" s="114" t="n"/>
      <c r="I777" s="114" t="n"/>
      <c r="J777" s="114" t="n"/>
    </row>
    <row r="778" ht="15" customHeight="1" s="68">
      <c r="A778" s="114" t="n"/>
      <c r="B778" s="114" t="n"/>
      <c r="C778" s="114" t="n"/>
      <c r="D778" s="114" t="n"/>
      <c r="E778" s="114" t="n"/>
      <c r="F778" s="114" t="n"/>
      <c r="G778" s="114" t="n"/>
      <c r="H778" s="114" t="n"/>
      <c r="I778" s="114" t="n"/>
      <c r="J778" s="114" t="n"/>
    </row>
    <row r="779" ht="15" customHeight="1" s="68">
      <c r="A779" s="114" t="n"/>
      <c r="B779" s="114" t="n"/>
      <c r="C779" s="114" t="n"/>
      <c r="D779" s="114" t="n"/>
      <c r="E779" s="114" t="n"/>
      <c r="F779" s="114" t="n"/>
      <c r="G779" s="114" t="n"/>
      <c r="H779" s="114" t="n"/>
      <c r="I779" s="114" t="n"/>
      <c r="J779" s="114" t="n"/>
    </row>
    <row r="780" ht="15" customHeight="1" s="68">
      <c r="A780" s="114" t="n"/>
      <c r="B780" s="114" t="n"/>
      <c r="C780" s="114" t="n"/>
      <c r="D780" s="114" t="n"/>
      <c r="E780" s="114" t="n"/>
      <c r="F780" s="114" t="n"/>
      <c r="G780" s="114" t="n"/>
      <c r="H780" s="114" t="n"/>
      <c r="I780" s="114" t="n"/>
      <c r="J780" s="114" t="n"/>
    </row>
    <row r="781" ht="15" customHeight="1" s="68">
      <c r="A781" s="114" t="n"/>
      <c r="B781" s="114" t="n"/>
      <c r="C781" s="114" t="n"/>
      <c r="D781" s="114" t="n"/>
      <c r="E781" s="114" t="n"/>
      <c r="F781" s="114" t="n"/>
      <c r="G781" s="114" t="n"/>
      <c r="H781" s="114" t="n"/>
      <c r="I781" s="114" t="n"/>
      <c r="J781" s="114" t="n"/>
    </row>
    <row r="782" ht="15" customHeight="1" s="68">
      <c r="A782" s="114" t="n"/>
      <c r="B782" s="114" t="n"/>
      <c r="C782" s="114" t="n"/>
      <c r="D782" s="114" t="n"/>
      <c r="E782" s="114" t="n"/>
      <c r="F782" s="114" t="n"/>
      <c r="G782" s="114" t="n"/>
      <c r="H782" s="114" t="n"/>
      <c r="I782" s="114" t="n"/>
      <c r="J782" s="114" t="n"/>
    </row>
    <row r="783" ht="15" customHeight="1" s="68">
      <c r="A783" s="114" t="n"/>
      <c r="B783" s="114" t="n"/>
      <c r="C783" s="114" t="n"/>
      <c r="D783" s="114" t="n"/>
      <c r="E783" s="114" t="n"/>
      <c r="F783" s="114" t="n"/>
      <c r="G783" s="114" t="n"/>
      <c r="H783" s="114" t="n"/>
      <c r="I783" s="114" t="n"/>
      <c r="J783" s="114" t="n"/>
    </row>
    <row r="784" ht="15" customHeight="1" s="68">
      <c r="A784" s="114" t="n"/>
      <c r="B784" s="114" t="n"/>
      <c r="C784" s="114" t="n"/>
      <c r="D784" s="114" t="n"/>
      <c r="E784" s="114" t="n"/>
      <c r="F784" s="114" t="n"/>
      <c r="G784" s="114" t="n"/>
      <c r="H784" s="114" t="n"/>
      <c r="I784" s="114" t="n"/>
      <c r="J784" s="114" t="n"/>
    </row>
    <row r="785" ht="15" customHeight="1" s="68">
      <c r="A785" s="114" t="n"/>
      <c r="B785" s="114" t="n"/>
      <c r="C785" s="114" t="n"/>
      <c r="D785" s="114" t="n"/>
      <c r="E785" s="114" t="n"/>
      <c r="F785" s="114" t="n"/>
      <c r="G785" s="114" t="n"/>
      <c r="H785" s="114" t="n"/>
      <c r="I785" s="114" t="n"/>
      <c r="J785" s="114" t="n"/>
    </row>
    <row r="786" ht="15" customHeight="1" s="68">
      <c r="A786" s="114" t="n"/>
      <c r="B786" s="114" t="n"/>
      <c r="C786" s="114" t="n"/>
      <c r="D786" s="114" t="n"/>
      <c r="E786" s="114" t="n"/>
      <c r="F786" s="114" t="n"/>
      <c r="G786" s="114" t="n"/>
      <c r="H786" s="114" t="n"/>
      <c r="I786" s="114" t="n"/>
      <c r="J786" s="114" t="n"/>
    </row>
    <row r="787" ht="15" customHeight="1" s="68">
      <c r="A787" s="114" t="n"/>
      <c r="B787" s="114" t="n"/>
      <c r="C787" s="114" t="n"/>
      <c r="D787" s="114" t="n"/>
      <c r="E787" s="114" t="n"/>
      <c r="F787" s="114" t="n"/>
      <c r="G787" s="114" t="n"/>
      <c r="H787" s="114" t="n"/>
      <c r="I787" s="114" t="n"/>
      <c r="J787" s="114" t="n"/>
    </row>
    <row r="788" ht="15" customHeight="1" s="68">
      <c r="A788" s="114" t="n"/>
      <c r="B788" s="114" t="n"/>
      <c r="C788" s="114" t="n"/>
      <c r="D788" s="114" t="n"/>
      <c r="E788" s="114" t="n"/>
      <c r="F788" s="114" t="n"/>
      <c r="G788" s="114" t="n"/>
      <c r="H788" s="114" t="n"/>
      <c r="I788" s="114" t="n"/>
      <c r="J788" s="114" t="n"/>
    </row>
    <row r="789" ht="15" customHeight="1" s="68">
      <c r="A789" s="114" t="n"/>
      <c r="B789" s="114" t="n"/>
      <c r="C789" s="114" t="n"/>
      <c r="D789" s="114" t="n"/>
      <c r="E789" s="114" t="n"/>
      <c r="F789" s="114" t="n"/>
      <c r="G789" s="114" t="n"/>
      <c r="H789" s="114" t="n"/>
      <c r="I789" s="114" t="n"/>
      <c r="J789" s="114" t="n"/>
    </row>
    <row r="790" ht="15" customHeight="1" s="68">
      <c r="A790" s="114" t="n"/>
      <c r="B790" s="114" t="n"/>
      <c r="C790" s="114" t="n"/>
      <c r="D790" s="114" t="n"/>
      <c r="E790" s="114" t="n"/>
      <c r="F790" s="114" t="n"/>
      <c r="G790" s="114" t="n"/>
      <c r="H790" s="114" t="n"/>
      <c r="I790" s="114" t="n"/>
      <c r="J790" s="114" t="n"/>
    </row>
    <row r="791" ht="15" customHeight="1" s="68">
      <c r="A791" s="114" t="n"/>
      <c r="B791" s="114" t="n"/>
      <c r="C791" s="114" t="n"/>
      <c r="D791" s="114" t="n"/>
      <c r="E791" s="114" t="n"/>
      <c r="F791" s="114" t="n"/>
      <c r="G791" s="114" t="n"/>
      <c r="H791" s="114" t="n"/>
      <c r="I791" s="114" t="n"/>
      <c r="J791" s="114" t="n"/>
    </row>
    <row r="792" ht="15" customHeight="1" s="68">
      <c r="A792" s="114" t="n"/>
      <c r="B792" s="114" t="n"/>
      <c r="C792" s="114" t="n"/>
      <c r="D792" s="114" t="n"/>
      <c r="E792" s="114" t="n"/>
      <c r="F792" s="114" t="n"/>
      <c r="G792" s="114" t="n"/>
      <c r="H792" s="114" t="n"/>
      <c r="I792" s="114" t="n"/>
      <c r="J792" s="114" t="n"/>
    </row>
    <row r="793" ht="15" customHeight="1" s="68">
      <c r="A793" s="114" t="n"/>
      <c r="B793" s="114" t="n"/>
      <c r="C793" s="114" t="n"/>
      <c r="D793" s="114" t="n"/>
      <c r="E793" s="114" t="n"/>
      <c r="F793" s="114" t="n"/>
      <c r="G793" s="114" t="n"/>
      <c r="H793" s="114" t="n"/>
      <c r="I793" s="114" t="n"/>
      <c r="J793" s="114" t="n"/>
    </row>
    <row r="794" ht="15" customHeight="1" s="68">
      <c r="A794" s="114" t="n"/>
      <c r="B794" s="114" t="n"/>
      <c r="C794" s="114" t="n"/>
      <c r="D794" s="114" t="n"/>
      <c r="E794" s="114" t="n"/>
      <c r="F794" s="114" t="n"/>
      <c r="G794" s="114" t="n"/>
      <c r="H794" s="114" t="n"/>
      <c r="I794" s="114" t="n"/>
      <c r="J794" s="114" t="n"/>
    </row>
    <row r="795" ht="15" customHeight="1" s="68">
      <c r="A795" s="114" t="n"/>
      <c r="B795" s="114" t="n"/>
      <c r="C795" s="114" t="n"/>
      <c r="D795" s="114" t="n"/>
      <c r="E795" s="114" t="n"/>
      <c r="F795" s="114" t="n"/>
      <c r="G795" s="114" t="n"/>
      <c r="H795" s="114" t="n"/>
      <c r="I795" s="114" t="n"/>
      <c r="J795" s="114" t="n"/>
    </row>
    <row r="796" ht="15" customHeight="1" s="68">
      <c r="A796" s="114" t="n"/>
      <c r="B796" s="114" t="n"/>
      <c r="C796" s="114" t="n"/>
      <c r="D796" s="114" t="n"/>
      <c r="E796" s="114" t="n"/>
      <c r="F796" s="114" t="n"/>
      <c r="G796" s="114" t="n"/>
      <c r="H796" s="114" t="n"/>
      <c r="I796" s="114" t="n"/>
      <c r="J796" s="114" t="n"/>
    </row>
    <row r="797" ht="15" customHeight="1" s="68">
      <c r="A797" s="114" t="n"/>
      <c r="B797" s="114" t="n"/>
      <c r="C797" s="114" t="n"/>
      <c r="D797" s="114" t="n"/>
      <c r="E797" s="114" t="n"/>
      <c r="F797" s="114" t="n"/>
      <c r="G797" s="114" t="n"/>
      <c r="H797" s="114" t="n"/>
      <c r="I797" s="114" t="n"/>
      <c r="J797" s="114" t="n"/>
    </row>
    <row r="798" ht="15" customHeight="1" s="68">
      <c r="A798" s="114" t="n"/>
      <c r="B798" s="114" t="n"/>
      <c r="C798" s="114" t="n"/>
      <c r="D798" s="114" t="n"/>
      <c r="E798" s="114" t="n"/>
      <c r="F798" s="114" t="n"/>
      <c r="G798" s="114" t="n"/>
      <c r="H798" s="114" t="n"/>
      <c r="I798" s="114" t="n"/>
      <c r="J798" s="114" t="n"/>
    </row>
    <row r="799" ht="15" customHeight="1" s="68">
      <c r="A799" s="114" t="n"/>
      <c r="B799" s="114" t="n"/>
      <c r="C799" s="114" t="n"/>
      <c r="D799" s="114" t="n"/>
      <c r="E799" s="114" t="n"/>
      <c r="F799" s="114" t="n"/>
      <c r="G799" s="114" t="n"/>
      <c r="H799" s="114" t="n"/>
      <c r="I799" s="114" t="n"/>
      <c r="J799" s="114" t="n"/>
    </row>
    <row r="800" ht="15" customHeight="1" s="68">
      <c r="A800" s="114" t="n"/>
      <c r="B800" s="114" t="n"/>
      <c r="C800" s="114" t="n"/>
      <c r="D800" s="114" t="n"/>
      <c r="E800" s="114" t="n"/>
      <c r="F800" s="114" t="n"/>
      <c r="G800" s="114" t="n"/>
      <c r="H800" s="114" t="n"/>
      <c r="I800" s="114" t="n"/>
      <c r="J800" s="114" t="n"/>
    </row>
    <row r="801" ht="15" customHeight="1" s="68">
      <c r="A801" s="114" t="n"/>
      <c r="B801" s="114" t="n"/>
      <c r="C801" s="114" t="n"/>
      <c r="D801" s="114" t="n"/>
      <c r="E801" s="114" t="n"/>
      <c r="F801" s="114" t="n"/>
      <c r="G801" s="114" t="n"/>
      <c r="H801" s="114" t="n"/>
      <c r="I801" s="114" t="n"/>
      <c r="J801" s="114" t="n"/>
    </row>
    <row r="802" ht="15" customHeight="1" s="68">
      <c r="A802" s="114" t="n"/>
      <c r="B802" s="114" t="n"/>
      <c r="C802" s="114" t="n"/>
      <c r="D802" s="114" t="n"/>
      <c r="E802" s="114" t="n"/>
      <c r="F802" s="114" t="n"/>
      <c r="G802" s="114" t="n"/>
      <c r="H802" s="114" t="n"/>
      <c r="I802" s="114" t="n"/>
      <c r="J802" s="114" t="n"/>
    </row>
    <row r="803" ht="15" customHeight="1" s="68">
      <c r="A803" s="114" t="n"/>
      <c r="B803" s="114" t="n"/>
      <c r="C803" s="114" t="n"/>
      <c r="D803" s="114" t="n"/>
      <c r="E803" s="114" t="n"/>
      <c r="F803" s="114" t="n"/>
      <c r="G803" s="114" t="n"/>
      <c r="H803" s="114" t="n"/>
      <c r="I803" s="114" t="n"/>
      <c r="J803" s="114" t="n"/>
    </row>
    <row r="804" ht="15" customHeight="1" s="68">
      <c r="A804" s="114" t="n"/>
      <c r="B804" s="114" t="n"/>
      <c r="C804" s="114" t="n"/>
      <c r="D804" s="114" t="n"/>
      <c r="E804" s="114" t="n"/>
      <c r="F804" s="114" t="n"/>
      <c r="G804" s="114" t="n"/>
      <c r="H804" s="114" t="n"/>
      <c r="I804" s="114" t="n"/>
      <c r="J804" s="114" t="n"/>
    </row>
    <row r="805" ht="15" customHeight="1" s="68">
      <c r="A805" s="114" t="n"/>
      <c r="B805" s="114" t="n"/>
      <c r="C805" s="114" t="n"/>
      <c r="D805" s="114" t="n"/>
      <c r="E805" s="114" t="n"/>
      <c r="F805" s="114" t="n"/>
      <c r="G805" s="114" t="n"/>
      <c r="H805" s="114" t="n"/>
      <c r="I805" s="114" t="n"/>
      <c r="J805" s="114" t="n"/>
    </row>
    <row r="806" ht="15" customHeight="1" s="68">
      <c r="A806" s="114" t="n"/>
      <c r="B806" s="114" t="n"/>
      <c r="C806" s="114" t="n"/>
      <c r="D806" s="114" t="n"/>
      <c r="E806" s="114" t="n"/>
      <c r="F806" s="114" t="n"/>
      <c r="G806" s="114" t="n"/>
      <c r="H806" s="114" t="n"/>
      <c r="I806" s="114" t="n"/>
      <c r="J806" s="114" t="n"/>
    </row>
    <row r="807" ht="15" customHeight="1" s="68">
      <c r="A807" s="114" t="n"/>
      <c r="B807" s="114" t="n"/>
      <c r="C807" s="114" t="n"/>
      <c r="D807" s="114" t="n"/>
      <c r="E807" s="114" t="n"/>
      <c r="F807" s="114" t="n"/>
      <c r="G807" s="114" t="n"/>
      <c r="H807" s="114" t="n"/>
      <c r="I807" s="114" t="n"/>
      <c r="J807" s="114" t="n"/>
    </row>
    <row r="808" ht="15" customHeight="1" s="68">
      <c r="A808" s="114" t="n"/>
      <c r="B808" s="114" t="n"/>
      <c r="C808" s="114" t="n"/>
      <c r="D808" s="114" t="n"/>
      <c r="E808" s="114" t="n"/>
      <c r="F808" s="114" t="n"/>
      <c r="G808" s="114" t="n"/>
      <c r="H808" s="114" t="n"/>
      <c r="I808" s="114" t="n"/>
      <c r="J808" s="114" t="n"/>
    </row>
    <row r="809" ht="15" customHeight="1" s="68">
      <c r="A809" s="114" t="n"/>
      <c r="B809" s="114" t="n"/>
      <c r="C809" s="114" t="n"/>
      <c r="D809" s="114" t="n"/>
      <c r="E809" s="114" t="n"/>
      <c r="F809" s="114" t="n"/>
      <c r="G809" s="114" t="n"/>
      <c r="H809" s="114" t="n"/>
      <c r="I809" s="114" t="n"/>
      <c r="J809" s="114" t="n"/>
    </row>
    <row r="810" ht="15" customHeight="1" s="68">
      <c r="A810" s="114" t="n"/>
      <c r="B810" s="114" t="n"/>
      <c r="C810" s="114" t="n"/>
      <c r="D810" s="114" t="n"/>
      <c r="E810" s="114" t="n"/>
      <c r="F810" s="114" t="n"/>
      <c r="G810" s="114" t="n"/>
      <c r="H810" s="114" t="n"/>
      <c r="I810" s="114" t="n"/>
      <c r="J810" s="114" t="n"/>
    </row>
    <row r="811" ht="15" customHeight="1" s="68">
      <c r="A811" s="114" t="n"/>
      <c r="B811" s="114" t="n"/>
      <c r="C811" s="114" t="n"/>
      <c r="D811" s="114" t="n"/>
      <c r="E811" s="114" t="n"/>
      <c r="F811" s="114" t="n"/>
      <c r="G811" s="114" t="n"/>
      <c r="H811" s="114" t="n"/>
      <c r="I811" s="114" t="n"/>
      <c r="J811" s="114" t="n"/>
    </row>
    <row r="812" ht="15" customHeight="1" s="68">
      <c r="A812" s="114" t="n"/>
      <c r="B812" s="114" t="n"/>
      <c r="C812" s="114" t="n"/>
      <c r="D812" s="114" t="n"/>
      <c r="E812" s="114" t="n"/>
      <c r="F812" s="114" t="n"/>
      <c r="G812" s="114" t="n"/>
      <c r="H812" s="114" t="n"/>
      <c r="I812" s="114" t="n"/>
      <c r="J812" s="114" t="n"/>
    </row>
    <row r="813" ht="15" customHeight="1" s="68">
      <c r="A813" s="114" t="n"/>
      <c r="B813" s="114" t="n"/>
      <c r="C813" s="114" t="n"/>
      <c r="D813" s="114" t="n"/>
      <c r="E813" s="114" t="n"/>
      <c r="F813" s="114" t="n"/>
      <c r="G813" s="114" t="n"/>
      <c r="H813" s="114" t="n"/>
      <c r="I813" s="114" t="n"/>
      <c r="J813" s="114" t="n"/>
    </row>
    <row r="814" ht="15" customHeight="1" s="68">
      <c r="A814" s="114" t="n"/>
      <c r="B814" s="114" t="n"/>
      <c r="C814" s="114" t="n"/>
      <c r="D814" s="114" t="n"/>
      <c r="E814" s="114" t="n"/>
      <c r="F814" s="114" t="n"/>
      <c r="G814" s="114" t="n"/>
      <c r="H814" s="114" t="n"/>
      <c r="I814" s="114" t="n"/>
      <c r="J814" s="114" t="n"/>
    </row>
    <row r="815" ht="15" customHeight="1" s="68">
      <c r="A815" s="114" t="n"/>
      <c r="B815" s="114" t="n"/>
      <c r="C815" s="114" t="n"/>
      <c r="D815" s="114" t="n"/>
      <c r="E815" s="114" t="n"/>
      <c r="F815" s="114" t="n"/>
      <c r="G815" s="114" t="n"/>
      <c r="H815" s="114" t="n"/>
      <c r="I815" s="114" t="n"/>
      <c r="J815" s="114" t="n"/>
    </row>
    <row r="816" ht="15" customHeight="1" s="68">
      <c r="A816" s="114" t="n"/>
      <c r="B816" s="114" t="n"/>
      <c r="C816" s="114" t="n"/>
      <c r="D816" s="114" t="n"/>
      <c r="E816" s="114" t="n"/>
      <c r="F816" s="114" t="n"/>
      <c r="G816" s="114" t="n"/>
      <c r="H816" s="114" t="n"/>
      <c r="I816" s="114" t="n"/>
      <c r="J816" s="114" t="n"/>
    </row>
    <row r="817" ht="15" customHeight="1" s="68">
      <c r="A817" s="114" t="n"/>
      <c r="B817" s="114" t="n"/>
      <c r="C817" s="114" t="n"/>
      <c r="D817" s="114" t="n"/>
      <c r="E817" s="114" t="n"/>
      <c r="F817" s="114" t="n"/>
      <c r="G817" s="114" t="n"/>
      <c r="H817" s="114" t="n"/>
      <c r="I817" s="114" t="n"/>
      <c r="J817" s="114" t="n"/>
    </row>
    <row r="818" ht="15" customHeight="1" s="68">
      <c r="A818" s="114" t="n"/>
      <c r="B818" s="114" t="n"/>
      <c r="C818" s="114" t="n"/>
      <c r="D818" s="114" t="n"/>
      <c r="E818" s="114" t="n"/>
      <c r="F818" s="114" t="n"/>
      <c r="G818" s="114" t="n"/>
      <c r="H818" s="114" t="n"/>
      <c r="I818" s="114" t="n"/>
      <c r="J818" s="114" t="n"/>
    </row>
    <row r="819" ht="15" customHeight="1" s="68">
      <c r="A819" s="114" t="n"/>
      <c r="B819" s="114" t="n"/>
      <c r="C819" s="114" t="n"/>
      <c r="D819" s="114" t="n"/>
      <c r="E819" s="114" t="n"/>
      <c r="F819" s="114" t="n"/>
      <c r="G819" s="114" t="n"/>
      <c r="H819" s="114" t="n"/>
      <c r="I819" s="114" t="n"/>
      <c r="J819" s="114" t="n"/>
    </row>
    <row r="820" ht="15" customHeight="1" s="68">
      <c r="A820" s="114" t="n"/>
      <c r="B820" s="114" t="n"/>
      <c r="C820" s="114" t="n"/>
      <c r="D820" s="114" t="n"/>
      <c r="E820" s="114" t="n"/>
      <c r="F820" s="114" t="n"/>
      <c r="G820" s="114" t="n"/>
      <c r="H820" s="114" t="n"/>
      <c r="I820" s="114" t="n"/>
      <c r="J820" s="114" t="n"/>
    </row>
    <row r="821" ht="15" customHeight="1" s="68">
      <c r="A821" s="114" t="n"/>
      <c r="B821" s="114" t="n"/>
      <c r="C821" s="114" t="n"/>
      <c r="D821" s="114" t="n"/>
      <c r="E821" s="114" t="n"/>
      <c r="F821" s="114" t="n"/>
      <c r="G821" s="114" t="n"/>
      <c r="H821" s="114" t="n"/>
      <c r="I821" s="114" t="n"/>
      <c r="J821" s="114" t="n"/>
    </row>
    <row r="822" ht="15" customHeight="1" s="68">
      <c r="A822" s="114" t="n"/>
      <c r="B822" s="114" t="n"/>
      <c r="C822" s="114" t="n"/>
      <c r="D822" s="114" t="n"/>
      <c r="E822" s="114" t="n"/>
      <c r="F822" s="114" t="n"/>
      <c r="G822" s="114" t="n"/>
      <c r="H822" s="114" t="n"/>
      <c r="I822" s="114" t="n"/>
      <c r="J822" s="114" t="n"/>
    </row>
    <row r="823" ht="15" customHeight="1" s="68">
      <c r="A823" s="114" t="n"/>
      <c r="B823" s="114" t="n"/>
      <c r="C823" s="114" t="n"/>
      <c r="D823" s="114" t="n"/>
      <c r="E823" s="114" t="n"/>
      <c r="F823" s="114" t="n"/>
      <c r="G823" s="114" t="n"/>
      <c r="H823" s="114" t="n"/>
      <c r="I823" s="114" t="n"/>
      <c r="J823" s="114" t="n"/>
    </row>
    <row r="824" ht="15" customHeight="1" s="68">
      <c r="A824" s="114" t="n"/>
      <c r="B824" s="114" t="n"/>
      <c r="C824" s="114" t="n"/>
      <c r="D824" s="114" t="n"/>
      <c r="E824" s="114" t="n"/>
      <c r="F824" s="114" t="n"/>
      <c r="G824" s="114" t="n"/>
      <c r="H824" s="114" t="n"/>
      <c r="I824" s="114" t="n"/>
      <c r="J824" s="114" t="n"/>
    </row>
    <row r="825" ht="15" customHeight="1" s="68">
      <c r="A825" s="114" t="n"/>
      <c r="B825" s="114" t="n"/>
      <c r="C825" s="114" t="n"/>
      <c r="D825" s="114" t="n"/>
      <c r="E825" s="114" t="n"/>
      <c r="F825" s="114" t="n"/>
      <c r="G825" s="114" t="n"/>
      <c r="H825" s="114" t="n"/>
      <c r="I825" s="114" t="n"/>
      <c r="J825" s="114" t="n"/>
    </row>
    <row r="826" ht="15" customHeight="1" s="68">
      <c r="A826" s="114" t="n"/>
      <c r="B826" s="114" t="n"/>
      <c r="C826" s="114" t="n"/>
      <c r="D826" s="114" t="n"/>
      <c r="E826" s="114" t="n"/>
      <c r="F826" s="114" t="n"/>
      <c r="G826" s="114" t="n"/>
      <c r="H826" s="114" t="n"/>
      <c r="I826" s="114" t="n"/>
      <c r="J826" s="114" t="n"/>
    </row>
    <row r="827" ht="15" customHeight="1" s="68">
      <c r="A827" s="114" t="n"/>
      <c r="B827" s="114" t="n"/>
      <c r="C827" s="114" t="n"/>
      <c r="D827" s="114" t="n"/>
      <c r="E827" s="114" t="n"/>
      <c r="F827" s="114" t="n"/>
      <c r="G827" s="114" t="n"/>
      <c r="H827" s="114" t="n"/>
      <c r="I827" s="114" t="n"/>
      <c r="J827" s="114" t="n"/>
    </row>
    <row r="828" ht="15" customHeight="1" s="68">
      <c r="A828" s="114" t="n"/>
      <c r="B828" s="114" t="n"/>
      <c r="C828" s="114" t="n"/>
      <c r="D828" s="114" t="n"/>
      <c r="E828" s="114" t="n"/>
      <c r="F828" s="114" t="n"/>
      <c r="G828" s="114" t="n"/>
      <c r="H828" s="114" t="n"/>
      <c r="I828" s="114" t="n"/>
      <c r="J828" s="114" t="n"/>
    </row>
    <row r="829" ht="15" customHeight="1" s="68">
      <c r="A829" s="114" t="n"/>
      <c r="B829" s="114" t="n"/>
      <c r="C829" s="114" t="n"/>
      <c r="D829" s="114" t="n"/>
      <c r="E829" s="114" t="n"/>
      <c r="F829" s="114" t="n"/>
      <c r="G829" s="114" t="n"/>
      <c r="H829" s="114" t="n"/>
      <c r="I829" s="114" t="n"/>
      <c r="J829" s="114" t="n"/>
    </row>
    <row r="830" ht="15" customHeight="1" s="68">
      <c r="A830" s="114" t="n"/>
      <c r="B830" s="114" t="n"/>
      <c r="C830" s="114" t="n"/>
      <c r="D830" s="114" t="n"/>
      <c r="E830" s="114" t="n"/>
      <c r="F830" s="114" t="n"/>
      <c r="G830" s="114" t="n"/>
      <c r="H830" s="114" t="n"/>
      <c r="I830" s="114" t="n"/>
      <c r="J830" s="114" t="n"/>
    </row>
    <row r="831" ht="15" customHeight="1" s="68">
      <c r="A831" s="114" t="n"/>
      <c r="B831" s="114" t="n"/>
      <c r="C831" s="114" t="n"/>
      <c r="D831" s="114" t="n"/>
      <c r="E831" s="114" t="n"/>
      <c r="F831" s="114" t="n"/>
      <c r="G831" s="114" t="n"/>
      <c r="H831" s="114" t="n"/>
      <c r="I831" s="114" t="n"/>
      <c r="J831" s="114" t="n"/>
    </row>
    <row r="832" ht="15" customHeight="1" s="68">
      <c r="A832" s="114" t="n"/>
      <c r="B832" s="114" t="n"/>
      <c r="C832" s="114" t="n"/>
      <c r="D832" s="114" t="n"/>
      <c r="E832" s="114" t="n"/>
      <c r="F832" s="114" t="n"/>
      <c r="G832" s="114" t="n"/>
      <c r="H832" s="114" t="n"/>
      <c r="I832" s="114" t="n"/>
      <c r="J832" s="114" t="n"/>
    </row>
    <row r="833" ht="15" customHeight="1" s="68">
      <c r="A833" s="114" t="n"/>
      <c r="B833" s="114" t="n"/>
      <c r="C833" s="114" t="n"/>
      <c r="D833" s="114" t="n"/>
      <c r="E833" s="114" t="n"/>
      <c r="F833" s="114" t="n"/>
      <c r="G833" s="114" t="n"/>
      <c r="H833" s="114" t="n"/>
      <c r="I833" s="114" t="n"/>
      <c r="J833" s="114" t="n"/>
    </row>
    <row r="834" ht="15" customHeight="1" s="68">
      <c r="A834" s="114" t="n"/>
      <c r="B834" s="114" t="n"/>
      <c r="C834" s="114" t="n"/>
      <c r="D834" s="114" t="n"/>
      <c r="E834" s="114" t="n"/>
      <c r="F834" s="114" t="n"/>
      <c r="G834" s="114" t="n"/>
      <c r="H834" s="114" t="n"/>
      <c r="I834" s="114" t="n"/>
      <c r="J834" s="114" t="n"/>
    </row>
    <row r="835" ht="15" customHeight="1" s="68">
      <c r="A835" s="114" t="n"/>
      <c r="B835" s="114" t="n"/>
      <c r="C835" s="114" t="n"/>
      <c r="D835" s="114" t="n"/>
      <c r="E835" s="114" t="n"/>
      <c r="F835" s="114" t="n"/>
      <c r="G835" s="114" t="n"/>
      <c r="H835" s="114" t="n"/>
      <c r="I835" s="114" t="n"/>
      <c r="J835" s="114" t="n"/>
    </row>
    <row r="836" ht="15" customHeight="1" s="68">
      <c r="A836" s="114" t="n"/>
      <c r="B836" s="114" t="n"/>
      <c r="C836" s="114" t="n"/>
      <c r="D836" s="114" t="n"/>
      <c r="E836" s="114" t="n"/>
      <c r="F836" s="114" t="n"/>
      <c r="G836" s="114" t="n"/>
      <c r="H836" s="114" t="n"/>
      <c r="I836" s="114" t="n"/>
      <c r="J836" s="114" t="n"/>
    </row>
    <row r="837" ht="15" customHeight="1" s="68">
      <c r="A837" s="114" t="n"/>
      <c r="B837" s="114" t="n"/>
      <c r="C837" s="114" t="n"/>
      <c r="D837" s="114" t="n"/>
      <c r="E837" s="114" t="n"/>
      <c r="F837" s="114" t="n"/>
      <c r="G837" s="114" t="n"/>
      <c r="H837" s="114" t="n"/>
      <c r="I837" s="114" t="n"/>
      <c r="J837" s="114" t="n"/>
    </row>
    <row r="838" ht="15" customHeight="1" s="68">
      <c r="A838" s="114" t="n"/>
      <c r="B838" s="114" t="n"/>
      <c r="C838" s="114" t="n"/>
      <c r="D838" s="114" t="n"/>
      <c r="E838" s="114" t="n"/>
      <c r="F838" s="114" t="n"/>
      <c r="G838" s="114" t="n"/>
      <c r="H838" s="114" t="n"/>
      <c r="I838" s="114" t="n"/>
      <c r="J838" s="114" t="n"/>
    </row>
    <row r="839" ht="15" customHeight="1" s="68">
      <c r="A839" s="114" t="n"/>
      <c r="B839" s="114" t="n"/>
      <c r="C839" s="114" t="n"/>
      <c r="D839" s="114" t="n"/>
      <c r="E839" s="114" t="n"/>
      <c r="F839" s="114" t="n"/>
      <c r="G839" s="114" t="n"/>
      <c r="H839" s="114" t="n"/>
      <c r="I839" s="114" t="n"/>
      <c r="J839" s="114" t="n"/>
    </row>
    <row r="840" ht="15" customHeight="1" s="68">
      <c r="A840" s="114" t="n"/>
      <c r="B840" s="114" t="n"/>
      <c r="C840" s="114" t="n"/>
      <c r="D840" s="114" t="n"/>
      <c r="E840" s="114" t="n"/>
      <c r="F840" s="114" t="n"/>
      <c r="G840" s="114" t="n"/>
      <c r="H840" s="114" t="n"/>
      <c r="I840" s="114" t="n"/>
      <c r="J840" s="114" t="n"/>
    </row>
    <row r="841" ht="15" customHeight="1" s="68">
      <c r="A841" s="114" t="n"/>
      <c r="B841" s="114" t="n"/>
      <c r="C841" s="114" t="n"/>
      <c r="D841" s="114" t="n"/>
      <c r="E841" s="114" t="n"/>
      <c r="F841" s="114" t="n"/>
      <c r="G841" s="114" t="n"/>
      <c r="H841" s="114" t="n"/>
      <c r="I841" s="114" t="n"/>
      <c r="J841" s="114" t="n"/>
    </row>
    <row r="842" ht="15" customHeight="1" s="68">
      <c r="A842" s="114" t="n"/>
      <c r="B842" s="114" t="n"/>
      <c r="C842" s="114" t="n"/>
      <c r="D842" s="114" t="n"/>
      <c r="E842" s="114" t="n"/>
      <c r="F842" s="114" t="n"/>
      <c r="G842" s="114" t="n"/>
      <c r="H842" s="114" t="n"/>
      <c r="I842" s="114" t="n"/>
      <c r="J842" s="114" t="n"/>
    </row>
    <row r="843" ht="15" customHeight="1" s="68">
      <c r="A843" s="114" t="n"/>
      <c r="B843" s="114" t="n"/>
      <c r="C843" s="114" t="n"/>
      <c r="D843" s="114" t="n"/>
      <c r="E843" s="114" t="n"/>
      <c r="F843" s="114" t="n"/>
      <c r="G843" s="114" t="n"/>
      <c r="H843" s="114" t="n"/>
      <c r="I843" s="114" t="n"/>
      <c r="J843" s="114" t="n"/>
    </row>
    <row r="844" ht="15" customHeight="1" s="68">
      <c r="A844" s="114" t="n"/>
      <c r="B844" s="114" t="n"/>
      <c r="C844" s="114" t="n"/>
      <c r="D844" s="114" t="n"/>
      <c r="E844" s="114" t="n"/>
      <c r="F844" s="114" t="n"/>
      <c r="G844" s="114" t="n"/>
      <c r="H844" s="114" t="n"/>
      <c r="I844" s="114" t="n"/>
      <c r="J844" s="114" t="n"/>
    </row>
    <row r="845" ht="15" customHeight="1" s="68">
      <c r="A845" s="114" t="n"/>
      <c r="B845" s="114" t="n"/>
      <c r="C845" s="114" t="n"/>
      <c r="D845" s="114" t="n"/>
      <c r="E845" s="114" t="n"/>
      <c r="F845" s="114" t="n"/>
      <c r="G845" s="114" t="n"/>
      <c r="H845" s="114" t="n"/>
      <c r="I845" s="114" t="n"/>
      <c r="J845" s="114" t="n"/>
    </row>
    <row r="846" ht="15" customHeight="1" s="68">
      <c r="A846" s="114" t="n"/>
      <c r="B846" s="114" t="n"/>
      <c r="C846" s="114" t="n"/>
      <c r="D846" s="114" t="n"/>
      <c r="E846" s="114" t="n"/>
      <c r="F846" s="114" t="n"/>
      <c r="G846" s="114" t="n"/>
      <c r="H846" s="114" t="n"/>
      <c r="I846" s="114" t="n"/>
      <c r="J846" s="114" t="n"/>
    </row>
    <row r="847" ht="15" customHeight="1" s="68">
      <c r="A847" s="114" t="n"/>
      <c r="B847" s="114" t="n"/>
      <c r="C847" s="114" t="n"/>
      <c r="D847" s="114" t="n"/>
      <c r="E847" s="114" t="n"/>
      <c r="F847" s="114" t="n"/>
      <c r="G847" s="114" t="n"/>
      <c r="H847" s="114" t="n"/>
      <c r="I847" s="114" t="n"/>
      <c r="J847" s="114" t="n"/>
    </row>
    <row r="848" ht="15" customHeight="1" s="68">
      <c r="A848" s="114" t="n"/>
      <c r="B848" s="114" t="n"/>
      <c r="C848" s="114" t="n"/>
      <c r="D848" s="114" t="n"/>
      <c r="E848" s="114" t="n"/>
      <c r="F848" s="114" t="n"/>
      <c r="G848" s="114" t="n"/>
      <c r="H848" s="114" t="n"/>
      <c r="I848" s="114" t="n"/>
      <c r="J848" s="114" t="n"/>
    </row>
    <row r="849" ht="15" customHeight="1" s="68">
      <c r="A849" s="114" t="n"/>
      <c r="B849" s="114" t="n"/>
      <c r="C849" s="114" t="n"/>
      <c r="D849" s="114" t="n"/>
      <c r="E849" s="114" t="n"/>
      <c r="F849" s="114" t="n"/>
      <c r="G849" s="114" t="n"/>
      <c r="H849" s="114" t="n"/>
      <c r="I849" s="114" t="n"/>
      <c r="J849" s="114" t="n"/>
    </row>
    <row r="850" ht="15" customHeight="1" s="68">
      <c r="A850" s="114" t="n"/>
      <c r="B850" s="114" t="n"/>
      <c r="C850" s="114" t="n"/>
      <c r="D850" s="114" t="n"/>
      <c r="E850" s="114" t="n"/>
      <c r="F850" s="114" t="n"/>
      <c r="G850" s="114" t="n"/>
      <c r="H850" s="114" t="n"/>
      <c r="I850" s="114" t="n"/>
      <c r="J850" s="114" t="n"/>
    </row>
    <row r="851" ht="15" customHeight="1" s="68">
      <c r="A851" s="114" t="n"/>
      <c r="B851" s="114" t="n"/>
      <c r="C851" s="114" t="n"/>
      <c r="D851" s="114" t="n"/>
      <c r="E851" s="114" t="n"/>
      <c r="F851" s="114" t="n"/>
      <c r="G851" s="114" t="n"/>
      <c r="H851" s="114" t="n"/>
      <c r="I851" s="114" t="n"/>
      <c r="J851" s="114" t="n"/>
    </row>
    <row r="852" ht="15" customHeight="1" s="68">
      <c r="A852" s="114" t="n"/>
      <c r="B852" s="114" t="n"/>
      <c r="C852" s="114" t="n"/>
      <c r="D852" s="114" t="n"/>
      <c r="E852" s="114" t="n"/>
      <c r="F852" s="114" t="n"/>
      <c r="G852" s="114" t="n"/>
      <c r="H852" s="114" t="n"/>
      <c r="I852" s="114" t="n"/>
      <c r="J852" s="114" t="n"/>
    </row>
    <row r="853" ht="15" customHeight="1" s="68">
      <c r="A853" s="114" t="n"/>
      <c r="B853" s="114" t="n"/>
      <c r="C853" s="114" t="n"/>
      <c r="D853" s="114" t="n"/>
      <c r="E853" s="114" t="n"/>
      <c r="F853" s="114" t="n"/>
      <c r="G853" s="114" t="n"/>
      <c r="H853" s="114" t="n"/>
      <c r="I853" s="114" t="n"/>
      <c r="J853" s="114" t="n"/>
    </row>
    <row r="854" ht="15" customHeight="1" s="68">
      <c r="A854" s="114" t="n"/>
      <c r="B854" s="114" t="n"/>
      <c r="C854" s="114" t="n"/>
      <c r="D854" s="114" t="n"/>
      <c r="E854" s="114" t="n"/>
      <c r="F854" s="114" t="n"/>
      <c r="G854" s="114" t="n"/>
      <c r="H854" s="114" t="n"/>
      <c r="I854" s="114" t="n"/>
      <c r="J854" s="114" t="n"/>
    </row>
    <row r="855" ht="15" customHeight="1" s="68">
      <c r="A855" s="114" t="n"/>
      <c r="B855" s="114" t="n"/>
      <c r="C855" s="114" t="n"/>
      <c r="D855" s="114" t="n"/>
      <c r="E855" s="114" t="n"/>
      <c r="F855" s="114" t="n"/>
      <c r="G855" s="114" t="n"/>
      <c r="H855" s="114" t="n"/>
      <c r="I855" s="114" t="n"/>
      <c r="J855" s="114" t="n"/>
    </row>
    <row r="856" ht="15" customHeight="1" s="68">
      <c r="A856" s="114" t="n"/>
      <c r="B856" s="114" t="n"/>
      <c r="C856" s="114" t="n"/>
      <c r="D856" s="114" t="n"/>
      <c r="E856" s="114" t="n"/>
      <c r="F856" s="114" t="n"/>
      <c r="G856" s="114" t="n"/>
      <c r="H856" s="114" t="n"/>
      <c r="I856" s="114" t="n"/>
      <c r="J856" s="114" t="n"/>
    </row>
    <row r="857" ht="15" customHeight="1" s="68">
      <c r="A857" s="114" t="n"/>
      <c r="B857" s="114" t="n"/>
      <c r="C857" s="114" t="n"/>
      <c r="D857" s="114" t="n"/>
      <c r="E857" s="114" t="n"/>
      <c r="F857" s="114" t="n"/>
      <c r="G857" s="114" t="n"/>
      <c r="H857" s="114" t="n"/>
      <c r="I857" s="114" t="n"/>
      <c r="J857" s="114" t="n"/>
    </row>
    <row r="858" ht="15" customHeight="1" s="68">
      <c r="A858" s="114" t="n"/>
      <c r="B858" s="114" t="n"/>
      <c r="C858" s="114" t="n"/>
      <c r="D858" s="114" t="n"/>
      <c r="E858" s="114" t="n"/>
      <c r="F858" s="114" t="n"/>
      <c r="G858" s="114" t="n"/>
      <c r="H858" s="114" t="n"/>
      <c r="I858" s="114" t="n"/>
      <c r="J858" s="114" t="n"/>
    </row>
    <row r="859" ht="15" customHeight="1" s="68">
      <c r="A859" s="114" t="n"/>
      <c r="B859" s="114" t="n"/>
      <c r="C859" s="114" t="n"/>
      <c r="D859" s="114" t="n"/>
      <c r="E859" s="114" t="n"/>
      <c r="F859" s="114" t="n"/>
      <c r="G859" s="114" t="n"/>
      <c r="H859" s="114" t="n"/>
      <c r="I859" s="114" t="n"/>
      <c r="J859" s="114" t="n"/>
    </row>
    <row r="860" ht="15" customHeight="1" s="68">
      <c r="A860" s="114" t="n"/>
      <c r="B860" s="114" t="n"/>
      <c r="C860" s="114" t="n"/>
      <c r="D860" s="114" t="n"/>
      <c r="E860" s="114" t="n"/>
      <c r="F860" s="114" t="n"/>
      <c r="G860" s="114" t="n"/>
      <c r="H860" s="114" t="n"/>
      <c r="I860" s="114" t="n"/>
      <c r="J860" s="114" t="n"/>
    </row>
    <row r="861" ht="15" customHeight="1" s="68">
      <c r="A861" s="114" t="n"/>
      <c r="B861" s="114" t="n"/>
      <c r="C861" s="114" t="n"/>
      <c r="D861" s="114" t="n"/>
      <c r="E861" s="114" t="n"/>
      <c r="F861" s="114" t="n"/>
      <c r="G861" s="114" t="n"/>
      <c r="H861" s="114" t="n"/>
      <c r="I861" s="114" t="n"/>
      <c r="J861" s="114" t="n"/>
    </row>
    <row r="862" ht="15" customHeight="1" s="68">
      <c r="A862" s="114" t="n"/>
      <c r="B862" s="114" t="n"/>
      <c r="C862" s="114" t="n"/>
      <c r="D862" s="114" t="n"/>
      <c r="E862" s="114" t="n"/>
      <c r="F862" s="114" t="n"/>
      <c r="G862" s="114" t="n"/>
      <c r="H862" s="114" t="n"/>
      <c r="I862" s="114" t="n"/>
      <c r="J862" s="114" t="n"/>
    </row>
    <row r="863" ht="15" customHeight="1" s="68">
      <c r="A863" s="114" t="n"/>
      <c r="B863" s="114" t="n"/>
      <c r="C863" s="114" t="n"/>
      <c r="D863" s="114" t="n"/>
      <c r="E863" s="114" t="n"/>
      <c r="F863" s="114" t="n"/>
      <c r="G863" s="114" t="n"/>
      <c r="H863" s="114" t="n"/>
      <c r="I863" s="114" t="n"/>
      <c r="J863" s="114" t="n"/>
    </row>
    <row r="864" ht="15" customHeight="1" s="68">
      <c r="A864" s="114" t="n"/>
      <c r="B864" s="114" t="n"/>
      <c r="C864" s="114" t="n"/>
      <c r="D864" s="114" t="n"/>
      <c r="E864" s="114" t="n"/>
      <c r="F864" s="114" t="n"/>
      <c r="G864" s="114" t="n"/>
      <c r="H864" s="114" t="n"/>
      <c r="I864" s="114" t="n"/>
      <c r="J864" s="114" t="n"/>
    </row>
    <row r="865" ht="15" customHeight="1" s="68">
      <c r="A865" s="114" t="n"/>
      <c r="B865" s="114" t="n"/>
      <c r="C865" s="114" t="n"/>
      <c r="D865" s="114" t="n"/>
      <c r="E865" s="114" t="n"/>
      <c r="F865" s="114" t="n"/>
      <c r="G865" s="114" t="n"/>
      <c r="H865" s="114" t="n"/>
      <c r="I865" s="114" t="n"/>
      <c r="J865" s="114" t="n"/>
    </row>
    <row r="866" ht="15" customHeight="1" s="68">
      <c r="A866" s="114" t="n"/>
      <c r="B866" s="114" t="n"/>
      <c r="C866" s="114" t="n"/>
      <c r="D866" s="114" t="n"/>
      <c r="E866" s="114" t="n"/>
      <c r="F866" s="114" t="n"/>
      <c r="G866" s="114" t="n"/>
      <c r="H866" s="114" t="n"/>
      <c r="I866" s="114" t="n"/>
      <c r="J866" s="114" t="n"/>
    </row>
    <row r="867" ht="15" customHeight="1" s="68">
      <c r="A867" s="114" t="n"/>
      <c r="B867" s="114" t="n"/>
      <c r="C867" s="114" t="n"/>
      <c r="D867" s="114" t="n"/>
      <c r="E867" s="114" t="n"/>
      <c r="F867" s="114" t="n"/>
      <c r="G867" s="114" t="n"/>
      <c r="H867" s="114" t="n"/>
      <c r="I867" s="114" t="n"/>
      <c r="J867" s="114" t="n"/>
    </row>
    <row r="868" ht="15" customHeight="1" s="68">
      <c r="A868" s="114" t="n"/>
      <c r="B868" s="114" t="n"/>
      <c r="C868" s="114" t="n"/>
      <c r="D868" s="114" t="n"/>
      <c r="E868" s="114" t="n"/>
      <c r="F868" s="114" t="n"/>
      <c r="G868" s="114" t="n"/>
      <c r="H868" s="114" t="n"/>
      <c r="I868" s="114" t="n"/>
      <c r="J868" s="114" t="n"/>
    </row>
    <row r="869" ht="15" customHeight="1" s="68">
      <c r="A869" s="114" t="n"/>
      <c r="B869" s="114" t="n"/>
      <c r="C869" s="114" t="n"/>
      <c r="D869" s="114" t="n"/>
      <c r="E869" s="114" t="n"/>
      <c r="F869" s="114" t="n"/>
      <c r="G869" s="114" t="n"/>
      <c r="H869" s="114" t="n"/>
      <c r="I869" s="114" t="n"/>
      <c r="J869" s="114" t="n"/>
    </row>
    <row r="870" ht="15" customHeight="1" s="68">
      <c r="A870" s="114" t="n"/>
      <c r="B870" s="114" t="n"/>
      <c r="C870" s="114" t="n"/>
      <c r="D870" s="114" t="n"/>
      <c r="E870" s="114" t="n"/>
      <c r="F870" s="114" t="n"/>
      <c r="G870" s="114" t="n"/>
      <c r="H870" s="114" t="n"/>
      <c r="I870" s="114" t="n"/>
      <c r="J870" s="114" t="n"/>
    </row>
    <row r="871" ht="15" customHeight="1" s="68">
      <c r="A871" s="114" t="n"/>
      <c r="B871" s="114" t="n"/>
      <c r="C871" s="114" t="n"/>
      <c r="D871" s="114" t="n"/>
      <c r="E871" s="114" t="n"/>
      <c r="F871" s="114" t="n"/>
      <c r="G871" s="114" t="n"/>
      <c r="H871" s="114" t="n"/>
      <c r="I871" s="114" t="n"/>
      <c r="J871" s="114" t="n"/>
    </row>
    <row r="872" ht="15" customHeight="1" s="68">
      <c r="A872" s="114" t="n"/>
      <c r="B872" s="114" t="n"/>
      <c r="C872" s="114" t="n"/>
      <c r="D872" s="114" t="n"/>
      <c r="E872" s="114" t="n"/>
      <c r="F872" s="114" t="n"/>
      <c r="G872" s="114" t="n"/>
      <c r="H872" s="114" t="n"/>
      <c r="I872" s="114" t="n"/>
      <c r="J872" s="114" t="n"/>
    </row>
    <row r="873" ht="15" customHeight="1" s="68">
      <c r="A873" s="114" t="n"/>
      <c r="B873" s="114" t="n"/>
      <c r="C873" s="114" t="n"/>
      <c r="D873" s="114" t="n"/>
      <c r="E873" s="114" t="n"/>
      <c r="F873" s="114" t="n"/>
      <c r="G873" s="114" t="n"/>
      <c r="H873" s="114" t="n"/>
      <c r="I873" s="114" t="n"/>
      <c r="J873" s="114" t="n"/>
    </row>
    <row r="874" ht="15" customHeight="1" s="68">
      <c r="A874" s="114" t="n"/>
      <c r="B874" s="114" t="n"/>
      <c r="C874" s="114" t="n"/>
      <c r="D874" s="114" t="n"/>
      <c r="E874" s="114" t="n"/>
      <c r="F874" s="114" t="n"/>
      <c r="G874" s="114" t="n"/>
      <c r="H874" s="114" t="n"/>
      <c r="I874" s="114" t="n"/>
      <c r="J874" s="114" t="n"/>
    </row>
    <row r="875" ht="15" customHeight="1" s="68">
      <c r="A875" s="114" t="n"/>
      <c r="B875" s="114" t="n"/>
      <c r="C875" s="114" t="n"/>
      <c r="D875" s="114" t="n"/>
      <c r="E875" s="114" t="n"/>
      <c r="F875" s="114" t="n"/>
      <c r="G875" s="114" t="n"/>
      <c r="H875" s="114" t="n"/>
      <c r="I875" s="114" t="n"/>
      <c r="J875" s="114" t="n"/>
    </row>
    <row r="876" ht="15" customHeight="1" s="68">
      <c r="A876" s="114" t="n"/>
      <c r="B876" s="114" t="n"/>
      <c r="C876" s="114" t="n"/>
      <c r="D876" s="114" t="n"/>
      <c r="E876" s="114" t="n"/>
      <c r="F876" s="114" t="n"/>
      <c r="G876" s="114" t="n"/>
      <c r="H876" s="114" t="n"/>
      <c r="I876" s="114" t="n"/>
      <c r="J876" s="114" t="n"/>
    </row>
    <row r="877" ht="15" customHeight="1" s="68">
      <c r="A877" s="114" t="n"/>
      <c r="B877" s="114" t="n"/>
      <c r="C877" s="114" t="n"/>
      <c r="D877" s="114" t="n"/>
      <c r="E877" s="114" t="n"/>
      <c r="F877" s="114" t="n"/>
      <c r="G877" s="114" t="n"/>
      <c r="H877" s="114" t="n"/>
      <c r="I877" s="114" t="n"/>
      <c r="J877" s="114" t="n"/>
    </row>
    <row r="878" ht="15" customHeight="1" s="68">
      <c r="A878" s="114" t="n"/>
      <c r="B878" s="114" t="n"/>
      <c r="C878" s="114" t="n"/>
      <c r="D878" s="114" t="n"/>
      <c r="E878" s="114" t="n"/>
      <c r="F878" s="114" t="n"/>
      <c r="G878" s="114" t="n"/>
      <c r="H878" s="114" t="n"/>
      <c r="I878" s="114" t="n"/>
      <c r="J878" s="114" t="n"/>
    </row>
    <row r="879" ht="15" customHeight="1" s="68">
      <c r="A879" s="114" t="n"/>
      <c r="B879" s="114" t="n"/>
      <c r="C879" s="114" t="n"/>
      <c r="D879" s="114" t="n"/>
      <c r="E879" s="114" t="n"/>
      <c r="F879" s="114" t="n"/>
      <c r="G879" s="114" t="n"/>
      <c r="H879" s="114" t="n"/>
      <c r="I879" s="114" t="n"/>
      <c r="J879" s="114" t="n"/>
    </row>
    <row r="880" ht="15" customHeight="1" s="68">
      <c r="A880" s="114" t="n"/>
      <c r="B880" s="114" t="n"/>
      <c r="C880" s="114" t="n"/>
      <c r="D880" s="114" t="n"/>
      <c r="E880" s="114" t="n"/>
      <c r="F880" s="114" t="n"/>
      <c r="G880" s="114" t="n"/>
      <c r="H880" s="114" t="n"/>
      <c r="I880" s="114" t="n"/>
      <c r="J880" s="114" t="n"/>
    </row>
    <row r="881" ht="15" customHeight="1" s="68">
      <c r="A881" s="114" t="n"/>
      <c r="B881" s="114" t="n"/>
      <c r="C881" s="114" t="n"/>
      <c r="D881" s="114" t="n"/>
      <c r="E881" s="114" t="n"/>
      <c r="F881" s="114" t="n"/>
      <c r="G881" s="114" t="n"/>
      <c r="H881" s="114" t="n"/>
      <c r="I881" s="114" t="n"/>
      <c r="J881" s="114" t="n"/>
    </row>
    <row r="882" ht="15" customHeight="1" s="68">
      <c r="A882" s="114" t="n"/>
      <c r="B882" s="114" t="n"/>
      <c r="C882" s="114" t="n"/>
      <c r="D882" s="114" t="n"/>
      <c r="E882" s="114" t="n"/>
      <c r="F882" s="114" t="n"/>
      <c r="G882" s="114" t="n"/>
      <c r="H882" s="114" t="n"/>
      <c r="I882" s="114" t="n"/>
      <c r="J882" s="114" t="n"/>
    </row>
    <row r="883" ht="15" customHeight="1" s="68">
      <c r="A883" s="114" t="n"/>
      <c r="B883" s="114" t="n"/>
      <c r="C883" s="114" t="n"/>
      <c r="D883" s="114" t="n"/>
      <c r="E883" s="114" t="n"/>
      <c r="F883" s="114" t="n"/>
      <c r="G883" s="114" t="n"/>
      <c r="H883" s="114" t="n"/>
      <c r="I883" s="114" t="n"/>
      <c r="J883" s="114" t="n"/>
    </row>
    <row r="884" ht="15" customHeight="1" s="68">
      <c r="A884" s="114" t="n"/>
      <c r="B884" s="114" t="n"/>
      <c r="C884" s="114" t="n"/>
      <c r="D884" s="114" t="n"/>
      <c r="E884" s="114" t="n"/>
      <c r="F884" s="114" t="n"/>
      <c r="G884" s="114" t="n"/>
      <c r="H884" s="114" t="n"/>
      <c r="I884" s="114" t="n"/>
      <c r="J884" s="114" t="n"/>
    </row>
    <row r="885" ht="15" customHeight="1" s="68">
      <c r="A885" s="114" t="n"/>
      <c r="B885" s="114" t="n"/>
      <c r="C885" s="114" t="n"/>
      <c r="D885" s="114" t="n"/>
      <c r="E885" s="114" t="n"/>
      <c r="F885" s="114" t="n"/>
      <c r="G885" s="114" t="n"/>
      <c r="H885" s="114" t="n"/>
      <c r="I885" s="114" t="n"/>
      <c r="J885" s="114" t="n"/>
    </row>
    <row r="886" ht="15" customHeight="1" s="68">
      <c r="A886" s="114" t="n"/>
      <c r="B886" s="114" t="n"/>
      <c r="C886" s="114" t="n"/>
      <c r="D886" s="114" t="n"/>
      <c r="E886" s="114" t="n"/>
      <c r="F886" s="114" t="n"/>
      <c r="G886" s="114" t="n"/>
      <c r="H886" s="114" t="n"/>
      <c r="I886" s="114" t="n"/>
      <c r="J886" s="114" t="n"/>
    </row>
    <row r="887" ht="15" customHeight="1" s="68">
      <c r="A887" s="114" t="n"/>
      <c r="B887" s="114" t="n"/>
      <c r="C887" s="114" t="n"/>
      <c r="D887" s="114" t="n"/>
      <c r="E887" s="114" t="n"/>
      <c r="F887" s="114" t="n"/>
      <c r="G887" s="114" t="n"/>
      <c r="H887" s="114" t="n"/>
      <c r="I887" s="114" t="n"/>
      <c r="J887" s="114" t="n"/>
    </row>
    <row r="888" ht="15" customHeight="1" s="68">
      <c r="A888" s="114" t="n"/>
      <c r="B888" s="114" t="n"/>
      <c r="C888" s="114" t="n"/>
      <c r="D888" s="114" t="n"/>
      <c r="E888" s="114" t="n"/>
      <c r="F888" s="114" t="n"/>
      <c r="G888" s="114" t="n"/>
      <c r="H888" s="114" t="n"/>
      <c r="I888" s="114" t="n"/>
      <c r="J888" s="114" t="n"/>
    </row>
    <row r="889" ht="15" customHeight="1" s="68">
      <c r="A889" s="114" t="n"/>
      <c r="B889" s="114" t="n"/>
      <c r="C889" s="114" t="n"/>
      <c r="D889" s="114" t="n"/>
      <c r="E889" s="114" t="n"/>
      <c r="F889" s="114" t="n"/>
      <c r="G889" s="114" t="n"/>
      <c r="H889" s="114" t="n"/>
      <c r="I889" s="114" t="n"/>
      <c r="J889" s="114" t="n"/>
    </row>
    <row r="890" ht="15" customHeight="1" s="68">
      <c r="A890" s="114" t="n"/>
      <c r="B890" s="114" t="n"/>
      <c r="C890" s="114" t="n"/>
      <c r="D890" s="114" t="n"/>
      <c r="E890" s="114" t="n"/>
      <c r="F890" s="114" t="n"/>
      <c r="G890" s="114" t="n"/>
      <c r="H890" s="114" t="n"/>
      <c r="I890" s="114" t="n"/>
      <c r="J890" s="114" t="n"/>
    </row>
    <row r="891" ht="15" customHeight="1" s="68">
      <c r="A891" s="114" t="n"/>
      <c r="B891" s="114" t="n"/>
      <c r="C891" s="114" t="n"/>
      <c r="D891" s="114" t="n"/>
      <c r="E891" s="114" t="n"/>
      <c r="F891" s="114" t="n"/>
      <c r="G891" s="114" t="n"/>
      <c r="H891" s="114" t="n"/>
      <c r="I891" s="114" t="n"/>
      <c r="J891" s="114" t="n"/>
    </row>
    <row r="892" ht="15" customHeight="1" s="68">
      <c r="A892" s="114" t="n"/>
      <c r="B892" s="114" t="n"/>
      <c r="C892" s="114" t="n"/>
      <c r="D892" s="114" t="n"/>
      <c r="E892" s="114" t="n"/>
      <c r="F892" s="114" t="n"/>
      <c r="G892" s="114" t="n"/>
      <c r="H892" s="114" t="n"/>
      <c r="I892" s="114" t="n"/>
      <c r="J892" s="114" t="n"/>
    </row>
    <row r="893" ht="15" customHeight="1" s="68">
      <c r="A893" s="114" t="n"/>
      <c r="B893" s="114" t="n"/>
      <c r="C893" s="114" t="n"/>
      <c r="D893" s="114" t="n"/>
      <c r="E893" s="114" t="n"/>
      <c r="F893" s="114" t="n"/>
      <c r="G893" s="114" t="n"/>
      <c r="H893" s="114" t="n"/>
      <c r="I893" s="114" t="n"/>
      <c r="J893" s="114" t="n"/>
    </row>
    <row r="894" ht="15" customHeight="1" s="68">
      <c r="A894" s="114" t="n"/>
      <c r="B894" s="114" t="n"/>
      <c r="C894" s="114" t="n"/>
      <c r="D894" s="114" t="n"/>
      <c r="E894" s="114" t="n"/>
      <c r="F894" s="114" t="n"/>
      <c r="G894" s="114" t="n"/>
      <c r="H894" s="114" t="n"/>
      <c r="I894" s="114" t="n"/>
      <c r="J894" s="114" t="n"/>
    </row>
    <row r="895" ht="15" customHeight="1" s="68">
      <c r="A895" s="114" t="n"/>
      <c r="B895" s="114" t="n"/>
      <c r="C895" s="114" t="n"/>
      <c r="D895" s="114" t="n"/>
      <c r="E895" s="114" t="n"/>
      <c r="F895" s="114" t="n"/>
      <c r="G895" s="114" t="n"/>
      <c r="H895" s="114" t="n"/>
      <c r="I895" s="114" t="n"/>
      <c r="J895" s="114" t="n"/>
    </row>
    <row r="896" ht="15" customHeight="1" s="68">
      <c r="A896" s="114" t="n"/>
      <c r="B896" s="114" t="n"/>
      <c r="C896" s="114" t="n"/>
      <c r="D896" s="114" t="n"/>
      <c r="E896" s="114" t="n"/>
      <c r="F896" s="114" t="n"/>
      <c r="G896" s="114" t="n"/>
      <c r="H896" s="114" t="n"/>
      <c r="I896" s="114" t="n"/>
      <c r="J896" s="114" t="n"/>
    </row>
    <row r="897" ht="15" customHeight="1" s="68">
      <c r="A897" s="114" t="n"/>
      <c r="B897" s="114" t="n"/>
      <c r="C897" s="114" t="n"/>
      <c r="D897" s="114" t="n"/>
      <c r="E897" s="114" t="n"/>
      <c r="F897" s="114" t="n"/>
      <c r="G897" s="114" t="n"/>
      <c r="H897" s="114" t="n"/>
      <c r="I897" s="114" t="n"/>
      <c r="J897" s="114" t="n"/>
    </row>
    <row r="898" ht="15" customHeight="1" s="68">
      <c r="A898" s="114" t="n"/>
      <c r="B898" s="114" t="n"/>
      <c r="C898" s="114" t="n"/>
      <c r="D898" s="114" t="n"/>
      <c r="E898" s="114" t="n"/>
      <c r="F898" s="114" t="n"/>
      <c r="G898" s="114" t="n"/>
      <c r="H898" s="114" t="n"/>
      <c r="I898" s="114" t="n"/>
      <c r="J898" s="114" t="n"/>
    </row>
    <row r="899" ht="15" customHeight="1" s="68">
      <c r="A899" s="114" t="n"/>
      <c r="B899" s="114" t="n"/>
      <c r="C899" s="114" t="n"/>
      <c r="D899" s="114" t="n"/>
      <c r="E899" s="114" t="n"/>
      <c r="F899" s="114" t="n"/>
      <c r="G899" s="114" t="n"/>
      <c r="H899" s="114" t="n"/>
      <c r="I899" s="114" t="n"/>
      <c r="J899" s="114" t="n"/>
    </row>
    <row r="900" ht="15" customHeight="1" s="68">
      <c r="A900" s="114" t="n"/>
      <c r="B900" s="114" t="n"/>
      <c r="C900" s="114" t="n"/>
      <c r="D900" s="114" t="n"/>
      <c r="E900" s="114" t="n"/>
      <c r="F900" s="114" t="n"/>
      <c r="G900" s="114" t="n"/>
      <c r="H900" s="114" t="n"/>
      <c r="I900" s="114" t="n"/>
      <c r="J900" s="114" t="n"/>
    </row>
    <row r="901" ht="15" customHeight="1" s="68">
      <c r="A901" s="114" t="n"/>
      <c r="B901" s="114" t="n"/>
      <c r="C901" s="114" t="n"/>
      <c r="D901" s="114" t="n"/>
      <c r="E901" s="114" t="n"/>
      <c r="F901" s="114" t="n"/>
      <c r="G901" s="114" t="n"/>
      <c r="H901" s="114" t="n"/>
      <c r="I901" s="114" t="n"/>
      <c r="J901" s="114" t="n"/>
    </row>
    <row r="902" ht="15" customHeight="1" s="68">
      <c r="A902" s="114" t="n"/>
      <c r="B902" s="114" t="n"/>
      <c r="C902" s="114" t="n"/>
      <c r="D902" s="114" t="n"/>
      <c r="E902" s="114" t="n"/>
      <c r="F902" s="114" t="n"/>
      <c r="G902" s="114" t="n"/>
      <c r="H902" s="114" t="n"/>
      <c r="I902" s="114" t="n"/>
      <c r="J902" s="114" t="n"/>
    </row>
    <row r="903" ht="15" customHeight="1" s="68">
      <c r="A903" s="114" t="n"/>
      <c r="B903" s="114" t="n"/>
      <c r="C903" s="114" t="n"/>
      <c r="D903" s="114" t="n"/>
      <c r="E903" s="114" t="n"/>
      <c r="F903" s="114" t="n"/>
      <c r="G903" s="114" t="n"/>
      <c r="H903" s="114" t="n"/>
      <c r="I903" s="114" t="n"/>
      <c r="J903" s="114" t="n"/>
    </row>
    <row r="904" ht="15" customHeight="1" s="68">
      <c r="A904" s="114" t="n"/>
      <c r="B904" s="114" t="n"/>
      <c r="C904" s="114" t="n"/>
      <c r="D904" s="114" t="n"/>
      <c r="E904" s="114" t="n"/>
      <c r="F904" s="114" t="n"/>
      <c r="G904" s="114" t="n"/>
      <c r="H904" s="114" t="n"/>
      <c r="I904" s="114" t="n"/>
      <c r="J904" s="114" t="n"/>
    </row>
    <row r="905" ht="15" customHeight="1" s="68">
      <c r="A905" s="114" t="n"/>
      <c r="B905" s="114" t="n"/>
      <c r="C905" s="114" t="n"/>
      <c r="D905" s="114" t="n"/>
      <c r="E905" s="114" t="n"/>
      <c r="F905" s="114" t="n"/>
      <c r="G905" s="114" t="n"/>
      <c r="H905" s="114" t="n"/>
      <c r="I905" s="114" t="n"/>
      <c r="J905" s="114" t="n"/>
    </row>
    <row r="906" ht="15" customHeight="1" s="68">
      <c r="A906" s="114" t="n"/>
      <c r="B906" s="114" t="n"/>
      <c r="C906" s="114" t="n"/>
      <c r="D906" s="114" t="n"/>
      <c r="E906" s="114" t="n"/>
      <c r="F906" s="114" t="n"/>
      <c r="G906" s="114" t="n"/>
      <c r="H906" s="114" t="n"/>
      <c r="I906" s="114" t="n"/>
      <c r="J906" s="114" t="n"/>
    </row>
    <row r="907" ht="15" customHeight="1" s="68">
      <c r="A907" s="114" t="n"/>
      <c r="B907" s="114" t="n"/>
      <c r="C907" s="114" t="n"/>
      <c r="D907" s="114" t="n"/>
      <c r="E907" s="114" t="n"/>
      <c r="F907" s="114" t="n"/>
      <c r="G907" s="114" t="n"/>
      <c r="H907" s="114" t="n"/>
      <c r="I907" s="114" t="n"/>
      <c r="J907" s="114" t="n"/>
    </row>
    <row r="908" ht="15" customHeight="1" s="68">
      <c r="A908" s="114" t="n"/>
      <c r="B908" s="114" t="n"/>
      <c r="C908" s="114" t="n"/>
      <c r="D908" s="114" t="n"/>
      <c r="E908" s="114" t="n"/>
      <c r="F908" s="114" t="n"/>
      <c r="G908" s="114" t="n"/>
      <c r="H908" s="114" t="n"/>
      <c r="I908" s="114" t="n"/>
      <c r="J908" s="114" t="n"/>
    </row>
    <row r="909" ht="15" customHeight="1" s="68">
      <c r="A909" s="114" t="n"/>
      <c r="B909" s="114" t="n"/>
      <c r="C909" s="114" t="n"/>
      <c r="D909" s="114" t="n"/>
      <c r="E909" s="114" t="n"/>
      <c r="F909" s="114" t="n"/>
      <c r="G909" s="114" t="n"/>
      <c r="H909" s="114" t="n"/>
      <c r="I909" s="114" t="n"/>
      <c r="J909" s="114" t="n"/>
    </row>
    <row r="910" ht="15" customHeight="1" s="68">
      <c r="A910" s="114" t="n"/>
      <c r="B910" s="114" t="n"/>
      <c r="C910" s="114" t="n"/>
      <c r="D910" s="114" t="n"/>
      <c r="E910" s="114" t="n"/>
      <c r="F910" s="114" t="n"/>
      <c r="G910" s="114" t="n"/>
      <c r="H910" s="114" t="n"/>
      <c r="I910" s="114" t="n"/>
      <c r="J910" s="114" t="n"/>
    </row>
    <row r="911" ht="15" customHeight="1" s="68">
      <c r="A911" s="114" t="n"/>
      <c r="B911" s="114" t="n"/>
      <c r="C911" s="114" t="n"/>
      <c r="D911" s="114" t="n"/>
      <c r="E911" s="114" t="n"/>
      <c r="F911" s="114" t="n"/>
      <c r="G911" s="114" t="n"/>
      <c r="H911" s="114" t="n"/>
      <c r="I911" s="114" t="n"/>
      <c r="J911" s="114" t="n"/>
    </row>
    <row r="912" ht="15" customHeight="1" s="68">
      <c r="A912" s="114" t="n"/>
      <c r="B912" s="114" t="n"/>
      <c r="C912" s="114" t="n"/>
      <c r="D912" s="114" t="n"/>
      <c r="E912" s="114" t="n"/>
      <c r="F912" s="114" t="n"/>
      <c r="G912" s="114" t="n"/>
      <c r="H912" s="114" t="n"/>
      <c r="I912" s="114" t="n"/>
      <c r="J912" s="114" t="n"/>
    </row>
    <row r="913" ht="15" customHeight="1" s="68">
      <c r="A913" s="114" t="n"/>
      <c r="B913" s="114" t="n"/>
      <c r="C913" s="114" t="n"/>
      <c r="D913" s="114" t="n"/>
      <c r="E913" s="114" t="n"/>
      <c r="F913" s="114" t="n"/>
      <c r="G913" s="114" t="n"/>
      <c r="H913" s="114" t="n"/>
      <c r="I913" s="114" t="n"/>
      <c r="J913" s="114" t="n"/>
    </row>
    <row r="914" ht="15" customHeight="1" s="68">
      <c r="A914" s="114" t="n"/>
      <c r="B914" s="114" t="n"/>
      <c r="C914" s="114" t="n"/>
      <c r="D914" s="114" t="n"/>
      <c r="E914" s="114" t="n"/>
      <c r="F914" s="114" t="n"/>
      <c r="G914" s="114" t="n"/>
      <c r="H914" s="114" t="n"/>
      <c r="I914" s="114" t="n"/>
      <c r="J914" s="114" t="n"/>
    </row>
    <row r="915" ht="15" customHeight="1" s="68">
      <c r="A915" s="114" t="n"/>
      <c r="B915" s="114" t="n"/>
      <c r="C915" s="114" t="n"/>
      <c r="D915" s="114" t="n"/>
      <c r="E915" s="114" t="n"/>
      <c r="F915" s="114" t="n"/>
      <c r="G915" s="114" t="n"/>
      <c r="H915" s="114" t="n"/>
      <c r="I915" s="114" t="n"/>
      <c r="J915" s="114" t="n"/>
    </row>
    <row r="916" ht="15" customHeight="1" s="68">
      <c r="A916" s="114" t="n"/>
      <c r="B916" s="114" t="n"/>
      <c r="C916" s="114" t="n"/>
      <c r="D916" s="114" t="n"/>
      <c r="E916" s="114" t="n"/>
      <c r="F916" s="114" t="n"/>
      <c r="G916" s="114" t="n"/>
      <c r="H916" s="114" t="n"/>
      <c r="I916" s="114" t="n"/>
      <c r="J916" s="114" t="n"/>
    </row>
    <row r="917" ht="15" customHeight="1" s="68">
      <c r="A917" s="114" t="n"/>
      <c r="B917" s="114" t="n"/>
      <c r="C917" s="114" t="n"/>
      <c r="D917" s="114" t="n"/>
      <c r="E917" s="114" t="n"/>
      <c r="F917" s="114" t="n"/>
      <c r="G917" s="114" t="n"/>
      <c r="H917" s="114" t="n"/>
      <c r="I917" s="114" t="n"/>
      <c r="J917" s="114" t="n"/>
    </row>
    <row r="918" ht="15" customHeight="1" s="68">
      <c r="A918" s="114" t="n"/>
      <c r="B918" s="114" t="n"/>
      <c r="C918" s="114" t="n"/>
      <c r="D918" s="114" t="n"/>
      <c r="E918" s="114" t="n"/>
      <c r="F918" s="114" t="n"/>
      <c r="G918" s="114" t="n"/>
      <c r="H918" s="114" t="n"/>
      <c r="I918" s="114" t="n"/>
      <c r="J918" s="114" t="n"/>
    </row>
    <row r="919" ht="15" customHeight="1" s="68">
      <c r="A919" s="114" t="n"/>
      <c r="B919" s="114" t="n"/>
      <c r="C919" s="114" t="n"/>
      <c r="D919" s="114" t="n"/>
      <c r="E919" s="114" t="n"/>
      <c r="F919" s="114" t="n"/>
      <c r="G919" s="114" t="n"/>
      <c r="H919" s="114" t="n"/>
      <c r="I919" s="114" t="n"/>
      <c r="J919" s="114" t="n"/>
    </row>
    <row r="920" ht="15" customHeight="1" s="68">
      <c r="A920" s="114" t="n"/>
      <c r="B920" s="114" t="n"/>
      <c r="C920" s="114" t="n"/>
      <c r="D920" s="114" t="n"/>
      <c r="E920" s="114" t="n"/>
      <c r="F920" s="114" t="n"/>
      <c r="G920" s="114" t="n"/>
      <c r="H920" s="114" t="n"/>
      <c r="I920" s="114" t="n"/>
      <c r="J920" s="114" t="n"/>
    </row>
    <row r="921" ht="15" customHeight="1" s="68">
      <c r="A921" s="114" t="n"/>
      <c r="B921" s="114" t="n"/>
      <c r="C921" s="114" t="n"/>
      <c r="D921" s="114" t="n"/>
      <c r="E921" s="114" t="n"/>
      <c r="F921" s="114" t="n"/>
      <c r="G921" s="114" t="n"/>
      <c r="H921" s="114" t="n"/>
      <c r="I921" s="114" t="n"/>
      <c r="J921" s="114" t="n"/>
    </row>
    <row r="922" ht="15" customHeight="1" s="68">
      <c r="A922" s="114" t="n"/>
      <c r="B922" s="114" t="n"/>
      <c r="C922" s="114" t="n"/>
      <c r="D922" s="114" t="n"/>
      <c r="E922" s="114" t="n"/>
      <c r="F922" s="114" t="n"/>
      <c r="G922" s="114" t="n"/>
      <c r="H922" s="114" t="n"/>
      <c r="I922" s="114" t="n"/>
      <c r="J922" s="114" t="n"/>
    </row>
    <row r="923" ht="15" customHeight="1" s="68">
      <c r="A923" s="114" t="n"/>
      <c r="B923" s="114" t="n"/>
      <c r="C923" s="114" t="n"/>
      <c r="D923" s="114" t="n"/>
      <c r="E923" s="114" t="n"/>
      <c r="F923" s="114" t="n"/>
      <c r="G923" s="114" t="n"/>
      <c r="H923" s="114" t="n"/>
      <c r="I923" s="114" t="n"/>
      <c r="J923" s="114" t="n"/>
    </row>
    <row r="924" ht="15" customHeight="1" s="68">
      <c r="A924" s="114" t="n"/>
      <c r="B924" s="114" t="n"/>
      <c r="C924" s="114" t="n"/>
      <c r="D924" s="114" t="n"/>
      <c r="E924" s="114" t="n"/>
      <c r="F924" s="114" t="n"/>
      <c r="G924" s="114" t="n"/>
      <c r="H924" s="114" t="n"/>
      <c r="I924" s="114" t="n"/>
      <c r="J924" s="114" t="n"/>
    </row>
    <row r="925" ht="15" customHeight="1" s="68">
      <c r="A925" s="114" t="n"/>
      <c r="B925" s="114" t="n"/>
      <c r="C925" s="114" t="n"/>
      <c r="D925" s="114" t="n"/>
      <c r="E925" s="114" t="n"/>
      <c r="F925" s="114" t="n"/>
      <c r="G925" s="114" t="n"/>
      <c r="H925" s="114" t="n"/>
      <c r="I925" s="114" t="n"/>
      <c r="J925" s="114" t="n"/>
    </row>
    <row r="926" ht="15" customHeight="1" s="68">
      <c r="A926" s="114" t="n"/>
      <c r="B926" s="114" t="n"/>
      <c r="C926" s="114" t="n"/>
      <c r="D926" s="114" t="n"/>
      <c r="E926" s="114" t="n"/>
      <c r="F926" s="114" t="n"/>
      <c r="G926" s="114" t="n"/>
      <c r="H926" s="114" t="n"/>
      <c r="I926" s="114" t="n"/>
      <c r="J926" s="114" t="n"/>
    </row>
    <row r="927" ht="15" customHeight="1" s="68">
      <c r="A927" s="114" t="n"/>
      <c r="B927" s="114" t="n"/>
      <c r="C927" s="114" t="n"/>
      <c r="D927" s="114" t="n"/>
      <c r="E927" s="114" t="n"/>
      <c r="F927" s="114" t="n"/>
      <c r="G927" s="114" t="n"/>
      <c r="H927" s="114" t="n"/>
      <c r="I927" s="114" t="n"/>
      <c r="J927" s="114" t="n"/>
    </row>
    <row r="928" ht="15" customHeight="1" s="68">
      <c r="A928" s="114" t="n"/>
      <c r="B928" s="114" t="n"/>
      <c r="C928" s="114" t="n"/>
      <c r="D928" s="114" t="n"/>
      <c r="E928" s="114" t="n"/>
      <c r="F928" s="114" t="n"/>
      <c r="G928" s="114" t="n"/>
      <c r="H928" s="114" t="n"/>
      <c r="I928" s="114" t="n"/>
      <c r="J928" s="114" t="n"/>
    </row>
    <row r="929" ht="15" customHeight="1" s="68">
      <c r="A929" s="114" t="n"/>
      <c r="B929" s="114" t="n"/>
      <c r="C929" s="114" t="n"/>
      <c r="D929" s="114" t="n"/>
      <c r="E929" s="114" t="n"/>
      <c r="F929" s="114" t="n"/>
      <c r="G929" s="114" t="n"/>
      <c r="H929" s="114" t="n"/>
      <c r="I929" s="114" t="n"/>
      <c r="J929" s="114" t="n"/>
    </row>
    <row r="930" ht="15" customHeight="1" s="68">
      <c r="A930" s="114" t="n"/>
      <c r="B930" s="114" t="n"/>
      <c r="C930" s="114" t="n"/>
      <c r="D930" s="114" t="n"/>
      <c r="E930" s="114" t="n"/>
      <c r="F930" s="114" t="n"/>
      <c r="G930" s="114" t="n"/>
      <c r="H930" s="114" t="n"/>
      <c r="I930" s="114" t="n"/>
      <c r="J930" s="114" t="n"/>
    </row>
    <row r="931" ht="15" customHeight="1" s="68">
      <c r="A931" s="114" t="n"/>
      <c r="B931" s="114" t="n"/>
      <c r="C931" s="114" t="n"/>
      <c r="D931" s="114" t="n"/>
      <c r="E931" s="114" t="n"/>
      <c r="F931" s="114" t="n"/>
      <c r="G931" s="114" t="n"/>
      <c r="H931" s="114" t="n"/>
      <c r="I931" s="114" t="n"/>
      <c r="J931" s="114" t="n"/>
    </row>
    <row r="932" ht="15" customHeight="1" s="68">
      <c r="A932" s="114" t="n"/>
      <c r="B932" s="114" t="n"/>
      <c r="C932" s="114" t="n"/>
      <c r="D932" s="114" t="n"/>
      <c r="E932" s="114" t="n"/>
      <c r="F932" s="114" t="n"/>
      <c r="G932" s="114" t="n"/>
      <c r="H932" s="114" t="n"/>
      <c r="I932" s="114" t="n"/>
      <c r="J932" s="114" t="n"/>
    </row>
    <row r="933" ht="15" customHeight="1" s="68">
      <c r="A933" s="114" t="n"/>
      <c r="B933" s="114" t="n"/>
      <c r="C933" s="114" t="n"/>
      <c r="D933" s="114" t="n"/>
      <c r="E933" s="114" t="n"/>
      <c r="F933" s="114" t="n"/>
      <c r="G933" s="114" t="n"/>
      <c r="H933" s="114" t="n"/>
      <c r="I933" s="114" t="n"/>
      <c r="J933" s="114" t="n"/>
    </row>
    <row r="934" ht="15" customHeight="1" s="68">
      <c r="A934" s="114" t="n"/>
      <c r="B934" s="114" t="n"/>
      <c r="C934" s="114" t="n"/>
      <c r="D934" s="114" t="n"/>
      <c r="E934" s="114" t="n"/>
      <c r="F934" s="114" t="n"/>
      <c r="G934" s="114" t="n"/>
      <c r="H934" s="114" t="n"/>
      <c r="I934" s="114" t="n"/>
      <c r="J934" s="114" t="n"/>
    </row>
    <row r="935" ht="15" customHeight="1" s="68">
      <c r="A935" s="114" t="n"/>
      <c r="B935" s="114" t="n"/>
      <c r="C935" s="114" t="n"/>
      <c r="D935" s="114" t="n"/>
      <c r="E935" s="114" t="n"/>
      <c r="F935" s="114" t="n"/>
      <c r="G935" s="114" t="n"/>
      <c r="H935" s="114" t="n"/>
      <c r="I935" s="114" t="n"/>
      <c r="J935" s="114" t="n"/>
    </row>
    <row r="936" ht="15" customHeight="1" s="68">
      <c r="A936" s="114" t="n"/>
      <c r="B936" s="114" t="n"/>
      <c r="C936" s="114" t="n"/>
      <c r="D936" s="114" t="n"/>
      <c r="E936" s="114" t="n"/>
      <c r="F936" s="114" t="n"/>
      <c r="G936" s="114" t="n"/>
      <c r="H936" s="114" t="n"/>
      <c r="I936" s="114" t="n"/>
      <c r="J936" s="114" t="n"/>
    </row>
    <row r="937" ht="15" customHeight="1" s="68">
      <c r="A937" s="114" t="n"/>
      <c r="B937" s="114" t="n"/>
      <c r="C937" s="114" t="n"/>
      <c r="D937" s="114" t="n"/>
      <c r="E937" s="114" t="n"/>
      <c r="F937" s="114" t="n"/>
      <c r="G937" s="114" t="n"/>
      <c r="H937" s="114" t="n"/>
      <c r="I937" s="114" t="n"/>
      <c r="J937" s="114" t="n"/>
    </row>
    <row r="938" ht="15" customHeight="1" s="68">
      <c r="A938" s="114" t="n"/>
      <c r="B938" s="114" t="n"/>
      <c r="C938" s="114" t="n"/>
      <c r="D938" s="114" t="n"/>
      <c r="E938" s="114" t="n"/>
      <c r="F938" s="114" t="n"/>
      <c r="G938" s="114" t="n"/>
      <c r="H938" s="114" t="n"/>
      <c r="I938" s="114" t="n"/>
      <c r="J938" s="114" t="n"/>
    </row>
    <row r="939" ht="15" customHeight="1" s="68">
      <c r="A939" s="114" t="n"/>
      <c r="B939" s="114" t="n"/>
      <c r="C939" s="114" t="n"/>
      <c r="D939" s="114" t="n"/>
      <c r="E939" s="114" t="n"/>
      <c r="F939" s="114" t="n"/>
      <c r="G939" s="114" t="n"/>
      <c r="H939" s="114" t="n"/>
      <c r="I939" s="114" t="n"/>
      <c r="J939" s="114" t="n"/>
    </row>
    <row r="940" ht="15" customHeight="1" s="68">
      <c r="A940" s="114" t="n"/>
      <c r="B940" s="114" t="n"/>
      <c r="C940" s="114" t="n"/>
      <c r="D940" s="114" t="n"/>
      <c r="E940" s="114" t="n"/>
      <c r="F940" s="114" t="n"/>
      <c r="G940" s="114" t="n"/>
      <c r="H940" s="114" t="n"/>
      <c r="I940" s="114" t="n"/>
      <c r="J940" s="114" t="n"/>
    </row>
    <row r="941" ht="15" customHeight="1" s="68">
      <c r="A941" s="114" t="n"/>
      <c r="B941" s="114" t="n"/>
      <c r="C941" s="114" t="n"/>
      <c r="D941" s="114" t="n"/>
      <c r="E941" s="114" t="n"/>
      <c r="F941" s="114" t="n"/>
      <c r="G941" s="114" t="n"/>
      <c r="H941" s="114" t="n"/>
      <c r="I941" s="114" t="n"/>
      <c r="J941" s="114" t="n"/>
    </row>
    <row r="942" ht="15" customHeight="1" s="68">
      <c r="A942" s="114" t="n"/>
      <c r="B942" s="114" t="n"/>
      <c r="C942" s="114" t="n"/>
      <c r="D942" s="114" t="n"/>
      <c r="E942" s="114" t="n"/>
      <c r="F942" s="114" t="n"/>
      <c r="G942" s="114" t="n"/>
      <c r="H942" s="114" t="n"/>
      <c r="I942" s="114" t="n"/>
      <c r="J942" s="114" t="n"/>
    </row>
    <row r="943" ht="15" customHeight="1" s="68">
      <c r="A943" s="114" t="n"/>
      <c r="B943" s="114" t="n"/>
      <c r="C943" s="114" t="n"/>
      <c r="D943" s="114" t="n"/>
      <c r="E943" s="114" t="n"/>
      <c r="F943" s="114" t="n"/>
      <c r="G943" s="114" t="n"/>
      <c r="H943" s="114" t="n"/>
      <c r="I943" s="114" t="n"/>
      <c r="J943" s="114" t="n"/>
    </row>
    <row r="944" ht="15" customHeight="1" s="68">
      <c r="A944" s="114" t="n"/>
      <c r="B944" s="114" t="n"/>
      <c r="C944" s="114" t="n"/>
      <c r="D944" s="114" t="n"/>
      <c r="E944" s="114" t="n"/>
      <c r="F944" s="114" t="n"/>
      <c r="G944" s="114" t="n"/>
      <c r="H944" s="114" t="n"/>
      <c r="I944" s="114" t="n"/>
      <c r="J944" s="114" t="n"/>
    </row>
    <row r="945" ht="15" customHeight="1" s="68">
      <c r="A945" s="114" t="n"/>
      <c r="B945" s="114" t="n"/>
      <c r="C945" s="114" t="n"/>
      <c r="D945" s="114" t="n"/>
      <c r="E945" s="114" t="n"/>
      <c r="F945" s="114" t="n"/>
      <c r="G945" s="114" t="n"/>
      <c r="H945" s="114" t="n"/>
      <c r="I945" s="114" t="n"/>
      <c r="J945" s="114" t="n"/>
    </row>
    <row r="946" ht="15" customHeight="1" s="68">
      <c r="A946" s="114" t="n"/>
      <c r="B946" s="114" t="n"/>
      <c r="C946" s="114" t="n"/>
      <c r="D946" s="114" t="n"/>
      <c r="E946" s="114" t="n"/>
      <c r="F946" s="114" t="n"/>
      <c r="G946" s="114" t="n"/>
      <c r="H946" s="114" t="n"/>
      <c r="I946" s="114" t="n"/>
      <c r="J946" s="114" t="n"/>
    </row>
    <row r="947" ht="15" customHeight="1" s="68">
      <c r="A947" s="114" t="n"/>
      <c r="B947" s="114" t="n"/>
      <c r="C947" s="114" t="n"/>
      <c r="D947" s="114" t="n"/>
      <c r="E947" s="114" t="n"/>
      <c r="F947" s="114" t="n"/>
      <c r="G947" s="114" t="n"/>
      <c r="H947" s="114" t="n"/>
      <c r="I947" s="114" t="n"/>
      <c r="J947" s="114" t="n"/>
    </row>
    <row r="948" ht="15" customHeight="1" s="68">
      <c r="A948" s="114" t="n"/>
      <c r="B948" s="114" t="n"/>
      <c r="C948" s="114" t="n"/>
      <c r="D948" s="114" t="n"/>
      <c r="E948" s="114" t="n"/>
      <c r="F948" s="114" t="n"/>
      <c r="G948" s="114" t="n"/>
      <c r="H948" s="114" t="n"/>
      <c r="I948" s="114" t="n"/>
      <c r="J948" s="114" t="n"/>
    </row>
    <row r="949" ht="15" customHeight="1" s="68">
      <c r="A949" s="114" t="n"/>
      <c r="B949" s="114" t="n"/>
      <c r="C949" s="114" t="n"/>
      <c r="D949" s="114" t="n"/>
      <c r="E949" s="114" t="n"/>
      <c r="F949" s="114" t="n"/>
      <c r="G949" s="114" t="n"/>
      <c r="H949" s="114" t="n"/>
      <c r="I949" s="114" t="n"/>
      <c r="J949" s="114" t="n"/>
    </row>
    <row r="950" ht="15" customHeight="1" s="68">
      <c r="A950" s="114" t="n"/>
      <c r="B950" s="114" t="n"/>
      <c r="C950" s="114" t="n"/>
      <c r="D950" s="114" t="n"/>
      <c r="E950" s="114" t="n"/>
      <c r="F950" s="114" t="n"/>
      <c r="G950" s="114" t="n"/>
      <c r="H950" s="114" t="n"/>
      <c r="I950" s="114" t="n"/>
      <c r="J950" s="114" t="n"/>
    </row>
    <row r="951" ht="15" customHeight="1" s="68">
      <c r="A951" s="114" t="n"/>
      <c r="B951" s="114" t="n"/>
      <c r="C951" s="114" t="n"/>
      <c r="D951" s="114" t="n"/>
      <c r="E951" s="114" t="n"/>
      <c r="F951" s="114" t="n"/>
      <c r="G951" s="114" t="n"/>
      <c r="H951" s="114" t="n"/>
      <c r="I951" s="114" t="n"/>
      <c r="J951" s="114" t="n"/>
    </row>
    <row r="952" ht="15" customHeight="1" s="68">
      <c r="A952" s="114" t="n"/>
      <c r="B952" s="114" t="n"/>
      <c r="C952" s="114" t="n"/>
      <c r="D952" s="114" t="n"/>
      <c r="E952" s="114" t="n"/>
      <c r="F952" s="114" t="n"/>
      <c r="G952" s="114" t="n"/>
      <c r="H952" s="114" t="n"/>
      <c r="I952" s="114" t="n"/>
      <c r="J952" s="114" t="n"/>
    </row>
    <row r="953" ht="15" customHeight="1" s="68">
      <c r="A953" s="114" t="n"/>
      <c r="B953" s="114" t="n"/>
      <c r="C953" s="114" t="n"/>
      <c r="D953" s="114" t="n"/>
      <c r="E953" s="114" t="n"/>
      <c r="F953" s="114" t="n"/>
      <c r="G953" s="114" t="n"/>
      <c r="H953" s="114" t="n"/>
      <c r="I953" s="114" t="n"/>
      <c r="J953" s="114" t="n"/>
    </row>
    <row r="954" ht="15" customHeight="1" s="68">
      <c r="A954" s="114" t="n"/>
      <c r="B954" s="114" t="n"/>
      <c r="C954" s="114" t="n"/>
      <c r="D954" s="114" t="n"/>
      <c r="E954" s="114" t="n"/>
      <c r="F954" s="114" t="n"/>
      <c r="G954" s="114" t="n"/>
      <c r="H954" s="114" t="n"/>
      <c r="I954" s="114" t="n"/>
      <c r="J954" s="114" t="n"/>
    </row>
    <row r="955" ht="15" customHeight="1" s="68">
      <c r="A955" s="114" t="n"/>
      <c r="B955" s="114" t="n"/>
      <c r="C955" s="114" t="n"/>
      <c r="D955" s="114" t="n"/>
      <c r="E955" s="114" t="n"/>
      <c r="F955" s="114" t="n"/>
      <c r="G955" s="114" t="n"/>
      <c r="H955" s="114" t="n"/>
      <c r="I955" s="114" t="n"/>
      <c r="J955" s="114" t="n"/>
    </row>
    <row r="956" ht="15" customHeight="1" s="68">
      <c r="A956" s="114" t="n"/>
      <c r="B956" s="114" t="n"/>
      <c r="C956" s="114" t="n"/>
      <c r="D956" s="114" t="n"/>
      <c r="E956" s="114" t="n"/>
      <c r="F956" s="114" t="n"/>
      <c r="G956" s="114" t="n"/>
      <c r="H956" s="114" t="n"/>
      <c r="I956" s="114" t="n"/>
      <c r="J956" s="114" t="n"/>
    </row>
    <row r="957" ht="15" customHeight="1" s="68">
      <c r="A957" s="114" t="n"/>
      <c r="B957" s="114" t="n"/>
      <c r="C957" s="114" t="n"/>
      <c r="D957" s="114" t="n"/>
      <c r="E957" s="114" t="n"/>
      <c r="F957" s="114" t="n"/>
      <c r="G957" s="114" t="n"/>
      <c r="H957" s="114" t="n"/>
      <c r="I957" s="114" t="n"/>
      <c r="J957" s="114" t="n"/>
    </row>
    <row r="958" ht="15" customHeight="1" s="68">
      <c r="A958" s="114" t="n"/>
      <c r="B958" s="114" t="n"/>
      <c r="C958" s="114" t="n"/>
      <c r="D958" s="114" t="n"/>
      <c r="E958" s="114" t="n"/>
      <c r="F958" s="114" t="n"/>
      <c r="G958" s="114" t="n"/>
      <c r="H958" s="114" t="n"/>
      <c r="I958" s="114" t="n"/>
      <c r="J958" s="114" t="n"/>
    </row>
    <row r="959" ht="15" customHeight="1" s="68">
      <c r="A959" s="114" t="n"/>
      <c r="B959" s="114" t="n"/>
      <c r="C959" s="114" t="n"/>
      <c r="D959" s="114" t="n"/>
      <c r="E959" s="114" t="n"/>
      <c r="F959" s="114" t="n"/>
      <c r="G959" s="114" t="n"/>
      <c r="H959" s="114" t="n"/>
      <c r="I959" s="114" t="n"/>
      <c r="J959" s="114" t="n"/>
    </row>
    <row r="960" ht="15" customHeight="1" s="68">
      <c r="A960" s="114" t="n"/>
      <c r="B960" s="114" t="n"/>
      <c r="C960" s="114" t="n"/>
      <c r="D960" s="114" t="n"/>
      <c r="E960" s="114" t="n"/>
      <c r="F960" s="114" t="n"/>
      <c r="G960" s="114" t="n"/>
      <c r="H960" s="114" t="n"/>
      <c r="I960" s="114" t="n"/>
      <c r="J960" s="114" t="n"/>
    </row>
    <row r="961" ht="15" customHeight="1" s="68">
      <c r="A961" s="114" t="n"/>
      <c r="B961" s="114" t="n"/>
      <c r="C961" s="114" t="n"/>
      <c r="D961" s="114" t="n"/>
      <c r="E961" s="114" t="n"/>
      <c r="F961" s="114" t="n"/>
      <c r="G961" s="114" t="n"/>
      <c r="H961" s="114" t="n"/>
      <c r="I961" s="114" t="n"/>
      <c r="J961" s="114" t="n"/>
    </row>
    <row r="962" ht="15" customHeight="1" s="68">
      <c r="A962" s="114" t="n"/>
      <c r="B962" s="114" t="n"/>
      <c r="C962" s="114" t="n"/>
      <c r="D962" s="114" t="n"/>
      <c r="E962" s="114" t="n"/>
      <c r="F962" s="114" t="n"/>
      <c r="G962" s="114" t="n"/>
      <c r="H962" s="114" t="n"/>
      <c r="I962" s="114" t="n"/>
      <c r="J962" s="114" t="n"/>
    </row>
    <row r="963" ht="15" customHeight="1" s="68">
      <c r="A963" s="114" t="n"/>
      <c r="B963" s="114" t="n"/>
      <c r="C963" s="114" t="n"/>
      <c r="D963" s="114" t="n"/>
      <c r="E963" s="114" t="n"/>
      <c r="F963" s="114" t="n"/>
      <c r="G963" s="114" t="n"/>
      <c r="H963" s="114" t="n"/>
      <c r="I963" s="114" t="n"/>
      <c r="J963" s="114" t="n"/>
    </row>
    <row r="964" ht="15" customHeight="1" s="68">
      <c r="A964" s="114" t="n"/>
      <c r="B964" s="114" t="n"/>
      <c r="C964" s="114" t="n"/>
      <c r="D964" s="114" t="n"/>
      <c r="E964" s="114" t="n"/>
      <c r="F964" s="114" t="n"/>
      <c r="G964" s="114" t="n"/>
      <c r="H964" s="114" t="n"/>
      <c r="I964" s="114" t="n"/>
      <c r="J964" s="114" t="n"/>
    </row>
    <row r="965" ht="15" customHeight="1" s="68">
      <c r="A965" s="114" t="n"/>
      <c r="B965" s="114" t="n"/>
      <c r="C965" s="114" t="n"/>
      <c r="D965" s="114" t="n"/>
      <c r="E965" s="114" t="n"/>
      <c r="F965" s="114" t="n"/>
      <c r="G965" s="114" t="n"/>
      <c r="H965" s="114" t="n"/>
      <c r="I965" s="114" t="n"/>
      <c r="J965" s="114" t="n"/>
    </row>
    <row r="966" ht="15" customHeight="1" s="68">
      <c r="A966" s="114" t="n"/>
      <c r="B966" s="114" t="n"/>
      <c r="C966" s="114" t="n"/>
      <c r="D966" s="114" t="n"/>
      <c r="E966" s="114" t="n"/>
      <c r="F966" s="114" t="n"/>
      <c r="G966" s="114" t="n"/>
      <c r="H966" s="114" t="n"/>
      <c r="I966" s="114" t="n"/>
      <c r="J966" s="114" t="n"/>
    </row>
    <row r="967" ht="15" customHeight="1" s="68">
      <c r="A967" s="114" t="n"/>
      <c r="B967" s="114" t="n"/>
      <c r="C967" s="114" t="n"/>
      <c r="D967" s="114" t="n"/>
      <c r="E967" s="114" t="n"/>
      <c r="F967" s="114" t="n"/>
      <c r="G967" s="114" t="n"/>
      <c r="H967" s="114" t="n"/>
      <c r="I967" s="114" t="n"/>
      <c r="J967" s="114" t="n"/>
    </row>
    <row r="968" ht="15" customHeight="1" s="68">
      <c r="A968" s="114" t="n"/>
      <c r="B968" s="114" t="n"/>
      <c r="C968" s="114" t="n"/>
      <c r="D968" s="114" t="n"/>
      <c r="E968" s="114" t="n"/>
      <c r="F968" s="114" t="n"/>
      <c r="G968" s="114" t="n"/>
      <c r="H968" s="114" t="n"/>
      <c r="I968" s="114" t="n"/>
      <c r="J968" s="114" t="n"/>
    </row>
    <row r="969" ht="15" customHeight="1" s="68">
      <c r="A969" s="114" t="n"/>
      <c r="B969" s="114" t="n"/>
      <c r="C969" s="114" t="n"/>
      <c r="D969" s="114" t="n"/>
      <c r="E969" s="114" t="n"/>
      <c r="F969" s="114" t="n"/>
      <c r="G969" s="114" t="n"/>
      <c r="H969" s="114" t="n"/>
      <c r="I969" s="114" t="n"/>
      <c r="J969" s="114" t="n"/>
    </row>
    <row r="970" ht="15" customHeight="1" s="68">
      <c r="A970" s="114" t="n"/>
      <c r="B970" s="114" t="n"/>
      <c r="C970" s="114" t="n"/>
      <c r="D970" s="114" t="n"/>
      <c r="E970" s="114" t="n"/>
      <c r="F970" s="114" t="n"/>
      <c r="G970" s="114" t="n"/>
      <c r="H970" s="114" t="n"/>
      <c r="I970" s="114" t="n"/>
      <c r="J970" s="114" t="n"/>
    </row>
    <row r="971" ht="15" customHeight="1" s="68">
      <c r="A971" s="114" t="n"/>
      <c r="B971" s="114" t="n"/>
      <c r="C971" s="114" t="n"/>
      <c r="D971" s="114" t="n"/>
      <c r="E971" s="114" t="n"/>
      <c r="F971" s="114" t="n"/>
      <c r="G971" s="114" t="n"/>
      <c r="H971" s="114" t="n"/>
      <c r="I971" s="114" t="n"/>
      <c r="J971" s="114" t="n"/>
    </row>
    <row r="972" ht="15" customHeight="1" s="68">
      <c r="A972" s="114" t="n"/>
      <c r="B972" s="114" t="n"/>
      <c r="C972" s="114" t="n"/>
      <c r="D972" s="114" t="n"/>
      <c r="E972" s="114" t="n"/>
      <c r="F972" s="114" t="n"/>
      <c r="G972" s="114" t="n"/>
      <c r="H972" s="114" t="n"/>
      <c r="I972" s="114" t="n"/>
      <c r="J972" s="114" t="n"/>
    </row>
    <row r="973" ht="15" customHeight="1" s="68">
      <c r="A973" s="114" t="n"/>
      <c r="B973" s="114" t="n"/>
      <c r="C973" s="114" t="n"/>
      <c r="D973" s="114" t="n"/>
      <c r="E973" s="114" t="n"/>
      <c r="F973" s="114" t="n"/>
      <c r="G973" s="114" t="n"/>
      <c r="H973" s="114" t="n"/>
      <c r="I973" s="114" t="n"/>
      <c r="J973" s="114" t="n"/>
    </row>
    <row r="974" ht="15" customHeight="1" s="68">
      <c r="A974" s="114" t="n"/>
      <c r="B974" s="114" t="n"/>
      <c r="C974" s="114" t="n"/>
      <c r="D974" s="114" t="n"/>
      <c r="E974" s="114" t="n"/>
      <c r="F974" s="114" t="n"/>
      <c r="G974" s="114" t="n"/>
      <c r="H974" s="114" t="n"/>
      <c r="I974" s="114" t="n"/>
      <c r="J974" s="114" t="n"/>
    </row>
    <row r="975" ht="15" customHeight="1" s="68">
      <c r="A975" s="114" t="n"/>
      <c r="B975" s="114" t="n"/>
      <c r="C975" s="114" t="n"/>
      <c r="D975" s="114" t="n"/>
      <c r="E975" s="114" t="n"/>
      <c r="F975" s="114" t="n"/>
      <c r="G975" s="114" t="n"/>
      <c r="H975" s="114" t="n"/>
      <c r="I975" s="114" t="n"/>
      <c r="J975" s="114" t="n"/>
    </row>
    <row r="976" ht="15" customHeight="1" s="68">
      <c r="A976" s="114" t="n"/>
      <c r="B976" s="114" t="n"/>
      <c r="C976" s="114" t="n"/>
      <c r="D976" s="114" t="n"/>
      <c r="E976" s="114" t="n"/>
      <c r="F976" s="114" t="n"/>
      <c r="G976" s="114" t="n"/>
      <c r="H976" s="114" t="n"/>
      <c r="I976" s="114" t="n"/>
      <c r="J976" s="114" t="n"/>
    </row>
    <row r="977" ht="15" customHeight="1" s="68">
      <c r="A977" s="114" t="n"/>
      <c r="B977" s="114" t="n"/>
      <c r="C977" s="114" t="n"/>
      <c r="D977" s="114" t="n"/>
      <c r="E977" s="114" t="n"/>
      <c r="F977" s="114" t="n"/>
      <c r="G977" s="114" t="n"/>
      <c r="H977" s="114" t="n"/>
      <c r="I977" s="114" t="n"/>
      <c r="J977" s="114" t="n"/>
    </row>
    <row r="978" ht="15" customHeight="1" s="68">
      <c r="A978" s="114" t="n"/>
      <c r="B978" s="114" t="n"/>
      <c r="C978" s="114" t="n"/>
      <c r="D978" s="114" t="n"/>
      <c r="E978" s="114" t="n"/>
      <c r="F978" s="114" t="n"/>
      <c r="G978" s="114" t="n"/>
      <c r="H978" s="114" t="n"/>
      <c r="I978" s="114" t="n"/>
      <c r="J978" s="114" t="n"/>
    </row>
    <row r="979" ht="15" customHeight="1" s="68">
      <c r="A979" s="114" t="n"/>
      <c r="B979" s="114" t="n"/>
      <c r="C979" s="114" t="n"/>
      <c r="D979" s="114" t="n"/>
      <c r="E979" s="114" t="n"/>
      <c r="F979" s="114" t="n"/>
      <c r="G979" s="114" t="n"/>
      <c r="H979" s="114" t="n"/>
      <c r="I979" s="114" t="n"/>
      <c r="J979" s="114" t="n"/>
    </row>
    <row r="980" ht="15" customHeight="1" s="68">
      <c r="A980" s="114" t="n"/>
      <c r="B980" s="114" t="n"/>
      <c r="C980" s="114" t="n"/>
      <c r="D980" s="114" t="n"/>
      <c r="E980" s="114" t="n"/>
      <c r="F980" s="114" t="n"/>
      <c r="G980" s="114" t="n"/>
      <c r="H980" s="114" t="n"/>
      <c r="I980" s="114" t="n"/>
      <c r="J980" s="114" t="n"/>
    </row>
    <row r="981" ht="15" customHeight="1" s="68">
      <c r="A981" s="114" t="n"/>
      <c r="B981" s="114" t="n"/>
      <c r="C981" s="114" t="n"/>
      <c r="D981" s="114" t="n"/>
      <c r="E981" s="114" t="n"/>
      <c r="F981" s="114" t="n"/>
      <c r="G981" s="114" t="n"/>
      <c r="H981" s="114" t="n"/>
      <c r="I981" s="114" t="n"/>
      <c r="J981" s="114" t="n"/>
    </row>
    <row r="982" ht="15" customHeight="1" s="68">
      <c r="A982" s="114" t="n"/>
      <c r="B982" s="114" t="n"/>
      <c r="C982" s="114" t="n"/>
      <c r="D982" s="114" t="n"/>
      <c r="E982" s="114" t="n"/>
      <c r="F982" s="114" t="n"/>
      <c r="G982" s="114" t="n"/>
      <c r="H982" s="114" t="n"/>
      <c r="I982" s="114" t="n"/>
      <c r="J982" s="114" t="n"/>
    </row>
    <row r="983" ht="15" customHeight="1" s="68">
      <c r="A983" s="114" t="n"/>
      <c r="B983" s="114" t="n"/>
      <c r="C983" s="114" t="n"/>
      <c r="D983" s="114" t="n"/>
      <c r="E983" s="114" t="n"/>
      <c r="F983" s="114" t="n"/>
      <c r="G983" s="114" t="n"/>
      <c r="H983" s="114" t="n"/>
      <c r="I983" s="114" t="n"/>
      <c r="J983" s="114" t="n"/>
    </row>
    <row r="984" ht="15" customHeight="1" s="68">
      <c r="A984" s="114" t="n"/>
      <c r="B984" s="114" t="n"/>
      <c r="C984" s="114" t="n"/>
      <c r="D984" s="114" t="n"/>
      <c r="E984" s="114" t="n"/>
      <c r="F984" s="114" t="n"/>
      <c r="G984" s="114" t="n"/>
      <c r="H984" s="114" t="n"/>
      <c r="I984" s="114" t="n"/>
      <c r="J984" s="114" t="n"/>
    </row>
    <row r="985" ht="15" customHeight="1" s="68">
      <c r="A985" s="114" t="n"/>
      <c r="B985" s="114" t="n"/>
      <c r="C985" s="114" t="n"/>
      <c r="D985" s="114" t="n"/>
      <c r="E985" s="114" t="n"/>
      <c r="F985" s="114" t="n"/>
      <c r="G985" s="114" t="n"/>
      <c r="H985" s="114" t="n"/>
      <c r="I985" s="114" t="n"/>
      <c r="J985" s="114" t="n"/>
    </row>
    <row r="986" ht="15" customHeight="1" s="68">
      <c r="A986" s="114" t="n"/>
      <c r="B986" s="114" t="n"/>
      <c r="C986" s="114" t="n"/>
      <c r="D986" s="114" t="n"/>
      <c r="E986" s="114" t="n"/>
      <c r="F986" s="114" t="n"/>
      <c r="G986" s="114" t="n"/>
      <c r="H986" s="114" t="n"/>
      <c r="I986" s="114" t="n"/>
      <c r="J986" s="114" t="n"/>
    </row>
    <row r="987" ht="15" customHeight="1" s="68">
      <c r="A987" s="114" t="n"/>
      <c r="B987" s="114" t="n"/>
      <c r="C987" s="114" t="n"/>
      <c r="D987" s="114" t="n"/>
      <c r="E987" s="114" t="n"/>
      <c r="F987" s="114" t="n"/>
      <c r="G987" s="114" t="n"/>
      <c r="H987" s="114" t="n"/>
      <c r="I987" s="114" t="n"/>
      <c r="J987" s="114" t="n"/>
    </row>
    <row r="988" ht="15" customHeight="1" s="68">
      <c r="A988" s="114" t="n"/>
      <c r="B988" s="114" t="n"/>
      <c r="C988" s="114" t="n"/>
      <c r="D988" s="114" t="n"/>
      <c r="E988" s="114" t="n"/>
      <c r="F988" s="114" t="n"/>
      <c r="G988" s="114" t="n"/>
      <c r="H988" s="114" t="n"/>
      <c r="I988" s="114" t="n"/>
      <c r="J988" s="114" t="n"/>
    </row>
    <row r="989" ht="15" customHeight="1" s="68">
      <c r="A989" s="114" t="n"/>
      <c r="B989" s="114" t="n"/>
      <c r="C989" s="114" t="n"/>
      <c r="D989" s="114" t="n"/>
      <c r="E989" s="114" t="n"/>
      <c r="F989" s="114" t="n"/>
      <c r="G989" s="114" t="n"/>
      <c r="H989" s="114" t="n"/>
      <c r="I989" s="114" t="n"/>
      <c r="J989" s="114" t="n"/>
    </row>
    <row r="990" ht="15" customHeight="1" s="68">
      <c r="A990" s="114" t="n"/>
      <c r="B990" s="114" t="n"/>
      <c r="C990" s="114" t="n"/>
      <c r="D990" s="114" t="n"/>
      <c r="E990" s="114" t="n"/>
      <c r="F990" s="114" t="n"/>
      <c r="G990" s="114" t="n"/>
      <c r="H990" s="114" t="n"/>
      <c r="I990" s="114" t="n"/>
      <c r="J990" s="114" t="n"/>
    </row>
    <row r="991" ht="15" customHeight="1" s="68">
      <c r="A991" s="114" t="n"/>
      <c r="B991" s="114" t="n"/>
      <c r="C991" s="114" t="n"/>
      <c r="D991" s="114" t="n"/>
      <c r="E991" s="114" t="n"/>
      <c r="F991" s="114" t="n"/>
      <c r="G991" s="114" t="n"/>
      <c r="H991" s="114" t="n"/>
      <c r="I991" s="114" t="n"/>
      <c r="J991" s="114" t="n"/>
    </row>
    <row r="992" ht="15" customHeight="1" s="68">
      <c r="A992" s="114" t="n"/>
      <c r="B992" s="114" t="n"/>
      <c r="C992" s="114" t="n"/>
      <c r="D992" s="114" t="n"/>
      <c r="E992" s="114" t="n"/>
      <c r="F992" s="114" t="n"/>
      <c r="G992" s="114" t="n"/>
      <c r="H992" s="114" t="n"/>
      <c r="I992" s="114" t="n"/>
      <c r="J992" s="114" t="n"/>
    </row>
    <row r="993" ht="15" customHeight="1" s="68">
      <c r="A993" s="114" t="n"/>
      <c r="B993" s="114" t="n"/>
      <c r="C993" s="114" t="n"/>
      <c r="D993" s="114" t="n"/>
      <c r="E993" s="114" t="n"/>
      <c r="F993" s="114" t="n"/>
      <c r="G993" s="114" t="n"/>
      <c r="H993" s="114" t="n"/>
      <c r="I993" s="114" t="n"/>
      <c r="J993" s="114" t="n"/>
    </row>
    <row r="994" ht="15" customHeight="1" s="68">
      <c r="A994" s="114" t="n"/>
      <c r="B994" s="114" t="n"/>
      <c r="C994" s="114" t="n"/>
      <c r="D994" s="114" t="n"/>
      <c r="E994" s="114" t="n"/>
      <c r="F994" s="114" t="n"/>
      <c r="G994" s="114" t="n"/>
      <c r="H994" s="114" t="n"/>
      <c r="I994" s="114" t="n"/>
      <c r="J994" s="114" t="n"/>
    </row>
    <row r="995" ht="15" customHeight="1" s="68">
      <c r="A995" s="114" t="n"/>
      <c r="B995" s="114" t="n"/>
      <c r="C995" s="114" t="n"/>
      <c r="D995" s="114" t="n"/>
      <c r="E995" s="114" t="n"/>
      <c r="F995" s="114" t="n"/>
      <c r="G995" s="114" t="n"/>
      <c r="H995" s="114" t="n"/>
      <c r="I995" s="114" t="n"/>
      <c r="J995" s="114" t="n"/>
    </row>
    <row r="996" ht="15" customHeight="1" s="68">
      <c r="A996" s="114" t="n"/>
      <c r="B996" s="114" t="n"/>
      <c r="C996" s="114" t="n"/>
      <c r="D996" s="114" t="n"/>
      <c r="E996" s="114" t="n"/>
      <c r="F996" s="114" t="n"/>
      <c r="G996" s="114" t="n"/>
      <c r="H996" s="114" t="n"/>
      <c r="I996" s="114" t="n"/>
      <c r="J996" s="114" t="n"/>
    </row>
    <row r="997" ht="15" customHeight="1" s="68">
      <c r="A997" s="114" t="n"/>
      <c r="B997" s="114" t="n"/>
      <c r="C997" s="114" t="n"/>
      <c r="D997" s="114" t="n"/>
      <c r="E997" s="114" t="n"/>
      <c r="F997" s="114" t="n"/>
      <c r="G997" s="114" t="n"/>
      <c r="H997" s="114" t="n"/>
      <c r="I997" s="114" t="n"/>
      <c r="J997" s="114" t="n"/>
    </row>
    <row r="998" ht="15" customHeight="1" s="68">
      <c r="A998" s="114" t="n"/>
      <c r="B998" s="114" t="n"/>
      <c r="C998" s="114" t="n"/>
      <c r="D998" s="114" t="n"/>
      <c r="E998" s="114" t="n"/>
      <c r="F998" s="114" t="n"/>
      <c r="G998" s="114" t="n"/>
      <c r="H998" s="114" t="n"/>
      <c r="I998" s="114" t="n"/>
      <c r="J998" s="114" t="n"/>
    </row>
    <row r="999" ht="15" customHeight="1" s="68">
      <c r="A999" s="114" t="n"/>
      <c r="B999" s="114" t="n"/>
      <c r="C999" s="114" t="n"/>
      <c r="D999" s="114" t="n"/>
      <c r="E999" s="114" t="n"/>
      <c r="F999" s="114" t="n"/>
      <c r="G999" s="114" t="n"/>
      <c r="H999" s="114" t="n"/>
      <c r="I999" s="114" t="n"/>
      <c r="J999" s="114" t="n"/>
    </row>
    <row r="1000" ht="15" customHeight="1" s="68">
      <c r="A1000" s="114" t="n"/>
      <c r="B1000" s="114" t="n"/>
      <c r="C1000" s="114" t="n"/>
      <c r="D1000" s="114" t="n"/>
      <c r="E1000" s="114" t="n"/>
      <c r="F1000" s="114" t="n"/>
      <c r="G1000" s="114" t="n"/>
      <c r="H1000" s="114" t="n"/>
      <c r="I1000" s="114" t="n"/>
      <c r="J1000" s="114" t="n"/>
    </row>
    <row r="1001" ht="15" customHeight="1" s="68">
      <c r="A1001" s="114" t="n"/>
      <c r="B1001" s="114" t="n"/>
      <c r="C1001" s="114" t="n"/>
      <c r="D1001" s="114" t="n"/>
      <c r="E1001" s="114" t="n"/>
      <c r="F1001" s="114" t="n"/>
      <c r="G1001" s="114" t="n"/>
      <c r="H1001" s="114" t="n"/>
      <c r="I1001" s="114" t="n"/>
      <c r="J1001" s="114" t="n"/>
    </row>
    <row r="1002" ht="15" customHeight="1" s="68">
      <c r="A1002" s="114" t="n"/>
      <c r="B1002" s="114" t="n"/>
      <c r="C1002" s="114" t="n"/>
      <c r="D1002" s="114" t="n"/>
      <c r="E1002" s="114" t="n"/>
      <c r="F1002" s="114" t="n"/>
      <c r="G1002" s="114" t="n"/>
      <c r="H1002" s="114" t="n"/>
      <c r="I1002" s="114" t="n"/>
      <c r="J1002" s="114" t="n"/>
    </row>
    <row r="1003" ht="15" customHeight="1" s="68">
      <c r="A1003" s="114" t="n"/>
      <c r="B1003" s="114" t="n"/>
      <c r="C1003" s="114" t="n"/>
      <c r="D1003" s="114" t="n"/>
      <c r="E1003" s="114" t="n"/>
      <c r="F1003" s="114" t="n"/>
      <c r="G1003" s="114" t="n"/>
      <c r="H1003" s="114" t="n"/>
      <c r="I1003" s="114" t="n"/>
      <c r="J1003" s="114" t="n"/>
    </row>
    <row r="1004" ht="15" customHeight="1" s="68">
      <c r="A1004" s="114" t="n"/>
      <c r="B1004" s="114" t="n"/>
      <c r="C1004" s="114" t="n"/>
      <c r="D1004" s="114" t="n"/>
      <c r="E1004" s="114" t="n"/>
      <c r="F1004" s="114" t="n"/>
      <c r="G1004" s="114" t="n"/>
      <c r="H1004" s="114" t="n"/>
      <c r="I1004" s="114" t="n"/>
      <c r="J1004" s="114" t="n"/>
    </row>
    <row r="1005" ht="15" customHeight="1" s="68">
      <c r="A1005" s="114" t="n"/>
      <c r="B1005" s="114" t="n"/>
      <c r="C1005" s="114" t="n"/>
      <c r="D1005" s="114" t="n"/>
      <c r="E1005" s="114" t="n"/>
      <c r="F1005" s="114" t="n"/>
      <c r="G1005" s="114" t="n"/>
      <c r="H1005" s="114" t="n"/>
      <c r="I1005" s="114" t="n"/>
      <c r="J1005" s="114" t="n"/>
    </row>
    <row r="1006" ht="15" customHeight="1" s="68">
      <c r="A1006" s="114" t="n"/>
      <c r="B1006" s="114" t="n"/>
      <c r="C1006" s="114" t="n"/>
      <c r="D1006" s="114" t="n"/>
      <c r="E1006" s="114" t="n"/>
      <c r="F1006" s="114" t="n"/>
      <c r="G1006" s="114" t="n"/>
      <c r="H1006" s="114" t="n"/>
      <c r="I1006" s="114" t="n"/>
      <c r="J1006" s="114" t="n"/>
    </row>
    <row r="1007" ht="15" customHeight="1" s="68">
      <c r="A1007" s="114" t="n"/>
      <c r="B1007" s="114" t="n"/>
      <c r="C1007" s="114" t="n"/>
      <c r="D1007" s="114" t="n"/>
      <c r="E1007" s="114" t="n"/>
      <c r="F1007" s="114" t="n"/>
      <c r="G1007" s="114" t="n"/>
      <c r="H1007" s="114" t="n"/>
      <c r="I1007" s="114" t="n"/>
      <c r="J1007" s="114" t="n"/>
    </row>
    <row r="1008" ht="15" customHeight="1" s="68">
      <c r="A1008" s="114" t="n"/>
      <c r="B1008" s="114" t="n"/>
      <c r="C1008" s="114" t="n"/>
      <c r="D1008" s="114" t="n"/>
      <c r="E1008" s="114" t="n"/>
      <c r="F1008" s="114" t="n"/>
      <c r="G1008" s="114" t="n"/>
      <c r="H1008" s="114" t="n"/>
      <c r="I1008" s="114" t="n"/>
      <c r="J1008" s="114" t="n"/>
    </row>
    <row r="1009" ht="15" customHeight="1" s="68">
      <c r="A1009" s="114" t="n"/>
      <c r="B1009" s="114" t="n"/>
      <c r="C1009" s="114" t="n"/>
      <c r="D1009" s="114" t="n"/>
      <c r="E1009" s="114" t="n"/>
      <c r="F1009" s="114" t="n"/>
      <c r="G1009" s="114" t="n"/>
      <c r="H1009" s="114" t="n"/>
      <c r="I1009" s="114" t="n"/>
      <c r="J1009" s="114" t="n"/>
    </row>
    <row r="1010" ht="15" customHeight="1" s="68">
      <c r="A1010" s="114" t="n"/>
      <c r="B1010" s="114" t="n"/>
      <c r="C1010" s="114" t="n"/>
      <c r="D1010" s="114" t="n"/>
      <c r="E1010" s="114" t="n"/>
      <c r="F1010" s="114" t="n"/>
      <c r="G1010" s="114" t="n"/>
      <c r="H1010" s="114" t="n"/>
      <c r="I1010" s="114" t="n"/>
      <c r="J1010" s="114" t="n"/>
    </row>
    <row r="1011" ht="15" customHeight="1" s="68">
      <c r="A1011" s="114" t="n"/>
      <c r="B1011" s="114" t="n"/>
      <c r="C1011" s="114" t="n"/>
      <c r="D1011" s="114" t="n"/>
      <c r="E1011" s="114" t="n"/>
      <c r="F1011" s="114" t="n"/>
      <c r="G1011" s="114" t="n"/>
      <c r="H1011" s="114" t="n"/>
      <c r="I1011" s="114" t="n"/>
      <c r="J1011" s="114" t="n"/>
    </row>
    <row r="1012" ht="15" customHeight="1" s="68">
      <c r="A1012" s="114" t="n"/>
      <c r="B1012" s="114" t="n"/>
      <c r="C1012" s="114" t="n"/>
      <c r="D1012" s="114" t="n"/>
      <c r="E1012" s="114" t="n"/>
      <c r="F1012" s="114" t="n"/>
      <c r="G1012" s="114" t="n"/>
      <c r="H1012" s="114" t="n"/>
      <c r="I1012" s="114" t="n"/>
      <c r="J1012" s="114" t="n"/>
    </row>
    <row r="1013" ht="15" customHeight="1" s="68">
      <c r="A1013" s="114" t="n"/>
      <c r="B1013" s="114" t="n"/>
      <c r="C1013" s="114" t="n"/>
      <c r="D1013" s="114" t="n"/>
      <c r="E1013" s="114" t="n"/>
      <c r="F1013" s="114" t="n"/>
      <c r="G1013" s="114" t="n"/>
      <c r="H1013" s="114" t="n"/>
      <c r="I1013" s="114" t="n"/>
      <c r="J1013" s="114" t="n"/>
    </row>
    <row r="1014" ht="15" customHeight="1" s="68">
      <c r="A1014" s="114" t="n"/>
      <c r="B1014" s="114" t="n"/>
      <c r="C1014" s="114" t="n"/>
      <c r="D1014" s="114" t="n"/>
      <c r="E1014" s="114" t="n"/>
      <c r="F1014" s="114" t="n"/>
      <c r="G1014" s="114" t="n"/>
      <c r="H1014" s="114" t="n"/>
      <c r="I1014" s="114" t="n"/>
      <c r="J1014" s="114" t="n"/>
    </row>
    <row r="1015" ht="15" customHeight="1" s="68">
      <c r="A1015" s="114" t="n"/>
      <c r="B1015" s="114" t="n"/>
      <c r="C1015" s="114" t="n"/>
      <c r="D1015" s="114" t="n"/>
      <c r="E1015" s="114" t="n"/>
      <c r="F1015" s="114" t="n"/>
      <c r="G1015" s="114" t="n"/>
      <c r="H1015" s="114" t="n"/>
      <c r="I1015" s="114" t="n"/>
      <c r="J1015" s="114" t="n"/>
    </row>
    <row r="1016" ht="15" customHeight="1" s="68">
      <c r="A1016" s="114" t="n"/>
      <c r="B1016" s="114" t="n"/>
      <c r="C1016" s="114" t="n"/>
      <c r="D1016" s="114" t="n"/>
      <c r="E1016" s="114" t="n"/>
      <c r="F1016" s="114" t="n"/>
      <c r="G1016" s="114" t="n"/>
      <c r="H1016" s="114" t="n"/>
      <c r="I1016" s="114" t="n"/>
      <c r="J1016" s="114" t="n"/>
    </row>
    <row r="1017" ht="15" customHeight="1" s="68">
      <c r="A1017" s="114" t="n"/>
      <c r="B1017" s="114" t="n"/>
      <c r="C1017" s="114" t="n"/>
      <c r="D1017" s="114" t="n"/>
      <c r="E1017" s="114" t="n"/>
      <c r="F1017" s="114" t="n"/>
      <c r="G1017" s="114" t="n"/>
      <c r="H1017" s="114" t="n"/>
      <c r="I1017" s="114" t="n"/>
      <c r="J1017" s="114" t="n"/>
    </row>
    <row r="1018" ht="15" customHeight="1" s="68">
      <c r="A1018" s="114" t="n"/>
      <c r="B1018" s="114" t="n"/>
      <c r="C1018" s="114" t="n"/>
      <c r="D1018" s="114" t="n"/>
      <c r="E1018" s="114" t="n"/>
      <c r="F1018" s="114" t="n"/>
      <c r="G1018" s="114" t="n"/>
      <c r="H1018" s="114" t="n"/>
      <c r="I1018" s="114" t="n"/>
      <c r="J1018" s="114" t="n"/>
    </row>
    <row r="1019" ht="15" customHeight="1" s="68">
      <c r="A1019" s="114" t="n"/>
      <c r="B1019" s="114" t="n"/>
      <c r="C1019" s="114" t="n"/>
      <c r="D1019" s="114" t="n"/>
      <c r="E1019" s="114" t="n"/>
      <c r="F1019" s="114" t="n"/>
      <c r="G1019" s="114" t="n"/>
      <c r="H1019" s="114" t="n"/>
      <c r="I1019" s="114" t="n"/>
      <c r="J1019" s="114" t="n"/>
    </row>
    <row r="1020" ht="15" customHeight="1" s="68">
      <c r="A1020" s="114" t="n"/>
      <c r="B1020" s="114" t="n"/>
      <c r="C1020" s="114" t="n"/>
      <c r="D1020" s="114" t="n"/>
      <c r="E1020" s="114" t="n"/>
      <c r="F1020" s="114" t="n"/>
      <c r="G1020" s="114" t="n"/>
      <c r="H1020" s="114" t="n"/>
      <c r="I1020" s="114" t="n"/>
      <c r="J1020" s="114" t="n"/>
    </row>
    <row r="1021" ht="15" customHeight="1" s="68">
      <c r="A1021" s="114" t="n"/>
      <c r="B1021" s="114" t="n"/>
      <c r="C1021" s="114" t="n"/>
      <c r="D1021" s="114" t="n"/>
      <c r="E1021" s="114" t="n"/>
      <c r="F1021" s="114" t="n"/>
      <c r="G1021" s="114" t="n"/>
      <c r="H1021" s="114" t="n"/>
      <c r="I1021" s="114" t="n"/>
      <c r="J1021" s="114" t="n"/>
    </row>
    <row r="1022" ht="15" customHeight="1" s="68">
      <c r="A1022" s="114" t="n"/>
      <c r="B1022" s="114" t="n"/>
      <c r="C1022" s="114" t="n"/>
      <c r="D1022" s="114" t="n"/>
      <c r="E1022" s="114" t="n"/>
      <c r="F1022" s="114" t="n"/>
      <c r="G1022" s="114" t="n"/>
      <c r="H1022" s="114" t="n"/>
      <c r="I1022" s="114" t="n"/>
      <c r="J1022" s="114" t="n"/>
    </row>
    <row r="1023" ht="15" customHeight="1" s="68">
      <c r="A1023" s="114" t="n"/>
      <c r="B1023" s="114" t="n"/>
      <c r="C1023" s="114" t="n"/>
      <c r="D1023" s="114" t="n"/>
      <c r="E1023" s="114" t="n"/>
      <c r="F1023" s="114" t="n"/>
      <c r="G1023" s="114" t="n"/>
      <c r="H1023" s="114" t="n"/>
      <c r="I1023" s="114" t="n"/>
      <c r="J1023" s="114" t="n"/>
    </row>
    <row r="1024" ht="15" customHeight="1" s="68">
      <c r="A1024" s="114" t="n"/>
      <c r="B1024" s="114" t="n"/>
      <c r="C1024" s="114" t="n"/>
      <c r="D1024" s="114" t="n"/>
      <c r="E1024" s="114" t="n"/>
      <c r="F1024" s="114" t="n"/>
      <c r="G1024" s="114" t="n"/>
      <c r="H1024" s="114" t="n"/>
      <c r="I1024" s="114" t="n"/>
      <c r="J1024" s="114" t="n"/>
    </row>
    <row r="1025" ht="15" customHeight="1" s="68">
      <c r="A1025" s="114" t="n"/>
      <c r="B1025" s="114" t="n"/>
      <c r="C1025" s="114" t="n"/>
      <c r="D1025" s="114" t="n"/>
      <c r="E1025" s="114" t="n"/>
      <c r="F1025" s="114" t="n"/>
      <c r="G1025" s="114" t="n"/>
      <c r="H1025" s="114" t="n"/>
      <c r="I1025" s="114" t="n"/>
      <c r="J1025" s="114" t="n"/>
    </row>
    <row r="1026" ht="15" customHeight="1" s="68">
      <c r="A1026" s="114" t="n"/>
      <c r="B1026" s="114" t="n"/>
      <c r="C1026" s="114" t="n"/>
      <c r="D1026" s="114" t="n"/>
      <c r="E1026" s="114" t="n"/>
      <c r="F1026" s="114" t="n"/>
      <c r="G1026" s="114" t="n"/>
      <c r="H1026" s="114" t="n"/>
      <c r="I1026" s="114" t="n"/>
      <c r="J1026" s="114" t="n"/>
    </row>
    <row r="1027" ht="15" customHeight="1" s="68">
      <c r="A1027" s="114" t="n"/>
      <c r="B1027" s="114" t="n"/>
      <c r="C1027" s="114" t="n"/>
      <c r="D1027" s="114" t="n"/>
      <c r="E1027" s="114" t="n"/>
      <c r="F1027" s="114" t="n"/>
      <c r="G1027" s="114" t="n"/>
      <c r="H1027" s="114" t="n"/>
      <c r="I1027" s="114" t="n"/>
      <c r="J1027" s="114" t="n"/>
    </row>
    <row r="1028" ht="15" customHeight="1" s="68">
      <c r="A1028" s="114" t="n"/>
      <c r="B1028" s="114" t="n"/>
      <c r="C1028" s="114" t="n"/>
      <c r="D1028" s="114" t="n"/>
      <c r="E1028" s="114" t="n"/>
      <c r="F1028" s="114" t="n"/>
      <c r="G1028" s="114" t="n"/>
      <c r="H1028" s="114" t="n"/>
      <c r="I1028" s="114" t="n"/>
      <c r="J1028" s="114" t="n"/>
    </row>
    <row r="1029" ht="15" customHeight="1" s="68">
      <c r="A1029" s="114" t="n"/>
      <c r="B1029" s="114" t="n"/>
      <c r="C1029" s="114" t="n"/>
      <c r="D1029" s="114" t="n"/>
      <c r="E1029" s="114" t="n"/>
      <c r="F1029" s="114" t="n"/>
      <c r="G1029" s="114" t="n"/>
      <c r="H1029" s="114" t="n"/>
      <c r="I1029" s="114" t="n"/>
      <c r="J1029" s="114" t="n"/>
    </row>
    <row r="1030" ht="15" customHeight="1" s="68">
      <c r="A1030" s="114" t="n"/>
      <c r="B1030" s="114" t="n"/>
      <c r="C1030" s="114" t="n"/>
      <c r="D1030" s="114" t="n"/>
      <c r="E1030" s="114" t="n"/>
      <c r="F1030" s="114" t="n"/>
      <c r="G1030" s="114" t="n"/>
      <c r="H1030" s="114" t="n"/>
      <c r="I1030" s="114" t="n"/>
      <c r="J1030" s="114" t="n"/>
    </row>
    <row r="1031" ht="15" customHeight="1" s="68">
      <c r="A1031" s="114" t="n"/>
      <c r="B1031" s="114" t="n"/>
      <c r="C1031" s="114" t="n"/>
      <c r="D1031" s="114" t="n"/>
      <c r="E1031" s="114" t="n"/>
      <c r="F1031" s="114" t="n"/>
      <c r="G1031" s="114" t="n"/>
      <c r="H1031" s="114" t="n"/>
      <c r="I1031" s="114" t="n"/>
      <c r="J1031" s="114" t="n"/>
    </row>
    <row r="1032" ht="15" customHeight="1" s="68">
      <c r="A1032" s="114" t="n"/>
      <c r="B1032" s="114" t="n"/>
      <c r="C1032" s="114" t="n"/>
      <c r="D1032" s="114" t="n"/>
      <c r="E1032" s="114" t="n"/>
      <c r="F1032" s="114" t="n"/>
      <c r="G1032" s="114" t="n"/>
      <c r="H1032" s="114" t="n"/>
      <c r="I1032" s="114" t="n"/>
      <c r="J1032" s="114" t="n"/>
    </row>
    <row r="1033" ht="15" customHeight="1" s="68">
      <c r="A1033" s="114" t="n"/>
      <c r="B1033" s="114" t="n"/>
      <c r="C1033" s="114" t="n"/>
      <c r="D1033" s="114" t="n"/>
      <c r="E1033" s="114" t="n"/>
      <c r="F1033" s="114" t="n"/>
      <c r="G1033" s="114" t="n"/>
      <c r="H1033" s="114" t="n"/>
      <c r="I1033" s="114" t="n"/>
      <c r="J1033" s="114" t="n"/>
    </row>
    <row r="1034" ht="15" customHeight="1" s="68">
      <c r="A1034" s="114" t="n"/>
      <c r="B1034" s="114" t="n"/>
      <c r="C1034" s="114" t="n"/>
      <c r="D1034" s="114" t="n"/>
      <c r="E1034" s="114" t="n"/>
      <c r="F1034" s="114" t="n"/>
      <c r="G1034" s="114" t="n"/>
      <c r="H1034" s="114" t="n"/>
      <c r="I1034" s="114" t="n"/>
      <c r="J1034" s="114" t="n"/>
    </row>
    <row r="1035" ht="15" customHeight="1" s="68">
      <c r="A1035" s="114" t="n"/>
      <c r="B1035" s="114" t="n"/>
      <c r="C1035" s="114" t="n"/>
      <c r="D1035" s="114" t="n"/>
      <c r="E1035" s="114" t="n"/>
      <c r="F1035" s="114" t="n"/>
      <c r="G1035" s="114" t="n"/>
      <c r="H1035" s="114" t="n"/>
      <c r="I1035" s="114" t="n"/>
      <c r="J1035" s="114" t="n"/>
    </row>
    <row r="1036" ht="15" customHeight="1" s="68">
      <c r="A1036" s="114" t="n"/>
      <c r="B1036" s="114" t="n"/>
      <c r="C1036" s="114" t="n"/>
      <c r="D1036" s="114" t="n"/>
      <c r="E1036" s="114" t="n"/>
      <c r="F1036" s="114" t="n"/>
      <c r="G1036" s="114" t="n"/>
      <c r="H1036" s="114" t="n"/>
      <c r="I1036" s="114" t="n"/>
      <c r="J1036" s="114" t="n"/>
    </row>
    <row r="1037" ht="15" customHeight="1" s="68">
      <c r="A1037" s="114" t="n"/>
      <c r="B1037" s="114" t="n"/>
      <c r="C1037" s="114" t="n"/>
      <c r="D1037" s="114" t="n"/>
      <c r="E1037" s="114" t="n"/>
      <c r="F1037" s="114" t="n"/>
      <c r="G1037" s="114" t="n"/>
      <c r="H1037" s="114" t="n"/>
      <c r="I1037" s="114" t="n"/>
      <c r="J1037" s="114" t="n"/>
    </row>
    <row r="1038" ht="15" customHeight="1" s="68">
      <c r="A1038" s="114" t="n"/>
      <c r="B1038" s="114" t="n"/>
      <c r="C1038" s="114" t="n"/>
      <c r="D1038" s="114" t="n"/>
      <c r="E1038" s="114" t="n"/>
      <c r="F1038" s="114" t="n"/>
      <c r="G1038" s="114" t="n"/>
      <c r="H1038" s="114" t="n"/>
      <c r="I1038" s="114" t="n"/>
      <c r="J1038" s="114" t="n"/>
    </row>
    <row r="1039" ht="15" customHeight="1" s="68">
      <c r="A1039" s="114" t="n"/>
      <c r="B1039" s="114" t="n"/>
      <c r="C1039" s="114" t="n"/>
      <c r="D1039" s="114" t="n"/>
      <c r="E1039" s="114" t="n"/>
      <c r="F1039" s="114" t="n"/>
      <c r="G1039" s="114" t="n"/>
      <c r="H1039" s="114" t="n"/>
      <c r="I1039" s="114" t="n"/>
      <c r="J1039" s="114" t="n"/>
    </row>
    <row r="1040" ht="15" customHeight="1" s="68">
      <c r="A1040" s="114" t="n"/>
      <c r="B1040" s="114" t="n"/>
      <c r="C1040" s="114" t="n"/>
      <c r="D1040" s="114" t="n"/>
      <c r="E1040" s="114" t="n"/>
      <c r="F1040" s="114" t="n"/>
      <c r="G1040" s="114" t="n"/>
      <c r="H1040" s="114" t="n"/>
      <c r="I1040" s="114" t="n"/>
      <c r="J1040" s="114" t="n"/>
    </row>
    <row r="1041" ht="15" customHeight="1" s="68">
      <c r="A1041" s="114" t="n"/>
      <c r="B1041" s="114" t="n"/>
      <c r="C1041" s="114" t="n"/>
      <c r="D1041" s="114" t="n"/>
      <c r="E1041" s="114" t="n"/>
      <c r="F1041" s="114" t="n"/>
      <c r="G1041" s="114" t="n"/>
      <c r="H1041" s="114" t="n"/>
      <c r="I1041" s="114" t="n"/>
      <c r="J1041" s="114" t="n"/>
    </row>
    <row r="1042" ht="15" customHeight="1" s="68">
      <c r="A1042" s="114" t="n"/>
      <c r="B1042" s="114" t="n"/>
      <c r="C1042" s="114" t="n"/>
      <c r="D1042" s="114" t="n"/>
      <c r="E1042" s="114" t="n"/>
      <c r="F1042" s="114" t="n"/>
      <c r="G1042" s="114" t="n"/>
      <c r="H1042" s="114" t="n"/>
      <c r="I1042" s="114" t="n"/>
      <c r="J1042" s="114" t="n"/>
    </row>
    <row r="1043" ht="15" customHeight="1" s="68">
      <c r="A1043" s="114" t="n"/>
      <c r="B1043" s="114" t="n"/>
      <c r="C1043" s="114" t="n"/>
      <c r="D1043" s="114" t="n"/>
      <c r="E1043" s="114" t="n"/>
      <c r="F1043" s="114" t="n"/>
      <c r="G1043" s="114" t="n"/>
      <c r="H1043" s="114" t="n"/>
      <c r="I1043" s="114" t="n"/>
      <c r="J1043" s="114" t="n"/>
    </row>
    <row r="1044" ht="15" customHeight="1" s="68">
      <c r="A1044" s="114" t="n"/>
      <c r="B1044" s="114" t="n"/>
      <c r="C1044" s="114" t="n"/>
      <c r="D1044" s="114" t="n"/>
      <c r="E1044" s="114" t="n"/>
      <c r="F1044" s="114" t="n"/>
      <c r="G1044" s="114" t="n"/>
      <c r="H1044" s="114" t="n"/>
      <c r="I1044" s="114" t="n"/>
      <c r="J1044" s="114" t="n"/>
    </row>
    <row r="1045" ht="15" customHeight="1" s="68">
      <c r="A1045" s="114" t="n"/>
      <c r="B1045" s="114" t="n"/>
      <c r="C1045" s="114" t="n"/>
      <c r="D1045" s="114" t="n"/>
      <c r="E1045" s="114" t="n"/>
      <c r="F1045" s="114" t="n"/>
      <c r="G1045" s="114" t="n"/>
      <c r="H1045" s="114" t="n"/>
      <c r="I1045" s="114" t="n"/>
      <c r="J1045" s="114" t="n"/>
    </row>
    <row r="1046" ht="15" customHeight="1" s="68">
      <c r="A1046" s="114" t="n"/>
      <c r="B1046" s="114" t="n"/>
      <c r="C1046" s="114" t="n"/>
      <c r="D1046" s="114" t="n"/>
      <c r="E1046" s="114" t="n"/>
      <c r="F1046" s="114" t="n"/>
      <c r="G1046" s="114" t="n"/>
      <c r="H1046" s="114" t="n"/>
      <c r="I1046" s="114" t="n"/>
      <c r="J1046" s="114" t="n"/>
    </row>
    <row r="1047" ht="15" customHeight="1" s="68">
      <c r="A1047" s="114" t="n"/>
      <c r="B1047" s="114" t="n"/>
      <c r="C1047" s="114" t="n"/>
      <c r="D1047" s="114" t="n"/>
      <c r="E1047" s="114" t="n"/>
      <c r="F1047" s="114" t="n"/>
      <c r="G1047" s="114" t="n"/>
      <c r="H1047" s="114" t="n"/>
      <c r="I1047" s="114" t="n"/>
      <c r="J1047" s="114" t="n"/>
    </row>
    <row r="1048" ht="15" customHeight="1" s="68">
      <c r="A1048" s="114" t="n"/>
      <c r="B1048" s="114" t="n"/>
      <c r="C1048" s="114" t="n"/>
      <c r="D1048" s="114" t="n"/>
      <c r="E1048" s="114" t="n"/>
      <c r="F1048" s="114" t="n"/>
      <c r="G1048" s="114" t="n"/>
      <c r="H1048" s="114" t="n"/>
      <c r="I1048" s="114" t="n"/>
      <c r="J1048" s="114" t="n"/>
    </row>
    <row r="1049" ht="15" customHeight="1" s="68">
      <c r="A1049" s="114" t="n"/>
      <c r="B1049" s="114" t="n"/>
      <c r="C1049" s="114" t="n"/>
      <c r="D1049" s="114" t="n"/>
      <c r="E1049" s="114" t="n"/>
      <c r="F1049" s="114" t="n"/>
      <c r="G1049" s="114" t="n"/>
      <c r="H1049" s="114" t="n"/>
      <c r="I1049" s="114" t="n"/>
      <c r="J1049" s="114" t="n"/>
    </row>
    <row r="1050" ht="15" customHeight="1" s="68">
      <c r="A1050" s="114" t="n"/>
      <c r="B1050" s="114" t="n"/>
      <c r="C1050" s="114" t="n"/>
      <c r="D1050" s="114" t="n"/>
      <c r="E1050" s="114" t="n"/>
      <c r="F1050" s="114" t="n"/>
      <c r="G1050" s="114" t="n"/>
      <c r="H1050" s="114" t="n"/>
      <c r="I1050" s="114" t="n"/>
      <c r="J1050" s="114" t="n"/>
    </row>
    <row r="1051" ht="15" customHeight="1" s="68">
      <c r="A1051" s="114" t="n"/>
      <c r="B1051" s="114" t="n"/>
      <c r="C1051" s="114" t="n"/>
      <c r="D1051" s="114" t="n"/>
      <c r="E1051" s="114" t="n"/>
      <c r="F1051" s="114" t="n"/>
      <c r="G1051" s="114" t="n"/>
      <c r="H1051" s="114" t="n"/>
      <c r="I1051" s="114" t="n"/>
      <c r="J1051" s="114" t="n"/>
    </row>
    <row r="1052" ht="15" customHeight="1" s="68">
      <c r="A1052" s="114" t="n"/>
      <c r="B1052" s="114" t="n"/>
      <c r="C1052" s="114" t="n"/>
      <c r="D1052" s="114" t="n"/>
      <c r="E1052" s="114" t="n"/>
      <c r="F1052" s="114" t="n"/>
      <c r="G1052" s="114" t="n"/>
      <c r="H1052" s="114" t="n"/>
      <c r="I1052" s="114" t="n"/>
      <c r="J1052" s="114" t="n"/>
    </row>
    <row r="1053" ht="15" customHeight="1" s="68">
      <c r="A1053" s="114" t="n"/>
      <c r="B1053" s="114" t="n"/>
      <c r="C1053" s="114" t="n"/>
      <c r="D1053" s="114" t="n"/>
      <c r="E1053" s="114" t="n"/>
      <c r="F1053" s="114" t="n"/>
      <c r="G1053" s="114" t="n"/>
      <c r="H1053" s="114" t="n"/>
      <c r="I1053" s="114" t="n"/>
      <c r="J1053" s="114" t="n"/>
    </row>
    <row r="1054" ht="15" customHeight="1" s="68">
      <c r="A1054" s="114" t="n"/>
      <c r="B1054" s="114" t="n"/>
      <c r="C1054" s="114" t="n"/>
      <c r="D1054" s="114" t="n"/>
      <c r="E1054" s="114" t="n"/>
      <c r="F1054" s="114" t="n"/>
      <c r="G1054" s="114" t="n"/>
      <c r="H1054" s="114" t="n"/>
      <c r="I1054" s="114" t="n"/>
      <c r="J1054" s="114" t="n"/>
    </row>
    <row r="1055" ht="15" customHeight="1" s="68">
      <c r="A1055" s="114" t="n"/>
      <c r="B1055" s="114" t="n"/>
      <c r="C1055" s="114" t="n"/>
      <c r="D1055" s="114" t="n"/>
      <c r="E1055" s="114" t="n"/>
      <c r="F1055" s="114" t="n"/>
      <c r="G1055" s="114" t="n"/>
      <c r="H1055" s="114" t="n"/>
      <c r="I1055" s="114" t="n"/>
      <c r="J1055" s="114" t="n"/>
    </row>
    <row r="1056" ht="15" customHeight="1" s="68">
      <c r="A1056" s="114" t="n"/>
      <c r="B1056" s="114" t="n"/>
      <c r="C1056" s="114" t="n"/>
      <c r="D1056" s="114" t="n"/>
      <c r="E1056" s="114" t="n"/>
      <c r="F1056" s="114" t="n"/>
      <c r="G1056" s="114" t="n"/>
      <c r="H1056" s="114" t="n"/>
      <c r="I1056" s="114" t="n"/>
      <c r="J1056" s="114" t="n"/>
    </row>
    <row r="1057" ht="15" customHeight="1" s="68">
      <c r="A1057" s="114" t="n"/>
      <c r="B1057" s="114" t="n"/>
      <c r="C1057" s="114" t="n"/>
      <c r="D1057" s="114" t="n"/>
      <c r="E1057" s="114" t="n"/>
      <c r="F1057" s="114" t="n"/>
      <c r="G1057" s="114" t="n"/>
      <c r="H1057" s="114" t="n"/>
      <c r="I1057" s="114" t="n"/>
      <c r="J1057" s="114" t="n"/>
    </row>
    <row r="1058" ht="15" customHeight="1" s="68">
      <c r="A1058" s="114" t="n"/>
      <c r="B1058" s="114" t="n"/>
      <c r="C1058" s="114" t="n"/>
      <c r="D1058" s="114" t="n"/>
      <c r="E1058" s="114" t="n"/>
      <c r="F1058" s="114" t="n"/>
      <c r="G1058" s="114" t="n"/>
      <c r="H1058" s="114" t="n"/>
      <c r="I1058" s="114" t="n"/>
      <c r="J1058" s="114" t="n"/>
    </row>
    <row r="1059" ht="15" customHeight="1" s="68">
      <c r="A1059" s="114" t="n"/>
      <c r="B1059" s="114" t="n"/>
      <c r="C1059" s="114" t="n"/>
      <c r="D1059" s="114" t="n"/>
      <c r="E1059" s="114" t="n"/>
      <c r="F1059" s="114" t="n"/>
      <c r="G1059" s="114" t="n"/>
      <c r="H1059" s="114" t="n"/>
      <c r="I1059" s="114" t="n"/>
      <c r="J1059" s="114" t="n"/>
    </row>
    <row r="1060" ht="15" customHeight="1" s="68">
      <c r="A1060" s="114" t="n"/>
      <c r="B1060" s="114" t="n"/>
      <c r="C1060" s="114" t="n"/>
      <c r="D1060" s="114" t="n"/>
      <c r="E1060" s="114" t="n"/>
      <c r="F1060" s="114" t="n"/>
      <c r="G1060" s="114" t="n"/>
      <c r="H1060" s="114" t="n"/>
      <c r="I1060" s="114" t="n"/>
      <c r="J1060" s="114" t="n"/>
    </row>
    <row r="1061" ht="15" customHeight="1" s="68">
      <c r="A1061" s="114" t="n"/>
      <c r="B1061" s="114" t="n"/>
      <c r="C1061" s="114" t="n"/>
      <c r="D1061" s="114" t="n"/>
      <c r="E1061" s="114" t="n"/>
      <c r="F1061" s="114" t="n"/>
      <c r="G1061" s="114" t="n"/>
      <c r="H1061" s="114" t="n"/>
      <c r="I1061" s="114" t="n"/>
      <c r="J1061" s="114" t="n"/>
    </row>
    <row r="1062" ht="15" customHeight="1" s="68">
      <c r="A1062" s="114" t="n"/>
      <c r="B1062" s="114" t="n"/>
      <c r="C1062" s="114" t="n"/>
      <c r="D1062" s="114" t="n"/>
      <c r="E1062" s="114" t="n"/>
      <c r="F1062" s="114" t="n"/>
      <c r="G1062" s="114" t="n"/>
      <c r="H1062" s="114" t="n"/>
      <c r="I1062" s="114" t="n"/>
      <c r="J1062" s="114" t="n"/>
    </row>
    <row r="1063" ht="15" customHeight="1" s="68">
      <c r="A1063" s="114" t="n"/>
      <c r="B1063" s="114" t="n"/>
      <c r="C1063" s="114" t="n"/>
      <c r="D1063" s="114" t="n"/>
      <c r="E1063" s="114" t="n"/>
      <c r="F1063" s="114" t="n"/>
      <c r="G1063" s="114" t="n"/>
      <c r="H1063" s="114" t="n"/>
      <c r="I1063" s="114" t="n"/>
      <c r="J1063" s="114" t="n"/>
    </row>
    <row r="1064" ht="15" customHeight="1" s="68">
      <c r="A1064" s="114" t="n"/>
      <c r="B1064" s="114" t="n"/>
      <c r="C1064" s="114" t="n"/>
      <c r="D1064" s="114" t="n"/>
      <c r="E1064" s="114" t="n"/>
      <c r="F1064" s="114" t="n"/>
      <c r="G1064" s="114" t="n"/>
      <c r="H1064" s="114" t="n"/>
      <c r="I1064" s="114" t="n"/>
      <c r="J1064" s="114" t="n"/>
    </row>
    <row r="1065" ht="15" customHeight="1" s="68">
      <c r="A1065" s="114" t="n"/>
      <c r="B1065" s="114" t="n"/>
      <c r="C1065" s="114" t="n"/>
      <c r="D1065" s="114" t="n"/>
      <c r="E1065" s="114" t="n"/>
      <c r="F1065" s="114" t="n"/>
      <c r="G1065" s="114" t="n"/>
      <c r="H1065" s="114" t="n"/>
      <c r="I1065" s="114" t="n"/>
      <c r="J1065" s="114" t="n"/>
    </row>
    <row r="1066" ht="15" customHeight="1" s="68">
      <c r="A1066" s="114" t="n"/>
      <c r="B1066" s="114" t="n"/>
      <c r="C1066" s="114" t="n"/>
      <c r="D1066" s="114" t="n"/>
      <c r="E1066" s="114" t="n"/>
      <c r="F1066" s="114" t="n"/>
      <c r="G1066" s="114" t="n"/>
      <c r="H1066" s="114" t="n"/>
      <c r="I1066" s="114" t="n"/>
      <c r="J1066" s="114" t="n"/>
    </row>
    <row r="1067" ht="15" customHeight="1" s="68">
      <c r="A1067" s="114" t="n"/>
      <c r="B1067" s="114" t="n"/>
      <c r="C1067" s="114" t="n"/>
      <c r="D1067" s="114" t="n"/>
      <c r="E1067" s="114" t="n"/>
      <c r="F1067" s="114" t="n"/>
      <c r="G1067" s="114" t="n"/>
      <c r="H1067" s="114" t="n"/>
      <c r="I1067" s="114" t="n"/>
      <c r="J1067" s="114" t="n"/>
    </row>
    <row r="1068" ht="15" customHeight="1" s="68">
      <c r="A1068" s="114" t="n"/>
      <c r="B1068" s="114" t="n"/>
      <c r="C1068" s="114" t="n"/>
      <c r="D1068" s="114" t="n"/>
      <c r="E1068" s="114" t="n"/>
      <c r="F1068" s="114" t="n"/>
      <c r="G1068" s="114" t="n"/>
      <c r="H1068" s="114" t="n"/>
      <c r="I1068" s="114" t="n"/>
      <c r="J1068" s="114" t="n"/>
    </row>
    <row r="1069" ht="15" customHeight="1" s="68">
      <c r="A1069" s="114" t="n"/>
      <c r="B1069" s="114" t="n"/>
      <c r="C1069" s="114" t="n"/>
      <c r="D1069" s="114" t="n"/>
      <c r="E1069" s="114" t="n"/>
      <c r="F1069" s="114" t="n"/>
      <c r="G1069" s="114" t="n"/>
      <c r="H1069" s="114" t="n"/>
      <c r="I1069" s="114" t="n"/>
      <c r="J1069" s="114" t="n"/>
    </row>
    <row r="1070" ht="15" customHeight="1" s="68">
      <c r="A1070" s="114" t="n"/>
      <c r="B1070" s="114" t="n"/>
      <c r="C1070" s="114" t="n"/>
      <c r="D1070" s="114" t="n"/>
      <c r="E1070" s="114" t="n"/>
      <c r="F1070" s="114" t="n"/>
      <c r="G1070" s="114" t="n"/>
      <c r="H1070" s="114" t="n"/>
      <c r="I1070" s="114" t="n"/>
      <c r="J1070" s="114" t="n"/>
    </row>
    <row r="1071" ht="15" customHeight="1" s="68">
      <c r="A1071" s="114" t="n"/>
      <c r="B1071" s="114" t="n"/>
      <c r="C1071" s="114" t="n"/>
      <c r="D1071" s="114" t="n"/>
      <c r="E1071" s="114" t="n"/>
      <c r="F1071" s="114" t="n"/>
      <c r="G1071" s="114" t="n"/>
      <c r="H1071" s="114" t="n"/>
      <c r="I1071" s="114" t="n"/>
      <c r="J1071" s="114" t="n"/>
    </row>
    <row r="1072" ht="15" customHeight="1" s="68">
      <c r="A1072" s="114" t="n"/>
      <c r="B1072" s="114" t="n"/>
      <c r="C1072" s="114" t="n"/>
      <c r="D1072" s="114" t="n"/>
      <c r="E1072" s="114" t="n"/>
      <c r="F1072" s="114" t="n"/>
      <c r="G1072" s="114" t="n"/>
      <c r="H1072" s="114" t="n"/>
      <c r="I1072" s="114" t="n"/>
      <c r="J1072" s="114" t="n"/>
    </row>
    <row r="1073" ht="15" customHeight="1" s="68">
      <c r="A1073" s="114" t="n"/>
      <c r="B1073" s="114" t="n"/>
      <c r="C1073" s="114" t="n"/>
      <c r="D1073" s="114" t="n"/>
      <c r="E1073" s="114" t="n"/>
      <c r="F1073" s="114" t="n"/>
      <c r="G1073" s="114" t="n"/>
      <c r="H1073" s="114" t="n"/>
      <c r="I1073" s="114" t="n"/>
      <c r="J1073" s="114" t="n"/>
    </row>
    <row r="1074" ht="15" customHeight="1" s="68">
      <c r="A1074" s="114" t="n"/>
      <c r="B1074" s="114" t="n"/>
      <c r="C1074" s="114" t="n"/>
      <c r="D1074" s="114" t="n"/>
      <c r="E1074" s="114" t="n"/>
      <c r="F1074" s="114" t="n"/>
      <c r="G1074" s="114" t="n"/>
      <c r="H1074" s="114" t="n"/>
      <c r="I1074" s="114" t="n"/>
      <c r="J1074" s="114" t="n"/>
    </row>
    <row r="1075" ht="15" customHeight="1" s="68">
      <c r="A1075" s="114" t="n"/>
      <c r="B1075" s="114" t="n"/>
      <c r="C1075" s="114" t="n"/>
      <c r="D1075" s="114" t="n"/>
      <c r="E1075" s="114" t="n"/>
      <c r="F1075" s="114" t="n"/>
      <c r="G1075" s="114" t="n"/>
      <c r="H1075" s="114" t="n"/>
      <c r="I1075" s="114" t="n"/>
      <c r="J1075" s="114" t="n"/>
    </row>
    <row r="1076" ht="15" customHeight="1" s="68">
      <c r="A1076" s="114" t="n"/>
      <c r="B1076" s="114" t="n"/>
      <c r="C1076" s="114" t="n"/>
      <c r="D1076" s="114" t="n"/>
      <c r="E1076" s="114" t="n"/>
      <c r="F1076" s="114" t="n"/>
      <c r="G1076" s="114" t="n"/>
      <c r="H1076" s="114" t="n"/>
      <c r="I1076" s="114" t="n"/>
      <c r="J1076" s="114" t="n"/>
    </row>
    <row r="1077" ht="15" customHeight="1" s="68">
      <c r="A1077" s="114" t="n"/>
      <c r="B1077" s="114" t="n"/>
      <c r="C1077" s="114" t="n"/>
      <c r="D1077" s="114" t="n"/>
      <c r="E1077" s="114" t="n"/>
      <c r="F1077" s="114" t="n"/>
      <c r="G1077" s="114" t="n"/>
      <c r="H1077" s="114" t="n"/>
      <c r="I1077" s="114" t="n"/>
      <c r="J1077" s="114" t="n"/>
    </row>
    <row r="1078" ht="15" customHeight="1" s="68">
      <c r="A1078" s="114" t="n"/>
      <c r="B1078" s="114" t="n"/>
      <c r="C1078" s="114" t="n"/>
      <c r="D1078" s="114" t="n"/>
      <c r="E1078" s="114" t="n"/>
      <c r="F1078" s="114" t="n"/>
      <c r="G1078" s="114" t="n"/>
      <c r="H1078" s="114" t="n"/>
      <c r="I1078" s="114" t="n"/>
      <c r="J1078" s="114" t="n"/>
    </row>
    <row r="1079" ht="15" customHeight="1" s="68">
      <c r="A1079" s="114" t="n"/>
      <c r="B1079" s="114" t="n"/>
      <c r="C1079" s="114" t="n"/>
      <c r="D1079" s="114" t="n"/>
      <c r="E1079" s="114" t="n"/>
      <c r="F1079" s="114" t="n"/>
      <c r="G1079" s="114" t="n"/>
      <c r="H1079" s="114" t="n"/>
      <c r="I1079" s="114" t="n"/>
      <c r="J1079" s="114" t="n"/>
    </row>
    <row r="1080" ht="15" customHeight="1" s="68">
      <c r="A1080" s="114" t="n"/>
      <c r="B1080" s="114" t="n"/>
      <c r="C1080" s="114" t="n"/>
      <c r="D1080" s="114" t="n"/>
      <c r="E1080" s="114" t="n"/>
      <c r="F1080" s="114" t="n"/>
      <c r="G1080" s="114" t="n"/>
      <c r="H1080" s="114" t="n"/>
      <c r="I1080" s="114" t="n"/>
      <c r="J1080" s="114" t="n"/>
    </row>
    <row r="1081" ht="15" customHeight="1" s="68">
      <c r="A1081" s="114" t="n"/>
      <c r="B1081" s="114" t="n"/>
      <c r="C1081" s="114" t="n"/>
      <c r="D1081" s="114" t="n"/>
      <c r="E1081" s="114" t="n"/>
      <c r="F1081" s="114" t="n"/>
      <c r="G1081" s="114" t="n"/>
      <c r="H1081" s="114" t="n"/>
      <c r="I1081" s="114" t="n"/>
      <c r="J1081" s="114" t="n"/>
    </row>
    <row r="1082" ht="15" customHeight="1" s="68">
      <c r="A1082" s="114" t="n"/>
      <c r="B1082" s="114" t="n"/>
      <c r="C1082" s="114" t="n"/>
      <c r="D1082" s="114" t="n"/>
      <c r="E1082" s="114" t="n"/>
      <c r="F1082" s="114" t="n"/>
      <c r="G1082" s="114" t="n"/>
      <c r="H1082" s="114" t="n"/>
      <c r="I1082" s="114" t="n"/>
      <c r="J1082" s="114" t="n"/>
    </row>
    <row r="1083" ht="15" customHeight="1" s="68">
      <c r="A1083" s="114" t="n"/>
      <c r="B1083" s="114" t="n"/>
      <c r="C1083" s="114" t="n"/>
      <c r="D1083" s="114" t="n"/>
      <c r="E1083" s="114" t="n"/>
      <c r="F1083" s="114" t="n"/>
      <c r="G1083" s="114" t="n"/>
      <c r="H1083" s="114" t="n"/>
      <c r="I1083" s="114" t="n"/>
      <c r="J1083" s="114" t="n"/>
    </row>
    <row r="1084" ht="15" customHeight="1" s="68">
      <c r="A1084" s="114" t="n"/>
      <c r="B1084" s="114" t="n"/>
      <c r="C1084" s="114" t="n"/>
      <c r="D1084" s="114" t="n"/>
      <c r="E1084" s="114" t="n"/>
      <c r="F1084" s="114" t="n"/>
      <c r="G1084" s="114" t="n"/>
      <c r="H1084" s="114" t="n"/>
      <c r="I1084" s="114" t="n"/>
      <c r="J1084" s="114" t="n"/>
    </row>
    <row r="1085" ht="15" customHeight="1" s="68">
      <c r="A1085" s="114" t="n"/>
      <c r="B1085" s="114" t="n"/>
      <c r="C1085" s="114" t="n"/>
      <c r="D1085" s="114" t="n"/>
      <c r="E1085" s="114" t="n"/>
      <c r="F1085" s="114" t="n"/>
      <c r="G1085" s="114" t="n"/>
      <c r="H1085" s="114" t="n"/>
      <c r="I1085" s="114" t="n"/>
      <c r="J1085" s="114" t="n"/>
    </row>
    <row r="1086" ht="15" customHeight="1" s="68">
      <c r="A1086" s="114" t="n"/>
      <c r="B1086" s="114" t="n"/>
      <c r="C1086" s="114" t="n"/>
      <c r="D1086" s="114" t="n"/>
      <c r="E1086" s="114" t="n"/>
      <c r="F1086" s="114" t="n"/>
      <c r="G1086" s="114" t="n"/>
      <c r="H1086" s="114" t="n"/>
      <c r="I1086" s="114" t="n"/>
      <c r="J1086" s="114" t="n"/>
    </row>
    <row r="1087" ht="15" customHeight="1" s="68">
      <c r="A1087" s="114" t="n"/>
      <c r="B1087" s="114" t="n"/>
      <c r="C1087" s="114" t="n"/>
      <c r="D1087" s="114" t="n"/>
      <c r="E1087" s="114" t="n"/>
      <c r="F1087" s="114" t="n"/>
      <c r="G1087" s="114" t="n"/>
      <c r="H1087" s="114" t="n"/>
      <c r="I1087" s="114" t="n"/>
      <c r="J1087" s="114" t="n"/>
    </row>
    <row r="1088" ht="15" customHeight="1" s="68">
      <c r="A1088" s="114" t="n"/>
      <c r="B1088" s="114" t="n"/>
      <c r="C1088" s="114" t="n"/>
      <c r="D1088" s="114" t="n"/>
      <c r="E1088" s="114" t="n"/>
      <c r="F1088" s="114" t="n"/>
      <c r="G1088" s="114" t="n"/>
      <c r="H1088" s="114" t="n"/>
      <c r="I1088" s="114" t="n"/>
      <c r="J1088" s="114" t="n"/>
    </row>
    <row r="1089" ht="15" customHeight="1" s="68">
      <c r="A1089" s="114" t="n"/>
      <c r="B1089" s="114" t="n"/>
      <c r="C1089" s="114" t="n"/>
      <c r="D1089" s="114" t="n"/>
      <c r="E1089" s="114" t="n"/>
      <c r="F1089" s="114" t="n"/>
      <c r="G1089" s="114" t="n"/>
      <c r="H1089" s="114" t="n"/>
      <c r="I1089" s="114" t="n"/>
      <c r="J1089" s="114" t="n"/>
    </row>
    <row r="1090" ht="15" customHeight="1" s="68">
      <c r="A1090" s="114" t="n"/>
      <c r="B1090" s="114" t="n"/>
      <c r="C1090" s="114" t="n"/>
      <c r="D1090" s="114" t="n"/>
      <c r="E1090" s="114" t="n"/>
      <c r="F1090" s="114" t="n"/>
      <c r="G1090" s="114" t="n"/>
      <c r="H1090" s="114" t="n"/>
      <c r="I1090" s="114" t="n"/>
      <c r="J1090" s="114" t="n"/>
    </row>
    <row r="1091" ht="15" customHeight="1" s="68">
      <c r="A1091" s="114" t="n"/>
      <c r="B1091" s="114" t="n"/>
      <c r="C1091" s="114" t="n"/>
      <c r="D1091" s="114" t="n"/>
      <c r="E1091" s="114" t="n"/>
      <c r="F1091" s="114" t="n"/>
      <c r="G1091" s="114" t="n"/>
      <c r="H1091" s="114" t="n"/>
      <c r="I1091" s="114" t="n"/>
      <c r="J1091" s="114" t="n"/>
    </row>
    <row r="1092" ht="15" customHeight="1" s="68">
      <c r="A1092" s="114" t="n"/>
      <c r="B1092" s="114" t="n"/>
      <c r="C1092" s="114" t="n"/>
      <c r="D1092" s="114" t="n"/>
      <c r="E1092" s="114" t="n"/>
      <c r="F1092" s="114" t="n"/>
      <c r="G1092" s="114" t="n"/>
      <c r="H1092" s="114" t="n"/>
      <c r="I1092" s="114" t="n"/>
      <c r="J1092" s="114" t="n"/>
    </row>
    <row r="1093" ht="15" customHeight="1" s="68">
      <c r="A1093" s="114" t="n"/>
      <c r="B1093" s="114" t="n"/>
      <c r="C1093" s="114" t="n"/>
      <c r="D1093" s="114" t="n"/>
      <c r="E1093" s="114" t="n"/>
      <c r="F1093" s="114" t="n"/>
      <c r="G1093" s="114" t="n"/>
      <c r="H1093" s="114" t="n"/>
      <c r="I1093" s="114" t="n"/>
      <c r="J1093" s="114" t="n"/>
    </row>
    <row r="1094" ht="15" customHeight="1" s="68">
      <c r="A1094" s="114" t="n"/>
      <c r="B1094" s="114" t="n"/>
      <c r="C1094" s="114" t="n"/>
      <c r="D1094" s="114" t="n"/>
      <c r="E1094" s="114" t="n"/>
      <c r="F1094" s="114" t="n"/>
      <c r="G1094" s="114" t="n"/>
      <c r="H1094" s="114" t="n"/>
      <c r="I1094" s="114" t="n"/>
      <c r="J1094" s="114" t="n"/>
    </row>
    <row r="1095" ht="15" customHeight="1" s="68">
      <c r="A1095" s="114" t="n"/>
      <c r="B1095" s="114" t="n"/>
      <c r="C1095" s="114" t="n"/>
      <c r="D1095" s="114" t="n"/>
      <c r="E1095" s="114" t="n"/>
      <c r="F1095" s="114" t="n"/>
      <c r="G1095" s="114" t="n"/>
      <c r="H1095" s="114" t="n"/>
      <c r="I1095" s="114" t="n"/>
      <c r="J1095" s="114" t="n"/>
    </row>
    <row r="1096" ht="15" customHeight="1" s="68">
      <c r="A1096" s="114" t="n"/>
      <c r="B1096" s="114" t="n"/>
      <c r="C1096" s="114" t="n"/>
      <c r="D1096" s="114" t="n"/>
      <c r="E1096" s="114" t="n"/>
      <c r="F1096" s="114" t="n"/>
      <c r="G1096" s="114" t="n"/>
      <c r="H1096" s="114" t="n"/>
      <c r="I1096" s="114" t="n"/>
      <c r="J1096" s="114" t="n"/>
    </row>
    <row r="1097" ht="15" customHeight="1" s="68">
      <c r="A1097" s="114" t="n"/>
      <c r="B1097" s="114" t="n"/>
      <c r="C1097" s="114" t="n"/>
      <c r="D1097" s="114" t="n"/>
      <c r="E1097" s="114" t="n"/>
      <c r="F1097" s="114" t="n"/>
      <c r="G1097" s="114" t="n"/>
      <c r="H1097" s="114" t="n"/>
      <c r="I1097" s="114" t="n"/>
      <c r="J1097" s="114" t="n"/>
    </row>
    <row r="1098" ht="15" customHeight="1" s="68">
      <c r="A1098" s="114" t="n"/>
      <c r="B1098" s="114" t="n"/>
      <c r="C1098" s="114" t="n"/>
      <c r="D1098" s="114" t="n"/>
      <c r="E1098" s="114" t="n"/>
      <c r="F1098" s="114" t="n"/>
      <c r="G1098" s="114" t="n"/>
      <c r="H1098" s="114" t="n"/>
      <c r="I1098" s="114" t="n"/>
      <c r="J1098" s="114" t="n"/>
    </row>
    <row r="1099" ht="15" customHeight="1" s="68">
      <c r="A1099" s="114" t="n"/>
      <c r="B1099" s="114" t="n"/>
      <c r="C1099" s="114" t="n"/>
      <c r="D1099" s="114" t="n"/>
      <c r="E1099" s="114" t="n"/>
      <c r="F1099" s="114" t="n"/>
      <c r="G1099" s="114" t="n"/>
      <c r="H1099" s="114" t="n"/>
      <c r="I1099" s="114" t="n"/>
      <c r="J1099" s="114" t="n"/>
    </row>
    <row r="1100" ht="15" customHeight="1" s="68">
      <c r="A1100" s="114" t="n"/>
      <c r="B1100" s="114" t="n"/>
      <c r="C1100" s="114" t="n"/>
      <c r="D1100" s="114" t="n"/>
      <c r="E1100" s="114" t="n"/>
      <c r="F1100" s="114" t="n"/>
      <c r="G1100" s="114" t="n"/>
      <c r="H1100" s="114" t="n"/>
      <c r="I1100" s="114" t="n"/>
      <c r="J1100" s="114" t="n"/>
    </row>
    <row r="1101" ht="15" customHeight="1" s="68">
      <c r="A1101" s="114" t="n"/>
      <c r="B1101" s="114" t="n"/>
      <c r="C1101" s="114" t="n"/>
      <c r="D1101" s="114" t="n"/>
      <c r="E1101" s="114" t="n"/>
      <c r="F1101" s="114" t="n"/>
      <c r="G1101" s="114" t="n"/>
      <c r="H1101" s="114" t="n"/>
      <c r="I1101" s="114" t="n"/>
      <c r="J1101" s="114" t="n"/>
    </row>
    <row r="1102" ht="15" customHeight="1" s="68">
      <c r="A1102" s="114" t="n"/>
      <c r="B1102" s="114" t="n"/>
      <c r="C1102" s="114" t="n"/>
      <c r="D1102" s="114" t="n"/>
      <c r="E1102" s="114" t="n"/>
      <c r="F1102" s="114" t="n"/>
      <c r="G1102" s="114" t="n"/>
      <c r="H1102" s="114" t="n"/>
      <c r="I1102" s="114" t="n"/>
      <c r="J1102" s="114" t="n"/>
    </row>
    <row r="1103" ht="15" customHeight="1" s="68">
      <c r="A1103" s="114" t="n"/>
      <c r="B1103" s="114" t="n"/>
      <c r="C1103" s="114" t="n"/>
      <c r="D1103" s="114" t="n"/>
      <c r="E1103" s="114" t="n"/>
      <c r="F1103" s="114" t="n"/>
      <c r="G1103" s="114" t="n"/>
      <c r="H1103" s="114" t="n"/>
      <c r="I1103" s="114" t="n"/>
      <c r="J1103" s="114" t="n"/>
    </row>
    <row r="1104" ht="15" customHeight="1" s="68">
      <c r="A1104" s="114" t="n"/>
      <c r="B1104" s="114" t="n"/>
      <c r="C1104" s="114" t="n"/>
      <c r="D1104" s="114" t="n"/>
      <c r="E1104" s="114" t="n"/>
      <c r="F1104" s="114" t="n"/>
      <c r="G1104" s="114" t="n"/>
      <c r="H1104" s="114" t="n"/>
      <c r="I1104" s="114" t="n"/>
      <c r="J1104" s="114" t="n"/>
    </row>
    <row r="1105" ht="15" customHeight="1" s="68">
      <c r="A1105" s="114" t="n"/>
      <c r="B1105" s="114" t="n"/>
      <c r="C1105" s="114" t="n"/>
      <c r="D1105" s="114" t="n"/>
      <c r="E1105" s="114" t="n"/>
      <c r="F1105" s="114" t="n"/>
      <c r="G1105" s="114" t="n"/>
      <c r="H1105" s="114" t="n"/>
      <c r="I1105" s="114" t="n"/>
      <c r="J1105" s="114" t="n"/>
    </row>
    <row r="1106" ht="15" customHeight="1" s="68">
      <c r="A1106" s="114" t="n"/>
      <c r="B1106" s="114" t="n"/>
      <c r="C1106" s="114" t="n"/>
      <c r="D1106" s="114" t="n"/>
      <c r="E1106" s="114" t="n"/>
      <c r="F1106" s="114" t="n"/>
      <c r="G1106" s="114" t="n"/>
      <c r="H1106" s="114" t="n"/>
      <c r="I1106" s="114" t="n"/>
      <c r="J1106" s="114" t="n"/>
    </row>
    <row r="1107" ht="15" customHeight="1" s="68">
      <c r="A1107" s="114" t="n"/>
      <c r="B1107" s="114" t="n"/>
      <c r="C1107" s="114" t="n"/>
      <c r="D1107" s="114" t="n"/>
      <c r="E1107" s="114" t="n"/>
      <c r="F1107" s="114" t="n"/>
      <c r="G1107" s="114" t="n"/>
      <c r="H1107" s="114" t="n"/>
      <c r="I1107" s="114" t="n"/>
      <c r="J1107" s="114" t="n"/>
    </row>
    <row r="1108" ht="15" customHeight="1" s="68">
      <c r="A1108" s="114" t="n"/>
      <c r="B1108" s="114" t="n"/>
      <c r="C1108" s="114" t="n"/>
      <c r="D1108" s="114" t="n"/>
      <c r="E1108" s="114" t="n"/>
      <c r="F1108" s="114" t="n"/>
      <c r="G1108" s="114" t="n"/>
      <c r="H1108" s="114" t="n"/>
      <c r="I1108" s="114" t="n"/>
      <c r="J1108" s="114" t="n"/>
    </row>
    <row r="1109" ht="15" customHeight="1" s="68">
      <c r="A1109" s="114" t="n"/>
      <c r="B1109" s="114" t="n"/>
      <c r="C1109" s="114" t="n"/>
      <c r="D1109" s="114" t="n"/>
      <c r="E1109" s="114" t="n"/>
      <c r="F1109" s="114" t="n"/>
      <c r="G1109" s="114" t="n"/>
      <c r="H1109" s="114" t="n"/>
      <c r="I1109" s="114" t="n"/>
      <c r="J1109" s="114" t="n"/>
    </row>
    <row r="1110" ht="15" customHeight="1" s="68">
      <c r="A1110" s="114" t="n"/>
      <c r="B1110" s="114" t="n"/>
      <c r="C1110" s="114" t="n"/>
      <c r="D1110" s="114" t="n"/>
      <c r="E1110" s="114" t="n"/>
      <c r="F1110" s="114" t="n"/>
      <c r="G1110" s="114" t="n"/>
      <c r="H1110" s="114" t="n"/>
      <c r="I1110" s="114" t="n"/>
      <c r="J1110" s="114" t="n"/>
    </row>
    <row r="1111" ht="15" customHeight="1" s="68">
      <c r="A1111" s="114" t="n"/>
      <c r="B1111" s="114" t="n"/>
      <c r="C1111" s="114" t="n"/>
      <c r="D1111" s="114" t="n"/>
      <c r="E1111" s="114" t="n"/>
      <c r="F1111" s="114" t="n"/>
      <c r="G1111" s="114" t="n"/>
      <c r="H1111" s="114" t="n"/>
      <c r="I1111" s="114" t="n"/>
      <c r="J1111" s="114" t="n"/>
    </row>
    <row r="1112" ht="15" customHeight="1" s="68">
      <c r="A1112" s="114" t="n"/>
      <c r="B1112" s="114" t="n"/>
      <c r="C1112" s="114" t="n"/>
      <c r="D1112" s="114" t="n"/>
      <c r="E1112" s="114" t="n"/>
      <c r="F1112" s="114" t="n"/>
      <c r="G1112" s="114" t="n"/>
      <c r="H1112" s="114" t="n"/>
      <c r="I1112" s="114" t="n"/>
      <c r="J1112" s="114" t="n"/>
    </row>
    <row r="1113" ht="15" customHeight="1" s="68">
      <c r="A1113" s="114" t="n"/>
      <c r="B1113" s="114" t="n"/>
      <c r="C1113" s="114" t="n"/>
      <c r="D1113" s="114" t="n"/>
      <c r="E1113" s="114" t="n"/>
      <c r="F1113" s="114" t="n"/>
      <c r="G1113" s="114" t="n"/>
      <c r="H1113" s="114" t="n"/>
      <c r="I1113" s="114" t="n"/>
      <c r="J1113" s="114" t="n"/>
    </row>
    <row r="1114" ht="15" customHeight="1" s="68">
      <c r="A1114" s="114" t="n"/>
      <c r="B1114" s="114" t="n"/>
      <c r="C1114" s="114" t="n"/>
      <c r="D1114" s="114" t="n"/>
      <c r="E1114" s="114" t="n"/>
      <c r="F1114" s="114" t="n"/>
      <c r="G1114" s="114" t="n"/>
      <c r="H1114" s="114" t="n"/>
      <c r="I1114" s="114" t="n"/>
      <c r="J1114" s="114" t="n"/>
    </row>
    <row r="1115" ht="15" customHeight="1" s="68">
      <c r="A1115" s="114" t="n"/>
      <c r="B1115" s="114" t="n"/>
      <c r="C1115" s="114" t="n"/>
      <c r="D1115" s="114" t="n"/>
      <c r="E1115" s="114" t="n"/>
      <c r="F1115" s="114" t="n"/>
      <c r="G1115" s="114" t="n"/>
      <c r="H1115" s="114" t="n"/>
      <c r="I1115" s="114" t="n"/>
      <c r="J1115" s="114" t="n"/>
    </row>
    <row r="1116" ht="15" customHeight="1" s="68">
      <c r="A1116" s="114" t="n"/>
      <c r="B1116" s="114" t="n"/>
      <c r="C1116" s="114" t="n"/>
      <c r="D1116" s="114" t="n"/>
      <c r="E1116" s="114" t="n"/>
      <c r="F1116" s="114" t="n"/>
      <c r="G1116" s="114" t="n"/>
      <c r="H1116" s="114" t="n"/>
      <c r="I1116" s="114" t="n"/>
      <c r="J1116" s="114" t="n"/>
    </row>
    <row r="1117" ht="15" customHeight="1" s="68">
      <c r="A1117" s="114" t="n"/>
      <c r="B1117" s="114" t="n"/>
      <c r="C1117" s="114" t="n"/>
      <c r="D1117" s="114" t="n"/>
      <c r="E1117" s="114" t="n"/>
      <c r="F1117" s="114" t="n"/>
      <c r="G1117" s="114" t="n"/>
      <c r="H1117" s="114" t="n"/>
      <c r="I1117" s="114" t="n"/>
      <c r="J1117" s="114" t="n"/>
    </row>
    <row r="1118" ht="15" customHeight="1" s="68">
      <c r="A1118" s="114" t="n"/>
      <c r="B1118" s="114" t="n"/>
      <c r="C1118" s="114" t="n"/>
      <c r="D1118" s="114" t="n"/>
      <c r="E1118" s="114" t="n"/>
      <c r="F1118" s="114" t="n"/>
      <c r="G1118" s="114" t="n"/>
      <c r="H1118" s="114" t="n"/>
      <c r="I1118" s="114" t="n"/>
      <c r="J1118" s="114" t="n"/>
    </row>
    <row r="1119" ht="15" customHeight="1" s="68">
      <c r="A1119" s="114" t="n"/>
      <c r="B1119" s="114" t="n"/>
      <c r="C1119" s="114" t="n"/>
      <c r="D1119" s="114" t="n"/>
      <c r="E1119" s="114" t="n"/>
      <c r="F1119" s="114" t="n"/>
      <c r="G1119" s="114" t="n"/>
      <c r="H1119" s="114" t="n"/>
      <c r="I1119" s="114" t="n"/>
      <c r="J1119" s="114" t="n"/>
    </row>
    <row r="1120" ht="15" customHeight="1" s="68">
      <c r="A1120" s="114" t="n"/>
      <c r="B1120" s="114" t="n"/>
      <c r="C1120" s="114" t="n"/>
      <c r="D1120" s="114" t="n"/>
      <c r="E1120" s="114" t="n"/>
      <c r="F1120" s="114" t="n"/>
      <c r="G1120" s="114" t="n"/>
      <c r="H1120" s="114" t="n"/>
      <c r="I1120" s="114" t="n"/>
      <c r="J1120" s="114" t="n"/>
    </row>
    <row r="1121" ht="15" customHeight="1" s="68">
      <c r="A1121" s="114" t="n"/>
      <c r="B1121" s="114" t="n"/>
      <c r="C1121" s="114" t="n"/>
      <c r="D1121" s="114" t="n"/>
      <c r="E1121" s="114" t="n"/>
      <c r="F1121" s="114" t="n"/>
      <c r="G1121" s="114" t="n"/>
      <c r="H1121" s="114" t="n"/>
      <c r="I1121" s="114" t="n"/>
      <c r="J1121" s="114" t="n"/>
    </row>
    <row r="1122" ht="15" customHeight="1" s="68">
      <c r="A1122" s="114" t="n"/>
      <c r="B1122" s="114" t="n"/>
      <c r="C1122" s="114" t="n"/>
      <c r="D1122" s="114" t="n"/>
      <c r="E1122" s="114" t="n"/>
      <c r="F1122" s="114" t="n"/>
      <c r="G1122" s="114" t="n"/>
      <c r="H1122" s="114" t="n"/>
      <c r="I1122" s="114" t="n"/>
      <c r="J1122" s="114" t="n"/>
    </row>
    <row r="1123" ht="15" customHeight="1" s="68">
      <c r="A1123" s="114" t="n"/>
      <c r="B1123" s="114" t="n"/>
      <c r="C1123" s="114" t="n"/>
      <c r="D1123" s="114" t="n"/>
      <c r="E1123" s="114" t="n"/>
      <c r="F1123" s="114" t="n"/>
      <c r="G1123" s="114" t="n"/>
      <c r="H1123" s="114" t="n"/>
      <c r="I1123" s="114" t="n"/>
      <c r="J1123" s="114" t="n"/>
    </row>
    <row r="1124" ht="15" customHeight="1" s="68">
      <c r="A1124" s="114" t="n"/>
      <c r="B1124" s="114" t="n"/>
      <c r="C1124" s="114" t="n"/>
      <c r="D1124" s="114" t="n"/>
      <c r="E1124" s="114" t="n"/>
      <c r="F1124" s="114" t="n"/>
      <c r="G1124" s="114" t="n"/>
      <c r="H1124" s="114" t="n"/>
      <c r="I1124" s="114" t="n"/>
      <c r="J1124" s="114" t="n"/>
    </row>
    <row r="1125" ht="15" customHeight="1" s="68">
      <c r="A1125" s="114" t="n"/>
      <c r="B1125" s="114" t="n"/>
      <c r="C1125" s="114" t="n"/>
      <c r="D1125" s="114" t="n"/>
      <c r="E1125" s="114" t="n"/>
      <c r="F1125" s="114" t="n"/>
      <c r="G1125" s="114" t="n"/>
      <c r="H1125" s="114" t="n"/>
      <c r="I1125" s="114" t="n"/>
      <c r="J1125" s="114" t="n"/>
    </row>
    <row r="1126" ht="15" customHeight="1" s="68">
      <c r="A1126" s="114" t="n"/>
      <c r="B1126" s="114" t="n"/>
      <c r="C1126" s="114" t="n"/>
      <c r="D1126" s="114" t="n"/>
      <c r="E1126" s="114" t="n"/>
      <c r="F1126" s="114" t="n"/>
      <c r="G1126" s="114" t="n"/>
      <c r="H1126" s="114" t="n"/>
      <c r="I1126" s="114" t="n"/>
      <c r="J1126" s="114" t="n"/>
    </row>
    <row r="1127" ht="15" customHeight="1" s="68">
      <c r="A1127" s="114" t="n"/>
      <c r="B1127" s="114" t="n"/>
      <c r="C1127" s="114" t="n"/>
      <c r="D1127" s="114" t="n"/>
      <c r="E1127" s="114" t="n"/>
      <c r="F1127" s="114" t="n"/>
      <c r="G1127" s="114" t="n"/>
      <c r="H1127" s="114" t="n"/>
      <c r="I1127" s="114" t="n"/>
      <c r="J1127" s="114" t="n"/>
    </row>
    <row r="1128" ht="15" customHeight="1" s="68">
      <c r="A1128" s="114" t="n"/>
      <c r="B1128" s="114" t="n"/>
      <c r="C1128" s="114" t="n"/>
      <c r="D1128" s="114" t="n"/>
      <c r="E1128" s="114" t="n"/>
      <c r="F1128" s="114" t="n"/>
      <c r="G1128" s="114" t="n"/>
      <c r="H1128" s="114" t="n"/>
      <c r="I1128" s="114" t="n"/>
      <c r="J1128" s="114" t="n"/>
    </row>
    <row r="1129" ht="15" customHeight="1" s="68">
      <c r="A1129" s="114" t="n"/>
      <c r="B1129" s="114" t="n"/>
      <c r="C1129" s="114" t="n"/>
      <c r="D1129" s="114" t="n"/>
      <c r="E1129" s="114" t="n"/>
      <c r="F1129" s="114" t="n"/>
      <c r="G1129" s="114" t="n"/>
      <c r="H1129" s="114" t="n"/>
      <c r="I1129" s="114" t="n"/>
      <c r="J1129" s="114" t="n"/>
    </row>
    <row r="1130" ht="15" customHeight="1" s="68">
      <c r="A1130" s="114" t="n"/>
      <c r="B1130" s="114" t="n"/>
      <c r="C1130" s="114" t="n"/>
      <c r="D1130" s="114" t="n"/>
      <c r="E1130" s="114" t="n"/>
      <c r="F1130" s="114" t="n"/>
      <c r="G1130" s="114" t="n"/>
      <c r="H1130" s="114" t="n"/>
      <c r="I1130" s="114" t="n"/>
      <c r="J1130" s="114" t="n"/>
    </row>
    <row r="1131" ht="15" customHeight="1" s="68">
      <c r="A1131" s="114" t="n"/>
      <c r="B1131" s="114" t="n"/>
      <c r="C1131" s="114" t="n"/>
      <c r="D1131" s="114" t="n"/>
      <c r="E1131" s="114" t="n"/>
      <c r="F1131" s="114" t="n"/>
      <c r="G1131" s="114" t="n"/>
      <c r="H1131" s="114" t="n"/>
      <c r="I1131" s="114" t="n"/>
      <c r="J1131" s="114" t="n"/>
    </row>
    <row r="1132" ht="15" customHeight="1" s="68">
      <c r="A1132" s="114" t="n"/>
      <c r="B1132" s="114" t="n"/>
      <c r="C1132" s="114" t="n"/>
      <c r="D1132" s="114" t="n"/>
      <c r="E1132" s="114" t="n"/>
      <c r="F1132" s="114" t="n"/>
      <c r="G1132" s="114" t="n"/>
      <c r="H1132" s="114" t="n"/>
      <c r="I1132" s="114" t="n"/>
      <c r="J1132" s="114" t="n"/>
    </row>
    <row r="1133" ht="15" customHeight="1" s="68">
      <c r="A1133" s="114" t="n"/>
      <c r="B1133" s="114" t="n"/>
      <c r="C1133" s="114" t="n"/>
      <c r="D1133" s="114" t="n"/>
      <c r="E1133" s="114" t="n"/>
      <c r="F1133" s="114" t="n"/>
      <c r="G1133" s="114" t="n"/>
      <c r="H1133" s="114" t="n"/>
      <c r="I1133" s="114" t="n"/>
      <c r="J1133" s="114" t="n"/>
    </row>
    <row r="1134" ht="15" customHeight="1" s="68">
      <c r="A1134" s="114" t="n"/>
      <c r="B1134" s="114" t="n"/>
      <c r="C1134" s="114" t="n"/>
      <c r="D1134" s="114" t="n"/>
      <c r="E1134" s="114" t="n"/>
      <c r="F1134" s="114" t="n"/>
      <c r="G1134" s="114" t="n"/>
      <c r="H1134" s="114" t="n"/>
      <c r="I1134" s="114" t="n"/>
      <c r="J1134" s="114" t="n"/>
    </row>
    <row r="1135" ht="15" customHeight="1" s="68">
      <c r="A1135" s="114" t="n"/>
      <c r="B1135" s="114" t="n"/>
      <c r="C1135" s="114" t="n"/>
      <c r="D1135" s="114" t="n"/>
      <c r="E1135" s="114" t="n"/>
      <c r="F1135" s="114" t="n"/>
      <c r="G1135" s="114" t="n"/>
      <c r="H1135" s="114" t="n"/>
      <c r="I1135" s="114" t="n"/>
      <c r="J1135" s="114" t="n"/>
    </row>
    <row r="1136" ht="15" customHeight="1" s="68">
      <c r="A1136" s="114" t="n"/>
      <c r="B1136" s="114" t="n"/>
      <c r="C1136" s="114" t="n"/>
      <c r="D1136" s="114" t="n"/>
      <c r="E1136" s="114" t="n"/>
      <c r="F1136" s="114" t="n"/>
      <c r="G1136" s="114" t="n"/>
      <c r="H1136" s="114" t="n"/>
      <c r="I1136" s="114" t="n"/>
      <c r="J1136" s="114" t="n"/>
    </row>
    <row r="1137" ht="15" customHeight="1" s="68">
      <c r="A1137" s="114" t="n"/>
      <c r="B1137" s="114" t="n"/>
      <c r="C1137" s="114" t="n"/>
      <c r="D1137" s="114" t="n"/>
      <c r="E1137" s="114" t="n"/>
      <c r="F1137" s="114" t="n"/>
      <c r="G1137" s="114" t="n"/>
      <c r="H1137" s="114" t="n"/>
      <c r="I1137" s="114" t="n"/>
      <c r="J1137" s="114" t="n"/>
    </row>
    <row r="1138" ht="15" customHeight="1" s="68">
      <c r="A1138" s="114" t="n"/>
      <c r="B1138" s="114" t="n"/>
      <c r="C1138" s="114" t="n"/>
      <c r="D1138" s="114" t="n"/>
      <c r="E1138" s="114" t="n"/>
      <c r="F1138" s="114" t="n"/>
      <c r="G1138" s="114" t="n"/>
      <c r="H1138" s="114" t="n"/>
      <c r="I1138" s="114" t="n"/>
      <c r="J1138" s="114" t="n"/>
    </row>
    <row r="1139" ht="15" customHeight="1" s="68">
      <c r="A1139" s="114" t="n"/>
      <c r="B1139" s="114" t="n"/>
      <c r="C1139" s="114" t="n"/>
      <c r="D1139" s="114" t="n"/>
      <c r="E1139" s="114" t="n"/>
      <c r="F1139" s="114" t="n"/>
      <c r="G1139" s="114" t="n"/>
      <c r="H1139" s="114" t="n"/>
      <c r="I1139" s="114" t="n"/>
      <c r="J1139" s="114" t="n"/>
    </row>
    <row r="1140" ht="15" customHeight="1" s="68">
      <c r="A1140" s="114" t="n"/>
      <c r="B1140" s="114" t="n"/>
      <c r="C1140" s="114" t="n"/>
      <c r="D1140" s="114" t="n"/>
      <c r="E1140" s="114" t="n"/>
      <c r="F1140" s="114" t="n"/>
      <c r="G1140" s="114" t="n"/>
      <c r="H1140" s="114" t="n"/>
      <c r="I1140" s="114" t="n"/>
      <c r="J1140" s="114" t="n"/>
    </row>
    <row r="1141" ht="15" customHeight="1" s="68">
      <c r="A1141" s="114" t="n"/>
      <c r="B1141" s="114" t="n"/>
      <c r="C1141" s="114" t="n"/>
      <c r="D1141" s="114" t="n"/>
      <c r="E1141" s="114" t="n"/>
      <c r="F1141" s="114" t="n"/>
      <c r="G1141" s="114" t="n"/>
      <c r="H1141" s="114" t="n"/>
      <c r="I1141" s="114" t="n"/>
      <c r="J1141" s="114" t="n"/>
    </row>
    <row r="1142" ht="15" customHeight="1" s="68">
      <c r="A1142" s="114" t="n"/>
      <c r="B1142" s="114" t="n"/>
      <c r="C1142" s="114" t="n"/>
      <c r="D1142" s="114" t="n"/>
      <c r="E1142" s="114" t="n"/>
      <c r="F1142" s="114" t="n"/>
      <c r="G1142" s="114" t="n"/>
      <c r="H1142" s="114" t="n"/>
      <c r="I1142" s="114" t="n"/>
      <c r="J1142" s="114" t="n"/>
    </row>
    <row r="1143" ht="15" customHeight="1" s="68">
      <c r="A1143" s="114" t="n"/>
      <c r="B1143" s="114" t="n"/>
      <c r="C1143" s="114" t="n"/>
      <c r="D1143" s="114" t="n"/>
      <c r="E1143" s="114" t="n"/>
      <c r="F1143" s="114" t="n"/>
      <c r="G1143" s="114" t="n"/>
      <c r="H1143" s="114" t="n"/>
      <c r="I1143" s="114" t="n"/>
      <c r="J1143" s="114" t="n"/>
    </row>
    <row r="1144" ht="15" customHeight="1" s="68">
      <c r="A1144" s="114" t="n"/>
      <c r="B1144" s="114" t="n"/>
      <c r="C1144" s="114" t="n"/>
      <c r="D1144" s="114" t="n"/>
      <c r="E1144" s="114" t="n"/>
      <c r="F1144" s="114" t="n"/>
      <c r="G1144" s="114" t="n"/>
      <c r="H1144" s="114" t="n"/>
      <c r="I1144" s="114" t="n"/>
      <c r="J1144" s="114" t="n"/>
    </row>
    <row r="1145" ht="15" customHeight="1" s="68">
      <c r="A1145" s="114" t="n"/>
      <c r="B1145" s="114" t="n"/>
      <c r="C1145" s="114" t="n"/>
      <c r="D1145" s="114" t="n"/>
      <c r="E1145" s="114" t="n"/>
      <c r="F1145" s="114" t="n"/>
      <c r="G1145" s="114" t="n"/>
      <c r="H1145" s="114" t="n"/>
      <c r="I1145" s="114" t="n"/>
      <c r="J1145" s="114" t="n"/>
    </row>
    <row r="1146" ht="15" customHeight="1" s="68">
      <c r="A1146" s="114" t="n"/>
      <c r="B1146" s="114" t="n"/>
      <c r="C1146" s="114" t="n"/>
      <c r="D1146" s="114" t="n"/>
      <c r="E1146" s="114" t="n"/>
      <c r="F1146" s="114" t="n"/>
      <c r="G1146" s="114" t="n"/>
      <c r="H1146" s="114" t="n"/>
      <c r="I1146" s="114" t="n"/>
      <c r="J1146" s="114" t="n"/>
    </row>
    <row r="1147" ht="15" customHeight="1" s="68">
      <c r="A1147" s="114" t="n"/>
      <c r="B1147" s="114" t="n"/>
      <c r="C1147" s="114" t="n"/>
      <c r="D1147" s="114" t="n"/>
      <c r="E1147" s="114" t="n"/>
      <c r="F1147" s="114" t="n"/>
      <c r="G1147" s="114" t="n"/>
      <c r="H1147" s="114" t="n"/>
      <c r="I1147" s="114" t="n"/>
      <c r="J1147" s="114" t="n"/>
    </row>
    <row r="1148" ht="15" customHeight="1" s="68">
      <c r="A1148" s="114" t="n"/>
      <c r="B1148" s="114" t="n"/>
      <c r="C1148" s="114" t="n"/>
      <c r="D1148" s="114" t="n"/>
      <c r="E1148" s="114" t="n"/>
      <c r="F1148" s="114" t="n"/>
      <c r="G1148" s="114" t="n"/>
      <c r="H1148" s="114" t="n"/>
      <c r="I1148" s="114" t="n"/>
      <c r="J1148" s="114" t="n"/>
    </row>
    <row r="1149" ht="15" customHeight="1" s="68">
      <c r="A1149" s="114" t="n"/>
      <c r="B1149" s="114" t="n"/>
      <c r="C1149" s="114" t="n"/>
      <c r="D1149" s="114" t="n"/>
      <c r="E1149" s="114" t="n"/>
      <c r="F1149" s="114" t="n"/>
      <c r="G1149" s="114" t="n"/>
      <c r="H1149" s="114" t="n"/>
      <c r="I1149" s="114" t="n"/>
      <c r="J1149" s="114" t="n"/>
    </row>
    <row r="1150" ht="15" customHeight="1" s="68">
      <c r="A1150" s="114" t="n"/>
      <c r="B1150" s="114" t="n"/>
      <c r="C1150" s="114" t="n"/>
      <c r="D1150" s="114" t="n"/>
      <c r="E1150" s="114" t="n"/>
      <c r="F1150" s="114" t="n"/>
      <c r="G1150" s="114" t="n"/>
      <c r="H1150" s="114" t="n"/>
      <c r="I1150" s="114" t="n"/>
      <c r="J1150" s="114" t="n"/>
    </row>
    <row r="1151" ht="15" customHeight="1" s="68">
      <c r="A1151" s="114" t="n"/>
      <c r="B1151" s="114" t="n"/>
      <c r="C1151" s="114" t="n"/>
      <c r="D1151" s="114" t="n"/>
      <c r="E1151" s="114" t="n"/>
      <c r="F1151" s="114" t="n"/>
      <c r="G1151" s="114" t="n"/>
      <c r="H1151" s="114" t="n"/>
      <c r="I1151" s="114" t="n"/>
      <c r="J1151" s="114" t="n"/>
    </row>
    <row r="1152" ht="15" customHeight="1" s="68">
      <c r="A1152" s="114" t="n"/>
      <c r="B1152" s="114" t="n"/>
      <c r="C1152" s="114" t="n"/>
      <c r="D1152" s="114" t="n"/>
      <c r="E1152" s="114" t="n"/>
      <c r="F1152" s="114" t="n"/>
      <c r="G1152" s="114" t="n"/>
      <c r="H1152" s="114" t="n"/>
      <c r="I1152" s="114" t="n"/>
      <c r="J1152" s="114" t="n"/>
    </row>
    <row r="1153" ht="15" customHeight="1" s="68">
      <c r="A1153" s="114" t="n"/>
      <c r="B1153" s="114" t="n"/>
      <c r="C1153" s="114" t="n"/>
      <c r="D1153" s="114" t="n"/>
      <c r="E1153" s="114" t="n"/>
      <c r="F1153" s="114" t="n"/>
      <c r="G1153" s="114" t="n"/>
      <c r="H1153" s="114" t="n"/>
      <c r="I1153" s="114" t="n"/>
      <c r="J1153" s="114" t="n"/>
    </row>
    <row r="1154" ht="15" customHeight="1" s="68">
      <c r="A1154" s="114" t="n"/>
      <c r="B1154" s="114" t="n"/>
      <c r="C1154" s="114" t="n"/>
      <c r="D1154" s="114" t="n"/>
      <c r="E1154" s="114" t="n"/>
      <c r="F1154" s="114" t="n"/>
      <c r="G1154" s="114" t="n"/>
      <c r="H1154" s="114" t="n"/>
      <c r="I1154" s="114" t="n"/>
      <c r="J1154" s="114" t="n"/>
    </row>
    <row r="1155" ht="15" customHeight="1" s="68">
      <c r="A1155" s="114" t="n"/>
      <c r="B1155" s="114" t="n"/>
      <c r="C1155" s="114" t="n"/>
      <c r="D1155" s="114" t="n"/>
      <c r="E1155" s="114" t="n"/>
      <c r="F1155" s="114" t="n"/>
      <c r="G1155" s="114" t="n"/>
      <c r="H1155" s="114" t="n"/>
      <c r="I1155" s="114" t="n"/>
      <c r="J1155" s="114" t="n"/>
    </row>
    <row r="1156" ht="15" customHeight="1" s="68">
      <c r="A1156" s="114" t="n"/>
      <c r="B1156" s="114" t="n"/>
      <c r="C1156" s="114" t="n"/>
      <c r="D1156" s="114" t="n"/>
      <c r="E1156" s="114" t="n"/>
      <c r="F1156" s="114" t="n"/>
      <c r="G1156" s="114" t="n"/>
      <c r="H1156" s="114" t="n"/>
      <c r="I1156" s="114" t="n"/>
      <c r="J1156" s="114" t="n"/>
    </row>
    <row r="1157" ht="15" customHeight="1" s="68">
      <c r="A1157" s="114" t="n"/>
      <c r="B1157" s="114" t="n"/>
      <c r="C1157" s="114" t="n"/>
      <c r="D1157" s="114" t="n"/>
      <c r="E1157" s="114" t="n"/>
      <c r="F1157" s="114" t="n"/>
      <c r="G1157" s="114" t="n"/>
      <c r="H1157" s="114" t="n"/>
      <c r="I1157" s="114" t="n"/>
      <c r="J1157" s="114" t="n"/>
    </row>
    <row r="1158" ht="15" customHeight="1" s="68">
      <c r="A1158" s="114" t="n"/>
      <c r="B1158" s="114" t="n"/>
      <c r="C1158" s="114" t="n"/>
      <c r="D1158" s="114" t="n"/>
      <c r="E1158" s="114" t="n"/>
      <c r="F1158" s="114" t="n"/>
      <c r="G1158" s="114" t="n"/>
      <c r="H1158" s="114" t="n"/>
      <c r="I1158" s="114" t="n"/>
      <c r="J1158" s="114" t="n"/>
    </row>
    <row r="1159" ht="15" customHeight="1" s="68">
      <c r="A1159" s="114" t="n"/>
      <c r="B1159" s="114" t="n"/>
      <c r="C1159" s="114" t="n"/>
      <c r="D1159" s="114" t="n"/>
      <c r="E1159" s="114" t="n"/>
      <c r="F1159" s="114" t="n"/>
      <c r="G1159" s="114" t="n"/>
      <c r="H1159" s="114" t="n"/>
      <c r="I1159" s="114" t="n"/>
      <c r="J1159" s="114" t="n"/>
    </row>
    <row r="1160" ht="15" customHeight="1" s="68">
      <c r="A1160" s="114" t="n"/>
      <c r="B1160" s="114" t="n"/>
      <c r="C1160" s="114" t="n"/>
      <c r="D1160" s="114" t="n"/>
      <c r="E1160" s="114" t="n"/>
      <c r="F1160" s="114" t="n"/>
      <c r="G1160" s="114" t="n"/>
      <c r="H1160" s="114" t="n"/>
      <c r="I1160" s="114" t="n"/>
      <c r="J1160" s="114" t="n"/>
    </row>
    <row r="1161" ht="15" customHeight="1" s="68">
      <c r="A1161" s="114" t="n"/>
      <c r="B1161" s="114" t="n"/>
      <c r="C1161" s="114" t="n"/>
      <c r="D1161" s="114" t="n"/>
      <c r="E1161" s="114" t="n"/>
      <c r="F1161" s="114" t="n"/>
      <c r="G1161" s="114" t="n"/>
      <c r="H1161" s="114" t="n"/>
      <c r="I1161" s="114" t="n"/>
      <c r="J1161" s="114" t="n"/>
    </row>
    <row r="1162" ht="15" customHeight="1" s="68">
      <c r="A1162" s="114" t="n"/>
      <c r="B1162" s="114" t="n"/>
      <c r="C1162" s="114" t="n"/>
      <c r="D1162" s="114" t="n"/>
      <c r="E1162" s="114" t="n"/>
      <c r="F1162" s="114" t="n"/>
      <c r="G1162" s="114" t="n"/>
      <c r="H1162" s="114" t="n"/>
      <c r="I1162" s="114" t="n"/>
      <c r="J1162" s="114" t="n"/>
    </row>
    <row r="1163" ht="15" customHeight="1" s="68">
      <c r="A1163" s="114" t="n"/>
      <c r="B1163" s="114" t="n"/>
      <c r="C1163" s="114" t="n"/>
      <c r="D1163" s="114" t="n"/>
      <c r="E1163" s="114" t="n"/>
      <c r="F1163" s="114" t="n"/>
      <c r="G1163" s="114" t="n"/>
      <c r="H1163" s="114" t="n"/>
      <c r="I1163" s="114" t="n"/>
      <c r="J1163" s="114" t="n"/>
    </row>
    <row r="1164" ht="15" customHeight="1" s="68">
      <c r="A1164" s="114" t="n"/>
      <c r="B1164" s="114" t="n"/>
      <c r="C1164" s="114" t="n"/>
      <c r="D1164" s="114" t="n"/>
      <c r="E1164" s="114" t="n"/>
      <c r="F1164" s="114" t="n"/>
      <c r="G1164" s="114" t="n"/>
      <c r="H1164" s="114" t="n"/>
      <c r="I1164" s="114" t="n"/>
      <c r="J1164" s="114" t="n"/>
    </row>
    <row r="1165" ht="15" customHeight="1" s="68">
      <c r="A1165" s="114" t="n"/>
      <c r="B1165" s="114" t="n"/>
      <c r="C1165" s="114" t="n"/>
      <c r="D1165" s="114" t="n"/>
      <c r="E1165" s="114" t="n"/>
      <c r="F1165" s="114" t="n"/>
      <c r="G1165" s="114" t="n"/>
      <c r="H1165" s="114" t="n"/>
      <c r="I1165" s="114" t="n"/>
      <c r="J1165" s="114" t="n"/>
    </row>
    <row r="1166" ht="15" customHeight="1" s="68">
      <c r="A1166" s="114" t="n"/>
      <c r="B1166" s="114" t="n"/>
      <c r="C1166" s="114" t="n"/>
      <c r="D1166" s="114" t="n"/>
      <c r="E1166" s="114" t="n"/>
      <c r="F1166" s="114" t="n"/>
      <c r="G1166" s="114" t="n"/>
      <c r="H1166" s="114" t="n"/>
      <c r="I1166" s="114" t="n"/>
      <c r="J1166" s="114" t="n"/>
    </row>
    <row r="1167" ht="15" customHeight="1" s="68">
      <c r="A1167" s="114" t="n"/>
      <c r="B1167" s="114" t="n"/>
      <c r="C1167" s="114" t="n"/>
      <c r="D1167" s="114" t="n"/>
      <c r="E1167" s="114" t="n"/>
      <c r="F1167" s="114" t="n"/>
      <c r="G1167" s="114" t="n"/>
      <c r="H1167" s="114" t="n"/>
      <c r="I1167" s="114" t="n"/>
      <c r="J1167" s="114" t="n"/>
    </row>
    <row r="1168" ht="15" customHeight="1" s="68">
      <c r="A1168" s="114" t="n"/>
      <c r="B1168" s="114" t="n"/>
      <c r="C1168" s="114" t="n"/>
      <c r="D1168" s="114" t="n"/>
      <c r="E1168" s="114" t="n"/>
      <c r="F1168" s="114" t="n"/>
      <c r="G1168" s="114" t="n"/>
      <c r="H1168" s="114" t="n"/>
      <c r="I1168" s="114" t="n"/>
      <c r="J1168" s="114" t="n"/>
    </row>
    <row r="1169" ht="15" customHeight="1" s="68">
      <c r="A1169" s="114" t="n"/>
      <c r="B1169" s="114" t="n"/>
      <c r="C1169" s="114" t="n"/>
      <c r="D1169" s="114" t="n"/>
      <c r="E1169" s="114" t="n"/>
      <c r="F1169" s="114" t="n"/>
      <c r="G1169" s="114" t="n"/>
      <c r="H1169" s="114" t="n"/>
      <c r="I1169" s="114" t="n"/>
      <c r="J1169" s="114" t="n"/>
    </row>
    <row r="1170" ht="15" customHeight="1" s="68">
      <c r="A1170" s="114" t="n"/>
      <c r="B1170" s="114" t="n"/>
      <c r="C1170" s="114" t="n"/>
      <c r="D1170" s="114" t="n"/>
      <c r="E1170" s="114" t="n"/>
      <c r="F1170" s="114" t="n"/>
      <c r="G1170" s="114" t="n"/>
      <c r="H1170" s="114" t="n"/>
      <c r="I1170" s="114" t="n"/>
      <c r="J1170" s="114" t="n"/>
    </row>
    <row r="1171" ht="15" customHeight="1" s="68">
      <c r="A1171" s="114" t="n"/>
      <c r="B1171" s="114" t="n"/>
      <c r="C1171" s="114" t="n"/>
      <c r="D1171" s="114" t="n"/>
      <c r="E1171" s="114" t="n"/>
      <c r="F1171" s="114" t="n"/>
      <c r="G1171" s="114" t="n"/>
      <c r="H1171" s="114" t="n"/>
      <c r="I1171" s="114" t="n"/>
      <c r="J1171" s="114" t="n"/>
    </row>
    <row r="1172" ht="15" customHeight="1" s="68">
      <c r="A1172" s="114" t="n"/>
      <c r="B1172" s="114" t="n"/>
      <c r="C1172" s="114" t="n"/>
      <c r="D1172" s="114" t="n"/>
      <c r="E1172" s="114" t="n"/>
      <c r="F1172" s="114" t="n"/>
      <c r="G1172" s="114" t="n"/>
      <c r="H1172" s="114" t="n"/>
      <c r="I1172" s="114" t="n"/>
      <c r="J1172" s="114" t="n"/>
    </row>
    <row r="1173" ht="15" customHeight="1" s="68">
      <c r="A1173" s="114" t="n"/>
      <c r="B1173" s="114" t="n"/>
      <c r="C1173" s="114" t="n"/>
      <c r="D1173" s="114" t="n"/>
      <c r="E1173" s="114" t="n"/>
      <c r="F1173" s="114" t="n"/>
      <c r="G1173" s="114" t="n"/>
      <c r="H1173" s="114" t="n"/>
      <c r="I1173" s="114" t="n"/>
      <c r="J1173" s="114" t="n"/>
    </row>
    <row r="1174" ht="15" customHeight="1" s="68">
      <c r="A1174" s="114" t="n"/>
      <c r="B1174" s="114" t="n"/>
      <c r="C1174" s="114" t="n"/>
      <c r="D1174" s="114" t="n"/>
      <c r="E1174" s="114" t="n"/>
      <c r="F1174" s="114" t="n"/>
      <c r="G1174" s="114" t="n"/>
      <c r="H1174" s="114" t="n"/>
      <c r="I1174" s="114" t="n"/>
      <c r="J1174" s="114" t="n"/>
    </row>
    <row r="1175" ht="15" customHeight="1" s="68">
      <c r="A1175" s="114" t="n"/>
      <c r="B1175" s="114" t="n"/>
      <c r="C1175" s="114" t="n"/>
      <c r="D1175" s="114" t="n"/>
      <c r="E1175" s="114" t="n"/>
      <c r="F1175" s="114" t="n"/>
      <c r="G1175" s="114" t="n"/>
      <c r="H1175" s="114" t="n"/>
      <c r="I1175" s="114" t="n"/>
      <c r="J1175" s="114" t="n"/>
    </row>
    <row r="1176" ht="15" customHeight="1" s="68">
      <c r="A1176" s="114" t="n"/>
      <c r="B1176" s="114" t="n"/>
      <c r="C1176" s="114" t="n"/>
      <c r="D1176" s="114" t="n"/>
      <c r="E1176" s="114" t="n"/>
      <c r="F1176" s="114" t="n"/>
      <c r="G1176" s="114" t="n"/>
      <c r="H1176" s="114" t="n"/>
      <c r="I1176" s="114" t="n"/>
      <c r="J1176" s="114" t="n"/>
    </row>
    <row r="1177" ht="15" customHeight="1" s="68">
      <c r="A1177" s="114" t="n"/>
      <c r="B1177" s="114" t="n"/>
      <c r="C1177" s="114" t="n"/>
      <c r="D1177" s="114" t="n"/>
      <c r="E1177" s="114" t="n"/>
      <c r="F1177" s="114" t="n"/>
      <c r="G1177" s="114" t="n"/>
      <c r="H1177" s="114" t="n"/>
      <c r="I1177" s="114" t="n"/>
      <c r="J1177" s="114" t="n"/>
    </row>
    <row r="1178" ht="15" customHeight="1" s="68">
      <c r="A1178" s="114" t="n"/>
      <c r="B1178" s="114" t="n"/>
      <c r="C1178" s="114" t="n"/>
      <c r="D1178" s="114" t="n"/>
      <c r="E1178" s="114" t="n"/>
      <c r="F1178" s="114" t="n"/>
      <c r="G1178" s="114" t="n"/>
      <c r="H1178" s="114" t="n"/>
      <c r="I1178" s="114" t="n"/>
      <c r="J1178" s="114" t="n"/>
    </row>
    <row r="1179" ht="15" customHeight="1" s="68">
      <c r="A1179" s="114" t="n"/>
      <c r="B1179" s="114" t="n"/>
      <c r="C1179" s="114" t="n"/>
      <c r="D1179" s="114" t="n"/>
      <c r="E1179" s="114" t="n"/>
      <c r="F1179" s="114" t="n"/>
      <c r="G1179" s="114" t="n"/>
      <c r="H1179" s="114" t="n"/>
      <c r="I1179" s="114" t="n"/>
      <c r="J1179" s="114" t="n"/>
    </row>
    <row r="1180" ht="15" customHeight="1" s="68">
      <c r="A1180" s="114" t="n"/>
      <c r="B1180" s="114" t="n"/>
      <c r="C1180" s="114" t="n"/>
      <c r="D1180" s="114" t="n"/>
      <c r="E1180" s="114" t="n"/>
      <c r="F1180" s="114" t="n"/>
      <c r="G1180" s="114" t="n"/>
      <c r="H1180" s="114" t="n"/>
      <c r="I1180" s="114" t="n"/>
      <c r="J1180" s="114" t="n"/>
    </row>
    <row r="1181" ht="15" customHeight="1" s="68">
      <c r="A1181" s="114" t="n"/>
      <c r="B1181" s="114" t="n"/>
      <c r="C1181" s="114" t="n"/>
      <c r="D1181" s="114" t="n"/>
      <c r="E1181" s="114" t="n"/>
      <c r="F1181" s="114" t="n"/>
      <c r="G1181" s="114" t="n"/>
      <c r="H1181" s="114" t="n"/>
      <c r="I1181" s="114" t="n"/>
      <c r="J1181" s="114" t="n"/>
    </row>
    <row r="1182" ht="15" customHeight="1" s="68">
      <c r="A1182" s="114" t="n"/>
      <c r="B1182" s="114" t="n"/>
      <c r="C1182" s="114" t="n"/>
      <c r="D1182" s="114" t="n"/>
      <c r="E1182" s="114" t="n"/>
      <c r="F1182" s="114" t="n"/>
      <c r="G1182" s="114" t="n"/>
      <c r="H1182" s="114" t="n"/>
      <c r="I1182" s="114" t="n"/>
      <c r="J1182" s="114" t="n"/>
    </row>
    <row r="1183" ht="15" customHeight="1" s="68">
      <c r="A1183" s="114" t="n"/>
      <c r="B1183" s="114" t="n"/>
      <c r="C1183" s="114" t="n"/>
      <c r="D1183" s="114" t="n"/>
      <c r="E1183" s="114" t="n"/>
      <c r="F1183" s="114" t="n"/>
      <c r="G1183" s="114" t="n"/>
      <c r="H1183" s="114" t="n"/>
      <c r="I1183" s="114" t="n"/>
      <c r="J1183" s="114" t="n"/>
    </row>
    <row r="1184" ht="15" customHeight="1" s="68">
      <c r="A1184" s="114" t="n"/>
      <c r="B1184" s="114" t="n"/>
      <c r="C1184" s="114" t="n"/>
      <c r="D1184" s="114" t="n"/>
      <c r="E1184" s="114" t="n"/>
      <c r="F1184" s="114" t="n"/>
      <c r="G1184" s="114" t="n"/>
      <c r="H1184" s="114" t="n"/>
      <c r="I1184" s="114" t="n"/>
      <c r="J1184" s="114" t="n"/>
    </row>
    <row r="1185" ht="15" customHeight="1" s="68">
      <c r="A1185" s="114" t="n"/>
      <c r="B1185" s="114" t="n"/>
      <c r="C1185" s="114" t="n"/>
      <c r="D1185" s="114" t="n"/>
      <c r="E1185" s="114" t="n"/>
      <c r="F1185" s="114" t="n"/>
      <c r="G1185" s="114" t="n"/>
      <c r="H1185" s="114" t="n"/>
      <c r="I1185" s="114" t="n"/>
      <c r="J1185" s="114" t="n"/>
    </row>
    <row r="1186" ht="15" customHeight="1" s="68">
      <c r="A1186" s="114" t="n"/>
      <c r="B1186" s="114" t="n"/>
      <c r="C1186" s="114" t="n"/>
      <c r="D1186" s="114" t="n"/>
      <c r="E1186" s="114" t="n"/>
      <c r="F1186" s="114" t="n"/>
      <c r="G1186" s="114" t="n"/>
      <c r="H1186" s="114" t="n"/>
      <c r="I1186" s="114" t="n"/>
      <c r="J1186" s="114" t="n"/>
    </row>
    <row r="1187" ht="15" customHeight="1" s="68">
      <c r="A1187" s="114" t="n"/>
      <c r="B1187" s="114" t="n"/>
      <c r="C1187" s="114" t="n"/>
      <c r="D1187" s="114" t="n"/>
      <c r="E1187" s="114" t="n"/>
      <c r="F1187" s="114" t="n"/>
      <c r="G1187" s="114" t="n"/>
      <c r="H1187" s="114" t="n"/>
      <c r="I1187" s="114" t="n"/>
      <c r="J1187" s="114" t="n"/>
    </row>
    <row r="1188" ht="15" customHeight="1" s="68">
      <c r="A1188" s="114" t="n"/>
      <c r="B1188" s="114" t="n"/>
      <c r="C1188" s="114" t="n"/>
      <c r="D1188" s="114" t="n"/>
      <c r="E1188" s="114" t="n"/>
      <c r="F1188" s="114" t="n"/>
      <c r="G1188" s="114" t="n"/>
      <c r="H1188" s="114" t="n"/>
      <c r="I1188" s="114" t="n"/>
      <c r="J1188" s="114" t="n"/>
    </row>
    <row r="1189" ht="15" customHeight="1" s="68">
      <c r="A1189" s="114" t="n"/>
      <c r="B1189" s="114" t="n"/>
      <c r="C1189" s="114" t="n"/>
      <c r="D1189" s="114" t="n"/>
      <c r="E1189" s="114" t="n"/>
      <c r="F1189" s="114" t="n"/>
      <c r="G1189" s="114" t="n"/>
      <c r="H1189" s="114" t="n"/>
      <c r="I1189" s="114" t="n"/>
      <c r="J1189" s="114" t="n"/>
    </row>
    <row r="1190" ht="15" customHeight="1" s="68">
      <c r="A1190" s="114" t="n"/>
      <c r="B1190" s="114" t="n"/>
      <c r="C1190" s="114" t="n"/>
      <c r="D1190" s="114" t="n"/>
      <c r="E1190" s="114" t="n"/>
      <c r="F1190" s="114" t="n"/>
      <c r="G1190" s="114" t="n"/>
      <c r="H1190" s="114" t="n"/>
      <c r="I1190" s="114" t="n"/>
      <c r="J1190" s="114" t="n"/>
    </row>
    <row r="1191" ht="15" customHeight="1" s="68">
      <c r="A1191" s="114" t="n"/>
      <c r="B1191" s="114" t="n"/>
      <c r="C1191" s="114" t="n"/>
      <c r="D1191" s="114" t="n"/>
      <c r="E1191" s="114" t="n"/>
      <c r="F1191" s="114" t="n"/>
      <c r="G1191" s="114" t="n"/>
      <c r="H1191" s="114" t="n"/>
      <c r="I1191" s="114" t="n"/>
      <c r="J1191" s="114" t="n"/>
    </row>
    <row r="1192" ht="15" customHeight="1" s="68">
      <c r="A1192" s="114" t="n"/>
      <c r="B1192" s="114" t="n"/>
      <c r="C1192" s="114" t="n"/>
      <c r="D1192" s="114" t="n"/>
      <c r="E1192" s="114" t="n"/>
      <c r="F1192" s="114" t="n"/>
      <c r="G1192" s="114" t="n"/>
      <c r="H1192" s="114" t="n"/>
      <c r="I1192" s="114" t="n"/>
      <c r="J1192" s="114" t="n"/>
    </row>
    <row r="1193" ht="15" customHeight="1" s="68">
      <c r="A1193" s="114" t="n"/>
      <c r="B1193" s="114" t="n"/>
      <c r="C1193" s="114" t="n"/>
      <c r="D1193" s="114" t="n"/>
      <c r="E1193" s="114" t="n"/>
      <c r="F1193" s="114" t="n"/>
      <c r="G1193" s="114" t="n"/>
      <c r="H1193" s="114" t="n"/>
      <c r="I1193" s="114" t="n"/>
      <c r="J1193" s="114" t="n"/>
    </row>
    <row r="1194" ht="15" customHeight="1" s="68">
      <c r="A1194" s="114" t="n"/>
      <c r="B1194" s="114" t="n"/>
      <c r="C1194" s="114" t="n"/>
      <c r="D1194" s="114" t="n"/>
      <c r="E1194" s="114" t="n"/>
      <c r="F1194" s="114" t="n"/>
      <c r="G1194" s="114" t="n"/>
      <c r="H1194" s="114" t="n"/>
      <c r="I1194" s="114" t="n"/>
      <c r="J1194" s="114" t="n"/>
    </row>
    <row r="1195" ht="15" customHeight="1" s="68">
      <c r="A1195" s="114" t="n"/>
      <c r="B1195" s="114" t="n"/>
      <c r="C1195" s="114" t="n"/>
      <c r="D1195" s="114" t="n"/>
      <c r="E1195" s="114" t="n"/>
      <c r="F1195" s="114" t="n"/>
      <c r="G1195" s="114" t="n"/>
      <c r="H1195" s="114" t="n"/>
      <c r="I1195" s="114" t="n"/>
      <c r="J1195" s="114" t="n"/>
    </row>
    <row r="1196" ht="15" customHeight="1" s="68">
      <c r="A1196" s="114" t="n"/>
      <c r="B1196" s="114" t="n"/>
      <c r="C1196" s="114" t="n"/>
      <c r="D1196" s="114" t="n"/>
      <c r="E1196" s="114" t="n"/>
      <c r="F1196" s="114" t="n"/>
      <c r="G1196" s="114" t="n"/>
      <c r="H1196" s="114" t="n"/>
      <c r="I1196" s="114" t="n"/>
      <c r="J1196" s="114" t="n"/>
    </row>
    <row r="1197" ht="15" customHeight="1" s="68">
      <c r="A1197" s="114" t="n"/>
      <c r="B1197" s="114" t="n"/>
      <c r="C1197" s="114" t="n"/>
      <c r="D1197" s="114" t="n"/>
      <c r="E1197" s="114" t="n"/>
      <c r="F1197" s="114" t="n"/>
      <c r="G1197" s="114" t="n"/>
      <c r="H1197" s="114" t="n"/>
      <c r="I1197" s="114" t="n"/>
      <c r="J1197" s="114" t="n"/>
    </row>
    <row r="1198" ht="15" customHeight="1" s="68">
      <c r="A1198" s="114" t="n"/>
      <c r="B1198" s="114" t="n"/>
      <c r="C1198" s="114" t="n"/>
      <c r="D1198" s="114" t="n"/>
      <c r="E1198" s="114" t="n"/>
      <c r="F1198" s="114" t="n"/>
      <c r="G1198" s="114" t="n"/>
      <c r="H1198" s="114" t="n"/>
      <c r="I1198" s="114" t="n"/>
      <c r="J1198" s="114" t="n"/>
    </row>
    <row r="1199" ht="15" customHeight="1" s="68">
      <c r="A1199" s="114" t="n"/>
      <c r="B1199" s="114" t="n"/>
      <c r="C1199" s="114" t="n"/>
      <c r="D1199" s="114" t="n"/>
      <c r="E1199" s="114" t="n"/>
      <c r="F1199" s="114" t="n"/>
      <c r="G1199" s="114" t="n"/>
      <c r="H1199" s="114" t="n"/>
      <c r="I1199" s="114" t="n"/>
      <c r="J1199" s="114" t="n"/>
    </row>
    <row r="1200" ht="15" customHeight="1" s="68">
      <c r="A1200" s="114" t="n"/>
      <c r="B1200" s="114" t="n"/>
      <c r="C1200" s="114" t="n"/>
      <c r="D1200" s="114" t="n"/>
      <c r="E1200" s="114" t="n"/>
      <c r="F1200" s="114" t="n"/>
      <c r="G1200" s="114" t="n"/>
      <c r="H1200" s="114" t="n"/>
      <c r="I1200" s="114" t="n"/>
      <c r="J1200" s="114" t="n"/>
    </row>
    <row r="1201" ht="15" customHeight="1" s="68">
      <c r="A1201" s="114" t="n"/>
      <c r="B1201" s="114" t="n"/>
      <c r="C1201" s="114" t="n"/>
      <c r="D1201" s="114" t="n"/>
      <c r="E1201" s="114" t="n"/>
      <c r="F1201" s="114" t="n"/>
      <c r="G1201" s="114" t="n"/>
      <c r="H1201" s="114" t="n"/>
      <c r="I1201" s="114" t="n"/>
      <c r="J1201" s="114" t="n"/>
    </row>
    <row r="1202" ht="15" customHeight="1" s="68">
      <c r="A1202" s="114" t="n"/>
      <c r="B1202" s="114" t="n"/>
      <c r="C1202" s="114" t="n"/>
      <c r="D1202" s="114" t="n"/>
      <c r="E1202" s="114" t="n"/>
      <c r="F1202" s="114" t="n"/>
      <c r="G1202" s="114" t="n"/>
      <c r="H1202" s="114" t="n"/>
      <c r="I1202" s="114" t="n"/>
      <c r="J1202" s="114" t="n"/>
    </row>
    <row r="1203" ht="15" customHeight="1" s="68">
      <c r="A1203" s="114" t="n"/>
      <c r="B1203" s="114" t="n"/>
      <c r="C1203" s="114" t="n"/>
      <c r="D1203" s="114" t="n"/>
      <c r="E1203" s="114" t="n"/>
      <c r="F1203" s="114" t="n"/>
      <c r="G1203" s="114" t="n"/>
      <c r="H1203" s="114" t="n"/>
      <c r="I1203" s="114" t="n"/>
      <c r="J1203" s="114" t="n"/>
    </row>
    <row r="1204" ht="15" customHeight="1" s="68">
      <c r="A1204" s="114" t="n"/>
      <c r="B1204" s="114" t="n"/>
      <c r="C1204" s="114" t="n"/>
      <c r="D1204" s="114" t="n"/>
      <c r="E1204" s="114" t="n"/>
      <c r="F1204" s="114" t="n"/>
      <c r="G1204" s="114" t="n"/>
      <c r="H1204" s="114" t="n"/>
      <c r="I1204" s="114" t="n"/>
      <c r="J1204" s="114" t="n"/>
    </row>
    <row r="1205" ht="15" customHeight="1" s="68">
      <c r="A1205" s="114" t="n"/>
      <c r="B1205" s="114" t="n"/>
      <c r="C1205" s="114" t="n"/>
      <c r="D1205" s="114" t="n"/>
      <c r="E1205" s="114" t="n"/>
      <c r="F1205" s="114" t="n"/>
      <c r="G1205" s="114" t="n"/>
      <c r="H1205" s="114" t="n"/>
      <c r="I1205" s="114" t="n"/>
      <c r="J1205" s="114" t="n"/>
    </row>
    <row r="1206" ht="15" customHeight="1" s="68">
      <c r="A1206" s="114" t="n"/>
      <c r="B1206" s="114" t="n"/>
      <c r="C1206" s="114" t="n"/>
      <c r="D1206" s="114" t="n"/>
      <c r="E1206" s="114" t="n"/>
      <c r="F1206" s="114" t="n"/>
      <c r="G1206" s="114" t="n"/>
      <c r="H1206" s="114" t="n"/>
      <c r="I1206" s="114" t="n"/>
      <c r="J1206" s="114" t="n"/>
    </row>
    <row r="1207" ht="15" customHeight="1" s="68">
      <c r="A1207" s="114" t="n"/>
      <c r="B1207" s="114" t="n"/>
      <c r="C1207" s="114" t="n"/>
      <c r="D1207" s="114" t="n"/>
      <c r="E1207" s="114" t="n"/>
      <c r="F1207" s="114" t="n"/>
      <c r="G1207" s="114" t="n"/>
      <c r="H1207" s="114" t="n"/>
      <c r="I1207" s="114" t="n"/>
      <c r="J1207" s="114" t="n"/>
    </row>
    <row r="1208" ht="15" customHeight="1" s="68">
      <c r="A1208" s="114" t="n"/>
      <c r="B1208" s="114" t="n"/>
      <c r="C1208" s="114" t="n"/>
      <c r="D1208" s="114" t="n"/>
      <c r="E1208" s="114" t="n"/>
      <c r="F1208" s="114" t="n"/>
      <c r="G1208" s="114" t="n"/>
      <c r="H1208" s="114" t="n"/>
      <c r="I1208" s="114" t="n"/>
      <c r="J1208" s="114" t="n"/>
    </row>
    <row r="1209" ht="15" customHeight="1" s="68">
      <c r="A1209" s="114" t="n"/>
      <c r="B1209" s="114" t="n"/>
      <c r="C1209" s="114" t="n"/>
      <c r="D1209" s="114" t="n"/>
      <c r="E1209" s="114" t="n"/>
      <c r="F1209" s="114" t="n"/>
      <c r="G1209" s="114" t="n"/>
      <c r="H1209" s="114" t="n"/>
      <c r="I1209" s="114" t="n"/>
      <c r="J1209" s="114" t="n"/>
    </row>
    <row r="1210" ht="15" customHeight="1" s="68">
      <c r="A1210" s="114" t="n"/>
      <c r="B1210" s="114" t="n"/>
      <c r="C1210" s="114" t="n"/>
      <c r="D1210" s="114" t="n"/>
      <c r="E1210" s="114" t="n"/>
      <c r="F1210" s="114" t="n"/>
      <c r="G1210" s="114" t="n"/>
      <c r="H1210" s="114" t="n"/>
      <c r="I1210" s="114" t="n"/>
      <c r="J1210" s="114" t="n"/>
    </row>
    <row r="1211" ht="15" customHeight="1" s="68">
      <c r="A1211" s="114" t="n"/>
      <c r="B1211" s="114" t="n"/>
      <c r="C1211" s="114" t="n"/>
      <c r="D1211" s="114" t="n"/>
      <c r="E1211" s="114" t="n"/>
      <c r="F1211" s="114" t="n"/>
      <c r="G1211" s="114" t="n"/>
      <c r="H1211" s="114" t="n"/>
      <c r="I1211" s="114" t="n"/>
      <c r="J1211" s="114" t="n"/>
    </row>
    <row r="1212" ht="15" customHeight="1" s="68">
      <c r="A1212" s="114" t="n"/>
      <c r="B1212" s="114" t="n"/>
      <c r="C1212" s="114" t="n"/>
      <c r="D1212" s="114" t="n"/>
      <c r="E1212" s="114" t="n"/>
      <c r="F1212" s="114" t="n"/>
      <c r="G1212" s="114" t="n"/>
      <c r="H1212" s="114" t="n"/>
      <c r="I1212" s="114" t="n"/>
      <c r="J1212" s="114" t="n"/>
    </row>
    <row r="1213" ht="15" customHeight="1" s="68">
      <c r="A1213" s="114" t="n"/>
      <c r="B1213" s="114" t="n"/>
      <c r="C1213" s="114" t="n"/>
      <c r="D1213" s="114" t="n"/>
      <c r="E1213" s="114" t="n"/>
      <c r="F1213" s="114" t="n"/>
      <c r="G1213" s="114" t="n"/>
      <c r="H1213" s="114" t="n"/>
      <c r="I1213" s="114" t="n"/>
      <c r="J1213" s="114" t="n"/>
    </row>
    <row r="1214" ht="15" customHeight="1" s="68">
      <c r="A1214" s="114" t="n"/>
      <c r="B1214" s="114" t="n"/>
      <c r="C1214" s="114" t="n"/>
      <c r="D1214" s="114" t="n"/>
      <c r="E1214" s="114" t="n"/>
      <c r="F1214" s="114" t="n"/>
      <c r="G1214" s="114" t="n"/>
      <c r="H1214" s="114" t="n"/>
      <c r="I1214" s="114" t="n"/>
      <c r="J1214" s="114" t="n"/>
    </row>
    <row r="1215" ht="15" customHeight="1" s="68">
      <c r="A1215" s="114" t="n"/>
      <c r="B1215" s="114" t="n"/>
      <c r="C1215" s="114" t="n"/>
      <c r="D1215" s="114" t="n"/>
      <c r="E1215" s="114" t="n"/>
      <c r="F1215" s="114" t="n"/>
      <c r="G1215" s="114" t="n"/>
      <c r="H1215" s="114" t="n"/>
      <c r="I1215" s="114" t="n"/>
      <c r="J1215" s="114" t="n"/>
    </row>
    <row r="1216" ht="15" customHeight="1" s="68">
      <c r="A1216" s="114" t="n"/>
      <c r="B1216" s="114" t="n"/>
      <c r="C1216" s="114" t="n"/>
      <c r="D1216" s="114" t="n"/>
      <c r="E1216" s="114" t="n"/>
      <c r="F1216" s="114" t="n"/>
      <c r="G1216" s="114" t="n"/>
      <c r="H1216" s="114" t="n"/>
      <c r="I1216" s="114" t="n"/>
      <c r="J1216" s="114" t="n"/>
    </row>
    <row r="1217" ht="15" customHeight="1" s="68">
      <c r="A1217" s="114" t="n"/>
      <c r="B1217" s="114" t="n"/>
      <c r="C1217" s="114" t="n"/>
      <c r="D1217" s="114" t="n"/>
      <c r="E1217" s="114" t="n"/>
      <c r="F1217" s="114" t="n"/>
      <c r="G1217" s="114" t="n"/>
      <c r="H1217" s="114" t="n"/>
      <c r="I1217" s="114" t="n"/>
      <c r="J1217" s="114" t="n"/>
    </row>
    <row r="1218" ht="15" customHeight="1" s="68">
      <c r="A1218" s="114" t="n"/>
      <c r="B1218" s="114" t="n"/>
      <c r="C1218" s="114" t="n"/>
      <c r="D1218" s="114" t="n"/>
      <c r="E1218" s="114" t="n"/>
      <c r="F1218" s="114" t="n"/>
      <c r="G1218" s="114" t="n"/>
      <c r="H1218" s="114" t="n"/>
      <c r="I1218" s="114" t="n"/>
      <c r="J1218" s="114" t="n"/>
    </row>
    <row r="1219" ht="15" customHeight="1" s="68">
      <c r="A1219" s="114" t="n"/>
      <c r="B1219" s="114" t="n"/>
      <c r="C1219" s="114" t="n"/>
      <c r="D1219" s="114" t="n"/>
      <c r="E1219" s="114" t="n"/>
      <c r="F1219" s="114" t="n"/>
      <c r="G1219" s="114" t="n"/>
      <c r="H1219" s="114" t="n"/>
      <c r="I1219" s="114" t="n"/>
      <c r="J1219" s="114" t="n"/>
    </row>
    <row r="1220" ht="15" customHeight="1" s="68">
      <c r="A1220" s="114" t="n"/>
      <c r="B1220" s="114" t="n"/>
      <c r="C1220" s="114" t="n"/>
      <c r="D1220" s="114" t="n"/>
      <c r="E1220" s="114" t="n"/>
      <c r="F1220" s="114" t="n"/>
      <c r="G1220" s="114" t="n"/>
      <c r="H1220" s="114" t="n"/>
      <c r="I1220" s="114" t="n"/>
      <c r="J1220" s="114" t="n"/>
    </row>
    <row r="1221" ht="15" customHeight="1" s="68">
      <c r="A1221" s="114" t="n"/>
      <c r="B1221" s="114" t="n"/>
      <c r="C1221" s="114" t="n"/>
      <c r="D1221" s="114" t="n"/>
      <c r="E1221" s="114" t="n"/>
      <c r="F1221" s="114" t="n"/>
      <c r="G1221" s="114" t="n"/>
      <c r="H1221" s="114" t="n"/>
      <c r="I1221" s="114" t="n"/>
      <c r="J1221" s="114" t="n"/>
    </row>
    <row r="1222" ht="15" customHeight="1" s="68">
      <c r="A1222" s="114" t="n"/>
      <c r="B1222" s="114" t="n"/>
      <c r="C1222" s="114" t="n"/>
      <c r="D1222" s="114" t="n"/>
      <c r="E1222" s="114" t="n"/>
      <c r="F1222" s="114" t="n"/>
      <c r="G1222" s="114" t="n"/>
      <c r="H1222" s="114" t="n"/>
      <c r="I1222" s="114" t="n"/>
      <c r="J1222" s="114" t="n"/>
    </row>
    <row r="1223" ht="15" customHeight="1" s="68">
      <c r="A1223" s="114" t="n"/>
      <c r="B1223" s="114" t="n"/>
      <c r="C1223" s="114" t="n"/>
      <c r="D1223" s="114" t="n"/>
      <c r="E1223" s="114" t="n"/>
      <c r="F1223" s="114" t="n"/>
      <c r="G1223" s="114" t="n"/>
      <c r="H1223" s="114" t="n"/>
      <c r="I1223" s="114" t="n"/>
      <c r="J1223" s="114" t="n"/>
    </row>
    <row r="1224" ht="15" customHeight="1" s="68">
      <c r="A1224" s="114" t="n"/>
      <c r="B1224" s="114" t="n"/>
      <c r="C1224" s="114" t="n"/>
      <c r="D1224" s="114" t="n"/>
      <c r="E1224" s="114" t="n"/>
      <c r="F1224" s="114" t="n"/>
      <c r="G1224" s="114" t="n"/>
      <c r="H1224" s="114" t="n"/>
      <c r="I1224" s="114" t="n"/>
      <c r="J1224" s="114" t="n"/>
    </row>
    <row r="1225" ht="15" customHeight="1" s="68">
      <c r="A1225" s="114" t="n"/>
      <c r="B1225" s="114" t="n"/>
      <c r="C1225" s="114" t="n"/>
      <c r="D1225" s="114" t="n"/>
      <c r="E1225" s="114" t="n"/>
      <c r="F1225" s="114" t="n"/>
      <c r="G1225" s="114" t="n"/>
      <c r="H1225" s="114" t="n"/>
      <c r="I1225" s="114" t="n"/>
      <c r="J1225" s="114" t="n"/>
    </row>
    <row r="1226" ht="15" customHeight="1" s="68">
      <c r="A1226" s="114" t="n"/>
      <c r="B1226" s="114" t="n"/>
      <c r="C1226" s="114" t="n"/>
      <c r="D1226" s="114" t="n"/>
      <c r="E1226" s="114" t="n"/>
      <c r="F1226" s="114" t="n"/>
      <c r="G1226" s="114" t="n"/>
      <c r="H1226" s="114" t="n"/>
      <c r="I1226" s="114" t="n"/>
      <c r="J1226" s="114" t="n"/>
    </row>
    <row r="1227" ht="15" customHeight="1" s="68">
      <c r="A1227" s="114" t="n"/>
      <c r="B1227" s="114" t="n"/>
      <c r="C1227" s="114" t="n"/>
      <c r="D1227" s="114" t="n"/>
      <c r="E1227" s="114" t="n"/>
      <c r="F1227" s="114" t="n"/>
      <c r="G1227" s="114" t="n"/>
      <c r="H1227" s="114" t="n"/>
      <c r="I1227" s="114" t="n"/>
      <c r="J1227" s="114" t="n"/>
    </row>
    <row r="1228" ht="15" customHeight="1" s="68">
      <c r="A1228" s="114" t="n"/>
      <c r="B1228" s="114" t="n"/>
      <c r="C1228" s="114" t="n"/>
      <c r="D1228" s="114" t="n"/>
      <c r="E1228" s="114" t="n"/>
      <c r="F1228" s="114" t="n"/>
      <c r="G1228" s="114" t="n"/>
      <c r="H1228" s="114" t="n"/>
      <c r="I1228" s="114" t="n"/>
      <c r="J1228" s="114" t="n"/>
    </row>
    <row r="1229" ht="15" customHeight="1" s="68">
      <c r="A1229" s="114" t="n"/>
      <c r="B1229" s="114" t="n"/>
      <c r="C1229" s="114" t="n"/>
      <c r="D1229" s="114" t="n"/>
      <c r="E1229" s="114" t="n"/>
      <c r="F1229" s="114" t="n"/>
      <c r="G1229" s="114" t="n"/>
      <c r="H1229" s="114" t="n"/>
      <c r="I1229" s="114" t="n"/>
      <c r="J1229" s="114" t="n"/>
    </row>
    <row r="1230" ht="15" customHeight="1" s="68">
      <c r="A1230" s="114" t="n"/>
      <c r="B1230" s="114" t="n"/>
      <c r="C1230" s="114" t="n"/>
      <c r="D1230" s="114" t="n"/>
      <c r="E1230" s="114" t="n"/>
      <c r="F1230" s="114" t="n"/>
      <c r="G1230" s="114" t="n"/>
      <c r="H1230" s="114" t="n"/>
      <c r="I1230" s="114" t="n"/>
      <c r="J1230" s="114" t="n"/>
    </row>
    <row r="1231" ht="15" customHeight="1" s="68">
      <c r="A1231" s="114" t="n"/>
      <c r="B1231" s="114" t="n"/>
      <c r="C1231" s="114" t="n"/>
      <c r="D1231" s="114" t="n"/>
      <c r="E1231" s="114" t="n"/>
      <c r="F1231" s="114" t="n"/>
      <c r="G1231" s="114" t="n"/>
      <c r="H1231" s="114" t="n"/>
      <c r="I1231" s="114" t="n"/>
      <c r="J1231" s="114" t="n"/>
    </row>
    <row r="1232" ht="15" customHeight="1" s="68">
      <c r="A1232" s="114" t="n"/>
      <c r="B1232" s="114" t="n"/>
      <c r="C1232" s="114" t="n"/>
      <c r="D1232" s="114" t="n"/>
      <c r="E1232" s="114" t="n"/>
      <c r="F1232" s="114" t="n"/>
      <c r="G1232" s="114" t="n"/>
      <c r="H1232" s="114" t="n"/>
      <c r="I1232" s="114" t="n"/>
      <c r="J1232" s="114" t="n"/>
    </row>
    <row r="1233" ht="15" customHeight="1" s="68">
      <c r="A1233" s="114" t="n"/>
      <c r="B1233" s="114" t="n"/>
      <c r="C1233" s="114" t="n"/>
      <c r="D1233" s="114" t="n"/>
      <c r="E1233" s="114" t="n"/>
      <c r="F1233" s="114" t="n"/>
      <c r="G1233" s="114" t="n"/>
      <c r="H1233" s="114" t="n"/>
      <c r="I1233" s="114" t="n"/>
      <c r="J1233" s="114" t="n"/>
    </row>
    <row r="1234" ht="15" customHeight="1" s="68">
      <c r="A1234" s="114" t="n"/>
      <c r="B1234" s="114" t="n"/>
      <c r="C1234" s="114" t="n"/>
      <c r="D1234" s="114" t="n"/>
      <c r="E1234" s="114" t="n"/>
      <c r="F1234" s="114" t="n"/>
      <c r="G1234" s="114" t="n"/>
      <c r="H1234" s="114" t="n"/>
      <c r="I1234" s="114" t="n"/>
      <c r="J1234" s="114" t="n"/>
    </row>
    <row r="1235" ht="15" customHeight="1" s="68">
      <c r="A1235" s="114" t="n"/>
      <c r="B1235" s="114" t="n"/>
      <c r="C1235" s="114" t="n"/>
      <c r="D1235" s="114" t="n"/>
      <c r="E1235" s="114" t="n"/>
      <c r="F1235" s="114" t="n"/>
      <c r="G1235" s="114" t="n"/>
      <c r="H1235" s="114" t="n"/>
      <c r="I1235" s="114" t="n"/>
      <c r="J1235" s="114" t="n"/>
    </row>
    <row r="1236" ht="15" customHeight="1" s="68">
      <c r="A1236" s="114" t="n"/>
      <c r="B1236" s="114" t="n"/>
      <c r="C1236" s="114" t="n"/>
      <c r="D1236" s="114" t="n"/>
      <c r="E1236" s="114" t="n"/>
      <c r="F1236" s="114" t="n"/>
      <c r="G1236" s="114" t="n"/>
      <c r="H1236" s="114" t="n"/>
      <c r="I1236" s="114" t="n"/>
      <c r="J1236" s="114" t="n"/>
    </row>
    <row r="1237" ht="15" customHeight="1" s="68">
      <c r="A1237" s="114" t="n"/>
      <c r="B1237" s="114" t="n"/>
      <c r="C1237" s="114" t="n"/>
      <c r="D1237" s="114" t="n"/>
      <c r="E1237" s="114" t="n"/>
      <c r="F1237" s="114" t="n"/>
      <c r="G1237" s="114" t="n"/>
      <c r="H1237" s="114" t="n"/>
      <c r="I1237" s="114" t="n"/>
      <c r="J1237" s="114" t="n"/>
    </row>
    <row r="1238" ht="15" customHeight="1" s="68">
      <c r="A1238" s="114" t="n"/>
      <c r="B1238" s="114" t="n"/>
      <c r="C1238" s="114" t="n"/>
      <c r="D1238" s="114" t="n"/>
      <c r="E1238" s="114" t="n"/>
      <c r="F1238" s="114" t="n"/>
      <c r="G1238" s="114" t="n"/>
      <c r="H1238" s="114" t="n"/>
      <c r="I1238" s="114" t="n"/>
      <c r="J1238" s="114" t="n"/>
    </row>
    <row r="1239" ht="15" customHeight="1" s="68">
      <c r="A1239" s="114" t="n"/>
      <c r="B1239" s="114" t="n"/>
      <c r="C1239" s="114" t="n"/>
      <c r="D1239" s="114" t="n"/>
      <c r="E1239" s="114" t="n"/>
      <c r="F1239" s="114" t="n"/>
      <c r="G1239" s="114" t="n"/>
      <c r="H1239" s="114" t="n"/>
      <c r="I1239" s="114" t="n"/>
      <c r="J1239" s="114" t="n"/>
    </row>
    <row r="1240" ht="15" customHeight="1" s="68">
      <c r="A1240" s="114" t="n"/>
      <c r="B1240" s="114" t="n"/>
      <c r="C1240" s="114" t="n"/>
      <c r="D1240" s="114" t="n"/>
      <c r="E1240" s="114" t="n"/>
      <c r="F1240" s="114" t="n"/>
      <c r="G1240" s="114" t="n"/>
      <c r="H1240" s="114" t="n"/>
      <c r="I1240" s="114" t="n"/>
      <c r="J1240" s="114" t="n"/>
    </row>
    <row r="1241" ht="15" customHeight="1" s="68">
      <c r="A1241" s="114" t="n"/>
      <c r="B1241" s="114" t="n"/>
      <c r="C1241" s="114" t="n"/>
      <c r="D1241" s="114" t="n"/>
      <c r="E1241" s="114" t="n"/>
      <c r="F1241" s="114" t="n"/>
      <c r="G1241" s="114" t="n"/>
      <c r="H1241" s="114" t="n"/>
      <c r="I1241" s="114" t="n"/>
      <c r="J1241" s="114" t="n"/>
    </row>
    <row r="1242" ht="15" customHeight="1" s="68">
      <c r="A1242" s="114" t="n"/>
      <c r="B1242" s="114" t="n"/>
      <c r="C1242" s="114" t="n"/>
      <c r="D1242" s="114" t="n"/>
      <c r="E1242" s="114" t="n"/>
      <c r="F1242" s="114" t="n"/>
      <c r="G1242" s="114" t="n"/>
      <c r="H1242" s="114" t="n"/>
      <c r="I1242" s="114" t="n"/>
      <c r="J1242" s="114" t="n"/>
    </row>
    <row r="1243" ht="15" customHeight="1" s="68">
      <c r="A1243" s="114" t="n"/>
      <c r="B1243" s="114" t="n"/>
      <c r="C1243" s="114" t="n"/>
      <c r="D1243" s="114" t="n"/>
      <c r="E1243" s="114" t="n"/>
      <c r="F1243" s="114" t="n"/>
      <c r="G1243" s="114" t="n"/>
      <c r="H1243" s="114" t="n"/>
      <c r="I1243" s="114" t="n"/>
      <c r="J1243" s="114" t="n"/>
    </row>
    <row r="1244" ht="15" customHeight="1" s="68">
      <c r="A1244" s="114" t="n"/>
      <c r="B1244" s="114" t="n"/>
      <c r="C1244" s="114" t="n"/>
      <c r="D1244" s="114" t="n"/>
      <c r="E1244" s="114" t="n"/>
      <c r="F1244" s="114" t="n"/>
      <c r="G1244" s="114" t="n"/>
      <c r="H1244" s="114" t="n"/>
      <c r="I1244" s="114" t="n"/>
      <c r="J1244" s="114" t="n"/>
    </row>
    <row r="1245" ht="15" customHeight="1" s="68">
      <c r="A1245" s="114" t="n"/>
      <c r="B1245" s="114" t="n"/>
      <c r="C1245" s="114" t="n"/>
      <c r="D1245" s="114" t="n"/>
      <c r="E1245" s="114" t="n"/>
      <c r="F1245" s="114" t="n"/>
      <c r="G1245" s="114" t="n"/>
      <c r="H1245" s="114" t="n"/>
      <c r="I1245" s="114" t="n"/>
      <c r="J1245" s="114" t="n"/>
    </row>
    <row r="1246" ht="15" customHeight="1" s="68">
      <c r="A1246" s="114" t="n"/>
      <c r="B1246" s="114" t="n"/>
      <c r="C1246" s="114" t="n"/>
      <c r="D1246" s="114" t="n"/>
      <c r="E1246" s="114" t="n"/>
      <c r="F1246" s="114" t="n"/>
      <c r="G1246" s="114" t="n"/>
      <c r="H1246" s="114" t="n"/>
      <c r="I1246" s="114" t="n"/>
      <c r="J1246" s="114" t="n"/>
    </row>
    <row r="1247" ht="15" customHeight="1" s="68">
      <c r="A1247" s="114" t="n"/>
      <c r="B1247" s="114" t="n"/>
      <c r="C1247" s="114" t="n"/>
      <c r="D1247" s="114" t="n"/>
      <c r="E1247" s="114" t="n"/>
      <c r="F1247" s="114" t="n"/>
      <c r="G1247" s="114" t="n"/>
      <c r="H1247" s="114" t="n"/>
      <c r="I1247" s="114" t="n"/>
      <c r="J1247" s="114" t="n"/>
    </row>
    <row r="1248" ht="15" customHeight="1" s="68">
      <c r="A1248" s="114" t="n"/>
      <c r="B1248" s="114" t="n"/>
      <c r="C1248" s="114" t="n"/>
      <c r="D1248" s="114" t="n"/>
      <c r="E1248" s="114" t="n"/>
      <c r="F1248" s="114" t="n"/>
      <c r="G1248" s="114" t="n"/>
      <c r="H1248" s="114" t="n"/>
      <c r="I1248" s="114" t="n"/>
      <c r="J1248" s="114" t="n"/>
    </row>
    <row r="1249" ht="15" customHeight="1" s="68">
      <c r="A1249" s="114" t="n"/>
      <c r="B1249" s="114" t="n"/>
      <c r="C1249" s="114" t="n"/>
      <c r="D1249" s="114" t="n"/>
      <c r="E1249" s="114" t="n"/>
      <c r="F1249" s="114" t="n"/>
      <c r="G1249" s="114" t="n"/>
      <c r="H1249" s="114" t="n"/>
      <c r="I1249" s="114" t="n"/>
      <c r="J1249" s="114" t="n"/>
    </row>
    <row r="1250" ht="15" customHeight="1" s="68">
      <c r="A1250" s="114" t="n"/>
      <c r="B1250" s="114" t="n"/>
      <c r="C1250" s="114" t="n"/>
      <c r="D1250" s="114" t="n"/>
      <c r="E1250" s="114" t="n"/>
      <c r="F1250" s="114" t="n"/>
      <c r="G1250" s="114" t="n"/>
      <c r="H1250" s="114" t="n"/>
      <c r="I1250" s="114" t="n"/>
      <c r="J1250" s="114" t="n"/>
    </row>
    <row r="1251" ht="15" customHeight="1" s="68">
      <c r="A1251" s="114" t="n"/>
      <c r="B1251" s="114" t="n"/>
      <c r="C1251" s="114" t="n"/>
      <c r="D1251" s="114" t="n"/>
      <c r="E1251" s="114" t="n"/>
      <c r="F1251" s="114" t="n"/>
      <c r="G1251" s="114" t="n"/>
      <c r="H1251" s="114" t="n"/>
      <c r="I1251" s="114" t="n"/>
      <c r="J1251" s="114" t="n"/>
    </row>
    <row r="1252" ht="15" customHeight="1" s="68">
      <c r="A1252" s="114" t="n"/>
      <c r="B1252" s="114" t="n"/>
      <c r="C1252" s="114" t="n"/>
      <c r="D1252" s="114" t="n"/>
      <c r="E1252" s="114" t="n"/>
      <c r="F1252" s="114" t="n"/>
      <c r="G1252" s="114" t="n"/>
      <c r="H1252" s="114" t="n"/>
      <c r="I1252" s="114" t="n"/>
      <c r="J1252" s="114" t="n"/>
    </row>
    <row r="1253" ht="15" customHeight="1" s="68">
      <c r="A1253" s="114" t="n"/>
      <c r="B1253" s="114" t="n"/>
      <c r="C1253" s="114" t="n"/>
      <c r="D1253" s="114" t="n"/>
      <c r="E1253" s="114" t="n"/>
      <c r="F1253" s="114" t="n"/>
      <c r="G1253" s="114" t="n"/>
      <c r="H1253" s="114" t="n"/>
      <c r="I1253" s="114" t="n"/>
      <c r="J1253" s="114" t="n"/>
    </row>
    <row r="1254" ht="15" customHeight="1" s="68">
      <c r="A1254" s="114" t="n"/>
      <c r="B1254" s="114" t="n"/>
      <c r="C1254" s="114" t="n"/>
      <c r="D1254" s="114" t="n"/>
      <c r="E1254" s="114" t="n"/>
      <c r="F1254" s="114" t="n"/>
      <c r="G1254" s="114" t="n"/>
      <c r="H1254" s="114" t="n"/>
      <c r="I1254" s="114" t="n"/>
      <c r="J1254" s="114" t="n"/>
    </row>
    <row r="1255" ht="15" customHeight="1" s="68">
      <c r="A1255" s="114" t="n"/>
      <c r="B1255" s="114" t="n"/>
      <c r="C1255" s="114" t="n"/>
      <c r="D1255" s="114" t="n"/>
      <c r="E1255" s="114" t="n"/>
      <c r="F1255" s="114" t="n"/>
      <c r="G1255" s="114" t="n"/>
      <c r="H1255" s="114" t="n"/>
      <c r="I1255" s="114" t="n"/>
      <c r="J1255" s="114" t="n"/>
    </row>
    <row r="1256" ht="15" customHeight="1" s="68">
      <c r="A1256" s="114" t="n"/>
      <c r="B1256" s="114" t="n"/>
      <c r="C1256" s="114" t="n"/>
      <c r="D1256" s="114" t="n"/>
      <c r="E1256" s="114" t="n"/>
      <c r="F1256" s="114" t="n"/>
      <c r="G1256" s="114" t="n"/>
      <c r="H1256" s="114" t="n"/>
      <c r="I1256" s="114" t="n"/>
      <c r="J1256" s="114" t="n"/>
    </row>
    <row r="1257" ht="15" customHeight="1" s="68">
      <c r="A1257" s="114" t="n"/>
      <c r="B1257" s="114" t="n"/>
      <c r="C1257" s="114" t="n"/>
      <c r="D1257" s="114" t="n"/>
      <c r="E1257" s="114" t="n"/>
      <c r="F1257" s="114" t="n"/>
      <c r="G1257" s="114" t="n"/>
      <c r="H1257" s="114" t="n"/>
      <c r="I1257" s="114" t="n"/>
      <c r="J1257" s="114" t="n"/>
    </row>
    <row r="1258" ht="15" customHeight="1" s="68">
      <c r="A1258" s="114" t="n"/>
      <c r="B1258" s="114" t="n"/>
      <c r="C1258" s="114" t="n"/>
      <c r="D1258" s="114" t="n"/>
      <c r="E1258" s="114" t="n"/>
      <c r="F1258" s="114" t="n"/>
      <c r="G1258" s="114" t="n"/>
      <c r="H1258" s="114" t="n"/>
      <c r="I1258" s="114" t="n"/>
      <c r="J1258" s="114" t="n"/>
    </row>
    <row r="1259" ht="15" customHeight="1" s="68">
      <c r="A1259" s="114" t="n"/>
      <c r="B1259" s="114" t="n"/>
      <c r="C1259" s="114" t="n"/>
      <c r="D1259" s="114" t="n"/>
      <c r="E1259" s="114" t="n"/>
      <c r="F1259" s="114" t="n"/>
      <c r="G1259" s="114" t="n"/>
      <c r="H1259" s="114" t="n"/>
      <c r="I1259" s="114" t="n"/>
      <c r="J1259" s="114" t="n"/>
    </row>
    <row r="1260" ht="15" customHeight="1" s="68">
      <c r="A1260" s="114" t="n"/>
      <c r="B1260" s="114" t="n"/>
      <c r="C1260" s="114" t="n"/>
      <c r="D1260" s="114" t="n"/>
      <c r="E1260" s="114" t="n"/>
      <c r="F1260" s="114" t="n"/>
      <c r="G1260" s="114" t="n"/>
      <c r="H1260" s="114" t="n"/>
      <c r="I1260" s="114" t="n"/>
      <c r="J1260" s="114" t="n"/>
    </row>
    <row r="1261" ht="15" customHeight="1" s="68">
      <c r="A1261" s="114" t="n"/>
      <c r="B1261" s="114" t="n"/>
      <c r="C1261" s="114" t="n"/>
      <c r="D1261" s="114" t="n"/>
      <c r="E1261" s="114" t="n"/>
      <c r="F1261" s="114" t="n"/>
      <c r="G1261" s="114" t="n"/>
      <c r="H1261" s="114" t="n"/>
      <c r="I1261" s="114" t="n"/>
      <c r="J1261" s="114" t="n"/>
    </row>
    <row r="1262" ht="15" customHeight="1" s="68">
      <c r="A1262" s="114" t="n"/>
      <c r="B1262" s="114" t="n"/>
      <c r="C1262" s="114" t="n"/>
      <c r="D1262" s="114" t="n"/>
      <c r="E1262" s="114" t="n"/>
      <c r="F1262" s="114" t="n"/>
      <c r="G1262" s="114" t="n"/>
      <c r="H1262" s="114" t="n"/>
      <c r="I1262" s="114" t="n"/>
      <c r="J1262" s="114" t="n"/>
    </row>
    <row r="1263" ht="15" customHeight="1" s="68">
      <c r="A1263" s="114" t="n"/>
      <c r="B1263" s="114" t="n"/>
      <c r="C1263" s="114" t="n"/>
      <c r="D1263" s="114" t="n"/>
      <c r="E1263" s="114" t="n"/>
      <c r="F1263" s="114" t="n"/>
      <c r="G1263" s="114" t="n"/>
      <c r="H1263" s="114" t="n"/>
      <c r="I1263" s="114" t="n"/>
      <c r="J1263" s="114" t="n"/>
    </row>
    <row r="1264" ht="15" customHeight="1" s="68">
      <c r="A1264" s="114" t="n"/>
      <c r="B1264" s="114" t="n"/>
      <c r="C1264" s="114" t="n"/>
      <c r="D1264" s="114" t="n"/>
      <c r="E1264" s="114" t="n"/>
      <c r="F1264" s="114" t="n"/>
      <c r="G1264" s="114" t="n"/>
      <c r="H1264" s="114" t="n"/>
      <c r="I1264" s="114" t="n"/>
      <c r="J1264" s="114" t="n"/>
    </row>
    <row r="1265" ht="15" customHeight="1" s="68">
      <c r="A1265" s="114" t="n"/>
      <c r="B1265" s="114" t="n"/>
      <c r="C1265" s="114" t="n"/>
      <c r="D1265" s="114" t="n"/>
      <c r="E1265" s="114" t="n"/>
      <c r="F1265" s="114" t="n"/>
      <c r="G1265" s="114" t="n"/>
      <c r="H1265" s="114" t="n"/>
      <c r="I1265" s="114" t="n"/>
      <c r="J1265" s="114" t="n"/>
    </row>
    <row r="1266" ht="15" customHeight="1" s="68">
      <c r="A1266" s="114" t="n"/>
      <c r="B1266" s="114" t="n"/>
      <c r="C1266" s="114" t="n"/>
      <c r="D1266" s="114" t="n"/>
      <c r="E1266" s="114" t="n"/>
      <c r="F1266" s="114" t="n"/>
      <c r="G1266" s="114" t="n"/>
      <c r="H1266" s="114" t="n"/>
      <c r="I1266" s="114" t="n"/>
      <c r="J1266" s="114" t="n"/>
    </row>
    <row r="1267" ht="15" customHeight="1" s="68">
      <c r="A1267" s="114" t="n"/>
      <c r="B1267" s="114" t="n"/>
      <c r="C1267" s="114" t="n"/>
      <c r="D1267" s="114" t="n"/>
      <c r="E1267" s="114" t="n"/>
      <c r="F1267" s="114" t="n"/>
      <c r="G1267" s="114" t="n"/>
      <c r="H1267" s="114" t="n"/>
      <c r="I1267" s="114" t="n"/>
      <c r="J1267" s="114" t="n"/>
    </row>
    <row r="1268" ht="15" customHeight="1" s="68">
      <c r="A1268" s="114" t="n"/>
      <c r="B1268" s="114" t="n"/>
      <c r="C1268" s="114" t="n"/>
      <c r="D1268" s="114" t="n"/>
      <c r="E1268" s="114" t="n"/>
      <c r="F1268" s="114" t="n"/>
      <c r="G1268" s="114" t="n"/>
      <c r="H1268" s="114" t="n"/>
      <c r="I1268" s="114" t="n"/>
      <c r="J1268" s="114" t="n"/>
    </row>
    <row r="1269" ht="15" customHeight="1" s="68">
      <c r="A1269" s="114" t="n"/>
      <c r="B1269" s="114" t="n"/>
      <c r="C1269" s="114" t="n"/>
      <c r="D1269" s="114" t="n"/>
      <c r="E1269" s="114" t="n"/>
      <c r="F1269" s="114" t="n"/>
      <c r="G1269" s="114" t="n"/>
      <c r="H1269" s="114" t="n"/>
      <c r="I1269" s="114" t="n"/>
      <c r="J1269" s="114" t="n"/>
    </row>
    <row r="1270" ht="15" customHeight="1" s="68">
      <c r="A1270" s="114" t="n"/>
      <c r="B1270" s="114" t="n"/>
      <c r="C1270" s="114" t="n"/>
      <c r="D1270" s="114" t="n"/>
      <c r="E1270" s="114" t="n"/>
      <c r="F1270" s="114" t="n"/>
      <c r="G1270" s="114" t="n"/>
      <c r="H1270" s="114" t="n"/>
      <c r="I1270" s="114" t="n"/>
      <c r="J1270" s="114" t="n"/>
    </row>
    <row r="1271" ht="15" customHeight="1" s="68">
      <c r="A1271" s="114" t="n"/>
      <c r="B1271" s="114" t="n"/>
      <c r="C1271" s="114" t="n"/>
      <c r="D1271" s="114" t="n"/>
      <c r="E1271" s="114" t="n"/>
      <c r="F1271" s="114" t="n"/>
      <c r="G1271" s="114" t="n"/>
      <c r="H1271" s="114" t="n"/>
      <c r="I1271" s="114" t="n"/>
      <c r="J1271" s="114" t="n"/>
    </row>
    <row r="1272" ht="15" customHeight="1" s="68">
      <c r="A1272" s="114" t="n"/>
      <c r="B1272" s="114" t="n"/>
      <c r="C1272" s="114" t="n"/>
      <c r="D1272" s="114" t="n"/>
      <c r="E1272" s="114" t="n"/>
      <c r="F1272" s="114" t="n"/>
      <c r="G1272" s="114" t="n"/>
      <c r="H1272" s="114" t="n"/>
      <c r="I1272" s="114" t="n"/>
      <c r="J1272" s="114" t="n"/>
    </row>
    <row r="1273" ht="15" customHeight="1" s="68">
      <c r="A1273" s="114" t="n"/>
      <c r="B1273" s="114" t="n"/>
      <c r="C1273" s="114" t="n"/>
      <c r="D1273" s="114" t="n"/>
      <c r="E1273" s="114" t="n"/>
      <c r="F1273" s="114" t="n"/>
      <c r="G1273" s="114" t="n"/>
      <c r="H1273" s="114" t="n"/>
      <c r="I1273" s="114" t="n"/>
      <c r="J1273" s="114" t="n"/>
    </row>
    <row r="1274" ht="15" customHeight="1" s="68">
      <c r="A1274" s="114" t="n"/>
      <c r="B1274" s="114" t="n"/>
      <c r="C1274" s="114" t="n"/>
      <c r="D1274" s="114" t="n"/>
      <c r="E1274" s="114" t="n"/>
      <c r="F1274" s="114" t="n"/>
      <c r="G1274" s="114" t="n"/>
      <c r="H1274" s="114" t="n"/>
      <c r="I1274" s="114" t="n"/>
      <c r="J1274" s="114" t="n"/>
    </row>
    <row r="1275" ht="15" customHeight="1" s="68">
      <c r="A1275" s="114" t="n"/>
      <c r="B1275" s="114" t="n"/>
      <c r="C1275" s="114" t="n"/>
      <c r="D1275" s="114" t="n"/>
      <c r="E1275" s="114" t="n"/>
      <c r="F1275" s="114" t="n"/>
      <c r="G1275" s="114" t="n"/>
      <c r="H1275" s="114" t="n"/>
      <c r="I1275" s="114" t="n"/>
      <c r="J1275" s="114" t="n"/>
    </row>
    <row r="1276" ht="15" customHeight="1" s="68">
      <c r="A1276" s="114" t="n"/>
      <c r="B1276" s="114" t="n"/>
      <c r="C1276" s="114" t="n"/>
      <c r="D1276" s="114" t="n"/>
      <c r="E1276" s="114" t="n"/>
      <c r="F1276" s="114" t="n"/>
      <c r="G1276" s="114" t="n"/>
      <c r="H1276" s="114" t="n"/>
      <c r="I1276" s="114" t="n"/>
      <c r="J1276" s="114" t="n"/>
    </row>
    <row r="1277" ht="15" customHeight="1" s="68">
      <c r="A1277" s="114" t="n"/>
      <c r="B1277" s="114" t="n"/>
      <c r="C1277" s="114" t="n"/>
      <c r="D1277" s="114" t="n"/>
      <c r="E1277" s="114" t="n"/>
      <c r="F1277" s="114" t="n"/>
      <c r="G1277" s="114" t="n"/>
      <c r="H1277" s="114" t="n"/>
      <c r="I1277" s="114" t="n"/>
      <c r="J1277" s="114" t="n"/>
    </row>
    <row r="1278" ht="15" customHeight="1" s="68">
      <c r="A1278" s="114" t="n"/>
      <c r="B1278" s="114" t="n"/>
      <c r="C1278" s="114" t="n"/>
      <c r="D1278" s="114" t="n"/>
      <c r="E1278" s="114" t="n"/>
      <c r="F1278" s="114" t="n"/>
      <c r="G1278" s="114" t="n"/>
      <c r="H1278" s="114" t="n"/>
      <c r="I1278" s="114" t="n"/>
      <c r="J1278" s="114" t="n"/>
    </row>
    <row r="1279" ht="15" customHeight="1" s="68">
      <c r="A1279" s="114" t="n"/>
      <c r="B1279" s="114" t="n"/>
      <c r="C1279" s="114" t="n"/>
      <c r="D1279" s="114" t="n"/>
      <c r="E1279" s="114" t="n"/>
      <c r="F1279" s="114" t="n"/>
      <c r="G1279" s="114" t="n"/>
      <c r="H1279" s="114" t="n"/>
      <c r="I1279" s="114" t="n"/>
      <c r="J1279" s="114" t="n"/>
    </row>
    <row r="1280" ht="15" customHeight="1" s="68">
      <c r="A1280" s="114" t="n"/>
      <c r="B1280" s="114" t="n"/>
      <c r="C1280" s="114" t="n"/>
      <c r="D1280" s="114" t="n"/>
      <c r="E1280" s="114" t="n"/>
      <c r="F1280" s="114" t="n"/>
      <c r="G1280" s="114" t="n"/>
      <c r="H1280" s="114" t="n"/>
      <c r="I1280" s="114" t="n"/>
      <c r="J1280" s="114" t="n"/>
    </row>
    <row r="1281" ht="15" customHeight="1" s="68">
      <c r="A1281" s="114" t="n"/>
      <c r="B1281" s="114" t="n"/>
      <c r="C1281" s="114" t="n"/>
      <c r="D1281" s="114" t="n"/>
      <c r="E1281" s="114" t="n"/>
      <c r="F1281" s="114" t="n"/>
      <c r="G1281" s="114" t="n"/>
      <c r="H1281" s="114" t="n"/>
      <c r="I1281" s="114" t="n"/>
      <c r="J1281" s="114" t="n"/>
    </row>
    <row r="1282" ht="15" customHeight="1" s="68">
      <c r="A1282" s="114" t="n"/>
      <c r="B1282" s="114" t="n"/>
      <c r="C1282" s="114" t="n"/>
      <c r="D1282" s="114" t="n"/>
      <c r="E1282" s="114" t="n"/>
      <c r="F1282" s="114" t="n"/>
      <c r="G1282" s="114" t="n"/>
      <c r="H1282" s="114" t="n"/>
      <c r="I1282" s="114" t="n"/>
      <c r="J1282" s="114" t="n"/>
    </row>
    <row r="1283" ht="15" customHeight="1" s="68">
      <c r="A1283" s="114" t="n"/>
      <c r="B1283" s="114" t="n"/>
      <c r="C1283" s="114" t="n"/>
      <c r="D1283" s="114" t="n"/>
      <c r="E1283" s="114" t="n"/>
      <c r="F1283" s="114" t="n"/>
      <c r="G1283" s="114" t="n"/>
      <c r="H1283" s="114" t="n"/>
      <c r="I1283" s="114" t="n"/>
      <c r="J1283" s="114" t="n"/>
    </row>
    <row r="1284" ht="15" customHeight="1" s="68">
      <c r="A1284" s="114" t="n"/>
      <c r="B1284" s="114" t="n"/>
      <c r="C1284" s="114" t="n"/>
      <c r="D1284" s="114" t="n"/>
      <c r="E1284" s="114" t="n"/>
      <c r="F1284" s="114" t="n"/>
      <c r="G1284" s="114" t="n"/>
      <c r="H1284" s="114" t="n"/>
      <c r="I1284" s="114" t="n"/>
      <c r="J1284" s="114" t="n"/>
    </row>
    <row r="1285" ht="15" customHeight="1" s="68">
      <c r="A1285" s="114" t="n"/>
      <c r="B1285" s="114" t="n"/>
      <c r="C1285" s="114" t="n"/>
      <c r="D1285" s="114" t="n"/>
      <c r="E1285" s="114" t="n"/>
      <c r="F1285" s="114" t="n"/>
      <c r="G1285" s="114" t="n"/>
      <c r="H1285" s="114" t="n"/>
      <c r="I1285" s="114" t="n"/>
      <c r="J1285" s="114" t="n"/>
    </row>
    <row r="1286" ht="15" customHeight="1" s="68">
      <c r="A1286" s="114" t="n"/>
      <c r="B1286" s="114" t="n"/>
      <c r="C1286" s="114" t="n"/>
      <c r="D1286" s="114" t="n"/>
      <c r="E1286" s="114" t="n"/>
      <c r="F1286" s="114" t="n"/>
      <c r="G1286" s="114" t="n"/>
      <c r="H1286" s="114" t="n"/>
      <c r="I1286" s="114" t="n"/>
      <c r="J1286" s="114" t="n"/>
    </row>
    <row r="1287" ht="15" customHeight="1" s="68">
      <c r="A1287" s="114" t="n"/>
      <c r="B1287" s="114" t="n"/>
      <c r="C1287" s="114" t="n"/>
      <c r="D1287" s="114" t="n"/>
      <c r="E1287" s="114" t="n"/>
      <c r="F1287" s="114" t="n"/>
      <c r="G1287" s="114" t="n"/>
      <c r="H1287" s="114" t="n"/>
      <c r="I1287" s="114" t="n"/>
      <c r="J1287" s="114" t="n"/>
    </row>
    <row r="1288" ht="15" customHeight="1" s="68">
      <c r="A1288" s="114" t="n"/>
      <c r="B1288" s="114" t="n"/>
      <c r="C1288" s="114" t="n"/>
      <c r="D1288" s="114" t="n"/>
      <c r="E1288" s="114" t="n"/>
      <c r="F1288" s="114" t="n"/>
      <c r="G1288" s="114" t="n"/>
      <c r="H1288" s="114" t="n"/>
      <c r="I1288" s="114" t="n"/>
      <c r="J1288" s="114" t="n"/>
    </row>
    <row r="1289" ht="15" customHeight="1" s="68">
      <c r="A1289" s="114" t="n"/>
      <c r="B1289" s="114" t="n"/>
      <c r="C1289" s="114" t="n"/>
      <c r="D1289" s="114" t="n"/>
      <c r="E1289" s="114" t="n"/>
      <c r="F1289" s="114" t="n"/>
      <c r="G1289" s="114" t="n"/>
      <c r="H1289" s="114" t="n"/>
      <c r="I1289" s="114" t="n"/>
      <c r="J1289" s="114" t="n"/>
    </row>
    <row r="1290" ht="15" customHeight="1" s="68">
      <c r="A1290" s="114" t="n"/>
      <c r="B1290" s="114" t="n"/>
      <c r="C1290" s="114" t="n"/>
      <c r="D1290" s="114" t="n"/>
      <c r="E1290" s="114" t="n"/>
      <c r="F1290" s="114" t="n"/>
      <c r="G1290" s="114" t="n"/>
      <c r="H1290" s="114" t="n"/>
      <c r="I1290" s="114" t="n"/>
      <c r="J1290" s="114" t="n"/>
    </row>
    <row r="1291" ht="15" customHeight="1" s="68">
      <c r="A1291" s="114" t="n"/>
      <c r="B1291" s="114" t="n"/>
      <c r="C1291" s="114" t="n"/>
      <c r="D1291" s="114" t="n"/>
      <c r="E1291" s="114" t="n"/>
      <c r="F1291" s="114" t="n"/>
      <c r="G1291" s="114" t="n"/>
      <c r="H1291" s="114" t="n"/>
      <c r="I1291" s="114" t="n"/>
      <c r="J1291" s="114" t="n"/>
    </row>
    <row r="1292" ht="15" customHeight="1" s="68">
      <c r="A1292" s="114" t="n"/>
      <c r="B1292" s="114" t="n"/>
      <c r="C1292" s="114" t="n"/>
      <c r="D1292" s="114" t="n"/>
      <c r="E1292" s="114" t="n"/>
      <c r="F1292" s="114" t="n"/>
      <c r="G1292" s="114" t="n"/>
      <c r="H1292" s="114" t="n"/>
      <c r="I1292" s="114" t="n"/>
      <c r="J1292" s="114" t="n"/>
    </row>
    <row r="1293" ht="15" customHeight="1" s="68">
      <c r="A1293" s="114" t="n"/>
      <c r="B1293" s="114" t="n"/>
      <c r="C1293" s="114" t="n"/>
      <c r="D1293" s="114" t="n"/>
      <c r="E1293" s="114" t="n"/>
      <c r="F1293" s="114" t="n"/>
      <c r="G1293" s="114" t="n"/>
      <c r="H1293" s="114" t="n"/>
      <c r="I1293" s="114" t="n"/>
      <c r="J1293" s="114" t="n"/>
    </row>
    <row r="1294" ht="15" customHeight="1" s="68">
      <c r="A1294" s="114" t="n"/>
      <c r="B1294" s="114" t="n"/>
      <c r="C1294" s="114" t="n"/>
      <c r="D1294" s="114" t="n"/>
      <c r="E1294" s="114" t="n"/>
      <c r="F1294" s="114" t="n"/>
      <c r="G1294" s="114" t="n"/>
      <c r="H1294" s="114" t="n"/>
      <c r="I1294" s="114" t="n"/>
      <c r="J1294" s="114" t="n"/>
    </row>
    <row r="1295" ht="15" customHeight="1" s="68">
      <c r="A1295" s="114" t="n"/>
      <c r="B1295" s="114" t="n"/>
      <c r="C1295" s="114" t="n"/>
      <c r="D1295" s="114" t="n"/>
      <c r="E1295" s="114" t="n"/>
      <c r="F1295" s="114" t="n"/>
      <c r="G1295" s="114" t="n"/>
      <c r="H1295" s="114" t="n"/>
      <c r="I1295" s="114" t="n"/>
      <c r="J1295" s="114" t="n"/>
    </row>
    <row r="1296" ht="15" customHeight="1" s="68">
      <c r="A1296" s="114" t="n"/>
      <c r="B1296" s="114" t="n"/>
      <c r="C1296" s="114" t="n"/>
      <c r="D1296" s="114" t="n"/>
      <c r="E1296" s="114" t="n"/>
      <c r="F1296" s="114" t="n"/>
      <c r="G1296" s="114" t="n"/>
      <c r="H1296" s="114" t="n"/>
      <c r="I1296" s="114" t="n"/>
      <c r="J1296" s="114" t="n"/>
    </row>
    <row r="1297" ht="15" customHeight="1" s="68">
      <c r="A1297" s="114" t="n"/>
      <c r="B1297" s="114" t="n"/>
      <c r="C1297" s="114" t="n"/>
      <c r="D1297" s="114" t="n"/>
      <c r="E1297" s="114" t="n"/>
      <c r="F1297" s="114" t="n"/>
      <c r="G1297" s="114" t="n"/>
      <c r="H1297" s="114" t="n"/>
      <c r="I1297" s="114" t="n"/>
      <c r="J1297" s="114" t="n"/>
    </row>
    <row r="1298" ht="15" customHeight="1" s="68">
      <c r="A1298" s="114" t="n"/>
      <c r="B1298" s="114" t="n"/>
      <c r="C1298" s="114" t="n"/>
      <c r="D1298" s="114" t="n"/>
      <c r="E1298" s="114" t="n"/>
      <c r="F1298" s="114" t="n"/>
      <c r="G1298" s="114" t="n"/>
      <c r="H1298" s="114" t="n"/>
      <c r="I1298" s="114" t="n"/>
      <c r="J1298" s="114" t="n"/>
    </row>
    <row r="1299" ht="15" customHeight="1" s="68">
      <c r="A1299" s="114" t="n"/>
      <c r="B1299" s="114" t="n"/>
      <c r="C1299" s="114" t="n"/>
      <c r="D1299" s="114" t="n"/>
      <c r="E1299" s="114" t="n"/>
      <c r="F1299" s="114" t="n"/>
      <c r="G1299" s="114" t="n"/>
      <c r="H1299" s="114" t="n"/>
      <c r="I1299" s="114" t="n"/>
      <c r="J1299" s="114" t="n"/>
    </row>
    <row r="1300" ht="15" customHeight="1" s="68">
      <c r="A1300" s="114" t="n"/>
      <c r="B1300" s="114" t="n"/>
      <c r="C1300" s="114" t="n"/>
      <c r="D1300" s="114" t="n"/>
      <c r="E1300" s="114" t="n"/>
      <c r="F1300" s="114" t="n"/>
      <c r="G1300" s="114" t="n"/>
      <c r="H1300" s="114" t="n"/>
      <c r="I1300" s="114" t="n"/>
      <c r="J1300" s="114" t="n"/>
    </row>
    <row r="1301" ht="15" customHeight="1" s="68">
      <c r="A1301" s="114" t="n"/>
      <c r="B1301" s="114" t="n"/>
      <c r="C1301" s="114" t="n"/>
      <c r="D1301" s="114" t="n"/>
      <c r="E1301" s="114" t="n"/>
      <c r="F1301" s="114" t="n"/>
      <c r="G1301" s="114" t="n"/>
      <c r="H1301" s="114" t="n"/>
      <c r="I1301" s="114" t="n"/>
      <c r="J1301" s="114" t="n"/>
    </row>
    <row r="1302" ht="15" customHeight="1" s="68">
      <c r="A1302" s="114" t="n"/>
      <c r="B1302" s="114" t="n"/>
      <c r="C1302" s="114" t="n"/>
      <c r="D1302" s="114" t="n"/>
      <c r="E1302" s="114" t="n"/>
      <c r="F1302" s="114" t="n"/>
      <c r="G1302" s="114" t="n"/>
      <c r="H1302" s="114" t="n"/>
      <c r="I1302" s="114" t="n"/>
      <c r="J1302" s="114" t="n"/>
    </row>
    <row r="1303" ht="15" customHeight="1" s="68">
      <c r="A1303" s="114" t="n"/>
      <c r="B1303" s="114" t="n"/>
      <c r="C1303" s="114" t="n"/>
      <c r="D1303" s="114" t="n"/>
      <c r="E1303" s="114" t="n"/>
      <c r="F1303" s="114" t="n"/>
      <c r="G1303" s="114" t="n"/>
      <c r="H1303" s="114" t="n"/>
      <c r="I1303" s="114" t="n"/>
      <c r="J1303" s="114" t="n"/>
    </row>
    <row r="1304" ht="15" customHeight="1" s="68">
      <c r="A1304" s="114" t="n"/>
      <c r="B1304" s="114" t="n"/>
      <c r="C1304" s="114" t="n"/>
      <c r="D1304" s="114" t="n"/>
      <c r="E1304" s="114" t="n"/>
      <c r="F1304" s="114" t="n"/>
      <c r="G1304" s="114" t="n"/>
      <c r="H1304" s="114" t="n"/>
      <c r="I1304" s="114" t="n"/>
      <c r="J1304" s="114" t="n"/>
    </row>
    <row r="1305" ht="15" customHeight="1" s="68">
      <c r="A1305" s="114" t="n"/>
      <c r="B1305" s="114" t="n"/>
      <c r="C1305" s="114" t="n"/>
      <c r="D1305" s="114" t="n"/>
      <c r="E1305" s="114" t="n"/>
      <c r="F1305" s="114" t="n"/>
      <c r="G1305" s="114" t="n"/>
      <c r="H1305" s="114" t="n"/>
      <c r="I1305" s="114" t="n"/>
      <c r="J1305" s="114" t="n"/>
    </row>
    <row r="1306" ht="15" customHeight="1" s="68">
      <c r="A1306" s="114" t="n"/>
      <c r="B1306" s="114" t="n"/>
      <c r="C1306" s="114" t="n"/>
      <c r="D1306" s="114" t="n"/>
      <c r="E1306" s="114" t="n"/>
      <c r="F1306" s="114" t="n"/>
      <c r="G1306" s="114" t="n"/>
      <c r="H1306" s="114" t="n"/>
      <c r="I1306" s="114" t="n"/>
      <c r="J1306" s="114" t="n"/>
    </row>
    <row r="1307" ht="15" customHeight="1" s="68">
      <c r="A1307" s="114" t="n"/>
      <c r="B1307" s="114" t="n"/>
      <c r="C1307" s="114" t="n"/>
      <c r="D1307" s="114" t="n"/>
      <c r="E1307" s="114" t="n"/>
      <c r="F1307" s="114" t="n"/>
      <c r="G1307" s="114" t="n"/>
      <c r="H1307" s="114" t="n"/>
      <c r="I1307" s="114" t="n"/>
      <c r="J1307" s="114" t="n"/>
    </row>
    <row r="1308" ht="15" customHeight="1" s="68">
      <c r="A1308" s="114" t="n"/>
      <c r="B1308" s="114" t="n"/>
      <c r="C1308" s="114" t="n"/>
      <c r="D1308" s="114" t="n"/>
      <c r="E1308" s="114" t="n"/>
      <c r="F1308" s="114" t="n"/>
      <c r="G1308" s="114" t="n"/>
      <c r="H1308" s="114" t="n"/>
      <c r="I1308" s="114" t="n"/>
      <c r="J1308" s="114" t="n"/>
    </row>
    <row r="1309" ht="15" customHeight="1" s="68">
      <c r="A1309" s="114" t="n"/>
      <c r="B1309" s="114" t="n"/>
      <c r="C1309" s="114" t="n"/>
      <c r="D1309" s="114" t="n"/>
      <c r="E1309" s="114" t="n"/>
      <c r="F1309" s="114" t="n"/>
      <c r="G1309" s="114" t="n"/>
      <c r="H1309" s="114" t="n"/>
      <c r="I1309" s="114" t="n"/>
      <c r="J1309" s="114" t="n"/>
    </row>
    <row r="1310" ht="15" customHeight="1" s="68">
      <c r="A1310" s="114" t="n"/>
      <c r="B1310" s="114" t="n"/>
      <c r="C1310" s="114" t="n"/>
      <c r="D1310" s="114" t="n"/>
      <c r="E1310" s="114" t="n"/>
      <c r="F1310" s="114" t="n"/>
      <c r="G1310" s="114" t="n"/>
      <c r="H1310" s="114" t="n"/>
      <c r="I1310" s="114" t="n"/>
      <c r="J1310" s="114" t="n"/>
    </row>
    <row r="1311" ht="15" customHeight="1" s="68">
      <c r="A1311" s="114" t="n"/>
      <c r="B1311" s="114" t="n"/>
      <c r="C1311" s="114" t="n"/>
      <c r="D1311" s="114" t="n"/>
      <c r="E1311" s="114" t="n"/>
      <c r="F1311" s="114" t="n"/>
      <c r="G1311" s="114" t="n"/>
      <c r="H1311" s="114" t="n"/>
      <c r="I1311" s="114" t="n"/>
      <c r="J1311" s="114" t="n"/>
    </row>
    <row r="1312" ht="15" customHeight="1" s="68">
      <c r="A1312" s="114" t="n"/>
      <c r="B1312" s="114" t="n"/>
      <c r="C1312" s="114" t="n"/>
      <c r="D1312" s="114" t="n"/>
      <c r="E1312" s="114" t="n"/>
      <c r="F1312" s="114" t="n"/>
      <c r="G1312" s="114" t="n"/>
      <c r="H1312" s="114" t="n"/>
      <c r="I1312" s="114" t="n"/>
      <c r="J1312" s="114" t="n"/>
    </row>
    <row r="1313" ht="15" customHeight="1" s="68">
      <c r="A1313" s="114" t="n"/>
      <c r="B1313" s="114" t="n"/>
      <c r="C1313" s="114" t="n"/>
      <c r="D1313" s="114" t="n"/>
      <c r="E1313" s="114" t="n"/>
      <c r="F1313" s="114" t="n"/>
      <c r="G1313" s="114" t="n"/>
      <c r="H1313" s="114" t="n"/>
      <c r="I1313" s="114" t="n"/>
      <c r="J1313" s="114" t="n"/>
    </row>
    <row r="1314" ht="15" customHeight="1" s="68">
      <c r="A1314" s="114" t="n"/>
      <c r="B1314" s="114" t="n"/>
      <c r="C1314" s="114" t="n"/>
      <c r="D1314" s="114" t="n"/>
      <c r="E1314" s="114" t="n"/>
      <c r="F1314" s="114" t="n"/>
      <c r="G1314" s="114" t="n"/>
      <c r="H1314" s="114" t="n"/>
      <c r="I1314" s="114" t="n"/>
      <c r="J1314" s="114" t="n"/>
    </row>
    <row r="1315" ht="15" customHeight="1" s="68">
      <c r="A1315" s="114" t="n"/>
      <c r="B1315" s="114" t="n"/>
      <c r="C1315" s="114" t="n"/>
      <c r="D1315" s="114" t="n"/>
      <c r="E1315" s="114" t="n"/>
      <c r="F1315" s="114" t="n"/>
      <c r="G1315" s="114" t="n"/>
      <c r="H1315" s="114" t="n"/>
      <c r="I1315" s="114" t="n"/>
      <c r="J1315" s="114" t="n"/>
    </row>
    <row r="1316" ht="15" customHeight="1" s="68">
      <c r="A1316" s="114" t="n"/>
      <c r="B1316" s="114" t="n"/>
      <c r="C1316" s="114" t="n"/>
      <c r="D1316" s="114" t="n"/>
      <c r="E1316" s="114" t="n"/>
      <c r="F1316" s="114" t="n"/>
      <c r="G1316" s="114" t="n"/>
      <c r="H1316" s="114" t="n"/>
      <c r="I1316" s="114" t="n"/>
      <c r="J1316" s="114" t="n"/>
    </row>
    <row r="1317" ht="15" customHeight="1" s="68">
      <c r="A1317" s="114" t="n"/>
      <c r="B1317" s="114" t="n"/>
      <c r="C1317" s="114" t="n"/>
      <c r="D1317" s="114" t="n"/>
      <c r="E1317" s="114" t="n"/>
      <c r="F1317" s="114" t="n"/>
      <c r="G1317" s="114" t="n"/>
      <c r="H1317" s="114" t="n"/>
      <c r="I1317" s="114" t="n"/>
      <c r="J1317" s="114" t="n"/>
    </row>
    <row r="1318" ht="15" customHeight="1" s="68">
      <c r="A1318" s="114" t="n"/>
      <c r="B1318" s="114" t="n"/>
      <c r="C1318" s="114" t="n"/>
      <c r="D1318" s="114" t="n"/>
      <c r="E1318" s="114" t="n"/>
      <c r="F1318" s="114" t="n"/>
      <c r="G1318" s="114" t="n"/>
      <c r="H1318" s="114" t="n"/>
      <c r="I1318" s="114" t="n"/>
      <c r="J1318" s="114" t="n"/>
    </row>
    <row r="1319" ht="15" customHeight="1" s="68">
      <c r="A1319" s="114" t="n"/>
      <c r="B1319" s="114" t="n"/>
      <c r="C1319" s="114" t="n"/>
      <c r="D1319" s="114" t="n"/>
      <c r="E1319" s="114" t="n"/>
      <c r="F1319" s="114" t="n"/>
      <c r="G1319" s="114" t="n"/>
      <c r="H1319" s="114" t="n"/>
      <c r="I1319" s="114" t="n"/>
      <c r="J1319" s="114" t="n"/>
    </row>
    <row r="1320" ht="15" customHeight="1" s="68">
      <c r="A1320" s="114" t="n"/>
      <c r="B1320" s="114" t="n"/>
      <c r="C1320" s="114" t="n"/>
      <c r="D1320" s="114" t="n"/>
      <c r="E1320" s="114" t="n"/>
      <c r="F1320" s="114" t="n"/>
      <c r="G1320" s="114" t="n"/>
      <c r="H1320" s="114" t="n"/>
      <c r="I1320" s="114" t="n"/>
      <c r="J1320" s="114" t="n"/>
    </row>
    <row r="1321" ht="15" customHeight="1" s="68">
      <c r="A1321" s="114" t="n"/>
      <c r="B1321" s="114" t="n"/>
      <c r="C1321" s="114" t="n"/>
      <c r="D1321" s="114" t="n"/>
      <c r="E1321" s="114" t="n"/>
      <c r="F1321" s="114" t="n"/>
      <c r="G1321" s="114" t="n"/>
      <c r="H1321" s="114" t="n"/>
      <c r="I1321" s="114" t="n"/>
      <c r="J1321" s="114" t="n"/>
    </row>
    <row r="1322" ht="15" customHeight="1" s="68">
      <c r="A1322" s="114" t="n"/>
      <c r="B1322" s="114" t="n"/>
      <c r="C1322" s="114" t="n"/>
      <c r="D1322" s="114" t="n"/>
      <c r="E1322" s="114" t="n"/>
      <c r="F1322" s="114" t="n"/>
      <c r="G1322" s="114" t="n"/>
      <c r="H1322" s="114" t="n"/>
      <c r="I1322" s="114" t="n"/>
      <c r="J1322" s="114" t="n"/>
    </row>
    <row r="1323" ht="15" customHeight="1" s="68">
      <c r="A1323" s="114" t="n"/>
      <c r="B1323" s="114" t="n"/>
      <c r="C1323" s="114" t="n"/>
      <c r="D1323" s="114" t="n"/>
      <c r="E1323" s="114" t="n"/>
      <c r="F1323" s="114" t="n"/>
      <c r="G1323" s="114" t="n"/>
      <c r="H1323" s="114" t="n"/>
      <c r="I1323" s="114" t="n"/>
      <c r="J1323" s="114" t="n"/>
    </row>
    <row r="1324" ht="15" customHeight="1" s="68">
      <c r="A1324" s="114" t="n"/>
      <c r="B1324" s="114" t="n"/>
      <c r="C1324" s="114" t="n"/>
      <c r="D1324" s="114" t="n"/>
      <c r="E1324" s="114" t="n"/>
      <c r="F1324" s="114" t="n"/>
      <c r="G1324" s="114" t="n"/>
      <c r="H1324" s="114" t="n"/>
      <c r="I1324" s="114" t="n"/>
      <c r="J1324" s="114" t="n"/>
    </row>
    <row r="1325" ht="15" customHeight="1" s="68">
      <c r="A1325" s="114" t="n"/>
      <c r="B1325" s="114" t="n"/>
      <c r="C1325" s="114" t="n"/>
      <c r="D1325" s="114" t="n"/>
      <c r="E1325" s="114" t="n"/>
      <c r="F1325" s="114" t="n"/>
      <c r="G1325" s="114" t="n"/>
      <c r="H1325" s="114" t="n"/>
      <c r="I1325" s="114" t="n"/>
      <c r="J1325" s="114" t="n"/>
    </row>
    <row r="1326" ht="15" customHeight="1" s="68">
      <c r="A1326" s="114" t="n"/>
      <c r="B1326" s="114" t="n"/>
      <c r="C1326" s="114" t="n"/>
      <c r="D1326" s="114" t="n"/>
      <c r="E1326" s="114" t="n"/>
      <c r="F1326" s="114" t="n"/>
      <c r="G1326" s="114" t="n"/>
      <c r="H1326" s="114" t="n"/>
      <c r="I1326" s="114" t="n"/>
      <c r="J1326" s="114" t="n"/>
    </row>
    <row r="1327" ht="15" customHeight="1" s="68">
      <c r="A1327" s="114" t="n"/>
      <c r="B1327" s="114" t="n"/>
      <c r="C1327" s="114" t="n"/>
      <c r="D1327" s="114" t="n"/>
      <c r="E1327" s="114" t="n"/>
      <c r="F1327" s="114" t="n"/>
      <c r="G1327" s="114" t="n"/>
      <c r="H1327" s="114" t="n"/>
      <c r="I1327" s="114" t="n"/>
      <c r="J1327" s="114" t="n"/>
    </row>
    <row r="1328" ht="15" customHeight="1" s="68">
      <c r="A1328" s="114" t="n"/>
      <c r="B1328" s="114" t="n"/>
      <c r="C1328" s="114" t="n"/>
      <c r="D1328" s="114" t="n"/>
      <c r="E1328" s="114" t="n"/>
      <c r="F1328" s="114" t="n"/>
      <c r="G1328" s="114" t="n"/>
      <c r="H1328" s="114" t="n"/>
      <c r="I1328" s="114" t="n"/>
      <c r="J1328" s="114" t="n"/>
    </row>
    <row r="1329" ht="15" customHeight="1" s="68">
      <c r="A1329" s="114" t="n"/>
      <c r="B1329" s="114" t="n"/>
      <c r="C1329" s="114" t="n"/>
      <c r="D1329" s="114" t="n"/>
      <c r="E1329" s="114" t="n"/>
      <c r="F1329" s="114" t="n"/>
      <c r="G1329" s="114" t="n"/>
      <c r="H1329" s="114" t="n"/>
      <c r="I1329" s="114" t="n"/>
      <c r="J1329" s="114" t="n"/>
    </row>
    <row r="1330" ht="15" customHeight="1" s="68">
      <c r="A1330" s="114" t="n"/>
      <c r="B1330" s="114" t="n"/>
      <c r="C1330" s="114" t="n"/>
      <c r="D1330" s="114" t="n"/>
      <c r="E1330" s="114" t="n"/>
      <c r="F1330" s="114" t="n"/>
      <c r="G1330" s="114" t="n"/>
      <c r="H1330" s="114" t="n"/>
      <c r="I1330" s="114" t="n"/>
      <c r="J1330" s="114" t="n"/>
    </row>
    <row r="1331" ht="15" customHeight="1" s="68">
      <c r="A1331" s="114" t="n"/>
      <c r="B1331" s="114" t="n"/>
      <c r="C1331" s="114" t="n"/>
      <c r="D1331" s="114" t="n"/>
      <c r="E1331" s="114" t="n"/>
      <c r="F1331" s="114" t="n"/>
      <c r="G1331" s="114" t="n"/>
      <c r="H1331" s="114" t="n"/>
      <c r="I1331" s="114" t="n"/>
      <c r="J1331" s="114" t="n"/>
    </row>
    <row r="1332" ht="15" customHeight="1" s="68">
      <c r="A1332" s="114" t="n"/>
      <c r="B1332" s="114" t="n"/>
      <c r="C1332" s="114" t="n"/>
      <c r="D1332" s="114" t="n"/>
      <c r="E1332" s="114" t="n"/>
      <c r="F1332" s="114" t="n"/>
      <c r="G1332" s="114" t="n"/>
      <c r="H1332" s="114" t="n"/>
      <c r="I1332" s="114" t="n"/>
      <c r="J1332" s="114" t="n"/>
    </row>
    <row r="1333" ht="15" customHeight="1" s="68">
      <c r="A1333" s="114" t="n"/>
      <c r="B1333" s="114" t="n"/>
      <c r="C1333" s="114" t="n"/>
      <c r="D1333" s="114" t="n"/>
      <c r="E1333" s="114" t="n"/>
      <c r="F1333" s="114" t="n"/>
      <c r="G1333" s="114" t="n"/>
      <c r="H1333" s="114" t="n"/>
      <c r="I1333" s="114" t="n"/>
      <c r="J1333" s="114" t="n"/>
    </row>
    <row r="1334" ht="15" customHeight="1" s="68">
      <c r="A1334" s="114" t="n"/>
      <c r="B1334" s="114" t="n"/>
      <c r="C1334" s="114" t="n"/>
      <c r="D1334" s="114" t="n"/>
      <c r="E1334" s="114" t="n"/>
      <c r="F1334" s="114" t="n"/>
      <c r="G1334" s="114" t="n"/>
      <c r="H1334" s="114" t="n"/>
      <c r="I1334" s="114" t="n"/>
      <c r="J1334" s="114" t="n"/>
    </row>
    <row r="1335" ht="15" customHeight="1" s="68">
      <c r="A1335" s="114" t="n"/>
      <c r="B1335" s="114" t="n"/>
      <c r="C1335" s="114" t="n"/>
      <c r="D1335" s="114" t="n"/>
      <c r="E1335" s="114" t="n"/>
      <c r="F1335" s="114" t="n"/>
      <c r="G1335" s="114" t="n"/>
      <c r="H1335" s="114" t="n"/>
      <c r="I1335" s="114" t="n"/>
      <c r="J1335" s="114" t="n"/>
    </row>
    <row r="1336" ht="15" customHeight="1" s="68">
      <c r="A1336" s="114" t="n"/>
      <c r="B1336" s="114" t="n"/>
      <c r="C1336" s="114" t="n"/>
      <c r="D1336" s="114" t="n"/>
      <c r="E1336" s="114" t="n"/>
      <c r="F1336" s="114" t="n"/>
      <c r="G1336" s="114" t="n"/>
      <c r="H1336" s="114" t="n"/>
      <c r="I1336" s="114" t="n"/>
      <c r="J1336" s="114" t="n"/>
    </row>
    <row r="1337" ht="15" customHeight="1" s="68">
      <c r="A1337" s="114" t="n"/>
      <c r="B1337" s="114" t="n"/>
      <c r="C1337" s="114" t="n"/>
      <c r="D1337" s="114" t="n"/>
      <c r="E1337" s="114" t="n"/>
      <c r="F1337" s="114" t="n"/>
      <c r="G1337" s="114" t="n"/>
      <c r="H1337" s="114" t="n"/>
      <c r="I1337" s="114" t="n"/>
      <c r="J1337" s="114" t="n"/>
    </row>
    <row r="1338" ht="15" customHeight="1" s="68">
      <c r="A1338" s="114" t="n"/>
      <c r="B1338" s="114" t="n"/>
      <c r="C1338" s="114" t="n"/>
      <c r="D1338" s="114" t="n"/>
      <c r="E1338" s="114" t="n"/>
      <c r="F1338" s="114" t="n"/>
      <c r="G1338" s="114" t="n"/>
      <c r="H1338" s="114" t="n"/>
      <c r="I1338" s="114" t="n"/>
      <c r="J1338" s="114" t="n"/>
    </row>
    <row r="1339" ht="15" customHeight="1" s="68">
      <c r="A1339" s="114" t="n"/>
      <c r="B1339" s="114" t="n"/>
      <c r="C1339" s="114" t="n"/>
      <c r="D1339" s="114" t="n"/>
      <c r="E1339" s="114" t="n"/>
      <c r="F1339" s="114" t="n"/>
      <c r="G1339" s="114" t="n"/>
      <c r="H1339" s="114" t="n"/>
      <c r="I1339" s="114" t="n"/>
      <c r="J1339" s="114" t="n"/>
    </row>
    <row r="1340" ht="15" customHeight="1" s="68">
      <c r="A1340" s="114" t="n"/>
      <c r="B1340" s="114" t="n"/>
      <c r="C1340" s="114" t="n"/>
      <c r="D1340" s="114" t="n"/>
      <c r="E1340" s="114" t="n"/>
      <c r="F1340" s="114" t="n"/>
      <c r="G1340" s="114" t="n"/>
      <c r="H1340" s="114" t="n"/>
      <c r="I1340" s="114" t="n"/>
      <c r="J1340" s="114" t="n"/>
    </row>
    <row r="1341" ht="15" customHeight="1" s="68">
      <c r="A1341" s="114" t="n"/>
      <c r="B1341" s="114" t="n"/>
      <c r="C1341" s="114" t="n"/>
      <c r="D1341" s="114" t="n"/>
      <c r="E1341" s="114" t="n"/>
      <c r="F1341" s="114" t="n"/>
      <c r="G1341" s="114" t="n"/>
      <c r="H1341" s="114" t="n"/>
      <c r="I1341" s="114" t="n"/>
      <c r="J1341" s="114" t="n"/>
    </row>
    <row r="1342" ht="15" customHeight="1" s="68">
      <c r="A1342" s="114" t="n"/>
      <c r="B1342" s="114" t="n"/>
      <c r="C1342" s="114" t="n"/>
      <c r="D1342" s="114" t="n"/>
      <c r="E1342" s="114" t="n"/>
      <c r="F1342" s="114" t="n"/>
      <c r="G1342" s="114" t="n"/>
      <c r="H1342" s="114" t="n"/>
      <c r="I1342" s="114" t="n"/>
      <c r="J1342" s="114" t="n"/>
    </row>
    <row r="1343" ht="15" customHeight="1" s="68">
      <c r="A1343" s="114" t="n"/>
      <c r="B1343" s="114" t="n"/>
      <c r="C1343" s="114" t="n"/>
      <c r="D1343" s="114" t="n"/>
      <c r="E1343" s="114" t="n"/>
      <c r="F1343" s="114" t="n"/>
      <c r="G1343" s="114" t="n"/>
      <c r="H1343" s="114" t="n"/>
      <c r="I1343" s="114" t="n"/>
      <c r="J1343" s="114" t="n"/>
    </row>
    <row r="1344" ht="15" customHeight="1" s="68">
      <c r="A1344" s="114" t="n"/>
      <c r="B1344" s="114" t="n"/>
      <c r="C1344" s="114" t="n"/>
      <c r="D1344" s="114" t="n"/>
      <c r="E1344" s="114" t="n"/>
      <c r="F1344" s="114" t="n"/>
      <c r="G1344" s="114" t="n"/>
      <c r="H1344" s="114" t="n"/>
      <c r="I1344" s="114" t="n"/>
      <c r="J1344" s="114" t="n"/>
    </row>
    <row r="1345" ht="15" customHeight="1" s="68">
      <c r="A1345" s="114" t="n"/>
      <c r="B1345" s="114" t="n"/>
      <c r="C1345" s="114" t="n"/>
      <c r="D1345" s="114" t="n"/>
      <c r="E1345" s="114" t="n"/>
      <c r="F1345" s="114" t="n"/>
      <c r="G1345" s="114" t="n"/>
      <c r="H1345" s="114" t="n"/>
      <c r="I1345" s="114" t="n"/>
      <c r="J1345" s="114" t="n"/>
    </row>
    <row r="1346" ht="15" customHeight="1" s="68">
      <c r="A1346" s="114" t="n"/>
      <c r="B1346" s="114" t="n"/>
      <c r="C1346" s="114" t="n"/>
      <c r="D1346" s="114" t="n"/>
      <c r="E1346" s="114" t="n"/>
      <c r="F1346" s="114" t="n"/>
      <c r="G1346" s="114" t="n"/>
      <c r="H1346" s="114" t="n"/>
      <c r="I1346" s="114" t="n"/>
      <c r="J1346" s="114" t="n"/>
    </row>
    <row r="1347" ht="15" customHeight="1" s="68">
      <c r="A1347" s="114" t="n"/>
      <c r="B1347" s="114" t="n"/>
      <c r="C1347" s="114" t="n"/>
      <c r="D1347" s="114" t="n"/>
      <c r="E1347" s="114" t="n"/>
      <c r="F1347" s="114" t="n"/>
      <c r="G1347" s="114" t="n"/>
      <c r="H1347" s="114" t="n"/>
      <c r="I1347" s="114" t="n"/>
      <c r="J1347" s="114" t="n"/>
    </row>
    <row r="1348" ht="15" customHeight="1" s="68">
      <c r="A1348" s="114" t="n"/>
      <c r="B1348" s="114" t="n"/>
      <c r="C1348" s="114" t="n"/>
      <c r="D1348" s="114" t="n"/>
      <c r="E1348" s="114" t="n"/>
      <c r="F1348" s="114" t="n"/>
      <c r="G1348" s="114" t="n"/>
      <c r="H1348" s="114" t="n"/>
      <c r="I1348" s="114" t="n"/>
      <c r="J1348" s="114" t="n"/>
    </row>
    <row r="1349" ht="15" customHeight="1" s="68">
      <c r="A1349" s="114" t="n"/>
      <c r="B1349" s="114" t="n"/>
      <c r="C1349" s="114" t="n"/>
      <c r="D1349" s="114" t="n"/>
      <c r="E1349" s="114" t="n"/>
      <c r="F1349" s="114" t="n"/>
      <c r="G1349" s="114" t="n"/>
      <c r="H1349" s="114" t="n"/>
      <c r="I1349" s="114" t="n"/>
      <c r="J1349" s="114" t="n"/>
    </row>
    <row r="1350" ht="15" customHeight="1" s="68">
      <c r="A1350" s="114" t="n"/>
      <c r="B1350" s="114" t="n"/>
      <c r="C1350" s="114" t="n"/>
      <c r="D1350" s="114" t="n"/>
      <c r="E1350" s="114" t="n"/>
      <c r="F1350" s="114" t="n"/>
      <c r="G1350" s="114" t="n"/>
      <c r="H1350" s="114" t="n"/>
      <c r="I1350" s="114" t="n"/>
      <c r="J1350" s="114" t="n"/>
    </row>
    <row r="1351" ht="15" customHeight="1" s="68">
      <c r="A1351" s="114" t="n"/>
      <c r="B1351" s="114" t="n"/>
      <c r="C1351" s="114" t="n"/>
      <c r="D1351" s="114" t="n"/>
      <c r="E1351" s="114" t="n"/>
      <c r="F1351" s="114" t="n"/>
      <c r="G1351" s="114" t="n"/>
      <c r="H1351" s="114" t="n"/>
      <c r="I1351" s="114" t="n"/>
      <c r="J1351" s="114" t="n"/>
    </row>
    <row r="1352" ht="15" customHeight="1" s="68">
      <c r="A1352" s="114" t="n"/>
      <c r="B1352" s="114" t="n"/>
      <c r="C1352" s="114" t="n"/>
      <c r="D1352" s="114" t="n"/>
      <c r="E1352" s="114" t="n"/>
      <c r="F1352" s="114" t="n"/>
      <c r="G1352" s="114" t="n"/>
      <c r="H1352" s="114" t="n"/>
      <c r="I1352" s="114" t="n"/>
      <c r="J1352" s="114" t="n"/>
    </row>
    <row r="1353" ht="15" customHeight="1" s="68">
      <c r="A1353" s="114" t="n"/>
      <c r="B1353" s="114" t="n"/>
      <c r="C1353" s="114" t="n"/>
      <c r="D1353" s="114" t="n"/>
      <c r="E1353" s="114" t="n"/>
      <c r="F1353" s="114" t="n"/>
      <c r="G1353" s="114" t="n"/>
      <c r="H1353" s="114" t="n"/>
      <c r="I1353" s="114" t="n"/>
      <c r="J1353" s="114" t="n"/>
    </row>
    <row r="1354" ht="15" customHeight="1" s="68">
      <c r="A1354" s="114" t="n"/>
      <c r="B1354" s="114" t="n"/>
      <c r="C1354" s="114" t="n"/>
      <c r="D1354" s="114" t="n"/>
      <c r="E1354" s="114" t="n"/>
      <c r="F1354" s="114" t="n"/>
      <c r="G1354" s="114" t="n"/>
      <c r="H1354" s="114" t="n"/>
      <c r="I1354" s="114" t="n"/>
      <c r="J1354" s="114" t="n"/>
    </row>
    <row r="1355" ht="15" customHeight="1" s="68">
      <c r="A1355" s="114" t="n"/>
      <c r="B1355" s="114" t="n"/>
      <c r="C1355" s="114" t="n"/>
      <c r="D1355" s="114" t="n"/>
      <c r="E1355" s="114" t="n"/>
      <c r="F1355" s="114" t="n"/>
      <c r="G1355" s="114" t="n"/>
      <c r="H1355" s="114" t="n"/>
      <c r="I1355" s="114" t="n"/>
      <c r="J1355" s="114" t="n"/>
    </row>
    <row r="1356" ht="15" customHeight="1" s="68">
      <c r="A1356" s="114" t="n"/>
      <c r="B1356" s="114" t="n"/>
      <c r="C1356" s="114" t="n"/>
      <c r="D1356" s="114" t="n"/>
      <c r="E1356" s="114" t="n"/>
      <c r="F1356" s="114" t="n"/>
      <c r="G1356" s="114" t="n"/>
      <c r="H1356" s="114" t="n"/>
      <c r="I1356" s="114" t="n"/>
      <c r="J1356" s="114" t="n"/>
    </row>
    <row r="1357" ht="15" customHeight="1" s="68">
      <c r="A1357" s="114" t="n"/>
      <c r="B1357" s="114" t="n"/>
      <c r="C1357" s="114" t="n"/>
      <c r="D1357" s="114" t="n"/>
      <c r="E1357" s="114" t="n"/>
      <c r="F1357" s="114" t="n"/>
      <c r="G1357" s="114" t="n"/>
      <c r="H1357" s="114" t="n"/>
      <c r="I1357" s="114" t="n"/>
      <c r="J1357" s="114" t="n"/>
    </row>
    <row r="1358" ht="15" customHeight="1" s="68">
      <c r="A1358" s="114" t="n"/>
      <c r="B1358" s="114" t="n"/>
      <c r="C1358" s="114" t="n"/>
      <c r="D1358" s="114" t="n"/>
      <c r="E1358" s="114" t="n"/>
      <c r="F1358" s="114" t="n"/>
      <c r="G1358" s="114" t="n"/>
      <c r="H1358" s="114" t="n"/>
      <c r="I1358" s="114" t="n"/>
      <c r="J1358" s="114" t="n"/>
    </row>
    <row r="1359" ht="15" customHeight="1" s="68">
      <c r="A1359" s="114" t="n"/>
      <c r="B1359" s="114" t="n"/>
      <c r="C1359" s="114" t="n"/>
      <c r="D1359" s="114" t="n"/>
      <c r="E1359" s="114" t="n"/>
      <c r="F1359" s="114" t="n"/>
      <c r="G1359" s="114" t="n"/>
      <c r="H1359" s="114" t="n"/>
      <c r="I1359" s="114" t="n"/>
      <c r="J1359" s="114" t="n"/>
    </row>
    <row r="1360" ht="15" customHeight="1" s="68">
      <c r="A1360" s="114" t="n"/>
      <c r="B1360" s="114" t="n"/>
      <c r="C1360" s="114" t="n"/>
      <c r="D1360" s="114" t="n"/>
      <c r="E1360" s="114" t="n"/>
      <c r="F1360" s="114" t="n"/>
      <c r="G1360" s="114" t="n"/>
      <c r="H1360" s="114" t="n"/>
      <c r="I1360" s="114" t="n"/>
      <c r="J1360" s="114" t="n"/>
    </row>
    <row r="1361" ht="15" customHeight="1" s="68">
      <c r="A1361" s="114" t="n"/>
      <c r="B1361" s="114" t="n"/>
      <c r="C1361" s="114" t="n"/>
      <c r="D1361" s="114" t="n"/>
      <c r="E1361" s="114" t="n"/>
      <c r="F1361" s="114" t="n"/>
      <c r="G1361" s="114" t="n"/>
      <c r="H1361" s="114" t="n"/>
      <c r="I1361" s="114" t="n"/>
      <c r="J1361" s="114" t="n"/>
    </row>
    <row r="1362" ht="15" customHeight="1" s="68">
      <c r="A1362" s="114" t="n"/>
      <c r="B1362" s="114" t="n"/>
      <c r="C1362" s="114" t="n"/>
      <c r="D1362" s="114" t="n"/>
      <c r="E1362" s="114" t="n"/>
      <c r="F1362" s="114" t="n"/>
      <c r="G1362" s="114" t="n"/>
      <c r="H1362" s="114" t="n"/>
      <c r="I1362" s="114" t="n"/>
      <c r="J1362" s="114" t="n"/>
    </row>
    <row r="1363" ht="15" customHeight="1" s="68">
      <c r="A1363" s="114" t="n"/>
      <c r="B1363" s="114" t="n"/>
      <c r="C1363" s="114" t="n"/>
      <c r="D1363" s="114" t="n"/>
      <c r="E1363" s="114" t="n"/>
      <c r="F1363" s="114" t="n"/>
      <c r="G1363" s="114" t="n"/>
      <c r="H1363" s="114" t="n"/>
      <c r="I1363" s="114" t="n"/>
      <c r="J1363" s="114" t="n"/>
    </row>
    <row r="1364" ht="15" customHeight="1" s="68">
      <c r="A1364" s="114" t="n"/>
      <c r="B1364" s="114" t="n"/>
      <c r="C1364" s="114" t="n"/>
      <c r="D1364" s="114" t="n"/>
      <c r="E1364" s="114" t="n"/>
      <c r="F1364" s="114" t="n"/>
      <c r="G1364" s="114" t="n"/>
      <c r="H1364" s="114" t="n"/>
      <c r="I1364" s="114" t="n"/>
      <c r="J1364" s="114" t="n"/>
    </row>
    <row r="1365" ht="15" customHeight="1" s="68">
      <c r="A1365" s="114" t="n"/>
      <c r="B1365" s="114" t="n"/>
      <c r="C1365" s="114" t="n"/>
      <c r="D1365" s="114" t="n"/>
      <c r="E1365" s="114" t="n"/>
      <c r="F1365" s="114" t="n"/>
      <c r="G1365" s="114" t="n"/>
      <c r="H1365" s="114" t="n"/>
      <c r="I1365" s="114" t="n"/>
      <c r="J1365" s="114" t="n"/>
    </row>
    <row r="1366" ht="15" customHeight="1" s="68">
      <c r="A1366" s="114" t="n"/>
      <c r="B1366" s="114" t="n"/>
      <c r="C1366" s="114" t="n"/>
      <c r="D1366" s="114" t="n"/>
      <c r="E1366" s="114" t="n"/>
      <c r="F1366" s="114" t="n"/>
      <c r="G1366" s="114" t="n"/>
      <c r="H1366" s="114" t="n"/>
      <c r="I1366" s="114" t="n"/>
      <c r="J1366" s="114" t="n"/>
    </row>
    <row r="1367" ht="15" customHeight="1" s="68">
      <c r="A1367" s="114" t="n"/>
      <c r="B1367" s="114" t="n"/>
      <c r="C1367" s="114" t="n"/>
      <c r="D1367" s="114" t="n"/>
      <c r="E1367" s="114" t="n"/>
      <c r="F1367" s="114" t="n"/>
      <c r="G1367" s="114" t="n"/>
      <c r="H1367" s="114" t="n"/>
      <c r="I1367" s="114" t="n"/>
      <c r="J1367" s="114" t="n"/>
    </row>
    <row r="1368" ht="15" customHeight="1" s="68">
      <c r="A1368" s="114" t="n"/>
      <c r="B1368" s="114" t="n"/>
      <c r="C1368" s="114" t="n"/>
      <c r="D1368" s="114" t="n"/>
      <c r="E1368" s="114" t="n"/>
      <c r="F1368" s="114" t="n"/>
      <c r="G1368" s="114" t="n"/>
      <c r="H1368" s="114" t="n"/>
      <c r="I1368" s="114" t="n"/>
      <c r="J1368" s="114" t="n"/>
    </row>
    <row r="1369" ht="15" customHeight="1" s="68">
      <c r="A1369" s="114" t="n"/>
      <c r="B1369" s="114" t="n"/>
      <c r="C1369" s="114" t="n"/>
      <c r="D1369" s="114" t="n"/>
      <c r="E1369" s="114" t="n"/>
      <c r="F1369" s="114" t="n"/>
      <c r="G1369" s="114" t="n"/>
      <c r="H1369" s="114" t="n"/>
      <c r="I1369" s="114" t="n"/>
      <c r="J1369" s="114" t="n"/>
    </row>
    <row r="1370" ht="15" customHeight="1" s="68">
      <c r="A1370" s="114" t="n"/>
      <c r="B1370" s="114" t="n"/>
      <c r="C1370" s="114" t="n"/>
      <c r="D1370" s="114" t="n"/>
      <c r="E1370" s="114" t="n"/>
      <c r="F1370" s="114" t="n"/>
      <c r="G1370" s="114" t="n"/>
      <c r="H1370" s="114" t="n"/>
      <c r="I1370" s="114" t="n"/>
      <c r="J1370" s="114" t="n"/>
    </row>
    <row r="1371" ht="15" customHeight="1" s="68">
      <c r="A1371" s="114" t="n"/>
      <c r="B1371" s="114" t="n"/>
      <c r="C1371" s="114" t="n"/>
      <c r="D1371" s="114" t="n"/>
      <c r="E1371" s="114" t="n"/>
      <c r="F1371" s="114" t="n"/>
      <c r="G1371" s="114" t="n"/>
      <c r="H1371" s="114" t="n"/>
      <c r="I1371" s="114" t="n"/>
      <c r="J1371" s="114" t="n"/>
    </row>
    <row r="1372" ht="15" customHeight="1" s="68">
      <c r="A1372" s="114" t="n"/>
      <c r="B1372" s="114" t="n"/>
      <c r="C1372" s="114" t="n"/>
      <c r="D1372" s="114" t="n"/>
      <c r="E1372" s="114" t="n"/>
      <c r="F1372" s="114" t="n"/>
      <c r="G1372" s="114" t="n"/>
      <c r="H1372" s="114" t="n"/>
      <c r="I1372" s="114" t="n"/>
      <c r="J1372" s="114" t="n"/>
    </row>
    <row r="1373" ht="15" customHeight="1" s="68">
      <c r="A1373" s="114" t="n"/>
      <c r="B1373" s="114" t="n"/>
      <c r="C1373" s="114" t="n"/>
      <c r="D1373" s="114" t="n"/>
      <c r="E1373" s="114" t="n"/>
      <c r="F1373" s="114" t="n"/>
      <c r="G1373" s="114" t="n"/>
      <c r="H1373" s="114" t="n"/>
      <c r="I1373" s="114" t="n"/>
      <c r="J1373" s="114" t="n"/>
    </row>
    <row r="1374" ht="15" customHeight="1" s="68">
      <c r="A1374" s="114" t="n"/>
      <c r="B1374" s="114" t="n"/>
      <c r="C1374" s="114" t="n"/>
      <c r="D1374" s="114" t="n"/>
      <c r="E1374" s="114" t="n"/>
      <c r="F1374" s="114" t="n"/>
      <c r="G1374" s="114" t="n"/>
      <c r="H1374" s="114" t="n"/>
      <c r="I1374" s="114" t="n"/>
      <c r="J1374" s="114" t="n"/>
    </row>
    <row r="1375" ht="15" customHeight="1" s="68">
      <c r="A1375" s="114" t="n"/>
      <c r="B1375" s="114" t="n"/>
      <c r="C1375" s="114" t="n"/>
      <c r="D1375" s="114" t="n"/>
      <c r="E1375" s="114" t="n"/>
      <c r="F1375" s="114" t="n"/>
      <c r="G1375" s="114" t="n"/>
      <c r="H1375" s="114" t="n"/>
      <c r="I1375" s="114" t="n"/>
      <c r="J1375" s="114" t="n"/>
    </row>
    <row r="1376" ht="15" customHeight="1" s="68">
      <c r="A1376" s="114" t="n"/>
      <c r="B1376" s="114" t="n"/>
      <c r="C1376" s="114" t="n"/>
      <c r="D1376" s="114" t="n"/>
      <c r="E1376" s="114" t="n"/>
      <c r="F1376" s="114" t="n"/>
      <c r="G1376" s="114" t="n"/>
      <c r="H1376" s="114" t="n"/>
      <c r="I1376" s="114" t="n"/>
      <c r="J1376" s="114" t="n"/>
    </row>
    <row r="1377" ht="15" customHeight="1" s="68">
      <c r="A1377" s="114" t="n"/>
      <c r="B1377" s="114" t="n"/>
      <c r="C1377" s="114" t="n"/>
      <c r="D1377" s="114" t="n"/>
      <c r="E1377" s="114" t="n"/>
      <c r="F1377" s="114" t="n"/>
      <c r="G1377" s="114" t="n"/>
      <c r="H1377" s="114" t="n"/>
      <c r="I1377" s="114" t="n"/>
      <c r="J1377" s="114" t="n"/>
    </row>
    <row r="1378" ht="15" customHeight="1" s="68">
      <c r="A1378" s="114" t="n"/>
      <c r="B1378" s="114" t="n"/>
      <c r="C1378" s="114" t="n"/>
      <c r="D1378" s="114" t="n"/>
      <c r="E1378" s="114" t="n"/>
      <c r="F1378" s="114" t="n"/>
      <c r="G1378" s="114" t="n"/>
      <c r="H1378" s="114" t="n"/>
      <c r="I1378" s="114" t="n"/>
      <c r="J1378" s="114" t="n"/>
    </row>
    <row r="1379" ht="15" customHeight="1" s="68">
      <c r="A1379" s="114" t="n"/>
      <c r="B1379" s="114" t="n"/>
      <c r="C1379" s="114" t="n"/>
      <c r="D1379" s="114" t="n"/>
      <c r="E1379" s="114" t="n"/>
      <c r="F1379" s="114" t="n"/>
      <c r="G1379" s="114" t="n"/>
      <c r="H1379" s="114" t="n"/>
      <c r="I1379" s="114" t="n"/>
      <c r="J1379" s="114" t="n"/>
    </row>
    <row r="1380" ht="15" customHeight="1" s="68">
      <c r="A1380" s="114" t="n"/>
      <c r="B1380" s="114" t="n"/>
      <c r="C1380" s="114" t="n"/>
      <c r="D1380" s="114" t="n"/>
      <c r="E1380" s="114" t="n"/>
      <c r="F1380" s="114" t="n"/>
      <c r="G1380" s="114" t="n"/>
      <c r="H1380" s="114" t="n"/>
      <c r="I1380" s="114" t="n"/>
      <c r="J1380" s="114" t="n"/>
    </row>
    <row r="1381" ht="15" customHeight="1" s="68">
      <c r="A1381" s="114" t="n"/>
      <c r="B1381" s="114" t="n"/>
      <c r="C1381" s="114" t="n"/>
      <c r="D1381" s="114" t="n"/>
      <c r="E1381" s="114" t="n"/>
      <c r="F1381" s="114" t="n"/>
      <c r="G1381" s="114" t="n"/>
      <c r="H1381" s="114" t="n"/>
      <c r="I1381" s="114" t="n"/>
      <c r="J1381" s="114" t="n"/>
    </row>
    <row r="1382" ht="15" customHeight="1" s="68">
      <c r="A1382" s="114" t="n"/>
      <c r="B1382" s="114" t="n"/>
      <c r="C1382" s="114" t="n"/>
      <c r="D1382" s="114" t="n"/>
      <c r="E1382" s="114" t="n"/>
      <c r="F1382" s="114" t="n"/>
      <c r="G1382" s="114" t="n"/>
      <c r="H1382" s="114" t="n"/>
      <c r="I1382" s="114" t="n"/>
      <c r="J1382" s="114" t="n"/>
    </row>
    <row r="1383" ht="15" customHeight="1" s="68">
      <c r="A1383" s="114" t="n"/>
      <c r="B1383" s="114" t="n"/>
      <c r="C1383" s="114" t="n"/>
      <c r="D1383" s="114" t="n"/>
      <c r="E1383" s="114" t="n"/>
      <c r="F1383" s="114" t="n"/>
      <c r="G1383" s="114" t="n"/>
      <c r="H1383" s="114" t="n"/>
      <c r="I1383" s="114" t="n"/>
      <c r="J1383" s="114" t="n"/>
    </row>
    <row r="1384" ht="15" customHeight="1" s="68">
      <c r="A1384" s="114" t="n"/>
      <c r="B1384" s="114" t="n"/>
      <c r="C1384" s="114" t="n"/>
      <c r="D1384" s="114" t="n"/>
      <c r="E1384" s="114" t="n"/>
      <c r="F1384" s="114" t="n"/>
      <c r="G1384" s="114" t="n"/>
      <c r="H1384" s="114" t="n"/>
      <c r="I1384" s="114" t="n"/>
      <c r="J1384" s="114" t="n"/>
    </row>
    <row r="1385" ht="15" customHeight="1" s="68">
      <c r="A1385" s="114" t="n"/>
      <c r="B1385" s="114" t="n"/>
      <c r="C1385" s="114" t="n"/>
      <c r="D1385" s="114" t="n"/>
      <c r="E1385" s="114" t="n"/>
      <c r="F1385" s="114" t="n"/>
      <c r="G1385" s="114" t="n"/>
      <c r="H1385" s="114" t="n"/>
      <c r="I1385" s="114" t="n"/>
      <c r="J1385" s="114" t="n"/>
    </row>
    <row r="1386" ht="15" customHeight="1" s="68">
      <c r="A1386" s="114" t="n"/>
      <c r="B1386" s="114" t="n"/>
      <c r="C1386" s="114" t="n"/>
      <c r="D1386" s="114" t="n"/>
      <c r="E1386" s="114" t="n"/>
      <c r="F1386" s="114" t="n"/>
      <c r="G1386" s="114" t="n"/>
      <c r="H1386" s="114" t="n"/>
      <c r="I1386" s="114" t="n"/>
      <c r="J1386" s="114" t="n"/>
    </row>
    <row r="1387" ht="15" customHeight="1" s="68">
      <c r="A1387" s="114" t="n"/>
      <c r="B1387" s="114" t="n"/>
      <c r="C1387" s="114" t="n"/>
      <c r="D1387" s="114" t="n"/>
      <c r="E1387" s="114" t="n"/>
      <c r="F1387" s="114" t="n"/>
      <c r="G1387" s="114" t="n"/>
      <c r="H1387" s="114" t="n"/>
      <c r="I1387" s="114" t="n"/>
      <c r="J1387" s="114" t="n"/>
    </row>
    <row r="1388" ht="15" customHeight="1" s="68">
      <c r="A1388" s="114" t="n"/>
      <c r="B1388" s="114" t="n"/>
      <c r="C1388" s="114" t="n"/>
      <c r="D1388" s="114" t="n"/>
      <c r="E1388" s="114" t="n"/>
      <c r="F1388" s="114" t="n"/>
      <c r="G1388" s="114" t="n"/>
      <c r="H1388" s="114" t="n"/>
      <c r="I1388" s="114" t="n"/>
      <c r="J1388" s="114" t="n"/>
    </row>
    <row r="1389" ht="15" customHeight="1" s="68">
      <c r="A1389" s="114" t="n"/>
      <c r="B1389" s="114" t="n"/>
      <c r="C1389" s="114" t="n"/>
      <c r="D1389" s="114" t="n"/>
      <c r="E1389" s="114" t="n"/>
      <c r="F1389" s="114" t="n"/>
      <c r="G1389" s="114" t="n"/>
      <c r="H1389" s="114" t="n"/>
      <c r="I1389" s="114" t="n"/>
      <c r="J1389" s="114" t="n"/>
    </row>
    <row r="1390" ht="15" customHeight="1" s="68">
      <c r="A1390" s="114" t="n"/>
      <c r="B1390" s="114" t="n"/>
      <c r="C1390" s="114" t="n"/>
      <c r="D1390" s="114" t="n"/>
      <c r="E1390" s="114" t="n"/>
      <c r="F1390" s="114" t="n"/>
      <c r="G1390" s="114" t="n"/>
      <c r="H1390" s="114" t="n"/>
      <c r="I1390" s="114" t="n"/>
      <c r="J1390" s="114" t="n"/>
    </row>
    <row r="1391" ht="15" customHeight="1" s="68">
      <c r="A1391" s="114" t="n"/>
      <c r="B1391" s="114" t="n"/>
      <c r="C1391" s="114" t="n"/>
      <c r="D1391" s="114" t="n"/>
      <c r="E1391" s="114" t="n"/>
      <c r="F1391" s="114" t="n"/>
      <c r="G1391" s="114" t="n"/>
      <c r="H1391" s="114" t="n"/>
      <c r="I1391" s="114" t="n"/>
      <c r="J1391" s="114" t="n"/>
    </row>
    <row r="1392" ht="15" customHeight="1" s="68">
      <c r="A1392" s="114" t="n"/>
      <c r="B1392" s="114" t="n"/>
      <c r="C1392" s="114" t="n"/>
      <c r="D1392" s="114" t="n"/>
      <c r="E1392" s="114" t="n"/>
      <c r="F1392" s="114" t="n"/>
      <c r="G1392" s="114" t="n"/>
      <c r="H1392" s="114" t="n"/>
      <c r="I1392" s="114" t="n"/>
      <c r="J1392" s="114" t="n"/>
    </row>
    <row r="1393" ht="15" customHeight="1" s="68">
      <c r="A1393" s="114" t="n"/>
      <c r="B1393" s="114" t="n"/>
      <c r="C1393" s="114" t="n"/>
      <c r="D1393" s="114" t="n"/>
      <c r="E1393" s="114" t="n"/>
      <c r="F1393" s="114" t="n"/>
      <c r="G1393" s="114" t="n"/>
      <c r="H1393" s="114" t="n"/>
      <c r="I1393" s="114" t="n"/>
      <c r="J1393" s="114" t="n"/>
    </row>
    <row r="1394" ht="15" customHeight="1" s="68">
      <c r="A1394" s="114" t="n"/>
      <c r="B1394" s="114" t="n"/>
      <c r="C1394" s="114" t="n"/>
      <c r="D1394" s="114" t="n"/>
      <c r="E1394" s="114" t="n"/>
      <c r="F1394" s="114" t="n"/>
      <c r="G1394" s="114" t="n"/>
      <c r="H1394" s="114" t="n"/>
      <c r="I1394" s="114" t="n"/>
      <c r="J1394" s="114" t="n"/>
    </row>
    <row r="1395" ht="15" customHeight="1" s="68">
      <c r="A1395" s="114" t="n"/>
      <c r="B1395" s="114" t="n"/>
      <c r="C1395" s="114" t="n"/>
      <c r="D1395" s="114" t="n"/>
      <c r="E1395" s="114" t="n"/>
      <c r="F1395" s="114" t="n"/>
      <c r="G1395" s="114" t="n"/>
      <c r="H1395" s="114" t="n"/>
      <c r="I1395" s="114" t="n"/>
      <c r="J1395" s="114" t="n"/>
    </row>
    <row r="1396" ht="15" customHeight="1" s="68">
      <c r="A1396" s="114" t="n"/>
      <c r="B1396" s="114" t="n"/>
      <c r="C1396" s="114" t="n"/>
      <c r="D1396" s="114" t="n"/>
      <c r="E1396" s="114" t="n"/>
      <c r="F1396" s="114" t="n"/>
      <c r="G1396" s="114" t="n"/>
      <c r="H1396" s="114" t="n"/>
      <c r="I1396" s="114" t="n"/>
      <c r="J1396" s="114" t="n"/>
    </row>
    <row r="1397" ht="15" customHeight="1" s="68">
      <c r="A1397" s="114" t="n"/>
      <c r="B1397" s="114" t="n"/>
      <c r="C1397" s="114" t="n"/>
      <c r="D1397" s="114" t="n"/>
      <c r="E1397" s="114" t="n"/>
      <c r="F1397" s="114" t="n"/>
      <c r="G1397" s="114" t="n"/>
      <c r="H1397" s="114" t="n"/>
      <c r="I1397" s="114" t="n"/>
      <c r="J1397" s="114" t="n"/>
    </row>
    <row r="1398" ht="15" customHeight="1" s="68">
      <c r="A1398" s="114" t="n"/>
      <c r="B1398" s="114" t="n"/>
      <c r="C1398" s="114" t="n"/>
      <c r="D1398" s="114" t="n"/>
      <c r="E1398" s="114" t="n"/>
      <c r="F1398" s="114" t="n"/>
      <c r="G1398" s="114" t="n"/>
      <c r="H1398" s="114" t="n"/>
      <c r="I1398" s="114" t="n"/>
      <c r="J1398" s="114" t="n"/>
    </row>
    <row r="1399" ht="15" customHeight="1" s="68">
      <c r="A1399" s="114" t="n"/>
      <c r="B1399" s="114" t="n"/>
      <c r="C1399" s="114" t="n"/>
      <c r="D1399" s="114" t="n"/>
      <c r="E1399" s="114" t="n"/>
      <c r="F1399" s="114" t="n"/>
      <c r="G1399" s="114" t="n"/>
      <c r="H1399" s="114" t="n"/>
      <c r="I1399" s="114" t="n"/>
      <c r="J1399" s="114" t="n"/>
    </row>
    <row r="1400" ht="15" customHeight="1" s="68">
      <c r="A1400" s="114" t="n"/>
      <c r="B1400" s="114" t="n"/>
      <c r="C1400" s="114" t="n"/>
      <c r="D1400" s="114" t="n"/>
      <c r="E1400" s="114" t="n"/>
      <c r="F1400" s="114" t="n"/>
      <c r="G1400" s="114" t="n"/>
      <c r="H1400" s="114" t="n"/>
      <c r="I1400" s="114" t="n"/>
      <c r="J1400" s="114" t="n"/>
    </row>
    <row r="1401" ht="15" customHeight="1" s="68">
      <c r="A1401" s="114" t="n"/>
      <c r="B1401" s="114" t="n"/>
      <c r="C1401" s="114" t="n"/>
      <c r="D1401" s="114" t="n"/>
      <c r="E1401" s="114" t="n"/>
      <c r="F1401" s="114" t="n"/>
      <c r="G1401" s="114" t="n"/>
      <c r="H1401" s="114" t="n"/>
      <c r="I1401" s="114" t="n"/>
      <c r="J1401" s="114" t="n"/>
    </row>
    <row r="1402" ht="15" customHeight="1" s="68">
      <c r="A1402" s="114" t="n"/>
      <c r="B1402" s="114" t="n"/>
      <c r="C1402" s="114" t="n"/>
      <c r="D1402" s="114" t="n"/>
      <c r="E1402" s="114" t="n"/>
      <c r="F1402" s="114" t="n"/>
      <c r="G1402" s="114" t="n"/>
      <c r="H1402" s="114" t="n"/>
      <c r="I1402" s="114" t="n"/>
      <c r="J1402" s="114" t="n"/>
    </row>
    <row r="1403" ht="15" customHeight="1" s="68">
      <c r="A1403" s="114" t="n"/>
      <c r="B1403" s="114" t="n"/>
      <c r="C1403" s="114" t="n"/>
      <c r="D1403" s="114" t="n"/>
      <c r="E1403" s="114" t="n"/>
      <c r="F1403" s="114" t="n"/>
      <c r="G1403" s="114" t="n"/>
      <c r="H1403" s="114" t="n"/>
      <c r="I1403" s="114" t="n"/>
      <c r="J1403" s="114" t="n"/>
    </row>
    <row r="1404" ht="15" customHeight="1" s="68">
      <c r="A1404" s="114" t="n"/>
      <c r="B1404" s="114" t="n"/>
      <c r="C1404" s="114" t="n"/>
      <c r="D1404" s="114" t="n"/>
      <c r="E1404" s="114" t="n"/>
      <c r="F1404" s="114" t="n"/>
      <c r="G1404" s="114" t="n"/>
      <c r="H1404" s="114" t="n"/>
      <c r="I1404" s="114" t="n"/>
      <c r="J1404" s="114" t="n"/>
    </row>
    <row r="1405" ht="15" customHeight="1" s="68">
      <c r="A1405" s="114" t="n"/>
      <c r="B1405" s="114" t="n"/>
      <c r="C1405" s="114" t="n"/>
      <c r="D1405" s="114" t="n"/>
      <c r="E1405" s="114" t="n"/>
      <c r="F1405" s="114" t="n"/>
      <c r="G1405" s="114" t="n"/>
      <c r="H1405" s="114" t="n"/>
      <c r="I1405" s="114" t="n"/>
      <c r="J1405" s="114" t="n"/>
    </row>
    <row r="1406" ht="15" customHeight="1" s="68">
      <c r="A1406" s="114" t="n"/>
      <c r="B1406" s="114" t="n"/>
      <c r="C1406" s="114" t="n"/>
      <c r="D1406" s="114" t="n"/>
      <c r="E1406" s="114" t="n"/>
      <c r="F1406" s="114" t="n"/>
      <c r="G1406" s="114" t="n"/>
      <c r="H1406" s="114" t="n"/>
      <c r="I1406" s="114" t="n"/>
      <c r="J1406" s="114" t="n"/>
    </row>
    <row r="1407" ht="15" customHeight="1" s="68">
      <c r="A1407" s="114" t="n"/>
      <c r="B1407" s="114" t="n"/>
      <c r="C1407" s="114" t="n"/>
      <c r="D1407" s="114" t="n"/>
      <c r="E1407" s="114" t="n"/>
      <c r="F1407" s="114" t="n"/>
      <c r="G1407" s="114" t="n"/>
      <c r="H1407" s="114" t="n"/>
      <c r="I1407" s="114" t="n"/>
      <c r="J1407" s="114" t="n"/>
    </row>
    <row r="1408" ht="15" customHeight="1" s="68">
      <c r="A1408" s="114" t="n"/>
      <c r="B1408" s="114" t="n"/>
      <c r="C1408" s="114" t="n"/>
      <c r="D1408" s="114" t="n"/>
      <c r="E1408" s="114" t="n"/>
      <c r="F1408" s="114" t="n"/>
      <c r="G1408" s="114" t="n"/>
      <c r="H1408" s="114" t="n"/>
      <c r="I1408" s="114" t="n"/>
      <c r="J1408" s="114" t="n"/>
    </row>
    <row r="1409" ht="15" customHeight="1" s="68">
      <c r="A1409" s="114" t="n"/>
      <c r="B1409" s="114" t="n"/>
      <c r="C1409" s="114" t="n"/>
      <c r="D1409" s="114" t="n"/>
      <c r="E1409" s="114" t="n"/>
      <c r="F1409" s="114" t="n"/>
      <c r="G1409" s="114" t="n"/>
      <c r="H1409" s="114" t="n"/>
      <c r="I1409" s="114" t="n"/>
      <c r="J1409" s="114" t="n"/>
    </row>
    <row r="1410" ht="15" customHeight="1" s="68">
      <c r="A1410" s="114" t="n"/>
      <c r="B1410" s="114" t="n"/>
      <c r="C1410" s="114" t="n"/>
      <c r="D1410" s="114" t="n"/>
      <c r="E1410" s="114" t="n"/>
      <c r="F1410" s="114" t="n"/>
      <c r="G1410" s="114" t="n"/>
      <c r="H1410" s="114" t="n"/>
      <c r="I1410" s="114" t="n"/>
      <c r="J1410" s="114" t="n"/>
    </row>
    <row r="1411" ht="15" customHeight="1" s="68">
      <c r="A1411" s="114" t="n"/>
      <c r="B1411" s="114" t="n"/>
      <c r="C1411" s="114" t="n"/>
      <c r="D1411" s="114" t="n"/>
      <c r="E1411" s="114" t="n"/>
      <c r="F1411" s="114" t="n"/>
      <c r="G1411" s="114" t="n"/>
      <c r="H1411" s="114" t="n"/>
      <c r="I1411" s="114" t="n"/>
      <c r="J1411" s="114" t="n"/>
    </row>
    <row r="1412" ht="15" customHeight="1" s="68">
      <c r="A1412" s="114" t="n"/>
      <c r="B1412" s="114" t="n"/>
      <c r="C1412" s="114" t="n"/>
      <c r="D1412" s="114" t="n"/>
      <c r="E1412" s="114" t="n"/>
      <c r="F1412" s="114" t="n"/>
      <c r="G1412" s="114" t="n"/>
      <c r="H1412" s="114" t="n"/>
      <c r="I1412" s="114" t="n"/>
      <c r="J1412" s="114" t="n"/>
    </row>
    <row r="1413" ht="15" customHeight="1" s="68">
      <c r="A1413" s="114" t="n"/>
      <c r="B1413" s="114" t="n"/>
      <c r="C1413" s="114" t="n"/>
      <c r="D1413" s="114" t="n"/>
      <c r="E1413" s="114" t="n"/>
      <c r="F1413" s="114" t="n"/>
      <c r="G1413" s="114" t="n"/>
      <c r="H1413" s="114" t="n"/>
      <c r="I1413" s="114" t="n"/>
      <c r="J1413" s="114" t="n"/>
    </row>
    <row r="1414" ht="15" customHeight="1" s="68">
      <c r="A1414" s="114" t="n"/>
      <c r="B1414" s="114" t="n"/>
      <c r="C1414" s="114" t="n"/>
      <c r="D1414" s="114" t="n"/>
      <c r="E1414" s="114" t="n"/>
      <c r="F1414" s="114" t="n"/>
      <c r="G1414" s="114" t="n"/>
      <c r="H1414" s="114" t="n"/>
      <c r="I1414" s="114" t="n"/>
      <c r="J1414" s="114" t="n"/>
    </row>
    <row r="1415" ht="15" customHeight="1" s="68">
      <c r="A1415" s="114" t="n"/>
      <c r="B1415" s="114" t="n"/>
      <c r="C1415" s="114" t="n"/>
      <c r="D1415" s="114" t="n"/>
      <c r="E1415" s="114" t="n"/>
      <c r="F1415" s="114" t="n"/>
      <c r="G1415" s="114" t="n"/>
      <c r="H1415" s="114" t="n"/>
      <c r="I1415" s="114" t="n"/>
      <c r="J1415" s="114" t="n"/>
    </row>
    <row r="1416" ht="15" customHeight="1" s="68">
      <c r="A1416" s="114" t="n"/>
      <c r="B1416" s="114" t="n"/>
      <c r="C1416" s="114" t="n"/>
      <c r="D1416" s="114" t="n"/>
      <c r="E1416" s="114" t="n"/>
      <c r="F1416" s="114" t="n"/>
      <c r="G1416" s="114" t="n"/>
      <c r="H1416" s="114" t="n"/>
      <c r="I1416" s="114" t="n"/>
      <c r="J1416" s="114" t="n"/>
    </row>
    <row r="1417" ht="15" customHeight="1" s="68">
      <c r="A1417" s="114" t="n"/>
      <c r="B1417" s="114" t="n"/>
      <c r="C1417" s="114" t="n"/>
      <c r="D1417" s="114" t="n"/>
      <c r="E1417" s="114" t="n"/>
      <c r="F1417" s="114" t="n"/>
      <c r="G1417" s="114" t="n"/>
      <c r="H1417" s="114" t="n"/>
      <c r="I1417" s="114" t="n"/>
      <c r="J1417" s="114" t="n"/>
    </row>
    <row r="1418" ht="15" customHeight="1" s="68">
      <c r="A1418" s="114" t="n"/>
      <c r="B1418" s="114" t="n"/>
      <c r="C1418" s="114" t="n"/>
      <c r="D1418" s="114" t="n"/>
      <c r="E1418" s="114" t="n"/>
      <c r="F1418" s="114" t="n"/>
      <c r="G1418" s="114" t="n"/>
      <c r="H1418" s="114" t="n"/>
      <c r="I1418" s="114" t="n"/>
      <c r="J1418" s="114" t="n"/>
    </row>
    <row r="1419" ht="15" customHeight="1" s="68">
      <c r="A1419" s="114" t="n"/>
      <c r="B1419" s="114" t="n"/>
      <c r="C1419" s="114" t="n"/>
      <c r="D1419" s="114" t="n"/>
      <c r="E1419" s="114" t="n"/>
      <c r="F1419" s="114" t="n"/>
      <c r="G1419" s="114" t="n"/>
      <c r="H1419" s="114" t="n"/>
      <c r="I1419" s="114" t="n"/>
      <c r="J1419" s="114" t="n"/>
    </row>
    <row r="1420" ht="15" customHeight="1" s="68">
      <c r="A1420" s="114" t="n"/>
      <c r="B1420" s="114" t="n"/>
      <c r="C1420" s="114" t="n"/>
      <c r="D1420" s="114" t="n"/>
      <c r="E1420" s="114" t="n"/>
      <c r="F1420" s="114" t="n"/>
      <c r="G1420" s="114" t="n"/>
      <c r="H1420" s="114" t="n"/>
      <c r="I1420" s="114" t="n"/>
      <c r="J1420" s="114" t="n"/>
    </row>
    <row r="1421" ht="15" customHeight="1" s="68">
      <c r="A1421" s="114" t="n"/>
      <c r="B1421" s="114" t="n"/>
      <c r="C1421" s="114" t="n"/>
      <c r="D1421" s="114" t="n"/>
      <c r="E1421" s="114" t="n"/>
      <c r="F1421" s="114" t="n"/>
      <c r="G1421" s="114" t="n"/>
      <c r="H1421" s="114" t="n"/>
      <c r="I1421" s="114" t="n"/>
      <c r="J1421" s="114" t="n"/>
    </row>
    <row r="1422" ht="15" customHeight="1" s="68">
      <c r="A1422" s="114" t="n"/>
      <c r="B1422" s="114" t="n"/>
      <c r="C1422" s="114" t="n"/>
      <c r="D1422" s="114" t="n"/>
      <c r="E1422" s="114" t="n"/>
      <c r="F1422" s="114" t="n"/>
      <c r="G1422" s="114" t="n"/>
      <c r="H1422" s="114" t="n"/>
      <c r="I1422" s="114" t="n"/>
      <c r="J1422" s="114" t="n"/>
    </row>
    <row r="1423" ht="15" customHeight="1" s="68">
      <c r="A1423" s="114" t="n"/>
      <c r="B1423" s="114" t="n"/>
      <c r="C1423" s="114" t="n"/>
      <c r="D1423" s="114" t="n"/>
      <c r="E1423" s="114" t="n"/>
      <c r="F1423" s="114" t="n"/>
      <c r="G1423" s="114" t="n"/>
      <c r="H1423" s="114" t="n"/>
      <c r="I1423" s="114" t="n"/>
      <c r="J1423" s="114" t="n"/>
    </row>
    <row r="1424" ht="15" customHeight="1" s="68">
      <c r="A1424" s="114" t="n"/>
      <c r="B1424" s="114" t="n"/>
      <c r="C1424" s="114" t="n"/>
      <c r="D1424" s="114" t="n"/>
      <c r="E1424" s="114" t="n"/>
      <c r="F1424" s="114" t="n"/>
      <c r="G1424" s="114" t="n"/>
      <c r="H1424" s="114" t="n"/>
      <c r="I1424" s="114" t="n"/>
      <c r="J1424" s="114" t="n"/>
    </row>
    <row r="1425" ht="15" customHeight="1" s="68">
      <c r="A1425" s="114" t="n"/>
      <c r="B1425" s="114" t="n"/>
      <c r="C1425" s="114" t="n"/>
      <c r="D1425" s="114" t="n"/>
      <c r="E1425" s="114" t="n"/>
      <c r="F1425" s="114" t="n"/>
      <c r="G1425" s="114" t="n"/>
      <c r="H1425" s="114" t="n"/>
      <c r="I1425" s="114" t="n"/>
      <c r="J1425" s="114" t="n"/>
    </row>
    <row r="1426" ht="15" customHeight="1" s="68">
      <c r="A1426" s="114" t="n"/>
      <c r="B1426" s="114" t="n"/>
      <c r="C1426" s="114" t="n"/>
      <c r="D1426" s="114" t="n"/>
      <c r="E1426" s="114" t="n"/>
      <c r="F1426" s="114" t="n"/>
      <c r="G1426" s="114" t="n"/>
      <c r="H1426" s="114" t="n"/>
      <c r="I1426" s="114" t="n"/>
      <c r="J1426" s="114" t="n"/>
    </row>
    <row r="1427" ht="15" customHeight="1" s="68">
      <c r="A1427" s="114" t="n"/>
      <c r="B1427" s="114" t="n"/>
      <c r="C1427" s="114" t="n"/>
      <c r="D1427" s="114" t="n"/>
      <c r="E1427" s="114" t="n"/>
      <c r="F1427" s="114" t="n"/>
      <c r="G1427" s="114" t="n"/>
      <c r="H1427" s="114" t="n"/>
      <c r="I1427" s="114" t="n"/>
      <c r="J1427" s="114" t="n"/>
    </row>
    <row r="1428" ht="15" customHeight="1" s="68">
      <c r="A1428" s="114" t="n"/>
      <c r="B1428" s="114" t="n"/>
      <c r="C1428" s="114" t="n"/>
      <c r="D1428" s="114" t="n"/>
      <c r="E1428" s="114" t="n"/>
      <c r="F1428" s="114" t="n"/>
      <c r="G1428" s="114" t="n"/>
      <c r="H1428" s="114" t="n"/>
      <c r="I1428" s="114" t="n"/>
      <c r="J1428" s="114" t="n"/>
    </row>
    <row r="1429" ht="15" customHeight="1" s="68">
      <c r="A1429" s="114" t="n"/>
      <c r="B1429" s="114" t="n"/>
      <c r="C1429" s="114" t="n"/>
      <c r="D1429" s="114" t="n"/>
      <c r="E1429" s="114" t="n"/>
      <c r="F1429" s="114" t="n"/>
      <c r="G1429" s="114" t="n"/>
      <c r="H1429" s="114" t="n"/>
      <c r="I1429" s="114" t="n"/>
      <c r="J1429" s="114" t="n"/>
    </row>
    <row r="1430" ht="15" customHeight="1" s="68">
      <c r="A1430" s="114" t="n"/>
      <c r="B1430" s="114" t="n"/>
      <c r="C1430" s="114" t="n"/>
      <c r="D1430" s="114" t="n"/>
      <c r="E1430" s="114" t="n"/>
      <c r="F1430" s="114" t="n"/>
      <c r="G1430" s="114" t="n"/>
      <c r="H1430" s="114" t="n"/>
      <c r="I1430" s="114" t="n"/>
      <c r="J1430" s="114" t="n"/>
    </row>
    <row r="1431" ht="15" customHeight="1" s="68">
      <c r="A1431" s="114" t="n"/>
      <c r="B1431" s="114" t="n"/>
      <c r="C1431" s="114" t="n"/>
      <c r="D1431" s="114" t="n"/>
      <c r="E1431" s="114" t="n"/>
      <c r="F1431" s="114" t="n"/>
      <c r="G1431" s="114" t="n"/>
      <c r="H1431" s="114" t="n"/>
      <c r="I1431" s="114" t="n"/>
      <c r="J1431" s="114" t="n"/>
    </row>
    <row r="1432" ht="15" customHeight="1" s="68">
      <c r="A1432" s="114" t="n"/>
      <c r="B1432" s="114" t="n"/>
      <c r="C1432" s="114" t="n"/>
      <c r="D1432" s="114" t="n"/>
      <c r="E1432" s="114" t="n"/>
      <c r="F1432" s="114" t="n"/>
      <c r="G1432" s="114" t="n"/>
      <c r="H1432" s="114" t="n"/>
      <c r="I1432" s="114" t="n"/>
      <c r="J1432" s="114" t="n"/>
    </row>
    <row r="1433" ht="15" customHeight="1" s="68">
      <c r="A1433" s="114" t="n"/>
      <c r="B1433" s="114" t="n"/>
      <c r="C1433" s="114" t="n"/>
      <c r="D1433" s="114" t="n"/>
      <c r="E1433" s="114" t="n"/>
      <c r="F1433" s="114" t="n"/>
      <c r="G1433" s="114" t="n"/>
      <c r="H1433" s="114" t="n"/>
      <c r="I1433" s="114" t="n"/>
      <c r="J1433" s="114" t="n"/>
    </row>
    <row r="1434" ht="15" customHeight="1" s="68">
      <c r="A1434" s="114" t="n"/>
      <c r="B1434" s="114" t="n"/>
      <c r="C1434" s="114" t="n"/>
      <c r="D1434" s="114" t="n"/>
      <c r="E1434" s="114" t="n"/>
      <c r="F1434" s="114" t="n"/>
      <c r="G1434" s="114" t="n"/>
      <c r="H1434" s="114" t="n"/>
      <c r="I1434" s="114" t="n"/>
      <c r="J1434" s="114" t="n"/>
    </row>
    <row r="1435" ht="15" customHeight="1" s="68">
      <c r="A1435" s="114" t="n"/>
      <c r="B1435" s="114" t="n"/>
      <c r="C1435" s="114" t="n"/>
      <c r="D1435" s="114" t="n"/>
      <c r="E1435" s="114" t="n"/>
      <c r="F1435" s="114" t="n"/>
      <c r="G1435" s="114" t="n"/>
      <c r="H1435" s="114" t="n"/>
      <c r="I1435" s="114" t="n"/>
      <c r="J1435" s="114" t="n"/>
    </row>
    <row r="1436" ht="15" customHeight="1" s="68">
      <c r="A1436" s="114" t="n"/>
      <c r="B1436" s="114" t="n"/>
      <c r="C1436" s="114" t="n"/>
      <c r="D1436" s="114" t="n"/>
      <c r="E1436" s="114" t="n"/>
      <c r="F1436" s="114" t="n"/>
      <c r="G1436" s="114" t="n"/>
      <c r="H1436" s="114" t="n"/>
      <c r="I1436" s="114" t="n"/>
      <c r="J1436" s="114" t="n"/>
    </row>
    <row r="1437" ht="15" customHeight="1" s="68">
      <c r="A1437" s="114" t="n"/>
      <c r="B1437" s="114" t="n"/>
      <c r="C1437" s="114" t="n"/>
      <c r="D1437" s="114" t="n"/>
      <c r="E1437" s="114" t="n"/>
      <c r="F1437" s="114" t="n"/>
      <c r="G1437" s="114" t="n"/>
      <c r="H1437" s="114" t="n"/>
      <c r="I1437" s="114" t="n"/>
      <c r="J1437" s="114" t="n"/>
    </row>
    <row r="1438" ht="15" customHeight="1" s="68">
      <c r="A1438" s="114" t="n"/>
      <c r="B1438" s="114" t="n"/>
      <c r="C1438" s="114" t="n"/>
      <c r="D1438" s="114" t="n"/>
      <c r="E1438" s="114" t="n"/>
      <c r="F1438" s="114" t="n"/>
      <c r="G1438" s="114" t="n"/>
      <c r="H1438" s="114" t="n"/>
      <c r="I1438" s="114" t="n"/>
      <c r="J1438" s="114" t="n"/>
    </row>
    <row r="1439" ht="15" customHeight="1" s="68">
      <c r="A1439" s="114" t="n"/>
      <c r="B1439" s="114" t="n"/>
      <c r="C1439" s="114" t="n"/>
      <c r="D1439" s="114" t="n"/>
      <c r="E1439" s="114" t="n"/>
      <c r="F1439" s="114" t="n"/>
      <c r="G1439" s="114" t="n"/>
      <c r="H1439" s="114" t="n"/>
      <c r="I1439" s="114" t="n"/>
      <c r="J1439" s="114" t="n"/>
    </row>
    <row r="1440" ht="15" customHeight="1" s="68">
      <c r="A1440" s="114" t="n"/>
      <c r="B1440" s="114" t="n"/>
      <c r="C1440" s="114" t="n"/>
      <c r="D1440" s="114" t="n"/>
      <c r="E1440" s="114" t="n"/>
      <c r="F1440" s="114" t="n"/>
      <c r="G1440" s="114" t="n"/>
      <c r="H1440" s="114" t="n"/>
      <c r="I1440" s="114" t="n"/>
      <c r="J1440" s="114" t="n"/>
    </row>
    <row r="1441" ht="15" customHeight="1" s="68">
      <c r="A1441" s="114" t="n"/>
      <c r="B1441" s="114" t="n"/>
      <c r="C1441" s="114" t="n"/>
      <c r="D1441" s="114" t="n"/>
      <c r="E1441" s="114" t="n"/>
      <c r="F1441" s="114" t="n"/>
      <c r="G1441" s="114" t="n"/>
      <c r="H1441" s="114" t="n"/>
      <c r="I1441" s="114" t="n"/>
      <c r="J1441" s="114" t="n"/>
    </row>
    <row r="1442" ht="15" customHeight="1" s="68">
      <c r="A1442" s="114" t="n"/>
      <c r="B1442" s="114" t="n"/>
      <c r="C1442" s="114" t="n"/>
      <c r="D1442" s="114" t="n"/>
      <c r="E1442" s="114" t="n"/>
      <c r="F1442" s="114" t="n"/>
      <c r="G1442" s="114" t="n"/>
      <c r="H1442" s="114" t="n"/>
      <c r="I1442" s="114" t="n"/>
      <c r="J1442" s="114" t="n"/>
    </row>
    <row r="1443" ht="15" customHeight="1" s="68">
      <c r="A1443" s="114" t="n"/>
      <c r="B1443" s="114" t="n"/>
      <c r="C1443" s="114" t="n"/>
      <c r="D1443" s="114" t="n"/>
      <c r="E1443" s="114" t="n"/>
      <c r="F1443" s="114" t="n"/>
      <c r="G1443" s="114" t="n"/>
      <c r="H1443" s="114" t="n"/>
      <c r="I1443" s="114" t="n"/>
      <c r="J1443" s="114" t="n"/>
    </row>
    <row r="1444" ht="15" customHeight="1" s="68">
      <c r="A1444" s="114" t="n"/>
      <c r="B1444" s="114" t="n"/>
      <c r="C1444" s="114" t="n"/>
      <c r="D1444" s="114" t="n"/>
      <c r="E1444" s="114" t="n"/>
      <c r="F1444" s="114" t="n"/>
      <c r="G1444" s="114" t="n"/>
      <c r="H1444" s="114" t="n"/>
      <c r="I1444" s="114" t="n"/>
      <c r="J1444" s="114" t="n"/>
    </row>
    <row r="1445" ht="15" customHeight="1" s="68">
      <c r="A1445" s="114" t="n"/>
      <c r="B1445" s="114" t="n"/>
      <c r="C1445" s="114" t="n"/>
      <c r="D1445" s="114" t="n"/>
      <c r="E1445" s="114" t="n"/>
      <c r="F1445" s="114" t="n"/>
      <c r="G1445" s="114" t="n"/>
      <c r="H1445" s="114" t="n"/>
      <c r="I1445" s="114" t="n"/>
      <c r="J1445" s="114" t="n"/>
    </row>
    <row r="1446" ht="15" customHeight="1" s="68">
      <c r="A1446" s="114" t="n"/>
      <c r="B1446" s="114" t="n"/>
      <c r="C1446" s="114" t="n"/>
      <c r="D1446" s="114" t="n"/>
      <c r="E1446" s="114" t="n"/>
      <c r="F1446" s="114" t="n"/>
      <c r="G1446" s="114" t="n"/>
      <c r="H1446" s="114" t="n"/>
      <c r="I1446" s="114" t="n"/>
      <c r="J1446" s="114" t="n"/>
    </row>
    <row r="1447" ht="15" customHeight="1" s="68">
      <c r="A1447" s="114" t="n"/>
      <c r="B1447" s="114" t="n"/>
      <c r="C1447" s="114" t="n"/>
      <c r="D1447" s="114" t="n"/>
      <c r="E1447" s="114" t="n"/>
      <c r="F1447" s="114" t="n"/>
      <c r="G1447" s="114" t="n"/>
      <c r="H1447" s="114" t="n"/>
      <c r="I1447" s="114" t="n"/>
      <c r="J1447" s="114" t="n"/>
    </row>
    <row r="1448" ht="15" customHeight="1" s="68">
      <c r="A1448" s="114" t="n"/>
      <c r="B1448" s="114" t="n"/>
      <c r="C1448" s="114" t="n"/>
      <c r="D1448" s="114" t="n"/>
      <c r="E1448" s="114" t="n"/>
      <c r="F1448" s="114" t="n"/>
      <c r="G1448" s="114" t="n"/>
      <c r="H1448" s="114" t="n"/>
      <c r="I1448" s="114" t="n"/>
      <c r="J1448" s="114" t="n"/>
    </row>
    <row r="1449" ht="15" customHeight="1" s="68">
      <c r="A1449" s="114" t="n"/>
      <c r="B1449" s="114" t="n"/>
      <c r="C1449" s="114" t="n"/>
      <c r="D1449" s="114" t="n"/>
      <c r="E1449" s="114" t="n"/>
      <c r="F1449" s="114" t="n"/>
      <c r="G1449" s="114" t="n"/>
      <c r="H1449" s="114" t="n"/>
      <c r="I1449" s="114" t="n"/>
      <c r="J1449" s="114" t="n"/>
    </row>
    <row r="1450" ht="15" customHeight="1" s="68">
      <c r="A1450" s="114" t="n"/>
      <c r="B1450" s="114" t="n"/>
      <c r="C1450" s="114" t="n"/>
      <c r="D1450" s="114" t="n"/>
      <c r="E1450" s="114" t="n"/>
      <c r="F1450" s="114" t="n"/>
      <c r="G1450" s="114" t="n"/>
      <c r="H1450" s="114" t="n"/>
      <c r="I1450" s="114" t="n"/>
      <c r="J1450" s="114" t="n"/>
    </row>
    <row r="1451" ht="15" customHeight="1" s="68">
      <c r="A1451" s="114" t="n"/>
      <c r="B1451" s="114" t="n"/>
      <c r="C1451" s="114" t="n"/>
      <c r="D1451" s="114" t="n"/>
      <c r="E1451" s="114" t="n"/>
      <c r="F1451" s="114" t="n"/>
      <c r="G1451" s="114" t="n"/>
      <c r="H1451" s="114" t="n"/>
      <c r="I1451" s="114" t="n"/>
      <c r="J1451" s="114" t="n"/>
    </row>
    <row r="1452" ht="15" customHeight="1" s="68">
      <c r="A1452" s="114" t="n"/>
      <c r="B1452" s="114" t="n"/>
      <c r="C1452" s="114" t="n"/>
      <c r="D1452" s="114" t="n"/>
      <c r="E1452" s="114" t="n"/>
      <c r="F1452" s="114" t="n"/>
      <c r="G1452" s="114" t="n"/>
      <c r="H1452" s="114" t="n"/>
      <c r="I1452" s="114" t="n"/>
      <c r="J1452" s="114" t="n"/>
    </row>
    <row r="1453" ht="15" customHeight="1" s="68">
      <c r="A1453" s="114" t="n"/>
      <c r="B1453" s="114" t="n"/>
      <c r="C1453" s="114" t="n"/>
      <c r="D1453" s="114" t="n"/>
      <c r="E1453" s="114" t="n"/>
      <c r="F1453" s="114" t="n"/>
      <c r="G1453" s="114" t="n"/>
      <c r="H1453" s="114" t="n"/>
      <c r="I1453" s="114" t="n"/>
      <c r="J1453" s="114" t="n"/>
    </row>
    <row r="1454" ht="15" customHeight="1" s="68">
      <c r="A1454" s="114" t="n"/>
      <c r="B1454" s="114" t="n"/>
      <c r="C1454" s="114" t="n"/>
      <c r="D1454" s="114" t="n"/>
      <c r="E1454" s="114" t="n"/>
      <c r="F1454" s="114" t="n"/>
      <c r="G1454" s="114" t="n"/>
      <c r="H1454" s="114" t="n"/>
      <c r="I1454" s="114" t="n"/>
      <c r="J1454" s="114" t="n"/>
    </row>
    <row r="1455" ht="15" customHeight="1" s="68">
      <c r="A1455" s="114" t="n"/>
      <c r="B1455" s="114" t="n"/>
      <c r="C1455" s="114" t="n"/>
      <c r="D1455" s="114" t="n"/>
      <c r="E1455" s="114" t="n"/>
      <c r="F1455" s="114" t="n"/>
      <c r="G1455" s="114" t="n"/>
      <c r="H1455" s="114" t="n"/>
      <c r="I1455" s="114" t="n"/>
      <c r="J1455" s="114" t="n"/>
    </row>
    <row r="1456" ht="15" customHeight="1" s="68">
      <c r="A1456" s="114" t="n"/>
      <c r="B1456" s="114" t="n"/>
      <c r="C1456" s="114" t="n"/>
      <c r="D1456" s="114" t="n"/>
      <c r="E1456" s="114" t="n"/>
      <c r="F1456" s="114" t="n"/>
      <c r="G1456" s="114" t="n"/>
      <c r="H1456" s="114" t="n"/>
      <c r="I1456" s="114" t="n"/>
      <c r="J1456" s="114" t="n"/>
    </row>
    <row r="1457" ht="15" customHeight="1" s="68">
      <c r="A1457" s="114" t="n"/>
      <c r="B1457" s="114" t="n"/>
      <c r="C1457" s="114" t="n"/>
      <c r="D1457" s="114" t="n"/>
      <c r="E1457" s="114" t="n"/>
      <c r="F1457" s="114" t="n"/>
      <c r="G1457" s="114" t="n"/>
      <c r="H1457" s="114" t="n"/>
      <c r="I1457" s="114" t="n"/>
      <c r="J1457" s="114" t="n"/>
    </row>
    <row r="1458" ht="15" customHeight="1" s="68">
      <c r="A1458" s="114" t="n"/>
      <c r="B1458" s="114" t="n"/>
      <c r="C1458" s="114" t="n"/>
      <c r="D1458" s="114" t="n"/>
      <c r="E1458" s="114" t="n"/>
      <c r="F1458" s="114" t="n"/>
      <c r="G1458" s="114" t="n"/>
      <c r="H1458" s="114" t="n"/>
      <c r="I1458" s="114" t="n"/>
      <c r="J1458" s="114" t="n"/>
    </row>
    <row r="1459" ht="15" customHeight="1" s="68">
      <c r="A1459" s="114" t="n"/>
      <c r="B1459" s="114" t="n"/>
      <c r="C1459" s="114" t="n"/>
      <c r="D1459" s="114" t="n"/>
      <c r="E1459" s="114" t="n"/>
      <c r="F1459" s="114" t="n"/>
      <c r="G1459" s="114" t="n"/>
      <c r="H1459" s="114" t="n"/>
      <c r="I1459" s="114" t="n"/>
      <c r="J1459" s="114" t="n"/>
    </row>
    <row r="1460" ht="15" customHeight="1" s="68">
      <c r="A1460" s="114" t="n"/>
      <c r="B1460" s="114" t="n"/>
      <c r="C1460" s="114" t="n"/>
      <c r="D1460" s="114" t="n"/>
      <c r="E1460" s="114" t="n"/>
      <c r="F1460" s="114" t="n"/>
      <c r="G1460" s="114" t="n"/>
      <c r="H1460" s="114" t="n"/>
      <c r="I1460" s="114" t="n"/>
      <c r="J1460" s="114" t="n"/>
    </row>
    <row r="1461" ht="15" customHeight="1" s="68">
      <c r="A1461" s="114" t="n"/>
      <c r="B1461" s="114" t="n"/>
      <c r="C1461" s="114" t="n"/>
      <c r="D1461" s="114" t="n"/>
      <c r="E1461" s="114" t="n"/>
      <c r="F1461" s="114" t="n"/>
      <c r="G1461" s="114" t="n"/>
      <c r="H1461" s="114" t="n"/>
      <c r="I1461" s="114" t="n"/>
      <c r="J1461" s="114" t="n"/>
    </row>
    <row r="1462" ht="15" customHeight="1" s="68">
      <c r="A1462" s="114" t="n"/>
      <c r="B1462" s="114" t="n"/>
      <c r="C1462" s="114" t="n"/>
      <c r="D1462" s="114" t="n"/>
      <c r="E1462" s="114" t="n"/>
      <c r="F1462" s="114" t="n"/>
      <c r="G1462" s="114" t="n"/>
      <c r="H1462" s="114" t="n"/>
      <c r="I1462" s="114" t="n"/>
      <c r="J1462" s="114" t="n"/>
    </row>
    <row r="1463" ht="15" customHeight="1" s="68">
      <c r="A1463" s="114" t="n"/>
      <c r="B1463" s="114" t="n"/>
      <c r="C1463" s="114" t="n"/>
      <c r="D1463" s="114" t="n"/>
      <c r="E1463" s="114" t="n"/>
      <c r="F1463" s="114" t="n"/>
      <c r="G1463" s="114" t="n"/>
      <c r="H1463" s="114" t="n"/>
      <c r="I1463" s="114" t="n"/>
      <c r="J1463" s="114" t="n"/>
    </row>
    <row r="1464" ht="15" customHeight="1" s="68">
      <c r="A1464" s="114" t="n"/>
      <c r="B1464" s="114" t="n"/>
      <c r="C1464" s="114" t="n"/>
      <c r="D1464" s="114" t="n"/>
      <c r="E1464" s="114" t="n"/>
      <c r="F1464" s="114" t="n"/>
      <c r="G1464" s="114" t="n"/>
      <c r="H1464" s="114" t="n"/>
      <c r="I1464" s="114" t="n"/>
      <c r="J1464" s="114" t="n"/>
    </row>
    <row r="1465" ht="15" customHeight="1" s="68">
      <c r="A1465" s="114" t="n"/>
      <c r="B1465" s="114" t="n"/>
      <c r="C1465" s="114" t="n"/>
      <c r="D1465" s="114" t="n"/>
      <c r="E1465" s="114" t="n"/>
      <c r="F1465" s="114" t="n"/>
      <c r="G1465" s="114" t="n"/>
      <c r="H1465" s="114" t="n"/>
      <c r="I1465" s="114" t="n"/>
      <c r="J1465" s="114" t="n"/>
    </row>
    <row r="1466" ht="15" customHeight="1" s="68">
      <c r="A1466" s="114" t="n"/>
      <c r="B1466" s="114" t="n"/>
      <c r="C1466" s="114" t="n"/>
      <c r="D1466" s="114" t="n"/>
      <c r="E1466" s="114" t="n"/>
      <c r="F1466" s="114" t="n"/>
      <c r="G1466" s="114" t="n"/>
      <c r="H1466" s="114" t="n"/>
      <c r="I1466" s="114" t="n"/>
      <c r="J1466" s="114" t="n"/>
    </row>
    <row r="1467" ht="15" customHeight="1" s="68">
      <c r="A1467" s="114" t="n"/>
      <c r="B1467" s="114" t="n"/>
      <c r="C1467" s="114" t="n"/>
      <c r="D1467" s="114" t="n"/>
      <c r="E1467" s="114" t="n"/>
      <c r="F1467" s="114" t="n"/>
      <c r="G1467" s="114" t="n"/>
      <c r="H1467" s="114" t="n"/>
      <c r="I1467" s="114" t="n"/>
      <c r="J1467" s="114" t="n"/>
    </row>
    <row r="1468" ht="15" customHeight="1" s="68">
      <c r="A1468" s="114" t="n"/>
      <c r="B1468" s="114" t="n"/>
      <c r="C1468" s="114" t="n"/>
      <c r="D1468" s="114" t="n"/>
      <c r="E1468" s="114" t="n"/>
      <c r="F1468" s="114" t="n"/>
      <c r="G1468" s="114" t="n"/>
      <c r="H1468" s="114" t="n"/>
      <c r="I1468" s="114" t="n"/>
      <c r="J1468" s="114" t="n"/>
    </row>
    <row r="1469" ht="15" customHeight="1" s="68">
      <c r="A1469" s="114" t="n"/>
      <c r="B1469" s="114" t="n"/>
      <c r="C1469" s="114" t="n"/>
      <c r="D1469" s="114" t="n"/>
      <c r="E1469" s="114" t="n"/>
      <c r="F1469" s="114" t="n"/>
      <c r="G1469" s="114" t="n"/>
      <c r="H1469" s="114" t="n"/>
      <c r="I1469" s="114" t="n"/>
      <c r="J1469" s="114" t="n"/>
    </row>
    <row r="1470" ht="15" customHeight="1" s="68">
      <c r="A1470" s="114" t="n"/>
      <c r="B1470" s="114" t="n"/>
      <c r="C1470" s="114" t="n"/>
      <c r="D1470" s="114" t="n"/>
      <c r="E1470" s="114" t="n"/>
      <c r="F1470" s="114" t="n"/>
      <c r="G1470" s="114" t="n"/>
      <c r="H1470" s="114" t="n"/>
      <c r="I1470" s="114" t="n"/>
      <c r="J1470" s="114" t="n"/>
    </row>
    <row r="1471" ht="15" customHeight="1" s="68">
      <c r="A1471" s="114" t="n"/>
      <c r="B1471" s="114" t="n"/>
      <c r="C1471" s="114" t="n"/>
      <c r="D1471" s="114" t="n"/>
      <c r="E1471" s="114" t="n"/>
      <c r="F1471" s="114" t="n"/>
      <c r="G1471" s="114" t="n"/>
      <c r="H1471" s="114" t="n"/>
      <c r="I1471" s="114" t="n"/>
      <c r="J1471" s="114" t="n"/>
    </row>
    <row r="1472" ht="15" customHeight="1" s="68">
      <c r="A1472" s="114" t="n"/>
      <c r="B1472" s="114" t="n"/>
      <c r="C1472" s="114" t="n"/>
      <c r="D1472" s="114" t="n"/>
      <c r="E1472" s="114" t="n"/>
      <c r="F1472" s="114" t="n"/>
      <c r="G1472" s="114" t="n"/>
      <c r="H1472" s="114" t="n"/>
      <c r="I1472" s="114" t="n"/>
      <c r="J1472" s="114" t="n"/>
    </row>
    <row r="1473" ht="15" customHeight="1" s="68">
      <c r="A1473" s="114" t="n"/>
      <c r="B1473" s="114" t="n"/>
      <c r="C1473" s="114" t="n"/>
      <c r="D1473" s="114" t="n"/>
      <c r="E1473" s="114" t="n"/>
      <c r="F1473" s="114" t="n"/>
      <c r="G1473" s="114" t="n"/>
      <c r="H1473" s="114" t="n"/>
      <c r="I1473" s="114" t="n"/>
      <c r="J1473" s="114" t="n"/>
    </row>
    <row r="1474" ht="15" customHeight="1" s="68">
      <c r="A1474" s="114" t="n"/>
      <c r="B1474" s="114" t="n"/>
      <c r="C1474" s="114" t="n"/>
      <c r="D1474" s="114" t="n"/>
      <c r="E1474" s="114" t="n"/>
      <c r="F1474" s="114" t="n"/>
      <c r="G1474" s="114" t="n"/>
      <c r="H1474" s="114" t="n"/>
      <c r="I1474" s="114" t="n"/>
      <c r="J1474" s="114" t="n"/>
    </row>
    <row r="1475" ht="15" customHeight="1" s="68">
      <c r="A1475" s="114" t="n"/>
      <c r="B1475" s="114" t="n"/>
      <c r="C1475" s="114" t="n"/>
      <c r="D1475" s="114" t="n"/>
      <c r="E1475" s="114" t="n"/>
      <c r="F1475" s="114" t="n"/>
      <c r="G1475" s="114" t="n"/>
      <c r="H1475" s="114" t="n"/>
      <c r="I1475" s="114" t="n"/>
      <c r="J1475" s="114" t="n"/>
    </row>
    <row r="1476" ht="15" customHeight="1" s="68">
      <c r="A1476" s="114" t="n"/>
      <c r="B1476" s="114" t="n"/>
      <c r="C1476" s="114" t="n"/>
      <c r="D1476" s="114" t="n"/>
      <c r="E1476" s="114" t="n"/>
      <c r="F1476" s="114" t="n"/>
      <c r="G1476" s="114" t="n"/>
      <c r="H1476" s="114" t="n"/>
      <c r="I1476" s="114" t="n"/>
      <c r="J1476" s="114" t="n"/>
    </row>
    <row r="1477" ht="15" customHeight="1" s="68">
      <c r="A1477" s="114" t="n"/>
      <c r="B1477" s="114" t="n"/>
      <c r="C1477" s="114" t="n"/>
      <c r="D1477" s="114" t="n"/>
      <c r="E1477" s="114" t="n"/>
      <c r="F1477" s="114" t="n"/>
      <c r="G1477" s="114" t="n"/>
      <c r="H1477" s="114" t="n"/>
      <c r="I1477" s="114" t="n"/>
      <c r="J1477" s="114" t="n"/>
    </row>
    <row r="1478" ht="15" customHeight="1" s="68">
      <c r="A1478" s="114" t="n"/>
      <c r="B1478" s="114" t="n"/>
      <c r="C1478" s="114" t="n"/>
      <c r="D1478" s="114" t="n"/>
      <c r="E1478" s="114" t="n"/>
      <c r="F1478" s="114" t="n"/>
      <c r="G1478" s="114" t="n"/>
      <c r="H1478" s="114" t="n"/>
      <c r="I1478" s="114" t="n"/>
      <c r="J1478" s="114" t="n"/>
    </row>
    <row r="1479" ht="15" customHeight="1" s="68">
      <c r="A1479" s="114" t="n"/>
      <c r="B1479" s="114" t="n"/>
      <c r="C1479" s="114" t="n"/>
      <c r="D1479" s="114" t="n"/>
      <c r="E1479" s="114" t="n"/>
      <c r="F1479" s="114" t="n"/>
      <c r="G1479" s="114" t="n"/>
      <c r="H1479" s="114" t="n"/>
      <c r="I1479" s="114" t="n"/>
      <c r="J1479" s="114" t="n"/>
    </row>
    <row r="1480" ht="15" customHeight="1" s="68">
      <c r="A1480" s="114" t="n"/>
      <c r="B1480" s="114" t="n"/>
      <c r="C1480" s="114" t="n"/>
      <c r="D1480" s="114" t="n"/>
      <c r="E1480" s="114" t="n"/>
      <c r="F1480" s="114" t="n"/>
      <c r="G1480" s="114" t="n"/>
      <c r="H1480" s="114" t="n"/>
      <c r="I1480" s="114" t="n"/>
      <c r="J1480" s="114" t="n"/>
    </row>
    <row r="1481" ht="15" customHeight="1" s="68">
      <c r="A1481" s="114" t="n"/>
      <c r="B1481" s="114" t="n"/>
      <c r="C1481" s="114" t="n"/>
      <c r="D1481" s="114" t="n"/>
      <c r="E1481" s="114" t="n"/>
      <c r="F1481" s="114" t="n"/>
      <c r="G1481" s="114" t="n"/>
      <c r="H1481" s="114" t="n"/>
      <c r="I1481" s="114" t="n"/>
      <c r="J1481" s="114" t="n"/>
    </row>
    <row r="1482" ht="15" customHeight="1" s="68">
      <c r="A1482" s="114" t="n"/>
      <c r="B1482" s="114" t="n"/>
      <c r="C1482" s="114" t="n"/>
      <c r="D1482" s="114" t="n"/>
      <c r="E1482" s="114" t="n"/>
      <c r="F1482" s="114" t="n"/>
      <c r="G1482" s="114" t="n"/>
      <c r="H1482" s="114" t="n"/>
      <c r="I1482" s="114" t="n"/>
      <c r="J1482" s="114" t="n"/>
    </row>
    <row r="1483" ht="15" customHeight="1" s="68">
      <c r="A1483" s="114" t="n"/>
      <c r="B1483" s="114" t="n"/>
      <c r="C1483" s="114" t="n"/>
      <c r="D1483" s="114" t="n"/>
      <c r="E1483" s="114" t="n"/>
      <c r="F1483" s="114" t="n"/>
      <c r="G1483" s="114" t="n"/>
      <c r="H1483" s="114" t="n"/>
      <c r="I1483" s="114" t="n"/>
      <c r="J1483" s="114" t="n"/>
    </row>
    <row r="1484" ht="15" customHeight="1" s="68">
      <c r="A1484" s="114" t="n"/>
      <c r="B1484" s="114" t="n"/>
      <c r="C1484" s="114" t="n"/>
      <c r="D1484" s="114" t="n"/>
      <c r="E1484" s="114" t="n"/>
      <c r="F1484" s="114" t="n"/>
      <c r="G1484" s="114" t="n"/>
      <c r="H1484" s="114" t="n"/>
      <c r="I1484" s="114" t="n"/>
      <c r="J1484" s="114" t="n"/>
    </row>
    <row r="1485" ht="15" customHeight="1" s="68">
      <c r="A1485" s="114" t="n"/>
      <c r="B1485" s="114" t="n"/>
      <c r="C1485" s="114" t="n"/>
      <c r="D1485" s="114" t="n"/>
      <c r="E1485" s="114" t="n"/>
      <c r="F1485" s="114" t="n"/>
      <c r="G1485" s="114" t="n"/>
      <c r="H1485" s="114" t="n"/>
      <c r="I1485" s="114" t="n"/>
      <c r="J1485" s="114" t="n"/>
    </row>
    <row r="1486" ht="15" customHeight="1" s="68">
      <c r="A1486" s="114" t="n"/>
      <c r="B1486" s="114" t="n"/>
      <c r="C1486" s="114" t="n"/>
      <c r="D1486" s="114" t="n"/>
      <c r="E1486" s="114" t="n"/>
      <c r="F1486" s="114" t="n"/>
      <c r="G1486" s="114" t="n"/>
      <c r="H1486" s="114" t="n"/>
      <c r="I1486" s="114" t="n"/>
      <c r="J1486" s="114" t="n"/>
    </row>
    <row r="1487" ht="15" customHeight="1" s="68">
      <c r="A1487" s="114" t="n"/>
      <c r="B1487" s="114" t="n"/>
      <c r="C1487" s="114" t="n"/>
      <c r="D1487" s="114" t="n"/>
      <c r="E1487" s="114" t="n"/>
      <c r="F1487" s="114" t="n"/>
      <c r="G1487" s="114" t="n"/>
      <c r="H1487" s="114" t="n"/>
      <c r="I1487" s="114" t="n"/>
      <c r="J1487" s="114" t="n"/>
    </row>
    <row r="1488" ht="15" customHeight="1" s="68">
      <c r="A1488" s="114" t="n"/>
      <c r="B1488" s="114" t="n"/>
      <c r="C1488" s="114" t="n"/>
      <c r="D1488" s="114" t="n"/>
      <c r="E1488" s="114" t="n"/>
      <c r="F1488" s="114" t="n"/>
      <c r="G1488" s="114" t="n"/>
      <c r="H1488" s="114" t="n"/>
      <c r="I1488" s="114" t="n"/>
      <c r="J1488" s="114" t="n"/>
    </row>
    <row r="1489" ht="15" customHeight="1" s="68">
      <c r="A1489" s="114" t="n"/>
      <c r="B1489" s="114" t="n"/>
      <c r="C1489" s="114" t="n"/>
      <c r="D1489" s="114" t="n"/>
      <c r="E1489" s="114" t="n"/>
      <c r="F1489" s="114" t="n"/>
      <c r="G1489" s="114" t="n"/>
      <c r="H1489" s="114" t="n"/>
      <c r="I1489" s="114" t="n"/>
      <c r="J1489" s="114" t="n"/>
    </row>
    <row r="1490" ht="15" customHeight="1" s="68">
      <c r="A1490" s="114" t="n"/>
      <c r="B1490" s="114" t="n"/>
      <c r="C1490" s="114" t="n"/>
      <c r="D1490" s="114" t="n"/>
      <c r="E1490" s="114" t="n"/>
      <c r="F1490" s="114" t="n"/>
      <c r="G1490" s="114" t="n"/>
      <c r="H1490" s="114" t="n"/>
      <c r="I1490" s="114" t="n"/>
      <c r="J1490" s="114" t="n"/>
    </row>
    <row r="1491" ht="15" customHeight="1" s="68">
      <c r="A1491" s="114" t="n"/>
      <c r="B1491" s="114" t="n"/>
      <c r="C1491" s="114" t="n"/>
      <c r="D1491" s="114" t="n"/>
      <c r="E1491" s="114" t="n"/>
      <c r="F1491" s="114" t="n"/>
      <c r="G1491" s="114" t="n"/>
      <c r="H1491" s="114" t="n"/>
      <c r="I1491" s="114" t="n"/>
      <c r="J1491" s="114" t="n"/>
    </row>
    <row r="1492" ht="15" customHeight="1" s="68">
      <c r="A1492" s="114" t="n"/>
      <c r="B1492" s="114" t="n"/>
      <c r="C1492" s="114" t="n"/>
      <c r="D1492" s="114" t="n"/>
      <c r="E1492" s="114" t="n"/>
      <c r="F1492" s="114" t="n"/>
      <c r="G1492" s="114" t="n"/>
      <c r="H1492" s="114" t="n"/>
      <c r="I1492" s="114" t="n"/>
      <c r="J1492" s="114" t="n"/>
    </row>
    <row r="1493" ht="15" customHeight="1" s="68">
      <c r="A1493" s="114" t="n"/>
      <c r="B1493" s="114" t="n"/>
      <c r="C1493" s="114" t="n"/>
      <c r="D1493" s="114" t="n"/>
      <c r="E1493" s="114" t="n"/>
      <c r="F1493" s="114" t="n"/>
      <c r="G1493" s="114" t="n"/>
      <c r="H1493" s="114" t="n"/>
      <c r="I1493" s="114" t="n"/>
      <c r="J1493" s="114" t="n"/>
    </row>
    <row r="1494" ht="15" customHeight="1" s="68">
      <c r="A1494" s="114" t="n"/>
      <c r="B1494" s="114" t="n"/>
      <c r="C1494" s="114" t="n"/>
      <c r="D1494" s="114" t="n"/>
      <c r="E1494" s="114" t="n"/>
      <c r="F1494" s="114" t="n"/>
      <c r="G1494" s="114" t="n"/>
      <c r="H1494" s="114" t="n"/>
      <c r="I1494" s="114" t="n"/>
      <c r="J1494" s="114" t="n"/>
    </row>
    <row r="1495" ht="15" customHeight="1" s="68">
      <c r="A1495" s="114" t="n"/>
      <c r="B1495" s="114" t="n"/>
      <c r="C1495" s="114" t="n"/>
      <c r="D1495" s="114" t="n"/>
      <c r="E1495" s="114" t="n"/>
      <c r="F1495" s="114" t="n"/>
      <c r="G1495" s="114" t="n"/>
      <c r="H1495" s="114" t="n"/>
      <c r="I1495" s="114" t="n"/>
      <c r="J1495" s="114" t="n"/>
    </row>
    <row r="1496" ht="15" customHeight="1" s="68">
      <c r="A1496" s="114" t="n"/>
      <c r="B1496" s="114" t="n"/>
      <c r="C1496" s="114" t="n"/>
      <c r="D1496" s="114" t="n"/>
      <c r="E1496" s="114" t="n"/>
      <c r="F1496" s="114" t="n"/>
      <c r="G1496" s="114" t="n"/>
      <c r="H1496" s="114" t="n"/>
      <c r="I1496" s="114" t="n"/>
      <c r="J1496" s="114" t="n"/>
    </row>
    <row r="1497" ht="15" customHeight="1" s="68">
      <c r="A1497" s="114" t="n"/>
      <c r="B1497" s="114" t="n"/>
      <c r="C1497" s="114" t="n"/>
      <c r="D1497" s="114" t="n"/>
      <c r="E1497" s="114" t="n"/>
      <c r="F1497" s="114" t="n"/>
      <c r="G1497" s="114" t="n"/>
      <c r="H1497" s="114" t="n"/>
      <c r="I1497" s="114" t="n"/>
      <c r="J1497" s="114" t="n"/>
    </row>
    <row r="1498" ht="15" customHeight="1" s="68">
      <c r="A1498" s="114" t="n"/>
      <c r="B1498" s="114" t="n"/>
      <c r="C1498" s="114" t="n"/>
      <c r="D1498" s="114" t="n"/>
      <c r="E1498" s="114" t="n"/>
      <c r="F1498" s="114" t="n"/>
      <c r="G1498" s="114" t="n"/>
      <c r="H1498" s="114" t="n"/>
      <c r="I1498" s="114" t="n"/>
      <c r="J1498" s="114" t="n"/>
    </row>
    <row r="1499" ht="15" customHeight="1" s="68">
      <c r="A1499" s="114" t="n"/>
      <c r="B1499" s="114" t="n"/>
      <c r="C1499" s="114" t="n"/>
      <c r="D1499" s="114" t="n"/>
      <c r="E1499" s="114" t="n"/>
      <c r="F1499" s="114" t="n"/>
      <c r="G1499" s="114" t="n"/>
      <c r="H1499" s="114" t="n"/>
      <c r="I1499" s="114" t="n"/>
      <c r="J1499" s="114" t="n"/>
    </row>
    <row r="1500" ht="15" customHeight="1" s="68">
      <c r="A1500" s="114" t="n"/>
      <c r="B1500" s="114" t="n"/>
      <c r="C1500" s="114" t="n"/>
      <c r="D1500" s="114" t="n"/>
      <c r="E1500" s="114" t="n"/>
      <c r="F1500" s="114" t="n"/>
      <c r="G1500" s="114" t="n"/>
      <c r="H1500" s="114" t="n"/>
      <c r="I1500" s="114" t="n"/>
      <c r="J1500" s="114" t="n"/>
    </row>
    <row r="1501" ht="15" customHeight="1" s="68">
      <c r="A1501" s="114" t="n"/>
      <c r="B1501" s="114" t="n"/>
      <c r="C1501" s="114" t="n"/>
      <c r="D1501" s="114" t="n"/>
      <c r="E1501" s="114" t="n"/>
      <c r="F1501" s="114" t="n"/>
      <c r="G1501" s="114" t="n"/>
      <c r="H1501" s="114" t="n"/>
      <c r="I1501" s="114" t="n"/>
      <c r="J1501" s="114" t="n"/>
    </row>
    <row r="1502" ht="15" customHeight="1" s="68">
      <c r="A1502" s="114" t="n"/>
      <c r="B1502" s="114" t="n"/>
      <c r="C1502" s="114" t="n"/>
      <c r="D1502" s="114" t="n"/>
      <c r="E1502" s="114" t="n"/>
      <c r="F1502" s="114" t="n"/>
      <c r="G1502" s="114" t="n"/>
      <c r="H1502" s="114" t="n"/>
      <c r="I1502" s="114" t="n"/>
      <c r="J1502" s="114" t="n"/>
    </row>
    <row r="1503" ht="15" customHeight="1" s="68">
      <c r="A1503" s="114" t="n"/>
      <c r="B1503" s="114" t="n"/>
      <c r="C1503" s="114" t="n"/>
      <c r="D1503" s="114" t="n"/>
      <c r="E1503" s="114" t="n"/>
      <c r="F1503" s="114" t="n"/>
      <c r="G1503" s="114" t="n"/>
      <c r="H1503" s="114" t="n"/>
      <c r="I1503" s="114" t="n"/>
      <c r="J1503" s="114" t="n"/>
    </row>
    <row r="1504" ht="15" customHeight="1" s="68">
      <c r="A1504" s="114" t="n"/>
      <c r="B1504" s="114" t="n"/>
      <c r="C1504" s="114" t="n"/>
      <c r="D1504" s="114" t="n"/>
      <c r="E1504" s="114" t="n"/>
      <c r="F1504" s="114" t="n"/>
      <c r="G1504" s="114" t="n"/>
      <c r="H1504" s="114" t="n"/>
      <c r="I1504" s="114" t="n"/>
      <c r="J1504" s="114" t="n"/>
    </row>
    <row r="1505" ht="15" customHeight="1" s="68">
      <c r="A1505" s="114" t="n"/>
      <c r="B1505" s="114" t="n"/>
      <c r="C1505" s="114" t="n"/>
      <c r="D1505" s="114" t="n"/>
      <c r="E1505" s="114" t="n"/>
      <c r="F1505" s="114" t="n"/>
      <c r="G1505" s="114" t="n"/>
      <c r="H1505" s="114" t="n"/>
      <c r="I1505" s="114" t="n"/>
      <c r="J1505" s="114" t="n"/>
    </row>
    <row r="1506" ht="15" customHeight="1" s="68">
      <c r="A1506" s="114" t="n"/>
      <c r="B1506" s="114" t="n"/>
      <c r="C1506" s="114" t="n"/>
      <c r="D1506" s="114" t="n"/>
      <c r="E1506" s="114" t="n"/>
      <c r="F1506" s="114" t="n"/>
      <c r="G1506" s="114" t="n"/>
      <c r="H1506" s="114" t="n"/>
      <c r="I1506" s="114" t="n"/>
      <c r="J1506" s="114" t="n"/>
    </row>
    <row r="1507" ht="15" customHeight="1" s="68">
      <c r="A1507" s="114" t="n"/>
      <c r="B1507" s="114" t="n"/>
      <c r="C1507" s="114" t="n"/>
      <c r="D1507" s="114" t="n"/>
      <c r="E1507" s="114" t="n"/>
      <c r="F1507" s="114" t="n"/>
      <c r="G1507" s="114" t="n"/>
      <c r="H1507" s="114" t="n"/>
      <c r="I1507" s="114" t="n"/>
      <c r="J1507" s="114" t="n"/>
    </row>
    <row r="1508" ht="15" customHeight="1" s="68">
      <c r="A1508" s="114" t="n"/>
      <c r="B1508" s="114" t="n"/>
      <c r="C1508" s="114" t="n"/>
      <c r="D1508" s="114" t="n"/>
      <c r="E1508" s="114" t="n"/>
      <c r="F1508" s="114" t="n"/>
      <c r="G1508" s="114" t="n"/>
      <c r="H1508" s="114" t="n"/>
      <c r="I1508" s="114" t="n"/>
      <c r="J1508" s="114" t="n"/>
    </row>
    <row r="1509" ht="15" customHeight="1" s="68">
      <c r="A1509" s="114" t="n"/>
      <c r="B1509" s="114" t="n"/>
      <c r="C1509" s="114" t="n"/>
      <c r="D1509" s="114" t="n"/>
      <c r="E1509" s="114" t="n"/>
      <c r="F1509" s="114" t="n"/>
      <c r="G1509" s="114" t="n"/>
      <c r="H1509" s="114" t="n"/>
      <c r="I1509" s="114" t="n"/>
      <c r="J1509" s="114" t="n"/>
    </row>
    <row r="1510" ht="15" customHeight="1" s="68">
      <c r="A1510" s="114" t="n"/>
      <c r="B1510" s="114" t="n"/>
      <c r="C1510" s="114" t="n"/>
      <c r="D1510" s="114" t="n"/>
      <c r="E1510" s="114" t="n"/>
      <c r="F1510" s="114" t="n"/>
      <c r="G1510" s="114" t="n"/>
      <c r="H1510" s="114" t="n"/>
      <c r="I1510" s="114" t="n"/>
      <c r="J1510" s="114" t="n"/>
    </row>
    <row r="1511" ht="15" customHeight="1" s="68">
      <c r="A1511" s="114" t="n"/>
      <c r="B1511" s="114" t="n"/>
      <c r="C1511" s="114" t="n"/>
      <c r="D1511" s="114" t="n"/>
      <c r="E1511" s="114" t="n"/>
      <c r="F1511" s="114" t="n"/>
      <c r="G1511" s="114" t="n"/>
      <c r="H1511" s="114" t="n"/>
      <c r="I1511" s="114" t="n"/>
      <c r="J1511" s="114" t="n"/>
    </row>
    <row r="1512" ht="15" customHeight="1" s="68">
      <c r="A1512" s="114" t="n"/>
      <c r="B1512" s="114" t="n"/>
      <c r="C1512" s="114" t="n"/>
      <c r="D1512" s="114" t="n"/>
      <c r="E1512" s="114" t="n"/>
      <c r="F1512" s="114" t="n"/>
      <c r="G1512" s="114" t="n"/>
      <c r="H1512" s="114" t="n"/>
      <c r="I1512" s="114" t="n"/>
      <c r="J1512" s="114" t="n"/>
    </row>
    <row r="1513" ht="15" customHeight="1" s="68">
      <c r="A1513" s="114" t="n"/>
      <c r="B1513" s="114" t="n"/>
      <c r="C1513" s="114" t="n"/>
      <c r="D1513" s="114" t="n"/>
      <c r="E1513" s="114" t="n"/>
      <c r="F1513" s="114" t="n"/>
      <c r="G1513" s="114" t="n"/>
      <c r="H1513" s="114" t="n"/>
      <c r="I1513" s="114" t="n"/>
      <c r="J1513" s="114" t="n"/>
    </row>
    <row r="1514" ht="15" customHeight="1" s="68">
      <c r="A1514" s="114" t="n"/>
      <c r="B1514" s="114" t="n"/>
      <c r="C1514" s="114" t="n"/>
      <c r="D1514" s="114" t="n"/>
      <c r="E1514" s="114" t="n"/>
      <c r="F1514" s="114" t="n"/>
      <c r="G1514" s="114" t="n"/>
      <c r="H1514" s="114" t="n"/>
      <c r="I1514" s="114" t="n"/>
      <c r="J1514" s="114" t="n"/>
    </row>
    <row r="1515" ht="15" customHeight="1" s="68">
      <c r="A1515" s="114" t="n"/>
      <c r="B1515" s="114" t="n"/>
      <c r="C1515" s="114" t="n"/>
      <c r="D1515" s="114" t="n"/>
      <c r="E1515" s="114" t="n"/>
      <c r="F1515" s="114" t="n"/>
      <c r="G1515" s="114" t="n"/>
      <c r="H1515" s="114" t="n"/>
      <c r="I1515" s="114" t="n"/>
      <c r="J1515" s="114" t="n"/>
    </row>
    <row r="1516" ht="15" customHeight="1" s="68">
      <c r="A1516" s="114" t="n"/>
      <c r="B1516" s="114" t="n"/>
      <c r="C1516" s="114" t="n"/>
      <c r="D1516" s="114" t="n"/>
      <c r="E1516" s="114" t="n"/>
      <c r="F1516" s="114" t="n"/>
      <c r="G1516" s="114" t="n"/>
      <c r="H1516" s="114" t="n"/>
      <c r="I1516" s="114" t="n"/>
      <c r="J1516" s="114" t="n"/>
    </row>
    <row r="1517" ht="15" customHeight="1" s="68">
      <c r="A1517" s="114" t="n"/>
      <c r="B1517" s="114" t="n"/>
      <c r="C1517" s="114" t="n"/>
      <c r="D1517" s="114" t="n"/>
      <c r="E1517" s="114" t="n"/>
      <c r="F1517" s="114" t="n"/>
      <c r="G1517" s="114" t="n"/>
      <c r="H1517" s="114" t="n"/>
      <c r="I1517" s="114" t="n"/>
      <c r="J1517" s="114" t="n"/>
    </row>
    <row r="1518" ht="15" customHeight="1" s="68">
      <c r="A1518" s="114" t="n"/>
      <c r="B1518" s="114" t="n"/>
      <c r="C1518" s="114" t="n"/>
      <c r="D1518" s="114" t="n"/>
      <c r="E1518" s="114" t="n"/>
      <c r="F1518" s="114" t="n"/>
      <c r="G1518" s="114" t="n"/>
      <c r="H1518" s="114" t="n"/>
      <c r="I1518" s="114" t="n"/>
      <c r="J1518" s="114" t="n"/>
    </row>
    <row r="1519" ht="15" customHeight="1" s="68">
      <c r="A1519" s="114" t="n"/>
      <c r="B1519" s="114" t="n"/>
      <c r="C1519" s="114" t="n"/>
      <c r="D1519" s="114" t="n"/>
      <c r="E1519" s="114" t="n"/>
      <c r="F1519" s="114" t="n"/>
      <c r="G1519" s="114" t="n"/>
      <c r="H1519" s="114" t="n"/>
      <c r="I1519" s="114" t="n"/>
      <c r="J1519" s="114" t="n"/>
    </row>
    <row r="1520" ht="15" customHeight="1" s="68">
      <c r="A1520" s="114" t="n"/>
      <c r="B1520" s="114" t="n"/>
      <c r="C1520" s="114" t="n"/>
      <c r="D1520" s="114" t="n"/>
      <c r="E1520" s="114" t="n"/>
      <c r="F1520" s="114" t="n"/>
      <c r="G1520" s="114" t="n"/>
      <c r="H1520" s="114" t="n"/>
      <c r="I1520" s="114" t="n"/>
      <c r="J1520" s="114" t="n"/>
    </row>
    <row r="1521" ht="15" customHeight="1" s="68">
      <c r="A1521" s="114" t="n"/>
      <c r="B1521" s="114" t="n"/>
      <c r="C1521" s="114" t="n"/>
      <c r="D1521" s="114" t="n"/>
      <c r="E1521" s="114" t="n"/>
      <c r="F1521" s="114" t="n"/>
      <c r="G1521" s="114" t="n"/>
      <c r="H1521" s="114" t="n"/>
      <c r="I1521" s="114" t="n"/>
      <c r="J1521" s="114" t="n"/>
    </row>
    <row r="1522" ht="15" customHeight="1" s="68">
      <c r="A1522" s="114" t="n"/>
      <c r="B1522" s="114" t="n"/>
      <c r="C1522" s="114" t="n"/>
      <c r="D1522" s="114" t="n"/>
      <c r="E1522" s="114" t="n"/>
      <c r="F1522" s="114" t="n"/>
      <c r="G1522" s="114" t="n"/>
      <c r="H1522" s="114" t="n"/>
      <c r="I1522" s="114" t="n"/>
      <c r="J1522" s="114" t="n"/>
    </row>
    <row r="1523" ht="15" customHeight="1" s="68">
      <c r="A1523" s="114" t="n"/>
      <c r="B1523" s="114" t="n"/>
      <c r="C1523" s="114" t="n"/>
      <c r="D1523" s="114" t="n"/>
      <c r="E1523" s="114" t="n"/>
      <c r="F1523" s="114" t="n"/>
      <c r="G1523" s="114" t="n"/>
      <c r="H1523" s="114" t="n"/>
      <c r="I1523" s="114" t="n"/>
      <c r="J1523" s="114" t="n"/>
    </row>
    <row r="1524" ht="15" customHeight="1" s="68">
      <c r="A1524" s="114" t="n"/>
      <c r="B1524" s="114" t="n"/>
      <c r="C1524" s="114" t="n"/>
      <c r="D1524" s="114" t="n"/>
      <c r="E1524" s="114" t="n"/>
      <c r="F1524" s="114" t="n"/>
      <c r="G1524" s="114" t="n"/>
      <c r="H1524" s="114" t="n"/>
      <c r="I1524" s="114" t="n"/>
      <c r="J1524" s="114" t="n"/>
    </row>
    <row r="1525" ht="15" customHeight="1" s="68">
      <c r="A1525" s="114" t="n"/>
      <c r="B1525" s="114" t="n"/>
      <c r="C1525" s="114" t="n"/>
      <c r="D1525" s="114" t="n"/>
      <c r="E1525" s="114" t="n"/>
      <c r="F1525" s="114" t="n"/>
      <c r="G1525" s="114" t="n"/>
      <c r="H1525" s="114" t="n"/>
      <c r="I1525" s="114" t="n"/>
      <c r="J1525" s="114" t="n"/>
    </row>
    <row r="1526" ht="15" customHeight="1" s="68">
      <c r="A1526" s="114" t="n"/>
      <c r="B1526" s="114" t="n"/>
      <c r="C1526" s="114" t="n"/>
      <c r="D1526" s="114" t="n"/>
      <c r="E1526" s="114" t="n"/>
      <c r="F1526" s="114" t="n"/>
      <c r="G1526" s="114" t="n"/>
      <c r="H1526" s="114" t="n"/>
      <c r="I1526" s="114" t="n"/>
      <c r="J1526" s="114" t="n"/>
    </row>
    <row r="1527" ht="15" customHeight="1" s="68">
      <c r="A1527" s="114" t="n"/>
      <c r="B1527" s="114" t="n"/>
      <c r="C1527" s="114" t="n"/>
      <c r="D1527" s="114" t="n"/>
      <c r="E1527" s="114" t="n"/>
      <c r="F1527" s="114" t="n"/>
      <c r="G1527" s="114" t="n"/>
      <c r="H1527" s="114" t="n"/>
      <c r="I1527" s="114" t="n"/>
      <c r="J1527" s="114" t="n"/>
    </row>
    <row r="1528" ht="15" customHeight="1" s="68">
      <c r="A1528" s="114" t="n"/>
      <c r="B1528" s="114" t="n"/>
      <c r="C1528" s="114" t="n"/>
      <c r="D1528" s="114" t="n"/>
      <c r="E1528" s="114" t="n"/>
      <c r="F1528" s="114" t="n"/>
      <c r="G1528" s="114" t="n"/>
      <c r="H1528" s="114" t="n"/>
      <c r="I1528" s="114" t="n"/>
      <c r="J1528" s="114" t="n"/>
    </row>
    <row r="1529" ht="15" customHeight="1" s="68">
      <c r="A1529" s="114" t="n"/>
      <c r="B1529" s="114" t="n"/>
      <c r="C1529" s="114" t="n"/>
      <c r="D1529" s="114" t="n"/>
      <c r="E1529" s="114" t="n"/>
      <c r="F1529" s="114" t="n"/>
      <c r="G1529" s="114" t="n"/>
      <c r="H1529" s="114" t="n"/>
      <c r="I1529" s="114" t="n"/>
      <c r="J1529" s="114" t="n"/>
    </row>
    <row r="1530" ht="15" customHeight="1" s="68">
      <c r="A1530" s="114" t="n"/>
      <c r="B1530" s="114" t="n"/>
      <c r="C1530" s="114" t="n"/>
      <c r="D1530" s="114" t="n"/>
      <c r="E1530" s="114" t="n"/>
      <c r="F1530" s="114" t="n"/>
      <c r="G1530" s="114" t="n"/>
      <c r="H1530" s="114" t="n"/>
      <c r="I1530" s="114" t="n"/>
      <c r="J1530" s="114" t="n"/>
    </row>
    <row r="1531" ht="15" customHeight="1" s="68">
      <c r="A1531" s="114" t="n"/>
      <c r="B1531" s="114" t="n"/>
      <c r="C1531" s="114" t="n"/>
      <c r="D1531" s="114" t="n"/>
      <c r="E1531" s="114" t="n"/>
      <c r="F1531" s="114" t="n"/>
      <c r="G1531" s="114" t="n"/>
      <c r="H1531" s="114" t="n"/>
      <c r="I1531" s="114" t="n"/>
      <c r="J1531" s="114" t="n"/>
    </row>
    <row r="1532" ht="15" customHeight="1" s="68">
      <c r="A1532" s="114" t="n"/>
      <c r="B1532" s="114" t="n"/>
      <c r="C1532" s="114" t="n"/>
      <c r="D1532" s="114" t="n"/>
      <c r="E1532" s="114" t="n"/>
      <c r="F1532" s="114" t="n"/>
      <c r="G1532" s="114" t="n"/>
      <c r="H1532" s="114" t="n"/>
      <c r="I1532" s="114" t="n"/>
      <c r="J1532" s="114" t="n"/>
    </row>
    <row r="1533" ht="15" customHeight="1" s="68">
      <c r="A1533" s="114" t="n"/>
      <c r="B1533" s="114" t="n"/>
      <c r="C1533" s="114" t="n"/>
      <c r="D1533" s="114" t="n"/>
      <c r="E1533" s="114" t="n"/>
      <c r="F1533" s="114" t="n"/>
      <c r="G1533" s="114" t="n"/>
      <c r="H1533" s="114" t="n"/>
      <c r="I1533" s="114" t="n"/>
      <c r="J1533" s="114" t="n"/>
    </row>
    <row r="1534" ht="15" customHeight="1" s="68">
      <c r="A1534" s="114" t="n"/>
      <c r="B1534" s="114" t="n"/>
      <c r="C1534" s="114" t="n"/>
      <c r="D1534" s="114" t="n"/>
      <c r="E1534" s="114" t="n"/>
      <c r="F1534" s="114" t="n"/>
      <c r="G1534" s="114" t="n"/>
      <c r="H1534" s="114" t="n"/>
      <c r="I1534" s="114" t="n"/>
      <c r="J1534" s="114" t="n"/>
    </row>
    <row r="1535" ht="15" customHeight="1" s="68">
      <c r="A1535" s="114" t="n"/>
      <c r="B1535" s="114" t="n"/>
      <c r="C1535" s="114" t="n"/>
      <c r="D1535" s="114" t="n"/>
      <c r="E1535" s="114" t="n"/>
      <c r="F1535" s="114" t="n"/>
      <c r="G1535" s="114" t="n"/>
      <c r="H1535" s="114" t="n"/>
      <c r="I1535" s="114" t="n"/>
      <c r="J1535" s="114" t="n"/>
    </row>
    <row r="1536" ht="15" customHeight="1" s="68">
      <c r="A1536" s="114" t="n"/>
      <c r="B1536" s="114" t="n"/>
      <c r="C1536" s="114" t="n"/>
      <c r="D1536" s="114" t="n"/>
      <c r="E1536" s="114" t="n"/>
      <c r="F1536" s="114" t="n"/>
      <c r="G1536" s="114" t="n"/>
      <c r="H1536" s="114" t="n"/>
      <c r="I1536" s="114" t="n"/>
      <c r="J1536" s="114" t="n"/>
    </row>
    <row r="1537" ht="15" customHeight="1" s="68">
      <c r="A1537" s="114" t="n"/>
      <c r="B1537" s="114" t="n"/>
      <c r="C1537" s="114" t="n"/>
      <c r="D1537" s="114" t="n"/>
      <c r="E1537" s="114" t="n"/>
      <c r="F1537" s="114" t="n"/>
      <c r="G1537" s="114" t="n"/>
      <c r="H1537" s="114" t="n"/>
      <c r="I1537" s="114" t="n"/>
      <c r="J1537" s="114" t="n"/>
    </row>
    <row r="1538" ht="15" customHeight="1" s="68">
      <c r="A1538" s="114" t="n"/>
      <c r="B1538" s="114" t="n"/>
      <c r="C1538" s="114" t="n"/>
      <c r="D1538" s="114" t="n"/>
      <c r="E1538" s="114" t="n"/>
      <c r="F1538" s="114" t="n"/>
      <c r="G1538" s="114" t="n"/>
      <c r="H1538" s="114" t="n"/>
      <c r="I1538" s="114" t="n"/>
      <c r="J1538" s="114" t="n"/>
    </row>
    <row r="1539" ht="15" customHeight="1" s="68">
      <c r="A1539" s="114" t="n"/>
      <c r="B1539" s="114" t="n"/>
      <c r="C1539" s="114" t="n"/>
      <c r="D1539" s="114" t="n"/>
      <c r="E1539" s="114" t="n"/>
      <c r="F1539" s="114" t="n"/>
      <c r="G1539" s="114" t="n"/>
      <c r="H1539" s="114" t="n"/>
      <c r="I1539" s="114" t="n"/>
      <c r="J1539" s="114" t="n"/>
    </row>
    <row r="1540" ht="15" customHeight="1" s="68">
      <c r="A1540" s="114" t="n"/>
      <c r="B1540" s="114" t="n"/>
      <c r="C1540" s="114" t="n"/>
      <c r="D1540" s="114" t="n"/>
      <c r="E1540" s="114" t="n"/>
      <c r="F1540" s="114" t="n"/>
      <c r="G1540" s="114" t="n"/>
      <c r="H1540" s="114" t="n"/>
      <c r="I1540" s="114" t="n"/>
      <c r="J1540" s="114" t="n"/>
    </row>
    <row r="1541" ht="15" customHeight="1" s="68">
      <c r="A1541" s="114" t="n"/>
      <c r="B1541" s="114" t="n"/>
      <c r="C1541" s="114" t="n"/>
      <c r="D1541" s="114" t="n"/>
      <c r="E1541" s="114" t="n"/>
      <c r="F1541" s="114" t="n"/>
      <c r="G1541" s="114" t="n"/>
      <c r="H1541" s="114" t="n"/>
      <c r="I1541" s="114" t="n"/>
      <c r="J1541" s="114" t="n"/>
    </row>
    <row r="1542" ht="15" customHeight="1" s="68">
      <c r="A1542" s="114" t="n"/>
      <c r="B1542" s="114" t="n"/>
      <c r="C1542" s="114" t="n"/>
      <c r="D1542" s="114" t="n"/>
      <c r="E1542" s="114" t="n"/>
      <c r="F1542" s="114" t="n"/>
      <c r="G1542" s="114" t="n"/>
      <c r="H1542" s="114" t="n"/>
      <c r="I1542" s="114" t="n"/>
      <c r="J1542" s="114" t="n"/>
    </row>
    <row r="1543" ht="15" customHeight="1" s="68">
      <c r="A1543" s="114" t="n"/>
      <c r="B1543" s="114" t="n"/>
      <c r="C1543" s="114" t="n"/>
      <c r="D1543" s="114" t="n"/>
      <c r="E1543" s="114" t="n"/>
      <c r="F1543" s="114" t="n"/>
      <c r="G1543" s="114" t="n"/>
      <c r="H1543" s="114" t="n"/>
      <c r="I1543" s="114" t="n"/>
      <c r="J1543" s="114" t="n"/>
    </row>
    <row r="1544" ht="15" customHeight="1" s="68">
      <c r="A1544" s="114" t="n"/>
      <c r="B1544" s="114" t="n"/>
      <c r="C1544" s="114" t="n"/>
      <c r="D1544" s="114" t="n"/>
      <c r="E1544" s="114" t="n"/>
      <c r="F1544" s="114" t="n"/>
      <c r="G1544" s="114" t="n"/>
      <c r="H1544" s="114" t="n"/>
      <c r="I1544" s="114" t="n"/>
      <c r="J1544" s="114" t="n"/>
    </row>
    <row r="1545" ht="15" customHeight="1" s="68">
      <c r="A1545" s="114" t="n"/>
      <c r="B1545" s="114" t="n"/>
      <c r="C1545" s="114" t="n"/>
      <c r="D1545" s="114" t="n"/>
      <c r="E1545" s="114" t="n"/>
      <c r="F1545" s="114" t="n"/>
      <c r="G1545" s="114" t="n"/>
      <c r="H1545" s="114" t="n"/>
      <c r="I1545" s="114" t="n"/>
      <c r="J1545" s="114" t="n"/>
    </row>
    <row r="1546" ht="15" customHeight="1" s="68">
      <c r="A1546" s="114" t="n"/>
      <c r="B1546" s="114" t="n"/>
      <c r="C1546" s="114" t="n"/>
      <c r="D1546" s="114" t="n"/>
      <c r="E1546" s="114" t="n"/>
      <c r="F1546" s="114" t="n"/>
      <c r="G1546" s="114" t="n"/>
      <c r="H1546" s="114" t="n"/>
      <c r="I1546" s="114" t="n"/>
      <c r="J1546" s="114" t="n"/>
    </row>
    <row r="1547" ht="15" customHeight="1" s="68">
      <c r="A1547" s="114" t="n"/>
      <c r="B1547" s="114" t="n"/>
      <c r="C1547" s="114" t="n"/>
      <c r="D1547" s="114" t="n"/>
      <c r="E1547" s="114" t="n"/>
      <c r="F1547" s="114" t="n"/>
      <c r="G1547" s="114" t="n"/>
      <c r="H1547" s="114" t="n"/>
      <c r="I1547" s="114" t="n"/>
      <c r="J1547" s="114" t="n"/>
    </row>
    <row r="1548" ht="15" customHeight="1" s="68">
      <c r="A1548" s="114" t="n"/>
      <c r="B1548" s="114" t="n"/>
      <c r="C1548" s="114" t="n"/>
      <c r="D1548" s="114" t="n"/>
      <c r="E1548" s="114" t="n"/>
      <c r="F1548" s="114" t="n"/>
      <c r="G1548" s="114" t="n"/>
      <c r="H1548" s="114" t="n"/>
      <c r="I1548" s="114" t="n"/>
      <c r="J1548" s="114" t="n"/>
    </row>
    <row r="1549" ht="15" customHeight="1" s="68">
      <c r="A1549" s="114" t="n"/>
      <c r="B1549" s="114" t="n"/>
      <c r="C1549" s="114" t="n"/>
      <c r="D1549" s="114" t="n"/>
      <c r="E1549" s="114" t="n"/>
      <c r="F1549" s="114" t="n"/>
      <c r="G1549" s="114" t="n"/>
      <c r="H1549" s="114" t="n"/>
      <c r="I1549" s="114" t="n"/>
      <c r="J1549" s="114" t="n"/>
    </row>
    <row r="1550" ht="15" customHeight="1" s="68">
      <c r="A1550" s="114" t="n"/>
      <c r="B1550" s="114" t="n"/>
      <c r="C1550" s="114" t="n"/>
      <c r="D1550" s="114" t="n"/>
      <c r="E1550" s="114" t="n"/>
      <c r="F1550" s="114" t="n"/>
      <c r="G1550" s="114" t="n"/>
      <c r="H1550" s="114" t="n"/>
      <c r="I1550" s="114" t="n"/>
      <c r="J1550" s="114" t="n"/>
    </row>
    <row r="1551" ht="15" customHeight="1" s="68">
      <c r="A1551" s="114" t="n"/>
      <c r="B1551" s="114" t="n"/>
      <c r="C1551" s="114" t="n"/>
      <c r="D1551" s="114" t="n"/>
      <c r="E1551" s="114" t="n"/>
      <c r="F1551" s="114" t="n"/>
      <c r="G1551" s="114" t="n"/>
      <c r="H1551" s="114" t="n"/>
      <c r="I1551" s="114" t="n"/>
      <c r="J1551" s="114" t="n"/>
    </row>
    <row r="1552" ht="15" customHeight="1" s="68">
      <c r="A1552" s="114" t="n"/>
      <c r="B1552" s="114" t="n"/>
      <c r="C1552" s="114" t="n"/>
      <c r="D1552" s="114" t="n"/>
      <c r="E1552" s="114" t="n"/>
      <c r="F1552" s="114" t="n"/>
      <c r="G1552" s="114" t="n"/>
      <c r="H1552" s="114" t="n"/>
      <c r="I1552" s="114" t="n"/>
      <c r="J1552" s="114" t="n"/>
    </row>
    <row r="1553" ht="15" customHeight="1" s="68">
      <c r="A1553" s="114" t="n"/>
      <c r="B1553" s="114" t="n"/>
      <c r="C1553" s="114" t="n"/>
      <c r="D1553" s="114" t="n"/>
      <c r="E1553" s="114" t="n"/>
      <c r="F1553" s="114" t="n"/>
      <c r="G1553" s="114" t="n"/>
      <c r="H1553" s="114" t="n"/>
      <c r="I1553" s="114" t="n"/>
      <c r="J1553" s="114" t="n"/>
    </row>
    <row r="1554" ht="15" customHeight="1" s="68">
      <c r="A1554" s="114" t="n"/>
      <c r="B1554" s="114" t="n"/>
      <c r="C1554" s="114" t="n"/>
      <c r="D1554" s="114" t="n"/>
      <c r="E1554" s="114" t="n"/>
      <c r="F1554" s="114" t="n"/>
      <c r="G1554" s="114" t="n"/>
      <c r="H1554" s="114" t="n"/>
      <c r="I1554" s="114" t="n"/>
      <c r="J1554" s="114" t="n"/>
    </row>
    <row r="1555" ht="15" customHeight="1" s="68">
      <c r="A1555" s="114" t="n"/>
      <c r="B1555" s="114" t="n"/>
      <c r="C1555" s="114" t="n"/>
      <c r="D1555" s="114" t="n"/>
      <c r="E1555" s="114" t="n"/>
      <c r="F1555" s="114" t="n"/>
      <c r="G1555" s="114" t="n"/>
      <c r="H1555" s="114" t="n"/>
      <c r="I1555" s="114" t="n"/>
      <c r="J1555" s="114" t="n"/>
    </row>
    <row r="1556" ht="15" customHeight="1" s="68">
      <c r="A1556" s="114" t="n"/>
      <c r="B1556" s="114" t="n"/>
      <c r="C1556" s="114" t="n"/>
      <c r="D1556" s="114" t="n"/>
      <c r="E1556" s="114" t="n"/>
      <c r="F1556" s="114" t="n"/>
      <c r="G1556" s="114" t="n"/>
      <c r="H1556" s="114" t="n"/>
      <c r="I1556" s="114" t="n"/>
      <c r="J1556" s="114" t="n"/>
    </row>
    <row r="1557" ht="15" customHeight="1" s="68">
      <c r="A1557" s="114" t="n"/>
      <c r="B1557" s="114" t="n"/>
      <c r="C1557" s="114" t="n"/>
      <c r="D1557" s="114" t="n"/>
      <c r="E1557" s="114" t="n"/>
      <c r="F1557" s="114" t="n"/>
      <c r="G1557" s="114" t="n"/>
      <c r="H1557" s="114" t="n"/>
      <c r="I1557" s="114" t="n"/>
      <c r="J1557" s="114" t="n"/>
    </row>
    <row r="1558" ht="15" customHeight="1" s="68">
      <c r="A1558" s="114" t="n"/>
      <c r="B1558" s="114" t="n"/>
      <c r="C1558" s="114" t="n"/>
      <c r="D1558" s="114" t="n"/>
      <c r="E1558" s="114" t="n"/>
      <c r="F1558" s="114" t="n"/>
      <c r="G1558" s="114" t="n"/>
      <c r="H1558" s="114" t="n"/>
      <c r="I1558" s="114" t="n"/>
      <c r="J1558" s="114" t="n"/>
    </row>
    <row r="1559" ht="15" customHeight="1" s="68">
      <c r="A1559" s="114" t="n"/>
      <c r="B1559" s="114" t="n"/>
      <c r="C1559" s="114" t="n"/>
      <c r="D1559" s="114" t="n"/>
      <c r="E1559" s="114" t="n"/>
      <c r="F1559" s="114" t="n"/>
      <c r="G1559" s="114" t="n"/>
      <c r="H1559" s="114" t="n"/>
      <c r="I1559" s="114" t="n"/>
      <c r="J1559" s="114" t="n"/>
    </row>
    <row r="1560" ht="15" customHeight="1" s="68">
      <c r="A1560" s="114" t="n"/>
      <c r="B1560" s="114" t="n"/>
      <c r="C1560" s="114" t="n"/>
      <c r="D1560" s="114" t="n"/>
      <c r="E1560" s="114" t="n"/>
      <c r="F1560" s="114" t="n"/>
      <c r="G1560" s="114" t="n"/>
      <c r="H1560" s="114" t="n"/>
      <c r="I1560" s="114" t="n"/>
      <c r="J1560" s="114" t="n"/>
    </row>
    <row r="1561" ht="15" customHeight="1" s="68">
      <c r="A1561" s="114" t="n"/>
      <c r="B1561" s="114" t="n"/>
      <c r="C1561" s="114" t="n"/>
      <c r="D1561" s="114" t="n"/>
      <c r="E1561" s="114" t="n"/>
      <c r="F1561" s="114" t="n"/>
      <c r="G1561" s="114" t="n"/>
      <c r="H1561" s="114" t="n"/>
      <c r="I1561" s="114" t="n"/>
      <c r="J1561" s="114" t="n"/>
    </row>
    <row r="1562" ht="15" customHeight="1" s="68">
      <c r="A1562" s="114" t="n"/>
      <c r="B1562" s="114" t="n"/>
      <c r="C1562" s="114" t="n"/>
      <c r="D1562" s="114" t="n"/>
      <c r="E1562" s="114" t="n"/>
      <c r="F1562" s="114" t="n"/>
      <c r="G1562" s="114" t="n"/>
      <c r="H1562" s="114" t="n"/>
      <c r="I1562" s="114" t="n"/>
      <c r="J1562" s="114" t="n"/>
    </row>
    <row r="1563" ht="15" customHeight="1" s="68">
      <c r="A1563" s="114" t="n"/>
      <c r="B1563" s="114" t="n"/>
      <c r="C1563" s="114" t="n"/>
      <c r="D1563" s="114" t="n"/>
      <c r="E1563" s="114" t="n"/>
      <c r="F1563" s="114" t="n"/>
      <c r="G1563" s="114" t="n"/>
      <c r="H1563" s="114" t="n"/>
      <c r="I1563" s="114" t="n"/>
      <c r="J1563" s="114" t="n"/>
    </row>
    <row r="1564" ht="15" customHeight="1" s="68">
      <c r="A1564" s="114" t="n"/>
      <c r="B1564" s="114" t="n"/>
      <c r="C1564" s="114" t="n"/>
      <c r="D1564" s="114" t="n"/>
      <c r="E1564" s="114" t="n"/>
      <c r="F1564" s="114" t="n"/>
      <c r="G1564" s="114" t="n"/>
      <c r="H1564" s="114" t="n"/>
      <c r="I1564" s="114" t="n"/>
      <c r="J1564" s="114" t="n"/>
    </row>
    <row r="1565" ht="15" customHeight="1" s="68">
      <c r="A1565" s="114" t="n"/>
      <c r="B1565" s="114" t="n"/>
      <c r="C1565" s="114" t="n"/>
      <c r="D1565" s="114" t="n"/>
      <c r="E1565" s="114" t="n"/>
      <c r="F1565" s="114" t="n"/>
      <c r="G1565" s="114" t="n"/>
      <c r="H1565" s="114" t="n"/>
      <c r="I1565" s="114" t="n"/>
      <c r="J1565" s="114" t="n"/>
    </row>
    <row r="1566" ht="15" customHeight="1" s="68">
      <c r="A1566" s="114" t="n"/>
      <c r="B1566" s="114" t="n"/>
      <c r="C1566" s="114" t="n"/>
      <c r="D1566" s="114" t="n"/>
      <c r="E1566" s="114" t="n"/>
      <c r="F1566" s="114" t="n"/>
      <c r="G1566" s="114" t="n"/>
      <c r="H1566" s="114" t="n"/>
      <c r="I1566" s="114" t="n"/>
      <c r="J1566" s="114" t="n"/>
    </row>
    <row r="1567" ht="15" customHeight="1" s="68">
      <c r="A1567" s="114" t="n"/>
      <c r="B1567" s="114" t="n"/>
      <c r="C1567" s="114" t="n"/>
      <c r="D1567" s="114" t="n"/>
      <c r="E1567" s="114" t="n"/>
      <c r="F1567" s="114" t="n"/>
      <c r="G1567" s="114" t="n"/>
      <c r="H1567" s="114" t="n"/>
      <c r="I1567" s="114" t="n"/>
      <c r="J1567" s="114" t="n"/>
    </row>
    <row r="1568" ht="15" customHeight="1" s="68">
      <c r="A1568" s="114" t="n"/>
      <c r="B1568" s="114" t="n"/>
      <c r="C1568" s="114" t="n"/>
      <c r="D1568" s="114" t="n"/>
      <c r="E1568" s="114" t="n"/>
      <c r="F1568" s="114" t="n"/>
      <c r="G1568" s="114" t="n"/>
      <c r="H1568" s="114" t="n"/>
      <c r="I1568" s="114" t="n"/>
      <c r="J1568" s="114" t="n"/>
    </row>
    <row r="1569" ht="15" customHeight="1" s="68">
      <c r="A1569" s="114" t="n"/>
      <c r="B1569" s="114" t="n"/>
      <c r="C1569" s="114" t="n"/>
      <c r="D1569" s="114" t="n"/>
      <c r="E1569" s="114" t="n"/>
      <c r="F1569" s="114" t="n"/>
      <c r="G1569" s="114" t="n"/>
      <c r="H1569" s="114" t="n"/>
      <c r="I1569" s="114" t="n"/>
      <c r="J1569" s="114" t="n"/>
    </row>
    <row r="1570" ht="15" customHeight="1" s="68">
      <c r="A1570" s="114" t="n"/>
      <c r="B1570" s="114" t="n"/>
      <c r="C1570" s="114" t="n"/>
      <c r="D1570" s="114" t="n"/>
      <c r="E1570" s="114" t="n"/>
      <c r="F1570" s="114" t="n"/>
      <c r="G1570" s="114" t="n"/>
      <c r="H1570" s="114" t="n"/>
      <c r="I1570" s="114" t="n"/>
      <c r="J1570" s="114" t="n"/>
    </row>
    <row r="1571" ht="15" customHeight="1" s="68">
      <c r="A1571" s="114" t="n"/>
      <c r="B1571" s="114" t="n"/>
      <c r="C1571" s="114" t="n"/>
      <c r="D1571" s="114" t="n"/>
      <c r="E1571" s="114" t="n"/>
      <c r="F1571" s="114" t="n"/>
      <c r="G1571" s="114" t="n"/>
      <c r="H1571" s="114" t="n"/>
      <c r="I1571" s="114" t="n"/>
      <c r="J1571" s="114" t="n"/>
    </row>
    <row r="1572" ht="15" customHeight="1" s="68">
      <c r="A1572" s="114" t="n"/>
      <c r="B1572" s="114" t="n"/>
      <c r="C1572" s="114" t="n"/>
      <c r="D1572" s="114" t="n"/>
      <c r="E1572" s="114" t="n"/>
      <c r="F1572" s="114" t="n"/>
      <c r="G1572" s="114" t="n"/>
      <c r="H1572" s="114" t="n"/>
      <c r="I1572" s="114" t="n"/>
      <c r="J1572" s="114" t="n"/>
    </row>
    <row r="1573" ht="15" customHeight="1" s="68">
      <c r="A1573" s="114" t="n"/>
      <c r="B1573" s="114" t="n"/>
      <c r="C1573" s="114" t="n"/>
      <c r="D1573" s="114" t="n"/>
      <c r="E1573" s="114" t="n"/>
      <c r="F1573" s="114" t="n"/>
      <c r="G1573" s="114" t="n"/>
      <c r="H1573" s="114" t="n"/>
      <c r="I1573" s="114" t="n"/>
      <c r="J1573" s="114" t="n"/>
    </row>
    <row r="1574" ht="15" customHeight="1" s="68">
      <c r="A1574" s="114" t="n"/>
      <c r="B1574" s="114" t="n"/>
      <c r="C1574" s="114" t="n"/>
      <c r="D1574" s="114" t="n"/>
      <c r="E1574" s="114" t="n"/>
      <c r="F1574" s="114" t="n"/>
      <c r="G1574" s="114" t="n"/>
      <c r="H1574" s="114" t="n"/>
      <c r="I1574" s="114" t="n"/>
      <c r="J1574" s="114" t="n"/>
    </row>
    <row r="1575" ht="15" customHeight="1" s="68">
      <c r="A1575" s="114" t="n"/>
      <c r="B1575" s="114" t="n"/>
      <c r="C1575" s="114" t="n"/>
      <c r="D1575" s="114" t="n"/>
      <c r="E1575" s="114" t="n"/>
      <c r="F1575" s="114" t="n"/>
      <c r="G1575" s="114" t="n"/>
      <c r="H1575" s="114" t="n"/>
      <c r="I1575" s="114" t="n"/>
      <c r="J1575" s="114" t="n"/>
    </row>
    <row r="1576" ht="15" customHeight="1" s="68">
      <c r="A1576" s="114" t="n"/>
      <c r="B1576" s="114" t="n"/>
      <c r="C1576" s="114" t="n"/>
      <c r="D1576" s="114" t="n"/>
      <c r="E1576" s="114" t="n"/>
      <c r="F1576" s="114" t="n"/>
      <c r="G1576" s="114" t="n"/>
      <c r="H1576" s="114" t="n"/>
      <c r="I1576" s="114" t="n"/>
      <c r="J1576" s="114" t="n"/>
    </row>
    <row r="1577" ht="15" customHeight="1" s="68">
      <c r="A1577" s="114" t="n"/>
      <c r="B1577" s="114" t="n"/>
      <c r="C1577" s="114" t="n"/>
      <c r="D1577" s="114" t="n"/>
      <c r="E1577" s="114" t="n"/>
      <c r="F1577" s="114" t="n"/>
      <c r="G1577" s="114" t="n"/>
      <c r="H1577" s="114" t="n"/>
      <c r="I1577" s="114" t="n"/>
      <c r="J1577" s="114" t="n"/>
    </row>
    <row r="1578" ht="15" customHeight="1" s="68">
      <c r="A1578" s="114" t="n"/>
      <c r="B1578" s="114" t="n"/>
      <c r="C1578" s="114" t="n"/>
      <c r="D1578" s="114" t="n"/>
      <c r="E1578" s="114" t="n"/>
      <c r="F1578" s="114" t="n"/>
      <c r="G1578" s="114" t="n"/>
      <c r="H1578" s="114" t="n"/>
      <c r="I1578" s="114" t="n"/>
      <c r="J1578" s="114" t="n"/>
    </row>
    <row r="1579" ht="15" customHeight="1" s="68">
      <c r="A1579" s="114" t="n"/>
      <c r="B1579" s="114" t="n"/>
      <c r="C1579" s="114" t="n"/>
      <c r="D1579" s="114" t="n"/>
      <c r="E1579" s="114" t="n"/>
      <c r="F1579" s="114" t="n"/>
      <c r="G1579" s="114" t="n"/>
      <c r="H1579" s="114" t="n"/>
      <c r="I1579" s="114" t="n"/>
      <c r="J1579" s="114" t="n"/>
    </row>
    <row r="1580" ht="15" customHeight="1" s="68">
      <c r="A1580" s="114" t="n"/>
      <c r="B1580" s="114" t="n"/>
      <c r="C1580" s="114" t="n"/>
      <c r="D1580" s="114" t="n"/>
      <c r="E1580" s="114" t="n"/>
      <c r="F1580" s="114" t="n"/>
      <c r="G1580" s="114" t="n"/>
      <c r="H1580" s="114" t="n"/>
      <c r="I1580" s="114" t="n"/>
      <c r="J1580" s="114" t="n"/>
    </row>
    <row r="1581" ht="15" customHeight="1" s="68">
      <c r="A1581" s="114" t="n"/>
      <c r="B1581" s="114" t="n"/>
      <c r="C1581" s="114" t="n"/>
      <c r="D1581" s="114" t="n"/>
      <c r="E1581" s="114" t="n"/>
      <c r="F1581" s="114" t="n"/>
      <c r="G1581" s="114" t="n"/>
      <c r="H1581" s="114" t="n"/>
      <c r="I1581" s="114" t="n"/>
      <c r="J1581" s="114" t="n"/>
    </row>
    <row r="1582" ht="15" customHeight="1" s="68">
      <c r="A1582" s="114" t="n"/>
      <c r="B1582" s="114" t="n"/>
      <c r="C1582" s="114" t="n"/>
      <c r="D1582" s="114" t="n"/>
      <c r="E1582" s="114" t="n"/>
      <c r="F1582" s="114" t="n"/>
      <c r="G1582" s="114" t="n"/>
      <c r="H1582" s="114" t="n"/>
      <c r="I1582" s="114" t="n"/>
      <c r="J1582" s="114" t="n"/>
    </row>
    <row r="1583" ht="15" customHeight="1" s="68">
      <c r="A1583" s="114" t="n"/>
      <c r="B1583" s="114" t="n"/>
      <c r="C1583" s="114" t="n"/>
      <c r="D1583" s="114" t="n"/>
      <c r="E1583" s="114" t="n"/>
      <c r="F1583" s="114" t="n"/>
      <c r="G1583" s="114" t="n"/>
      <c r="H1583" s="114" t="n"/>
      <c r="I1583" s="114" t="n"/>
      <c r="J1583" s="114" t="n"/>
    </row>
    <row r="1584" ht="15" customHeight="1" s="68">
      <c r="A1584" s="114" t="n"/>
      <c r="B1584" s="114" t="n"/>
      <c r="C1584" s="114" t="n"/>
      <c r="D1584" s="114" t="n"/>
      <c r="E1584" s="114" t="n"/>
      <c r="F1584" s="114" t="n"/>
      <c r="G1584" s="114" t="n"/>
      <c r="H1584" s="114" t="n"/>
      <c r="I1584" s="114" t="n"/>
      <c r="J1584" s="114" t="n"/>
    </row>
    <row r="1585" ht="15" customHeight="1" s="68">
      <c r="A1585" s="114" t="n"/>
      <c r="B1585" s="114" t="n"/>
      <c r="C1585" s="114" t="n"/>
      <c r="D1585" s="114" t="n"/>
      <c r="E1585" s="114" t="n"/>
      <c r="F1585" s="114" t="n"/>
      <c r="G1585" s="114" t="n"/>
      <c r="H1585" s="114" t="n"/>
      <c r="I1585" s="114" t="n"/>
      <c r="J1585" s="114" t="n"/>
    </row>
    <row r="1586" ht="15" customHeight="1" s="68">
      <c r="A1586" s="114" t="n"/>
      <c r="B1586" s="114" t="n"/>
      <c r="C1586" s="114" t="n"/>
      <c r="D1586" s="114" t="n"/>
      <c r="E1586" s="114" t="n"/>
      <c r="F1586" s="114" t="n"/>
      <c r="G1586" s="114" t="n"/>
      <c r="H1586" s="114" t="n"/>
      <c r="I1586" s="114" t="n"/>
      <c r="J1586" s="114" t="n"/>
    </row>
    <row r="1587" ht="15" customHeight="1" s="68">
      <c r="A1587" s="114" t="n"/>
      <c r="B1587" s="114" t="n"/>
      <c r="C1587" s="114" t="n"/>
      <c r="D1587" s="114" t="n"/>
      <c r="E1587" s="114" t="n"/>
      <c r="F1587" s="114" t="n"/>
      <c r="G1587" s="114" t="n"/>
      <c r="H1587" s="114" t="n"/>
      <c r="I1587" s="114" t="n"/>
      <c r="J1587" s="114" t="n"/>
    </row>
    <row r="1588" ht="15" customHeight="1" s="68">
      <c r="A1588" s="114" t="n"/>
      <c r="B1588" s="114" t="n"/>
      <c r="C1588" s="114" t="n"/>
      <c r="D1588" s="114" t="n"/>
      <c r="E1588" s="114" t="n"/>
      <c r="F1588" s="114" t="n"/>
      <c r="G1588" s="114" t="n"/>
      <c r="H1588" s="114" t="n"/>
      <c r="I1588" s="114" t="n"/>
      <c r="J1588" s="114" t="n"/>
    </row>
    <row r="1589" ht="15" customHeight="1" s="68">
      <c r="A1589" s="114" t="n"/>
      <c r="B1589" s="114" t="n"/>
      <c r="C1589" s="114" t="n"/>
      <c r="D1589" s="114" t="n"/>
      <c r="E1589" s="114" t="n"/>
      <c r="F1589" s="114" t="n"/>
      <c r="G1589" s="114" t="n"/>
      <c r="H1589" s="114" t="n"/>
      <c r="I1589" s="114" t="n"/>
      <c r="J1589" s="114" t="n"/>
    </row>
    <row r="1590" ht="15" customHeight="1" s="68">
      <c r="A1590" s="114" t="n"/>
      <c r="B1590" s="114" t="n"/>
      <c r="C1590" s="114" t="n"/>
      <c r="D1590" s="114" t="n"/>
      <c r="E1590" s="114" t="n"/>
      <c r="F1590" s="114" t="n"/>
      <c r="G1590" s="114" t="n"/>
      <c r="H1590" s="114" t="n"/>
      <c r="I1590" s="114" t="n"/>
      <c r="J1590" s="114" t="n"/>
    </row>
    <row r="1591" ht="15" customHeight="1" s="68">
      <c r="A1591" s="114" t="n"/>
      <c r="B1591" s="114" t="n"/>
      <c r="C1591" s="114" t="n"/>
      <c r="D1591" s="114" t="n"/>
      <c r="E1591" s="114" t="n"/>
      <c r="F1591" s="114" t="n"/>
      <c r="G1591" s="114" t="n"/>
      <c r="H1591" s="114" t="n"/>
      <c r="I1591" s="114" t="n"/>
      <c r="J1591" s="114" t="n"/>
    </row>
    <row r="1592" ht="15" customHeight="1" s="68">
      <c r="A1592" s="114" t="n"/>
      <c r="B1592" s="114" t="n"/>
      <c r="C1592" s="114" t="n"/>
      <c r="D1592" s="114" t="n"/>
      <c r="E1592" s="114" t="n"/>
      <c r="F1592" s="114" t="n"/>
      <c r="G1592" s="114" t="n"/>
      <c r="H1592" s="114" t="n"/>
      <c r="I1592" s="114" t="n"/>
      <c r="J1592" s="114" t="n"/>
    </row>
    <row r="1593" ht="15" customHeight="1" s="68">
      <c r="A1593" s="114" t="n"/>
      <c r="B1593" s="114" t="n"/>
      <c r="C1593" s="114" t="n"/>
      <c r="D1593" s="114" t="n"/>
      <c r="E1593" s="114" t="n"/>
      <c r="F1593" s="114" t="n"/>
      <c r="G1593" s="114" t="n"/>
      <c r="H1593" s="114" t="n"/>
      <c r="I1593" s="114" t="n"/>
      <c r="J1593" s="114" t="n"/>
    </row>
    <row r="1594" ht="15" customHeight="1" s="68">
      <c r="A1594" s="114" t="n"/>
      <c r="B1594" s="114" t="n"/>
      <c r="C1594" s="114" t="n"/>
      <c r="D1594" s="114" t="n"/>
      <c r="E1594" s="114" t="n"/>
      <c r="F1594" s="114" t="n"/>
      <c r="G1594" s="114" t="n"/>
      <c r="H1594" s="114" t="n"/>
      <c r="I1594" s="114" t="n"/>
      <c r="J1594" s="114" t="n"/>
    </row>
    <row r="1595" ht="15" customHeight="1" s="68">
      <c r="A1595" s="114" t="n"/>
      <c r="B1595" s="114" t="n"/>
      <c r="C1595" s="114" t="n"/>
      <c r="D1595" s="114" t="n"/>
      <c r="E1595" s="114" t="n"/>
      <c r="F1595" s="114" t="n"/>
      <c r="G1595" s="114" t="n"/>
      <c r="H1595" s="114" t="n"/>
      <c r="I1595" s="114" t="n"/>
      <c r="J1595" s="114" t="n"/>
    </row>
    <row r="1596" ht="15" customHeight="1" s="68">
      <c r="A1596" s="114" t="n"/>
      <c r="B1596" s="114" t="n"/>
      <c r="C1596" s="114" t="n"/>
      <c r="D1596" s="114" t="n"/>
      <c r="E1596" s="114" t="n"/>
      <c r="F1596" s="114" t="n"/>
      <c r="G1596" s="114" t="n"/>
      <c r="H1596" s="114" t="n"/>
      <c r="I1596" s="114" t="n"/>
      <c r="J1596" s="114" t="n"/>
    </row>
    <row r="1597" ht="15" customHeight="1" s="68">
      <c r="A1597" s="114" t="n"/>
      <c r="B1597" s="114" t="n"/>
      <c r="C1597" s="114" t="n"/>
      <c r="D1597" s="114" t="n"/>
      <c r="E1597" s="114" t="n"/>
      <c r="F1597" s="114" t="n"/>
      <c r="G1597" s="114" t="n"/>
      <c r="H1597" s="114" t="n"/>
      <c r="I1597" s="114" t="n"/>
      <c r="J1597" s="114" t="n"/>
    </row>
    <row r="1598" ht="15" customHeight="1" s="68">
      <c r="A1598" s="114" t="n"/>
      <c r="B1598" s="114" t="n"/>
      <c r="C1598" s="114" t="n"/>
      <c r="D1598" s="114" t="n"/>
      <c r="E1598" s="114" t="n"/>
      <c r="F1598" s="114" t="n"/>
      <c r="G1598" s="114" t="n"/>
      <c r="H1598" s="114" t="n"/>
      <c r="I1598" s="114" t="n"/>
      <c r="J1598" s="114" t="n"/>
    </row>
    <row r="1599" ht="15" customHeight="1" s="68">
      <c r="A1599" s="114" t="n"/>
      <c r="B1599" s="114" t="n"/>
      <c r="C1599" s="114" t="n"/>
      <c r="D1599" s="114" t="n"/>
      <c r="E1599" s="114" t="n"/>
      <c r="F1599" s="114" t="n"/>
      <c r="G1599" s="114" t="n"/>
      <c r="H1599" s="114" t="n"/>
      <c r="I1599" s="114" t="n"/>
      <c r="J1599" s="114" t="n"/>
    </row>
    <row r="1600" ht="15" customHeight="1" s="68">
      <c r="A1600" s="114" t="n"/>
      <c r="B1600" s="114" t="n"/>
      <c r="C1600" s="114" t="n"/>
      <c r="D1600" s="114" t="n"/>
      <c r="E1600" s="114" t="n"/>
      <c r="F1600" s="114" t="n"/>
      <c r="G1600" s="114" t="n"/>
      <c r="H1600" s="114" t="n"/>
      <c r="I1600" s="114" t="n"/>
      <c r="J1600" s="114" t="n"/>
    </row>
    <row r="1601" ht="15" customHeight="1" s="68">
      <c r="A1601" s="114" t="n"/>
      <c r="B1601" s="114" t="n"/>
      <c r="C1601" s="114" t="n"/>
      <c r="D1601" s="114" t="n"/>
      <c r="E1601" s="114" t="n"/>
      <c r="F1601" s="114" t="n"/>
      <c r="G1601" s="114" t="n"/>
      <c r="H1601" s="114" t="n"/>
      <c r="I1601" s="114" t="n"/>
      <c r="J1601" s="114" t="n"/>
    </row>
    <row r="1602" ht="15" customHeight="1" s="68">
      <c r="A1602" s="114" t="n"/>
      <c r="B1602" s="114" t="n"/>
      <c r="C1602" s="114" t="n"/>
      <c r="D1602" s="114" t="n"/>
      <c r="E1602" s="114" t="n"/>
      <c r="F1602" s="114" t="n"/>
      <c r="G1602" s="114" t="n"/>
      <c r="H1602" s="114" t="n"/>
      <c r="I1602" s="114" t="n"/>
      <c r="J1602" s="114" t="n"/>
    </row>
    <row r="1603" ht="15" customHeight="1" s="68">
      <c r="A1603" s="114" t="n"/>
      <c r="B1603" s="114" t="n"/>
      <c r="C1603" s="114" t="n"/>
      <c r="D1603" s="114" t="n"/>
      <c r="E1603" s="114" t="n"/>
      <c r="F1603" s="114" t="n"/>
      <c r="G1603" s="114" t="n"/>
      <c r="H1603" s="114" t="n"/>
      <c r="I1603" s="114" t="n"/>
      <c r="J1603" s="114" t="n"/>
    </row>
    <row r="1604" ht="15" customHeight="1" s="68">
      <c r="A1604" s="114" t="n"/>
      <c r="B1604" s="114" t="n"/>
      <c r="C1604" s="114" t="n"/>
      <c r="D1604" s="114" t="n"/>
      <c r="E1604" s="114" t="n"/>
      <c r="F1604" s="114" t="n"/>
      <c r="G1604" s="114" t="n"/>
      <c r="H1604" s="114" t="n"/>
      <c r="I1604" s="114" t="n"/>
      <c r="J1604" s="114" t="n"/>
    </row>
    <row r="1605" ht="15" customHeight="1" s="68">
      <c r="A1605" s="114" t="n"/>
      <c r="B1605" s="114" t="n"/>
      <c r="C1605" s="114" t="n"/>
      <c r="D1605" s="114" t="n"/>
      <c r="E1605" s="114" t="n"/>
      <c r="F1605" s="114" t="n"/>
      <c r="G1605" s="114" t="n"/>
      <c r="H1605" s="114" t="n"/>
      <c r="I1605" s="114" t="n"/>
      <c r="J1605" s="114" t="n"/>
    </row>
    <row r="1606" ht="15" customHeight="1" s="68">
      <c r="A1606" s="114" t="n"/>
      <c r="B1606" s="114" t="n"/>
      <c r="C1606" s="114" t="n"/>
      <c r="D1606" s="114" t="n"/>
      <c r="E1606" s="114" t="n"/>
      <c r="F1606" s="114" t="n"/>
      <c r="G1606" s="114" t="n"/>
      <c r="H1606" s="114" t="n"/>
      <c r="I1606" s="114" t="n"/>
      <c r="J1606" s="114" t="n"/>
    </row>
    <row r="1607" ht="15" customHeight="1" s="68">
      <c r="A1607" s="114" t="n"/>
      <c r="B1607" s="114" t="n"/>
      <c r="C1607" s="114" t="n"/>
      <c r="D1607" s="114" t="n"/>
      <c r="E1607" s="114" t="n"/>
      <c r="F1607" s="114" t="n"/>
      <c r="G1607" s="114" t="n"/>
      <c r="H1607" s="114" t="n"/>
      <c r="I1607" s="114" t="n"/>
      <c r="J1607" s="114" t="n"/>
    </row>
    <row r="1608" ht="15" customHeight="1" s="68">
      <c r="A1608" s="114" t="n"/>
      <c r="B1608" s="114" t="n"/>
      <c r="C1608" s="114" t="n"/>
      <c r="D1608" s="114" t="n"/>
      <c r="E1608" s="114" t="n"/>
      <c r="F1608" s="114" t="n"/>
      <c r="G1608" s="114" t="n"/>
      <c r="H1608" s="114" t="n"/>
      <c r="I1608" s="114" t="n"/>
      <c r="J1608" s="114" t="n"/>
    </row>
    <row r="1609" ht="15" customHeight="1" s="68">
      <c r="A1609" s="114" t="n"/>
      <c r="B1609" s="114" t="n"/>
      <c r="C1609" s="114" t="n"/>
      <c r="D1609" s="114" t="n"/>
      <c r="E1609" s="114" t="n"/>
      <c r="F1609" s="114" t="n"/>
      <c r="G1609" s="114" t="n"/>
      <c r="H1609" s="114" t="n"/>
      <c r="I1609" s="114" t="n"/>
      <c r="J1609" s="114" t="n"/>
    </row>
    <row r="1610" ht="15" customHeight="1" s="68">
      <c r="A1610" s="114" t="n"/>
      <c r="B1610" s="114" t="n"/>
      <c r="C1610" s="114" t="n"/>
      <c r="D1610" s="114" t="n"/>
      <c r="E1610" s="114" t="n"/>
      <c r="F1610" s="114" t="n"/>
      <c r="G1610" s="114" t="n"/>
      <c r="H1610" s="114" t="n"/>
      <c r="I1610" s="114" t="n"/>
      <c r="J1610" s="114" t="n"/>
    </row>
    <row r="1611" ht="15" customHeight="1" s="68">
      <c r="A1611" s="114" t="n"/>
      <c r="B1611" s="114" t="n"/>
      <c r="C1611" s="114" t="n"/>
      <c r="D1611" s="114" t="n"/>
      <c r="E1611" s="114" t="n"/>
      <c r="F1611" s="114" t="n"/>
      <c r="G1611" s="114" t="n"/>
      <c r="H1611" s="114" t="n"/>
      <c r="I1611" s="114" t="n"/>
      <c r="J1611" s="114" t="n"/>
    </row>
    <row r="1612" ht="15" customHeight="1" s="68">
      <c r="A1612" s="114" t="n"/>
      <c r="B1612" s="114" t="n"/>
      <c r="C1612" s="114" t="n"/>
      <c r="D1612" s="114" t="n"/>
      <c r="E1612" s="114" t="n"/>
      <c r="F1612" s="114" t="n"/>
      <c r="G1612" s="114" t="n"/>
      <c r="H1612" s="114" t="n"/>
      <c r="I1612" s="114" t="n"/>
      <c r="J1612" s="114" t="n"/>
    </row>
    <row r="1613" ht="15" customHeight="1" s="68">
      <c r="A1613" s="114" t="n"/>
      <c r="B1613" s="114" t="n"/>
      <c r="C1613" s="114" t="n"/>
      <c r="D1613" s="114" t="n"/>
      <c r="E1613" s="114" t="n"/>
      <c r="F1613" s="114" t="n"/>
      <c r="G1613" s="114" t="n"/>
      <c r="H1613" s="114" t="n"/>
      <c r="I1613" s="114" t="n"/>
      <c r="J1613" s="114" t="n"/>
    </row>
    <row r="1614" ht="15" customHeight="1" s="68">
      <c r="A1614" s="114" t="n"/>
      <c r="B1614" s="114" t="n"/>
      <c r="C1614" s="114" t="n"/>
      <c r="D1614" s="114" t="n"/>
      <c r="E1614" s="114" t="n"/>
      <c r="F1614" s="114" t="n"/>
      <c r="G1614" s="114" t="n"/>
      <c r="H1614" s="114" t="n"/>
      <c r="I1614" s="114" t="n"/>
      <c r="J1614" s="114" t="n"/>
    </row>
    <row r="1615" ht="15" customHeight="1" s="68">
      <c r="A1615" s="114" t="n"/>
      <c r="B1615" s="114" t="n"/>
      <c r="C1615" s="114" t="n"/>
      <c r="D1615" s="114" t="n"/>
      <c r="E1615" s="114" t="n"/>
      <c r="F1615" s="114" t="n"/>
      <c r="G1615" s="114" t="n"/>
      <c r="H1615" s="114" t="n"/>
      <c r="I1615" s="114" t="n"/>
      <c r="J1615" s="114" t="n"/>
    </row>
    <row r="1616" ht="15" customHeight="1" s="68">
      <c r="A1616" s="114" t="n"/>
      <c r="B1616" s="114" t="n"/>
      <c r="C1616" s="114" t="n"/>
      <c r="D1616" s="114" t="n"/>
      <c r="E1616" s="114" t="n"/>
      <c r="F1616" s="114" t="n"/>
      <c r="G1616" s="114" t="n"/>
      <c r="H1616" s="114" t="n"/>
      <c r="I1616" s="114" t="n"/>
      <c r="J1616" s="114" t="n"/>
    </row>
    <row r="1617" ht="15" customHeight="1" s="68">
      <c r="A1617" s="114" t="n"/>
      <c r="B1617" s="114" t="n"/>
      <c r="C1617" s="114" t="n"/>
      <c r="D1617" s="114" t="n"/>
      <c r="E1617" s="114" t="n"/>
      <c r="F1617" s="114" t="n"/>
      <c r="G1617" s="114" t="n"/>
      <c r="H1617" s="114" t="n"/>
      <c r="I1617" s="114" t="n"/>
      <c r="J1617" s="114" t="n"/>
    </row>
    <row r="1618" ht="15" customHeight="1" s="68">
      <c r="A1618" s="114" t="n"/>
      <c r="B1618" s="114" t="n"/>
      <c r="C1618" s="114" t="n"/>
      <c r="D1618" s="114" t="n"/>
      <c r="E1618" s="114" t="n"/>
      <c r="F1618" s="114" t="n"/>
      <c r="G1618" s="114" t="n"/>
      <c r="H1618" s="114" t="n"/>
      <c r="I1618" s="114" t="n"/>
      <c r="J1618" s="114" t="n"/>
    </row>
    <row r="1619" ht="15" customHeight="1" s="68">
      <c r="A1619" s="114" t="n"/>
      <c r="B1619" s="114" t="n"/>
      <c r="C1619" s="114" t="n"/>
      <c r="D1619" s="114" t="n"/>
      <c r="E1619" s="114" t="n"/>
      <c r="F1619" s="114" t="n"/>
      <c r="G1619" s="114" t="n"/>
      <c r="H1619" s="114" t="n"/>
      <c r="I1619" s="114" t="n"/>
      <c r="J1619" s="114" t="n"/>
    </row>
    <row r="1620" ht="15" customHeight="1" s="68">
      <c r="A1620" s="114" t="n"/>
      <c r="B1620" s="114" t="n"/>
      <c r="C1620" s="114" t="n"/>
      <c r="D1620" s="114" t="n"/>
      <c r="E1620" s="114" t="n"/>
      <c r="F1620" s="114" t="n"/>
      <c r="G1620" s="114" t="n"/>
      <c r="H1620" s="114" t="n"/>
      <c r="I1620" s="114" t="n"/>
      <c r="J1620" s="114" t="n"/>
    </row>
    <row r="1621" ht="15" customHeight="1" s="68">
      <c r="A1621" s="114" t="n"/>
      <c r="B1621" s="114" t="n"/>
      <c r="C1621" s="114" t="n"/>
      <c r="D1621" s="114" t="n"/>
      <c r="E1621" s="114" t="n"/>
      <c r="F1621" s="114" t="n"/>
      <c r="G1621" s="114" t="n"/>
      <c r="H1621" s="114" t="n"/>
      <c r="I1621" s="114" t="n"/>
      <c r="J1621" s="114" t="n"/>
    </row>
    <row r="1622" ht="15" customHeight="1" s="68">
      <c r="A1622" s="114" t="n"/>
      <c r="B1622" s="114" t="n"/>
      <c r="C1622" s="114" t="n"/>
      <c r="D1622" s="114" t="n"/>
      <c r="E1622" s="114" t="n"/>
      <c r="F1622" s="114" t="n"/>
      <c r="G1622" s="114" t="n"/>
      <c r="H1622" s="114" t="n"/>
      <c r="I1622" s="114" t="n"/>
      <c r="J1622" s="114" t="n"/>
    </row>
    <row r="1623" ht="15" customHeight="1" s="68">
      <c r="A1623" s="114" t="n"/>
      <c r="B1623" s="114" t="n"/>
      <c r="C1623" s="114" t="n"/>
      <c r="D1623" s="114" t="n"/>
      <c r="E1623" s="114" t="n"/>
      <c r="F1623" s="114" t="n"/>
      <c r="G1623" s="114" t="n"/>
      <c r="H1623" s="114" t="n"/>
      <c r="I1623" s="114" t="n"/>
      <c r="J1623" s="114" t="n"/>
    </row>
    <row r="1624" ht="15" customHeight="1" s="68">
      <c r="A1624" s="114" t="n"/>
      <c r="B1624" s="114" t="n"/>
      <c r="C1624" s="114" t="n"/>
      <c r="D1624" s="114" t="n"/>
      <c r="E1624" s="114" t="n"/>
      <c r="F1624" s="114" t="n"/>
      <c r="G1624" s="114" t="n"/>
      <c r="H1624" s="114" t="n"/>
      <c r="I1624" s="114" t="n"/>
      <c r="J1624" s="114" t="n"/>
    </row>
    <row r="1625" ht="15" customHeight="1" s="68">
      <c r="A1625" s="114" t="n"/>
      <c r="B1625" s="114" t="n"/>
      <c r="C1625" s="114" t="n"/>
      <c r="D1625" s="114" t="n"/>
      <c r="E1625" s="114" t="n"/>
      <c r="F1625" s="114" t="n"/>
      <c r="G1625" s="114" t="n"/>
      <c r="H1625" s="114" t="n"/>
      <c r="I1625" s="114" t="n"/>
      <c r="J1625" s="114" t="n"/>
    </row>
    <row r="1626" ht="15" customHeight="1" s="68">
      <c r="A1626" s="114" t="n"/>
      <c r="B1626" s="114" t="n"/>
      <c r="C1626" s="114" t="n"/>
      <c r="D1626" s="114" t="n"/>
      <c r="E1626" s="114" t="n"/>
      <c r="F1626" s="114" t="n"/>
      <c r="G1626" s="114" t="n"/>
      <c r="H1626" s="114" t="n"/>
      <c r="I1626" s="114" t="n"/>
      <c r="J1626" s="114" t="n"/>
    </row>
    <row r="1627" ht="15" customHeight="1" s="68">
      <c r="A1627" s="114" t="n"/>
      <c r="B1627" s="114" t="n"/>
      <c r="C1627" s="114" t="n"/>
      <c r="D1627" s="114" t="n"/>
      <c r="E1627" s="114" t="n"/>
      <c r="F1627" s="114" t="n"/>
      <c r="G1627" s="114" t="n"/>
      <c r="H1627" s="114" t="n"/>
      <c r="I1627" s="114" t="n"/>
      <c r="J1627" s="114" t="n"/>
    </row>
    <row r="1628" ht="15" customHeight="1" s="68">
      <c r="A1628" s="114" t="n"/>
      <c r="B1628" s="114" t="n"/>
      <c r="C1628" s="114" t="n"/>
      <c r="D1628" s="114" t="n"/>
      <c r="E1628" s="114" t="n"/>
      <c r="F1628" s="114" t="n"/>
      <c r="G1628" s="114" t="n"/>
      <c r="H1628" s="114" t="n"/>
      <c r="I1628" s="114" t="n"/>
      <c r="J1628" s="114" t="n"/>
    </row>
    <row r="1629" ht="15" customHeight="1" s="68">
      <c r="A1629" s="114" t="n"/>
      <c r="B1629" s="114" t="n"/>
      <c r="C1629" s="114" t="n"/>
      <c r="D1629" s="114" t="n"/>
      <c r="E1629" s="114" t="n"/>
      <c r="F1629" s="114" t="n"/>
      <c r="G1629" s="114" t="n"/>
      <c r="H1629" s="114" t="n"/>
      <c r="I1629" s="114" t="n"/>
      <c r="J1629" s="114" t="n"/>
    </row>
    <row r="1630" ht="15" customHeight="1" s="68">
      <c r="A1630" s="114" t="n"/>
      <c r="B1630" s="114" t="n"/>
      <c r="C1630" s="114" t="n"/>
      <c r="D1630" s="114" t="n"/>
      <c r="E1630" s="114" t="n"/>
      <c r="F1630" s="114" t="n"/>
      <c r="G1630" s="114" t="n"/>
      <c r="H1630" s="114" t="n"/>
      <c r="I1630" s="114" t="n"/>
      <c r="J1630" s="114" t="n"/>
    </row>
    <row r="1631" ht="15" customHeight="1" s="68">
      <c r="A1631" s="114" t="n"/>
      <c r="B1631" s="114" t="n"/>
      <c r="C1631" s="114" t="n"/>
      <c r="D1631" s="114" t="n"/>
      <c r="E1631" s="114" t="n"/>
      <c r="F1631" s="114" t="n"/>
      <c r="G1631" s="114" t="n"/>
      <c r="H1631" s="114" t="n"/>
      <c r="I1631" s="114" t="n"/>
      <c r="J1631" s="114" t="n"/>
    </row>
    <row r="1632" ht="15" customHeight="1" s="68">
      <c r="A1632" s="114" t="n"/>
      <c r="B1632" s="114" t="n"/>
      <c r="C1632" s="114" t="n"/>
      <c r="D1632" s="114" t="n"/>
      <c r="E1632" s="114" t="n"/>
      <c r="F1632" s="114" t="n"/>
      <c r="G1632" s="114" t="n"/>
      <c r="H1632" s="114" t="n"/>
      <c r="I1632" s="114" t="n"/>
      <c r="J1632" s="114" t="n"/>
    </row>
    <row r="1633" ht="15" customHeight="1" s="68">
      <c r="A1633" s="114" t="n"/>
      <c r="B1633" s="114" t="n"/>
      <c r="C1633" s="114" t="n"/>
      <c r="D1633" s="114" t="n"/>
      <c r="E1633" s="114" t="n"/>
      <c r="F1633" s="114" t="n"/>
      <c r="G1633" s="114" t="n"/>
      <c r="H1633" s="114" t="n"/>
      <c r="I1633" s="114" t="n"/>
      <c r="J1633" s="114" t="n"/>
    </row>
    <row r="1634" ht="15" customHeight="1" s="68">
      <c r="A1634" s="114" t="n"/>
      <c r="B1634" s="114" t="n"/>
      <c r="C1634" s="114" t="n"/>
      <c r="D1634" s="114" t="n"/>
      <c r="E1634" s="114" t="n"/>
      <c r="F1634" s="114" t="n"/>
      <c r="G1634" s="114" t="n"/>
      <c r="H1634" s="114" t="n"/>
      <c r="I1634" s="114" t="n"/>
      <c r="J1634" s="114" t="n"/>
    </row>
    <row r="1635" ht="15" customHeight="1" s="68">
      <c r="A1635" s="114" t="n"/>
      <c r="B1635" s="114" t="n"/>
      <c r="C1635" s="114" t="n"/>
      <c r="D1635" s="114" t="n"/>
      <c r="E1635" s="114" t="n"/>
      <c r="F1635" s="114" t="n"/>
      <c r="G1635" s="114" t="n"/>
      <c r="H1635" s="114" t="n"/>
      <c r="I1635" s="114" t="n"/>
      <c r="J1635" s="114" t="n"/>
    </row>
    <row r="1636" ht="15" customHeight="1" s="68">
      <c r="A1636" s="114" t="n"/>
      <c r="B1636" s="114" t="n"/>
      <c r="C1636" s="114" t="n"/>
      <c r="D1636" s="114" t="n"/>
      <c r="E1636" s="114" t="n"/>
      <c r="F1636" s="114" t="n"/>
      <c r="G1636" s="114" t="n"/>
      <c r="H1636" s="114" t="n"/>
      <c r="I1636" s="114" t="n"/>
      <c r="J1636" s="114" t="n"/>
    </row>
    <row r="1637" ht="15" customHeight="1" s="68">
      <c r="A1637" s="114" t="n"/>
      <c r="B1637" s="114" t="n"/>
      <c r="C1637" s="114" t="n"/>
      <c r="D1637" s="114" t="n"/>
      <c r="E1637" s="114" t="n"/>
      <c r="F1637" s="114" t="n"/>
      <c r="G1637" s="114" t="n"/>
      <c r="H1637" s="114" t="n"/>
      <c r="I1637" s="114" t="n"/>
      <c r="J1637" s="114" t="n"/>
    </row>
    <row r="1638" ht="15" customHeight="1" s="68">
      <c r="A1638" s="114" t="n"/>
      <c r="B1638" s="114" t="n"/>
      <c r="C1638" s="114" t="n"/>
      <c r="D1638" s="114" t="n"/>
      <c r="E1638" s="114" t="n"/>
      <c r="F1638" s="114" t="n"/>
      <c r="G1638" s="114" t="n"/>
      <c r="H1638" s="114" t="n"/>
      <c r="I1638" s="114" t="n"/>
      <c r="J1638" s="114" t="n"/>
    </row>
    <row r="1639" ht="15" customHeight="1" s="68">
      <c r="A1639" s="114" t="n"/>
      <c r="B1639" s="114" t="n"/>
      <c r="C1639" s="114" t="n"/>
      <c r="D1639" s="114" t="n"/>
      <c r="E1639" s="114" t="n"/>
      <c r="F1639" s="114" t="n"/>
      <c r="G1639" s="114" t="n"/>
      <c r="H1639" s="114" t="n"/>
      <c r="I1639" s="114" t="n"/>
      <c r="J1639" s="114" t="n"/>
    </row>
    <row r="1640" ht="15" customHeight="1" s="68">
      <c r="A1640" s="114" t="n"/>
      <c r="B1640" s="114" t="n"/>
      <c r="C1640" s="114" t="n"/>
      <c r="D1640" s="114" t="n"/>
      <c r="E1640" s="114" t="n"/>
      <c r="F1640" s="114" t="n"/>
      <c r="G1640" s="114" t="n"/>
      <c r="H1640" s="114" t="n"/>
      <c r="I1640" s="114" t="n"/>
      <c r="J1640" s="114" t="n"/>
    </row>
    <row r="1641" ht="15" customHeight="1" s="68">
      <c r="A1641" s="114" t="n"/>
      <c r="B1641" s="114" t="n"/>
      <c r="C1641" s="114" t="n"/>
      <c r="D1641" s="114" t="n"/>
      <c r="E1641" s="114" t="n"/>
      <c r="F1641" s="114" t="n"/>
      <c r="G1641" s="114" t="n"/>
      <c r="H1641" s="114" t="n"/>
      <c r="I1641" s="114" t="n"/>
      <c r="J1641" s="114" t="n"/>
    </row>
    <row r="1642" ht="15" customHeight="1" s="68">
      <c r="A1642" s="114" t="n"/>
      <c r="B1642" s="114" t="n"/>
      <c r="C1642" s="114" t="n"/>
      <c r="D1642" s="114" t="n"/>
      <c r="E1642" s="114" t="n"/>
      <c r="F1642" s="114" t="n"/>
      <c r="G1642" s="114" t="n"/>
      <c r="H1642" s="114" t="n"/>
      <c r="I1642" s="114" t="n"/>
      <c r="J1642" s="114" t="n"/>
    </row>
    <row r="1643" ht="15" customHeight="1" s="68">
      <c r="A1643" s="114" t="n"/>
      <c r="B1643" s="114" t="n"/>
      <c r="C1643" s="114" t="n"/>
      <c r="D1643" s="114" t="n"/>
      <c r="E1643" s="114" t="n"/>
      <c r="F1643" s="114" t="n"/>
      <c r="G1643" s="114" t="n"/>
      <c r="H1643" s="114" t="n"/>
      <c r="I1643" s="114" t="n"/>
      <c r="J1643" s="114" t="n"/>
    </row>
    <row r="1644" ht="15" customHeight="1" s="68">
      <c r="A1644" s="114" t="n"/>
      <c r="B1644" s="114" t="n"/>
      <c r="C1644" s="114" t="n"/>
      <c r="D1644" s="114" t="n"/>
      <c r="E1644" s="114" t="n"/>
      <c r="F1644" s="114" t="n"/>
      <c r="G1644" s="114" t="n"/>
      <c r="H1644" s="114" t="n"/>
      <c r="I1644" s="114" t="n"/>
      <c r="J1644" s="114" t="n"/>
    </row>
    <row r="1645" ht="15" customHeight="1" s="68">
      <c r="A1645" s="114" t="n"/>
      <c r="B1645" s="114" t="n"/>
      <c r="C1645" s="114" t="n"/>
      <c r="D1645" s="114" t="n"/>
      <c r="E1645" s="114" t="n"/>
      <c r="F1645" s="114" t="n"/>
      <c r="G1645" s="114" t="n"/>
      <c r="H1645" s="114" t="n"/>
      <c r="I1645" s="114" t="n"/>
      <c r="J1645" s="114" t="n"/>
    </row>
    <row r="1646" ht="15" customHeight="1" s="68">
      <c r="A1646" s="114" t="n"/>
      <c r="B1646" s="114" t="n"/>
      <c r="C1646" s="114" t="n"/>
      <c r="D1646" s="114" t="n"/>
      <c r="E1646" s="114" t="n"/>
      <c r="F1646" s="114" t="n"/>
      <c r="G1646" s="114" t="n"/>
      <c r="H1646" s="114" t="n"/>
      <c r="I1646" s="114" t="n"/>
      <c r="J1646" s="114" t="n"/>
    </row>
    <row r="1647" ht="15" customHeight="1" s="68">
      <c r="A1647" s="114" t="n"/>
      <c r="B1647" s="114" t="n"/>
      <c r="C1647" s="114" t="n"/>
      <c r="D1647" s="114" t="n"/>
      <c r="E1647" s="114" t="n"/>
      <c r="F1647" s="114" t="n"/>
      <c r="G1647" s="114" t="n"/>
      <c r="H1647" s="114" t="n"/>
      <c r="I1647" s="114" t="n"/>
      <c r="J1647" s="114" t="n"/>
    </row>
    <row r="1648" ht="15" customHeight="1" s="68">
      <c r="A1648" s="114" t="n"/>
      <c r="B1648" s="114" t="n"/>
      <c r="C1648" s="114" t="n"/>
      <c r="D1648" s="114" t="n"/>
      <c r="E1648" s="114" t="n"/>
      <c r="F1648" s="114" t="n"/>
      <c r="G1648" s="114" t="n"/>
      <c r="H1648" s="114" t="n"/>
      <c r="I1648" s="114" t="n"/>
      <c r="J1648" s="114" t="n"/>
    </row>
    <row r="1649" ht="15" customHeight="1" s="68">
      <c r="A1649" s="114" t="n"/>
      <c r="B1649" s="114" t="n"/>
      <c r="C1649" s="114" t="n"/>
      <c r="D1649" s="114" t="n"/>
      <c r="E1649" s="114" t="n"/>
      <c r="F1649" s="114" t="n"/>
      <c r="G1649" s="114" t="n"/>
      <c r="H1649" s="114" t="n"/>
      <c r="I1649" s="114" t="n"/>
      <c r="J1649" s="114" t="n"/>
    </row>
    <row r="1650" ht="15" customHeight="1" s="68">
      <c r="A1650" s="114" t="n"/>
      <c r="B1650" s="114" t="n"/>
      <c r="C1650" s="114" t="n"/>
      <c r="D1650" s="114" t="n"/>
      <c r="E1650" s="114" t="n"/>
      <c r="F1650" s="114" t="n"/>
      <c r="G1650" s="114" t="n"/>
      <c r="H1650" s="114" t="n"/>
      <c r="I1650" s="114" t="n"/>
      <c r="J1650" s="114" t="n"/>
    </row>
    <row r="1651" ht="15" customHeight="1" s="68">
      <c r="A1651" s="114" t="n"/>
      <c r="B1651" s="114" t="n"/>
      <c r="C1651" s="114" t="n"/>
      <c r="D1651" s="114" t="n"/>
      <c r="E1651" s="114" t="n"/>
      <c r="F1651" s="114" t="n"/>
      <c r="G1651" s="114" t="n"/>
      <c r="H1651" s="114" t="n"/>
      <c r="I1651" s="114" t="n"/>
      <c r="J1651" s="114" t="n"/>
    </row>
    <row r="1652" ht="15" customHeight="1" s="68">
      <c r="A1652" s="114" t="n"/>
      <c r="B1652" s="114" t="n"/>
      <c r="C1652" s="114" t="n"/>
      <c r="D1652" s="114" t="n"/>
      <c r="E1652" s="114" t="n"/>
      <c r="F1652" s="114" t="n"/>
      <c r="G1652" s="114" t="n"/>
      <c r="H1652" s="114" t="n"/>
      <c r="I1652" s="114" t="n"/>
      <c r="J1652" s="114" t="n"/>
    </row>
    <row r="1653" ht="15" customHeight="1" s="68">
      <c r="A1653" s="114" t="n"/>
      <c r="B1653" s="114" t="n"/>
      <c r="C1653" s="114" t="n"/>
      <c r="D1653" s="114" t="n"/>
      <c r="E1653" s="114" t="n"/>
      <c r="F1653" s="114" t="n"/>
      <c r="G1653" s="114" t="n"/>
      <c r="H1653" s="114" t="n"/>
      <c r="I1653" s="114" t="n"/>
      <c r="J1653" s="114" t="n"/>
    </row>
    <row r="1654" ht="15" customHeight="1" s="68">
      <c r="A1654" s="114" t="n"/>
      <c r="B1654" s="114" t="n"/>
      <c r="C1654" s="114" t="n"/>
      <c r="D1654" s="114" t="n"/>
      <c r="E1654" s="114" t="n"/>
      <c r="F1654" s="114" t="n"/>
      <c r="G1654" s="114" t="n"/>
      <c r="H1654" s="114" t="n"/>
      <c r="I1654" s="114" t="n"/>
      <c r="J1654" s="114" t="n"/>
    </row>
    <row r="1655" ht="15" customHeight="1" s="68">
      <c r="A1655" s="114" t="n"/>
      <c r="B1655" s="114" t="n"/>
      <c r="C1655" s="114" t="n"/>
      <c r="D1655" s="114" t="n"/>
      <c r="E1655" s="114" t="n"/>
      <c r="F1655" s="114" t="n"/>
      <c r="G1655" s="114" t="n"/>
      <c r="H1655" s="114" t="n"/>
      <c r="I1655" s="114" t="n"/>
      <c r="J1655" s="114" t="n"/>
    </row>
    <row r="1656" ht="15" customHeight="1" s="68">
      <c r="A1656" s="114" t="n"/>
      <c r="B1656" s="114" t="n"/>
      <c r="C1656" s="114" t="n"/>
      <c r="D1656" s="114" t="n"/>
      <c r="E1656" s="114" t="n"/>
      <c r="F1656" s="114" t="n"/>
      <c r="G1656" s="114" t="n"/>
      <c r="H1656" s="114" t="n"/>
      <c r="I1656" s="114" t="n"/>
      <c r="J1656" s="114" t="n"/>
    </row>
    <row r="1657" ht="15" customHeight="1" s="68">
      <c r="A1657" s="114" t="n"/>
      <c r="B1657" s="114" t="n"/>
      <c r="C1657" s="114" t="n"/>
      <c r="D1657" s="114" t="n"/>
      <c r="E1657" s="114" t="n"/>
      <c r="F1657" s="114" t="n"/>
      <c r="G1657" s="114" t="n"/>
      <c r="H1657" s="114" t="n"/>
      <c r="I1657" s="114" t="n"/>
      <c r="J1657" s="114" t="n"/>
    </row>
    <row r="1658" ht="15" customHeight="1" s="68">
      <c r="A1658" s="114" t="n"/>
      <c r="B1658" s="114" t="n"/>
      <c r="C1658" s="114" t="n"/>
      <c r="D1658" s="114" t="n"/>
      <c r="E1658" s="114" t="n"/>
      <c r="F1658" s="114" t="n"/>
      <c r="G1658" s="114" t="n"/>
      <c r="H1658" s="114" t="n"/>
      <c r="I1658" s="114" t="n"/>
      <c r="J1658" s="114" t="n"/>
    </row>
    <row r="1659" ht="15" customHeight="1" s="68">
      <c r="A1659" s="114" t="n"/>
      <c r="B1659" s="114" t="n"/>
      <c r="C1659" s="114" t="n"/>
      <c r="D1659" s="114" t="n"/>
      <c r="E1659" s="114" t="n"/>
      <c r="F1659" s="114" t="n"/>
      <c r="G1659" s="114" t="n"/>
      <c r="H1659" s="114" t="n"/>
      <c r="I1659" s="114" t="n"/>
      <c r="J1659" s="114" t="n"/>
    </row>
    <row r="1660" ht="15" customHeight="1" s="68">
      <c r="A1660" s="114" t="n"/>
      <c r="B1660" s="114" t="n"/>
      <c r="C1660" s="114" t="n"/>
      <c r="D1660" s="114" t="n"/>
      <c r="E1660" s="114" t="n"/>
      <c r="F1660" s="114" t="n"/>
      <c r="G1660" s="114" t="n"/>
      <c r="H1660" s="114" t="n"/>
      <c r="I1660" s="114" t="n"/>
      <c r="J1660" s="114" t="n"/>
    </row>
    <row r="1661" ht="15" customHeight="1" s="68">
      <c r="A1661" s="114" t="n"/>
      <c r="B1661" s="114" t="n"/>
      <c r="C1661" s="114" t="n"/>
      <c r="D1661" s="114" t="n"/>
      <c r="E1661" s="114" t="n"/>
      <c r="F1661" s="114" t="n"/>
      <c r="G1661" s="114" t="n"/>
      <c r="H1661" s="114" t="n"/>
      <c r="I1661" s="114" t="n"/>
      <c r="J1661" s="114" t="n"/>
    </row>
    <row r="1662" ht="15" customHeight="1" s="68">
      <c r="A1662" s="114" t="n"/>
      <c r="B1662" s="114" t="n"/>
      <c r="C1662" s="114" t="n"/>
      <c r="D1662" s="114" t="n"/>
      <c r="E1662" s="114" t="n"/>
      <c r="F1662" s="114" t="n"/>
      <c r="G1662" s="114" t="n"/>
      <c r="H1662" s="114" t="n"/>
      <c r="I1662" s="114" t="n"/>
      <c r="J1662" s="114" t="n"/>
    </row>
    <row r="1663" ht="15" customHeight="1" s="68">
      <c r="A1663" s="114" t="n"/>
      <c r="B1663" s="114" t="n"/>
      <c r="C1663" s="114" t="n"/>
      <c r="D1663" s="114" t="n"/>
      <c r="E1663" s="114" t="n"/>
      <c r="F1663" s="114" t="n"/>
      <c r="G1663" s="114" t="n"/>
      <c r="H1663" s="114" t="n"/>
      <c r="I1663" s="114" t="n"/>
      <c r="J1663" s="114" t="n"/>
    </row>
    <row r="1664" ht="15" customHeight="1" s="68">
      <c r="A1664" s="114" t="n"/>
      <c r="B1664" s="114" t="n"/>
      <c r="C1664" s="114" t="n"/>
      <c r="D1664" s="114" t="n"/>
      <c r="E1664" s="114" t="n"/>
      <c r="F1664" s="114" t="n"/>
      <c r="G1664" s="114" t="n"/>
      <c r="H1664" s="114" t="n"/>
      <c r="I1664" s="114" t="n"/>
      <c r="J1664" s="114" t="n"/>
    </row>
    <row r="1665" ht="15" customHeight="1" s="68">
      <c r="A1665" s="114" t="n"/>
      <c r="B1665" s="114" t="n"/>
      <c r="C1665" s="114" t="n"/>
      <c r="D1665" s="114" t="n"/>
      <c r="E1665" s="114" t="n"/>
      <c r="F1665" s="114" t="n"/>
      <c r="G1665" s="114" t="n"/>
      <c r="H1665" s="114" t="n"/>
      <c r="I1665" s="114" t="n"/>
      <c r="J1665" s="114" t="n"/>
    </row>
    <row r="1666" ht="15" customHeight="1" s="68">
      <c r="A1666" s="114" t="n"/>
      <c r="B1666" s="114" t="n"/>
      <c r="C1666" s="114" t="n"/>
      <c r="D1666" s="114" t="n"/>
      <c r="E1666" s="114" t="n"/>
      <c r="F1666" s="114" t="n"/>
      <c r="G1666" s="114" t="n"/>
      <c r="H1666" s="114" t="n"/>
      <c r="I1666" s="114" t="n"/>
      <c r="J1666" s="114" t="n"/>
    </row>
    <row r="1667" ht="15" customHeight="1" s="68">
      <c r="A1667" s="114" t="n"/>
      <c r="B1667" s="114" t="n"/>
      <c r="C1667" s="114" t="n"/>
      <c r="D1667" s="114" t="n"/>
      <c r="E1667" s="114" t="n"/>
      <c r="F1667" s="114" t="n"/>
      <c r="G1667" s="114" t="n"/>
      <c r="H1667" s="114" t="n"/>
      <c r="I1667" s="114" t="n"/>
      <c r="J1667" s="114" t="n"/>
    </row>
    <row r="1668" ht="15" customHeight="1" s="68">
      <c r="A1668" s="114" t="n"/>
      <c r="B1668" s="114" t="n"/>
      <c r="C1668" s="114" t="n"/>
      <c r="D1668" s="114" t="n"/>
      <c r="E1668" s="114" t="n"/>
      <c r="F1668" s="114" t="n"/>
      <c r="G1668" s="114" t="n"/>
      <c r="H1668" s="114" t="n"/>
      <c r="I1668" s="114" t="n"/>
      <c r="J1668" s="114" t="n"/>
    </row>
    <row r="1669" ht="15" customHeight="1" s="68">
      <c r="A1669" s="114" t="n"/>
      <c r="B1669" s="114" t="n"/>
      <c r="C1669" s="114" t="n"/>
      <c r="D1669" s="114" t="n"/>
      <c r="E1669" s="114" t="n"/>
      <c r="F1669" s="114" t="n"/>
      <c r="G1669" s="114" t="n"/>
      <c r="H1669" s="114" t="n"/>
      <c r="I1669" s="114" t="n"/>
      <c r="J1669" s="114" t="n"/>
    </row>
    <row r="1670" ht="15" customHeight="1" s="68">
      <c r="A1670" s="114" t="n"/>
      <c r="B1670" s="114" t="n"/>
      <c r="C1670" s="114" t="n"/>
      <c r="D1670" s="114" t="n"/>
      <c r="E1670" s="114" t="n"/>
      <c r="F1670" s="114" t="n"/>
      <c r="G1670" s="114" t="n"/>
      <c r="H1670" s="114" t="n"/>
      <c r="I1670" s="114" t="n"/>
      <c r="J1670" s="114" t="n"/>
    </row>
    <row r="1671" ht="15" customHeight="1" s="68">
      <c r="A1671" s="114" t="n"/>
      <c r="B1671" s="114" t="n"/>
      <c r="C1671" s="114" t="n"/>
      <c r="D1671" s="114" t="n"/>
      <c r="E1671" s="114" t="n"/>
      <c r="F1671" s="114" t="n"/>
      <c r="G1671" s="114" t="n"/>
      <c r="H1671" s="114" t="n"/>
      <c r="I1671" s="114" t="n"/>
      <c r="J1671" s="114" t="n"/>
    </row>
    <row r="1672" ht="15" customHeight="1" s="68">
      <c r="A1672" s="114" t="n"/>
      <c r="B1672" s="114" t="n"/>
      <c r="C1672" s="114" t="n"/>
      <c r="D1672" s="114" t="n"/>
      <c r="E1672" s="114" t="n"/>
      <c r="F1672" s="114" t="n"/>
      <c r="G1672" s="114" t="n"/>
      <c r="H1672" s="114" t="n"/>
      <c r="I1672" s="114" t="n"/>
      <c r="J1672" s="114" t="n"/>
    </row>
    <row r="1673" ht="15" customHeight="1" s="68">
      <c r="A1673" s="114" t="n"/>
      <c r="B1673" s="114" t="n"/>
      <c r="C1673" s="114" t="n"/>
      <c r="D1673" s="114" t="n"/>
      <c r="E1673" s="114" t="n"/>
      <c r="F1673" s="114" t="n"/>
      <c r="G1673" s="114" t="n"/>
      <c r="H1673" s="114" t="n"/>
      <c r="I1673" s="114" t="n"/>
      <c r="J1673" s="114" t="n"/>
    </row>
    <row r="1674" ht="15" customHeight="1" s="68">
      <c r="A1674" s="114" t="n"/>
      <c r="B1674" s="114" t="n"/>
      <c r="C1674" s="114" t="n"/>
      <c r="D1674" s="114" t="n"/>
      <c r="E1674" s="114" t="n"/>
      <c r="F1674" s="114" t="n"/>
      <c r="G1674" s="114" t="n"/>
      <c r="H1674" s="114" t="n"/>
      <c r="I1674" s="114" t="n"/>
      <c r="J1674" s="114" t="n"/>
    </row>
    <row r="1675" ht="15" customHeight="1" s="68">
      <c r="A1675" s="114" t="n"/>
      <c r="B1675" s="114" t="n"/>
      <c r="C1675" s="114" t="n"/>
      <c r="D1675" s="114" t="n"/>
      <c r="E1675" s="114" t="n"/>
      <c r="F1675" s="114" t="n"/>
      <c r="G1675" s="114" t="n"/>
      <c r="H1675" s="114" t="n"/>
      <c r="I1675" s="114" t="n"/>
      <c r="J1675" s="114" t="n"/>
    </row>
    <row r="1676" ht="15" customHeight="1" s="68">
      <c r="A1676" s="114" t="n"/>
      <c r="B1676" s="114" t="n"/>
      <c r="C1676" s="114" t="n"/>
      <c r="D1676" s="114" t="n"/>
      <c r="E1676" s="114" t="n"/>
      <c r="F1676" s="114" t="n"/>
      <c r="G1676" s="114" t="n"/>
      <c r="H1676" s="114" t="n"/>
      <c r="I1676" s="114" t="n"/>
      <c r="J1676" s="114" t="n"/>
    </row>
    <row r="1677" ht="15" customHeight="1" s="68">
      <c r="A1677" s="114" t="n"/>
      <c r="B1677" s="114" t="n"/>
      <c r="C1677" s="114" t="n"/>
      <c r="D1677" s="114" t="n"/>
      <c r="E1677" s="114" t="n"/>
      <c r="F1677" s="114" t="n"/>
      <c r="G1677" s="114" t="n"/>
      <c r="H1677" s="114" t="n"/>
      <c r="I1677" s="114" t="n"/>
      <c r="J1677" s="114" t="n"/>
    </row>
    <row r="1678" ht="15" customHeight="1" s="68">
      <c r="A1678" s="114" t="n"/>
      <c r="B1678" s="114" t="n"/>
      <c r="C1678" s="114" t="n"/>
      <c r="D1678" s="114" t="n"/>
      <c r="E1678" s="114" t="n"/>
      <c r="F1678" s="114" t="n"/>
      <c r="G1678" s="114" t="n"/>
      <c r="H1678" s="114" t="n"/>
      <c r="I1678" s="114" t="n"/>
      <c r="J1678" s="114" t="n"/>
    </row>
    <row r="1679" ht="15" customHeight="1" s="68">
      <c r="A1679" s="114" t="n"/>
      <c r="B1679" s="114" t="n"/>
      <c r="C1679" s="114" t="n"/>
      <c r="D1679" s="114" t="n"/>
      <c r="E1679" s="114" t="n"/>
      <c r="F1679" s="114" t="n"/>
      <c r="G1679" s="114" t="n"/>
      <c r="H1679" s="114" t="n"/>
      <c r="I1679" s="114" t="n"/>
      <c r="J1679" s="114" t="n"/>
    </row>
    <row r="1680" ht="15" customHeight="1" s="68">
      <c r="A1680" s="114" t="n"/>
      <c r="B1680" s="114" t="n"/>
      <c r="C1680" s="114" t="n"/>
      <c r="D1680" s="114" t="n"/>
      <c r="E1680" s="114" t="n"/>
      <c r="F1680" s="114" t="n"/>
      <c r="G1680" s="114" t="n"/>
      <c r="H1680" s="114" t="n"/>
      <c r="I1680" s="114" t="n"/>
      <c r="J1680" s="114" t="n"/>
    </row>
    <row r="1681" ht="15" customHeight="1" s="68">
      <c r="A1681" s="114" t="n"/>
      <c r="B1681" s="114" t="n"/>
      <c r="C1681" s="114" t="n"/>
      <c r="D1681" s="114" t="n"/>
      <c r="E1681" s="114" t="n"/>
      <c r="F1681" s="114" t="n"/>
      <c r="G1681" s="114" t="n"/>
      <c r="H1681" s="114" t="n"/>
      <c r="I1681" s="114" t="n"/>
      <c r="J1681" s="114" t="n"/>
    </row>
    <row r="1682" ht="15" customHeight="1" s="68">
      <c r="A1682" s="114" t="n"/>
      <c r="B1682" s="114" t="n"/>
      <c r="C1682" s="114" t="n"/>
      <c r="D1682" s="114" t="n"/>
      <c r="E1682" s="114" t="n"/>
      <c r="F1682" s="114" t="n"/>
      <c r="G1682" s="114" t="n"/>
      <c r="H1682" s="114" t="n"/>
      <c r="I1682" s="114" t="n"/>
      <c r="J1682" s="114" t="n"/>
    </row>
    <row r="1683" ht="15" customHeight="1" s="68">
      <c r="A1683" s="114" t="n"/>
      <c r="B1683" s="114" t="n"/>
      <c r="C1683" s="114" t="n"/>
      <c r="D1683" s="114" t="n"/>
      <c r="E1683" s="114" t="n"/>
      <c r="F1683" s="114" t="n"/>
      <c r="G1683" s="114" t="n"/>
      <c r="H1683" s="114" t="n"/>
      <c r="I1683" s="114" t="n"/>
      <c r="J1683" s="114" t="n"/>
    </row>
    <row r="1684" ht="15" customHeight="1" s="68">
      <c r="A1684" s="114" t="n"/>
      <c r="B1684" s="114" t="n"/>
      <c r="C1684" s="114" t="n"/>
      <c r="D1684" s="114" t="n"/>
      <c r="E1684" s="114" t="n"/>
      <c r="F1684" s="114" t="n"/>
      <c r="G1684" s="114" t="n"/>
      <c r="H1684" s="114" t="n"/>
      <c r="I1684" s="114" t="n"/>
      <c r="J1684" s="114" t="n"/>
    </row>
    <row r="1685" ht="15" customHeight="1" s="68">
      <c r="A1685" s="114" t="n"/>
      <c r="B1685" s="114" t="n"/>
      <c r="C1685" s="114" t="n"/>
      <c r="D1685" s="114" t="n"/>
      <c r="E1685" s="114" t="n"/>
      <c r="F1685" s="114" t="n"/>
      <c r="G1685" s="114" t="n"/>
      <c r="H1685" s="114" t="n"/>
      <c r="I1685" s="114" t="n"/>
      <c r="J1685" s="114" t="n"/>
    </row>
    <row r="1686" ht="15" customHeight="1" s="68">
      <c r="A1686" s="114" t="n"/>
      <c r="B1686" s="114" t="n"/>
      <c r="C1686" s="114" t="n"/>
      <c r="D1686" s="114" t="n"/>
      <c r="E1686" s="114" t="n"/>
      <c r="F1686" s="114" t="n"/>
      <c r="G1686" s="114" t="n"/>
      <c r="H1686" s="114" t="n"/>
      <c r="I1686" s="114" t="n"/>
      <c r="J1686" s="114" t="n"/>
    </row>
    <row r="1687" ht="15" customHeight="1" s="68">
      <c r="A1687" s="114" t="n"/>
      <c r="B1687" s="114" t="n"/>
      <c r="C1687" s="114" t="n"/>
      <c r="D1687" s="114" t="n"/>
      <c r="E1687" s="114" t="n"/>
      <c r="F1687" s="114" t="n"/>
      <c r="G1687" s="114" t="n"/>
      <c r="H1687" s="114" t="n"/>
      <c r="I1687" s="114" t="n"/>
      <c r="J1687" s="114" t="n"/>
    </row>
    <row r="1688" ht="15" customHeight="1" s="68">
      <c r="A1688" s="114" t="n"/>
      <c r="B1688" s="114" t="n"/>
      <c r="C1688" s="114" t="n"/>
      <c r="D1688" s="114" t="n"/>
      <c r="E1688" s="114" t="n"/>
      <c r="F1688" s="114" t="n"/>
      <c r="G1688" s="114" t="n"/>
      <c r="H1688" s="114" t="n"/>
      <c r="I1688" s="114" t="n"/>
      <c r="J1688" s="114" t="n"/>
    </row>
    <row r="1689" ht="15" customHeight="1" s="68">
      <c r="A1689" s="114" t="n"/>
      <c r="B1689" s="114" t="n"/>
      <c r="C1689" s="114" t="n"/>
      <c r="D1689" s="114" t="n"/>
      <c r="E1689" s="114" t="n"/>
      <c r="F1689" s="114" t="n"/>
      <c r="G1689" s="114" t="n"/>
      <c r="H1689" s="114" t="n"/>
      <c r="I1689" s="114" t="n"/>
      <c r="J1689" s="114" t="n"/>
    </row>
    <row r="1690" ht="15" customHeight="1" s="68">
      <c r="A1690" s="114" t="n"/>
      <c r="B1690" s="114" t="n"/>
      <c r="C1690" s="114" t="n"/>
      <c r="D1690" s="114" t="n"/>
      <c r="E1690" s="114" t="n"/>
      <c r="F1690" s="114" t="n"/>
      <c r="G1690" s="114" t="n"/>
      <c r="H1690" s="114" t="n"/>
      <c r="I1690" s="114" t="n"/>
      <c r="J1690" s="114" t="n"/>
    </row>
    <row r="1691" ht="15" customHeight="1" s="68">
      <c r="A1691" s="114" t="n"/>
      <c r="B1691" s="114" t="n"/>
      <c r="C1691" s="114" t="n"/>
      <c r="D1691" s="114" t="n"/>
      <c r="E1691" s="114" t="n"/>
      <c r="F1691" s="114" t="n"/>
      <c r="G1691" s="114" t="n"/>
      <c r="H1691" s="114" t="n"/>
      <c r="I1691" s="114" t="n"/>
      <c r="J1691" s="114" t="n"/>
    </row>
    <row r="1692" ht="15" customHeight="1" s="68">
      <c r="A1692" s="114" t="n"/>
      <c r="B1692" s="114" t="n"/>
      <c r="C1692" s="114" t="n"/>
      <c r="D1692" s="114" t="n"/>
      <c r="E1692" s="114" t="n"/>
      <c r="F1692" s="114" t="n"/>
      <c r="G1692" s="114" t="n"/>
      <c r="H1692" s="114" t="n"/>
      <c r="I1692" s="114" t="n"/>
      <c r="J1692" s="114" t="n"/>
    </row>
    <row r="1693" ht="15" customHeight="1" s="68">
      <c r="A1693" s="114" t="n"/>
      <c r="B1693" s="114" t="n"/>
      <c r="C1693" s="114" t="n"/>
      <c r="D1693" s="114" t="n"/>
      <c r="E1693" s="114" t="n"/>
      <c r="F1693" s="114" t="n"/>
      <c r="G1693" s="114" t="n"/>
      <c r="H1693" s="114" t="n"/>
      <c r="I1693" s="114" t="n"/>
      <c r="J1693" s="114" t="n"/>
    </row>
    <row r="1694" ht="15" customHeight="1" s="68">
      <c r="A1694" s="114" t="n"/>
      <c r="B1694" s="114" t="n"/>
      <c r="C1694" s="114" t="n"/>
      <c r="D1694" s="114" t="n"/>
      <c r="E1694" s="114" t="n"/>
      <c r="F1694" s="114" t="n"/>
      <c r="G1694" s="114" t="n"/>
      <c r="H1694" s="114" t="n"/>
      <c r="I1694" s="114" t="n"/>
      <c r="J1694" s="114" t="n"/>
    </row>
    <row r="1695" ht="15" customHeight="1" s="68">
      <c r="A1695" s="114" t="n"/>
      <c r="B1695" s="114" t="n"/>
      <c r="C1695" s="114" t="n"/>
      <c r="D1695" s="114" t="n"/>
      <c r="E1695" s="114" t="n"/>
      <c r="F1695" s="114" t="n"/>
      <c r="G1695" s="114" t="n"/>
      <c r="H1695" s="114" t="n"/>
      <c r="I1695" s="114" t="n"/>
      <c r="J1695" s="114" t="n"/>
    </row>
    <row r="1696" ht="15" customHeight="1" s="68">
      <c r="A1696" s="114" t="n"/>
      <c r="B1696" s="114" t="n"/>
      <c r="C1696" s="114" t="n"/>
      <c r="D1696" s="114" t="n"/>
      <c r="E1696" s="114" t="n"/>
      <c r="F1696" s="114" t="n"/>
      <c r="G1696" s="114" t="n"/>
      <c r="H1696" s="114" t="n"/>
      <c r="I1696" s="114" t="n"/>
      <c r="J1696" s="114" t="n"/>
    </row>
    <row r="1697" ht="15" customHeight="1" s="68">
      <c r="A1697" s="114" t="n"/>
      <c r="B1697" s="114" t="n"/>
      <c r="C1697" s="114" t="n"/>
      <c r="D1697" s="114" t="n"/>
      <c r="E1697" s="114" t="n"/>
      <c r="F1697" s="114" t="n"/>
      <c r="G1697" s="114" t="n"/>
      <c r="H1697" s="114" t="n"/>
      <c r="I1697" s="114" t="n"/>
      <c r="J1697" s="114" t="n"/>
    </row>
    <row r="1698" ht="15" customHeight="1" s="68">
      <c r="A1698" s="114" t="n"/>
      <c r="B1698" s="114" t="n"/>
      <c r="C1698" s="114" t="n"/>
      <c r="D1698" s="114" t="n"/>
      <c r="E1698" s="114" t="n"/>
      <c r="F1698" s="114" t="n"/>
      <c r="G1698" s="114" t="n"/>
      <c r="H1698" s="114" t="n"/>
      <c r="I1698" s="114" t="n"/>
      <c r="J1698" s="114" t="n"/>
    </row>
    <row r="1699" ht="15" customHeight="1" s="68">
      <c r="A1699" s="114" t="n"/>
      <c r="B1699" s="114" t="n"/>
      <c r="C1699" s="114" t="n"/>
      <c r="D1699" s="114" t="n"/>
      <c r="E1699" s="114" t="n"/>
      <c r="F1699" s="114" t="n"/>
      <c r="G1699" s="114" t="n"/>
      <c r="H1699" s="114" t="n"/>
      <c r="I1699" s="114" t="n"/>
      <c r="J1699" s="114" t="n"/>
    </row>
    <row r="1700" ht="15" customHeight="1" s="68">
      <c r="A1700" s="114" t="n"/>
      <c r="B1700" s="114" t="n"/>
      <c r="C1700" s="114" t="n"/>
      <c r="D1700" s="114" t="n"/>
      <c r="E1700" s="114" t="n"/>
      <c r="F1700" s="114" t="n"/>
      <c r="G1700" s="114" t="n"/>
      <c r="H1700" s="114" t="n"/>
      <c r="I1700" s="114" t="n"/>
      <c r="J1700" s="114" t="n"/>
    </row>
    <row r="1701" ht="15" customHeight="1" s="68">
      <c r="A1701" s="114" t="n"/>
      <c r="B1701" s="114" t="n"/>
      <c r="C1701" s="114" t="n"/>
      <c r="D1701" s="114" t="n"/>
      <c r="E1701" s="114" t="n"/>
      <c r="F1701" s="114" t="n"/>
      <c r="G1701" s="114" t="n"/>
      <c r="H1701" s="114" t="n"/>
      <c r="I1701" s="114" t="n"/>
      <c r="J1701" s="114" t="n"/>
    </row>
    <row r="1702" ht="15" customHeight="1" s="68">
      <c r="A1702" s="114" t="n"/>
      <c r="B1702" s="114" t="n"/>
      <c r="C1702" s="114" t="n"/>
      <c r="D1702" s="114" t="n"/>
      <c r="E1702" s="114" t="n"/>
      <c r="F1702" s="114" t="n"/>
      <c r="G1702" s="114" t="n"/>
      <c r="H1702" s="114" t="n"/>
      <c r="I1702" s="114" t="n"/>
      <c r="J1702" s="114" t="n"/>
    </row>
    <row r="1703" ht="15" customHeight="1" s="68">
      <c r="A1703" s="114" t="n"/>
      <c r="B1703" s="114" t="n"/>
      <c r="C1703" s="114" t="n"/>
      <c r="D1703" s="114" t="n"/>
      <c r="E1703" s="114" t="n"/>
      <c r="F1703" s="114" t="n"/>
      <c r="G1703" s="114" t="n"/>
      <c r="H1703" s="114" t="n"/>
      <c r="I1703" s="114" t="n"/>
      <c r="J1703" s="114" t="n"/>
    </row>
    <row r="1704" ht="15" customHeight="1" s="68">
      <c r="A1704" s="114" t="n"/>
      <c r="B1704" s="114" t="n"/>
      <c r="C1704" s="114" t="n"/>
      <c r="D1704" s="114" t="n"/>
      <c r="E1704" s="114" t="n"/>
      <c r="F1704" s="114" t="n"/>
      <c r="G1704" s="114" t="n"/>
      <c r="H1704" s="114" t="n"/>
      <c r="I1704" s="114" t="n"/>
      <c r="J1704" s="114" t="n"/>
    </row>
    <row r="1705" ht="15" customHeight="1" s="68">
      <c r="A1705" s="114" t="n"/>
      <c r="B1705" s="114" t="n"/>
      <c r="C1705" s="114" t="n"/>
      <c r="D1705" s="114" t="n"/>
      <c r="E1705" s="114" t="n"/>
      <c r="F1705" s="114" t="n"/>
      <c r="G1705" s="114" t="n"/>
      <c r="H1705" s="114" t="n"/>
      <c r="I1705" s="114" t="n"/>
      <c r="J1705" s="114" t="n"/>
    </row>
    <row r="1706" ht="15" customHeight="1" s="68">
      <c r="A1706" s="114" t="n"/>
      <c r="B1706" s="114" t="n"/>
      <c r="C1706" s="114" t="n"/>
      <c r="D1706" s="114" t="n"/>
      <c r="E1706" s="114" t="n"/>
      <c r="F1706" s="114" t="n"/>
      <c r="G1706" s="114" t="n"/>
      <c r="H1706" s="114" t="n"/>
      <c r="I1706" s="114" t="n"/>
      <c r="J1706" s="114" t="n"/>
    </row>
    <row r="1707" ht="15" customHeight="1" s="68">
      <c r="A1707" s="114" t="n"/>
      <c r="B1707" s="114" t="n"/>
      <c r="C1707" s="114" t="n"/>
      <c r="D1707" s="114" t="n"/>
      <c r="E1707" s="114" t="n"/>
      <c r="F1707" s="114" t="n"/>
      <c r="G1707" s="114" t="n"/>
      <c r="H1707" s="114" t="n"/>
      <c r="I1707" s="114" t="n"/>
      <c r="J1707" s="114" t="n"/>
    </row>
    <row r="1708" ht="15" customHeight="1" s="68">
      <c r="A1708" s="114" t="n"/>
      <c r="B1708" s="114" t="n"/>
      <c r="C1708" s="114" t="n"/>
      <c r="D1708" s="114" t="n"/>
      <c r="E1708" s="114" t="n"/>
      <c r="F1708" s="114" t="n"/>
      <c r="G1708" s="114" t="n"/>
      <c r="H1708" s="114" t="n"/>
      <c r="I1708" s="114" t="n"/>
      <c r="J1708" s="114" t="n"/>
    </row>
    <row r="1709" ht="15" customHeight="1" s="68">
      <c r="A1709" s="114" t="n"/>
      <c r="B1709" s="114" t="n"/>
      <c r="C1709" s="114" t="n"/>
      <c r="D1709" s="114" t="n"/>
      <c r="E1709" s="114" t="n"/>
      <c r="F1709" s="114" t="n"/>
      <c r="G1709" s="114" t="n"/>
      <c r="H1709" s="114" t="n"/>
      <c r="I1709" s="114" t="n"/>
      <c r="J1709" s="114" t="n"/>
    </row>
    <row r="1710" ht="15" customHeight="1" s="68">
      <c r="A1710" s="114" t="n"/>
      <c r="B1710" s="114" t="n"/>
      <c r="C1710" s="114" t="n"/>
      <c r="D1710" s="114" t="n"/>
      <c r="E1710" s="114" t="n"/>
      <c r="F1710" s="114" t="n"/>
      <c r="G1710" s="114" t="n"/>
      <c r="H1710" s="114" t="n"/>
      <c r="I1710" s="114" t="n"/>
      <c r="J1710" s="114" t="n"/>
    </row>
    <row r="1711" ht="15" customHeight="1" s="68">
      <c r="A1711" s="114" t="n"/>
      <c r="B1711" s="114" t="n"/>
      <c r="C1711" s="114" t="n"/>
      <c r="D1711" s="114" t="n"/>
      <c r="E1711" s="114" t="n"/>
      <c r="F1711" s="114" t="n"/>
      <c r="G1711" s="114" t="n"/>
      <c r="H1711" s="114" t="n"/>
      <c r="I1711" s="114" t="n"/>
      <c r="J1711" s="114" t="n"/>
    </row>
    <row r="1712" ht="15" customHeight="1" s="68">
      <c r="A1712" s="114" t="n"/>
      <c r="B1712" s="114" t="n"/>
      <c r="C1712" s="114" t="n"/>
      <c r="D1712" s="114" t="n"/>
      <c r="E1712" s="114" t="n"/>
      <c r="F1712" s="114" t="n"/>
      <c r="G1712" s="114" t="n"/>
      <c r="H1712" s="114" t="n"/>
      <c r="I1712" s="114" t="n"/>
      <c r="J1712" s="114" t="n"/>
    </row>
    <row r="1713" ht="15" customHeight="1" s="68">
      <c r="A1713" s="114" t="n"/>
      <c r="B1713" s="114" t="n"/>
      <c r="C1713" s="114" t="n"/>
      <c r="D1713" s="114" t="n"/>
      <c r="E1713" s="114" t="n"/>
      <c r="F1713" s="114" t="n"/>
      <c r="G1713" s="114" t="n"/>
      <c r="H1713" s="114" t="n"/>
      <c r="I1713" s="114" t="n"/>
      <c r="J1713" s="114" t="n"/>
    </row>
    <row r="1714" ht="15" customHeight="1" s="68">
      <c r="A1714" s="114" t="n"/>
      <c r="B1714" s="114" t="n"/>
      <c r="C1714" s="114" t="n"/>
      <c r="D1714" s="114" t="n"/>
      <c r="E1714" s="114" t="n"/>
      <c r="F1714" s="114" t="n"/>
      <c r="G1714" s="114" t="n"/>
      <c r="H1714" s="114" t="n"/>
      <c r="I1714" s="114" t="n"/>
      <c r="J1714" s="114" t="n"/>
    </row>
    <row r="1715" ht="15" customHeight="1" s="68">
      <c r="A1715" s="114" t="n"/>
      <c r="B1715" s="114" t="n"/>
      <c r="C1715" s="114" t="n"/>
      <c r="D1715" s="114" t="n"/>
      <c r="E1715" s="114" t="n"/>
      <c r="F1715" s="114" t="n"/>
      <c r="G1715" s="114" t="n"/>
      <c r="H1715" s="114" t="n"/>
      <c r="I1715" s="114" t="n"/>
      <c r="J1715" s="114" t="n"/>
    </row>
    <row r="1716" ht="15" customHeight="1" s="68">
      <c r="A1716" s="114" t="n"/>
      <c r="B1716" s="114" t="n"/>
      <c r="C1716" s="114" t="n"/>
      <c r="D1716" s="114" t="n"/>
      <c r="E1716" s="114" t="n"/>
      <c r="F1716" s="114" t="n"/>
      <c r="G1716" s="114" t="n"/>
      <c r="H1716" s="114" t="n"/>
      <c r="I1716" s="114" t="n"/>
      <c r="J1716" s="114" t="n"/>
    </row>
    <row r="1717" ht="15" customHeight="1" s="68">
      <c r="A1717" s="114" t="n"/>
      <c r="B1717" s="114" t="n"/>
      <c r="C1717" s="114" t="n"/>
      <c r="D1717" s="114" t="n"/>
      <c r="E1717" s="114" t="n"/>
      <c r="F1717" s="114" t="n"/>
      <c r="G1717" s="114" t="n"/>
      <c r="H1717" s="114" t="n"/>
      <c r="I1717" s="114" t="n"/>
      <c r="J1717" s="114" t="n"/>
    </row>
    <row r="1718" ht="15" customHeight="1" s="68">
      <c r="A1718" s="114" t="n"/>
      <c r="B1718" s="114" t="n"/>
      <c r="C1718" s="114" t="n"/>
      <c r="D1718" s="114" t="n"/>
      <c r="E1718" s="114" t="n"/>
      <c r="F1718" s="114" t="n"/>
      <c r="G1718" s="114" t="n"/>
      <c r="H1718" s="114" t="n"/>
      <c r="I1718" s="114" t="n"/>
      <c r="J1718" s="114" t="n"/>
    </row>
    <row r="1719" ht="15" customHeight="1" s="68">
      <c r="A1719" s="114" t="n"/>
      <c r="B1719" s="114" t="n"/>
      <c r="C1719" s="114" t="n"/>
      <c r="D1719" s="114" t="n"/>
      <c r="E1719" s="114" t="n"/>
      <c r="F1719" s="114" t="n"/>
      <c r="G1719" s="114" t="n"/>
      <c r="H1719" s="114" t="n"/>
      <c r="I1719" s="114" t="n"/>
      <c r="J1719" s="114" t="n"/>
    </row>
    <row r="1720" ht="15" customHeight="1" s="68">
      <c r="A1720" s="114" t="n"/>
      <c r="B1720" s="114" t="n"/>
      <c r="C1720" s="114" t="n"/>
      <c r="D1720" s="114" t="n"/>
      <c r="E1720" s="114" t="n"/>
      <c r="F1720" s="114" t="n"/>
      <c r="G1720" s="114" t="n"/>
      <c r="H1720" s="114" t="n"/>
      <c r="I1720" s="114" t="n"/>
      <c r="J1720" s="114" t="n"/>
    </row>
    <row r="1721" ht="15" customHeight="1" s="68">
      <c r="A1721" s="114" t="n"/>
      <c r="B1721" s="114" t="n"/>
      <c r="C1721" s="114" t="n"/>
      <c r="D1721" s="114" t="n"/>
      <c r="E1721" s="114" t="n"/>
      <c r="F1721" s="114" t="n"/>
      <c r="G1721" s="114" t="n"/>
      <c r="H1721" s="114" t="n"/>
      <c r="I1721" s="114" t="n"/>
      <c r="J1721" s="114" t="n"/>
    </row>
    <row r="1722" ht="15" customHeight="1" s="68">
      <c r="A1722" s="114" t="n"/>
      <c r="B1722" s="114" t="n"/>
      <c r="C1722" s="114" t="n"/>
      <c r="D1722" s="114" t="n"/>
      <c r="E1722" s="114" t="n"/>
      <c r="F1722" s="114" t="n"/>
      <c r="G1722" s="114" t="n"/>
      <c r="H1722" s="114" t="n"/>
      <c r="I1722" s="114" t="n"/>
      <c r="J1722" s="114" t="n"/>
    </row>
    <row r="1723" ht="15" customHeight="1" s="68">
      <c r="A1723" s="114" t="n"/>
      <c r="B1723" s="114" t="n"/>
      <c r="C1723" s="114" t="n"/>
      <c r="D1723" s="114" t="n"/>
      <c r="E1723" s="114" t="n"/>
      <c r="F1723" s="114" t="n"/>
      <c r="G1723" s="114" t="n"/>
      <c r="H1723" s="114" t="n"/>
      <c r="I1723" s="114" t="n"/>
      <c r="J1723" s="114" t="n"/>
    </row>
    <row r="1724" ht="15" customHeight="1" s="68">
      <c r="A1724" s="114" t="n"/>
      <c r="B1724" s="114" t="n"/>
      <c r="C1724" s="114" t="n"/>
      <c r="D1724" s="114" t="n"/>
      <c r="E1724" s="114" t="n"/>
      <c r="F1724" s="114" t="n"/>
      <c r="G1724" s="114" t="n"/>
      <c r="H1724" s="114" t="n"/>
      <c r="I1724" s="114" t="n"/>
      <c r="J1724" s="114" t="n"/>
    </row>
    <row r="1725" ht="15" customHeight="1" s="68">
      <c r="A1725" s="114" t="n"/>
      <c r="B1725" s="114" t="n"/>
      <c r="C1725" s="114" t="n"/>
      <c r="D1725" s="114" t="n"/>
      <c r="E1725" s="114" t="n"/>
      <c r="F1725" s="114" t="n"/>
      <c r="G1725" s="114" t="n"/>
      <c r="H1725" s="114" t="n"/>
      <c r="I1725" s="114" t="n"/>
      <c r="J1725" s="114" t="n"/>
    </row>
    <row r="1726" ht="15" customHeight="1" s="68">
      <c r="A1726" s="114" t="n"/>
      <c r="B1726" s="114" t="n"/>
      <c r="C1726" s="114" t="n"/>
      <c r="D1726" s="114" t="n"/>
      <c r="E1726" s="114" t="n"/>
      <c r="F1726" s="114" t="n"/>
      <c r="G1726" s="114" t="n"/>
      <c r="H1726" s="114" t="n"/>
      <c r="I1726" s="114" t="n"/>
      <c r="J1726" s="114" t="n"/>
    </row>
    <row r="1727" ht="15" customHeight="1" s="68">
      <c r="A1727" s="114" t="n"/>
      <c r="B1727" s="114" t="n"/>
      <c r="C1727" s="114" t="n"/>
      <c r="D1727" s="114" t="n"/>
      <c r="E1727" s="114" t="n"/>
      <c r="F1727" s="114" t="n"/>
      <c r="G1727" s="114" t="n"/>
      <c r="H1727" s="114" t="n"/>
      <c r="I1727" s="114" t="n"/>
      <c r="J1727" s="114" t="n"/>
    </row>
    <row r="1728" ht="15" customHeight="1" s="68">
      <c r="A1728" s="114" t="n"/>
      <c r="B1728" s="114" t="n"/>
      <c r="C1728" s="114" t="n"/>
      <c r="D1728" s="114" t="n"/>
      <c r="E1728" s="114" t="n"/>
      <c r="F1728" s="114" t="n"/>
      <c r="G1728" s="114" t="n"/>
      <c r="H1728" s="114" t="n"/>
      <c r="I1728" s="114" t="n"/>
      <c r="J1728" s="114" t="n"/>
    </row>
    <row r="1729" ht="15" customHeight="1" s="68">
      <c r="A1729" s="114" t="n"/>
      <c r="B1729" s="114" t="n"/>
      <c r="C1729" s="114" t="n"/>
      <c r="D1729" s="114" t="n"/>
      <c r="E1729" s="114" t="n"/>
      <c r="F1729" s="114" t="n"/>
      <c r="G1729" s="114" t="n"/>
      <c r="H1729" s="114" t="n"/>
      <c r="I1729" s="114" t="n"/>
      <c r="J1729" s="114" t="n"/>
    </row>
    <row r="1730" ht="15" customHeight="1" s="68">
      <c r="A1730" s="114" t="n"/>
      <c r="B1730" s="114" t="n"/>
      <c r="C1730" s="114" t="n"/>
      <c r="D1730" s="114" t="n"/>
      <c r="E1730" s="114" t="n"/>
      <c r="F1730" s="114" t="n"/>
      <c r="G1730" s="114" t="n"/>
      <c r="H1730" s="114" t="n"/>
      <c r="I1730" s="114" t="n"/>
      <c r="J1730" s="114" t="n"/>
    </row>
    <row r="1731" ht="15" customHeight="1" s="68">
      <c r="A1731" s="114" t="n"/>
      <c r="B1731" s="114" t="n"/>
      <c r="C1731" s="114" t="n"/>
      <c r="D1731" s="114" t="n"/>
      <c r="E1731" s="114" t="n"/>
      <c r="F1731" s="114" t="n"/>
      <c r="G1731" s="114" t="n"/>
      <c r="H1731" s="114" t="n"/>
      <c r="I1731" s="114" t="n"/>
      <c r="J1731" s="114" t="n"/>
    </row>
    <row r="1732" ht="15" customHeight="1" s="68">
      <c r="A1732" s="114" t="n"/>
      <c r="B1732" s="114" t="n"/>
      <c r="C1732" s="114" t="n"/>
      <c r="D1732" s="114" t="n"/>
      <c r="E1732" s="114" t="n"/>
      <c r="F1732" s="114" t="n"/>
      <c r="G1732" s="114" t="n"/>
      <c r="H1732" s="114" t="n"/>
      <c r="I1732" s="114" t="n"/>
      <c r="J1732" s="114" t="n"/>
    </row>
    <row r="1733" ht="15" customHeight="1" s="68">
      <c r="A1733" s="114" t="n"/>
      <c r="B1733" s="114" t="n"/>
      <c r="C1733" s="114" t="n"/>
      <c r="D1733" s="114" t="n"/>
      <c r="E1733" s="114" t="n"/>
      <c r="F1733" s="114" t="n"/>
      <c r="G1733" s="114" t="n"/>
      <c r="H1733" s="114" t="n"/>
      <c r="I1733" s="114" t="n"/>
      <c r="J1733" s="114" t="n"/>
    </row>
    <row r="1734" ht="15" customHeight="1" s="68">
      <c r="A1734" s="114" t="n"/>
      <c r="B1734" s="114" t="n"/>
      <c r="C1734" s="114" t="n"/>
      <c r="D1734" s="114" t="n"/>
      <c r="E1734" s="114" t="n"/>
      <c r="F1734" s="114" t="n"/>
      <c r="G1734" s="114" t="n"/>
      <c r="H1734" s="114" t="n"/>
      <c r="I1734" s="114" t="n"/>
      <c r="J1734" s="114" t="n"/>
    </row>
    <row r="1735" ht="15" customHeight="1" s="68">
      <c r="A1735" s="114" t="n"/>
      <c r="B1735" s="114" t="n"/>
      <c r="C1735" s="114" t="n"/>
      <c r="D1735" s="114" t="n"/>
      <c r="E1735" s="114" t="n"/>
      <c r="F1735" s="114" t="n"/>
      <c r="G1735" s="114" t="n"/>
      <c r="H1735" s="114" t="n"/>
      <c r="I1735" s="114" t="n"/>
      <c r="J1735" s="114" t="n"/>
    </row>
    <row r="1736" ht="15" customHeight="1" s="68">
      <c r="A1736" s="114" t="n"/>
      <c r="B1736" s="114" t="n"/>
      <c r="C1736" s="114" t="n"/>
      <c r="D1736" s="114" t="n"/>
      <c r="E1736" s="114" t="n"/>
      <c r="F1736" s="114" t="n"/>
      <c r="G1736" s="114" t="n"/>
      <c r="H1736" s="114" t="n"/>
      <c r="I1736" s="114" t="n"/>
      <c r="J1736" s="114" t="n"/>
    </row>
    <row r="1737" ht="15" customHeight="1" s="68">
      <c r="A1737" s="114" t="n"/>
      <c r="B1737" s="114" t="n"/>
      <c r="C1737" s="114" t="n"/>
      <c r="D1737" s="114" t="n"/>
      <c r="E1737" s="114" t="n"/>
      <c r="F1737" s="114" t="n"/>
      <c r="G1737" s="114" t="n"/>
      <c r="H1737" s="114" t="n"/>
      <c r="I1737" s="114" t="n"/>
      <c r="J1737" s="114" t="n"/>
    </row>
    <row r="1738" ht="15" customHeight="1" s="68">
      <c r="A1738" s="114" t="n"/>
      <c r="B1738" s="114" t="n"/>
      <c r="C1738" s="114" t="n"/>
      <c r="D1738" s="114" t="n"/>
      <c r="E1738" s="114" t="n"/>
      <c r="F1738" s="114" t="n"/>
      <c r="G1738" s="114" t="n"/>
      <c r="H1738" s="114" t="n"/>
      <c r="I1738" s="114" t="n"/>
      <c r="J1738" s="114" t="n"/>
    </row>
    <row r="1739" ht="15" customHeight="1" s="68">
      <c r="A1739" s="114" t="n"/>
      <c r="B1739" s="114" t="n"/>
      <c r="C1739" s="114" t="n"/>
      <c r="D1739" s="114" t="n"/>
      <c r="E1739" s="114" t="n"/>
      <c r="F1739" s="114" t="n"/>
      <c r="G1739" s="114" t="n"/>
      <c r="H1739" s="114" t="n"/>
      <c r="I1739" s="114" t="n"/>
      <c r="J1739" s="114" t="n"/>
    </row>
    <row r="1740" ht="15" customHeight="1" s="68">
      <c r="A1740" s="114" t="n"/>
      <c r="B1740" s="114" t="n"/>
      <c r="C1740" s="114" t="n"/>
      <c r="D1740" s="114" t="n"/>
      <c r="E1740" s="114" t="n"/>
      <c r="F1740" s="114" t="n"/>
      <c r="G1740" s="114" t="n"/>
      <c r="H1740" s="114" t="n"/>
      <c r="I1740" s="114" t="n"/>
      <c r="J1740" s="114" t="n"/>
    </row>
    <row r="1741" ht="15" customHeight="1" s="68">
      <c r="A1741" s="114" t="n"/>
      <c r="B1741" s="114" t="n"/>
      <c r="C1741" s="114" t="n"/>
      <c r="D1741" s="114" t="n"/>
      <c r="E1741" s="114" t="n"/>
      <c r="F1741" s="114" t="n"/>
      <c r="G1741" s="114" t="n"/>
      <c r="H1741" s="114" t="n"/>
      <c r="I1741" s="114" t="n"/>
      <c r="J1741" s="114" t="n"/>
    </row>
    <row r="1742" ht="15" customHeight="1" s="68">
      <c r="A1742" s="114" t="n"/>
      <c r="B1742" s="114" t="n"/>
      <c r="C1742" s="114" t="n"/>
      <c r="D1742" s="114" t="n"/>
      <c r="E1742" s="114" t="n"/>
      <c r="F1742" s="114" t="n"/>
      <c r="G1742" s="114" t="n"/>
      <c r="H1742" s="114" t="n"/>
      <c r="I1742" s="114" t="n"/>
      <c r="J1742" s="114" t="n"/>
    </row>
    <row r="1743" ht="15" customHeight="1" s="68">
      <c r="A1743" s="114" t="n"/>
      <c r="B1743" s="114" t="n"/>
      <c r="C1743" s="114" t="n"/>
      <c r="D1743" s="114" t="n"/>
      <c r="E1743" s="114" t="n"/>
      <c r="F1743" s="114" t="n"/>
      <c r="G1743" s="114" t="n"/>
      <c r="H1743" s="114" t="n"/>
      <c r="I1743" s="114" t="n"/>
      <c r="J1743" s="114" t="n"/>
    </row>
    <row r="1744" ht="15" customHeight="1" s="68">
      <c r="A1744" s="114" t="n"/>
      <c r="B1744" s="114" t="n"/>
      <c r="C1744" s="114" t="n"/>
      <c r="D1744" s="114" t="n"/>
      <c r="E1744" s="114" t="n"/>
      <c r="F1744" s="114" t="n"/>
      <c r="G1744" s="114" t="n"/>
      <c r="H1744" s="114" t="n"/>
      <c r="I1744" s="114" t="n"/>
      <c r="J1744" s="114" t="n"/>
    </row>
    <row r="1745" ht="15" customHeight="1" s="68">
      <c r="A1745" s="114" t="n"/>
      <c r="B1745" s="114" t="n"/>
      <c r="C1745" s="114" t="n"/>
      <c r="D1745" s="114" t="n"/>
      <c r="E1745" s="114" t="n"/>
      <c r="F1745" s="114" t="n"/>
      <c r="G1745" s="114" t="n"/>
      <c r="H1745" s="114" t="n"/>
      <c r="I1745" s="114" t="n"/>
      <c r="J1745" s="114" t="n"/>
    </row>
    <row r="1746" ht="15" customHeight="1" s="68">
      <c r="A1746" s="114" t="n"/>
      <c r="B1746" s="114" t="n"/>
      <c r="C1746" s="114" t="n"/>
      <c r="D1746" s="114" t="n"/>
      <c r="E1746" s="114" t="n"/>
      <c r="F1746" s="114" t="n"/>
      <c r="G1746" s="114" t="n"/>
      <c r="H1746" s="114" t="n"/>
      <c r="I1746" s="114" t="n"/>
      <c r="J1746" s="114" t="n"/>
    </row>
    <row r="1747" ht="15" customHeight="1" s="68">
      <c r="A1747" s="114" t="n"/>
      <c r="B1747" s="114" t="n"/>
      <c r="C1747" s="114" t="n"/>
      <c r="D1747" s="114" t="n"/>
      <c r="E1747" s="114" t="n"/>
      <c r="F1747" s="114" t="n"/>
      <c r="G1747" s="114" t="n"/>
      <c r="H1747" s="114" t="n"/>
      <c r="I1747" s="114" t="n"/>
      <c r="J1747" s="114" t="n"/>
    </row>
    <row r="1748" ht="15" customHeight="1" s="68">
      <c r="A1748" s="114" t="n"/>
      <c r="B1748" s="114" t="n"/>
      <c r="C1748" s="114" t="n"/>
      <c r="D1748" s="114" t="n"/>
      <c r="E1748" s="114" t="n"/>
      <c r="F1748" s="114" t="n"/>
      <c r="G1748" s="114" t="n"/>
      <c r="H1748" s="114" t="n"/>
      <c r="I1748" s="114" t="n"/>
      <c r="J1748" s="114" t="n"/>
    </row>
    <row r="1749" ht="15" customHeight="1" s="68">
      <c r="A1749" s="114" t="n"/>
      <c r="B1749" s="114" t="n"/>
      <c r="C1749" s="114" t="n"/>
      <c r="D1749" s="114" t="n"/>
      <c r="E1749" s="114" t="n"/>
      <c r="F1749" s="114" t="n"/>
      <c r="G1749" s="114" t="n"/>
      <c r="H1749" s="114" t="n"/>
      <c r="I1749" s="114" t="n"/>
      <c r="J1749" s="114" t="n"/>
    </row>
    <row r="1750" ht="15" customHeight="1" s="68">
      <c r="A1750" s="114" t="n"/>
      <c r="B1750" s="114" t="n"/>
      <c r="C1750" s="114" t="n"/>
      <c r="D1750" s="114" t="n"/>
      <c r="E1750" s="114" t="n"/>
      <c r="F1750" s="114" t="n"/>
      <c r="G1750" s="114" t="n"/>
      <c r="H1750" s="114" t="n"/>
      <c r="I1750" s="114" t="n"/>
      <c r="J1750" s="114" t="n"/>
    </row>
    <row r="1751" ht="15" customHeight="1" s="68">
      <c r="A1751" s="114" t="n"/>
      <c r="B1751" s="114" t="n"/>
      <c r="C1751" s="114" t="n"/>
      <c r="D1751" s="114" t="n"/>
      <c r="E1751" s="114" t="n"/>
      <c r="F1751" s="114" t="n"/>
      <c r="G1751" s="114" t="n"/>
      <c r="H1751" s="114" t="n"/>
      <c r="I1751" s="114" t="n"/>
      <c r="J1751" s="114" t="n"/>
    </row>
    <row r="1752" ht="15" customHeight="1" s="68">
      <c r="A1752" s="114" t="n"/>
      <c r="B1752" s="114" t="n"/>
      <c r="C1752" s="114" t="n"/>
      <c r="D1752" s="114" t="n"/>
      <c r="E1752" s="114" t="n"/>
      <c r="F1752" s="114" t="n"/>
      <c r="G1752" s="114" t="n"/>
      <c r="H1752" s="114" t="n"/>
      <c r="I1752" s="114" t="n"/>
      <c r="J1752" s="114" t="n"/>
    </row>
    <row r="1753" ht="15" customHeight="1" s="68">
      <c r="A1753" s="114" t="n"/>
      <c r="B1753" s="114" t="n"/>
      <c r="C1753" s="114" t="n"/>
      <c r="D1753" s="114" t="n"/>
      <c r="E1753" s="114" t="n"/>
      <c r="F1753" s="114" t="n"/>
      <c r="G1753" s="114" t="n"/>
      <c r="H1753" s="114" t="n"/>
      <c r="I1753" s="114" t="n"/>
      <c r="J1753" s="114" t="n"/>
    </row>
    <row r="1754" ht="15" customHeight="1" s="68">
      <c r="A1754" s="114" t="n"/>
      <c r="B1754" s="114" t="n"/>
      <c r="C1754" s="114" t="n"/>
      <c r="D1754" s="114" t="n"/>
      <c r="E1754" s="114" t="n"/>
      <c r="F1754" s="114" t="n"/>
      <c r="G1754" s="114" t="n"/>
      <c r="H1754" s="114" t="n"/>
      <c r="I1754" s="114" t="n"/>
      <c r="J1754" s="114" t="n"/>
    </row>
    <row r="1755" ht="15" customHeight="1" s="68">
      <c r="A1755" s="114" t="n"/>
      <c r="B1755" s="114" t="n"/>
      <c r="C1755" s="114" t="n"/>
      <c r="D1755" s="114" t="n"/>
      <c r="E1755" s="114" t="n"/>
      <c r="F1755" s="114" t="n"/>
      <c r="G1755" s="114" t="n"/>
      <c r="H1755" s="114" t="n"/>
      <c r="I1755" s="114" t="n"/>
      <c r="J1755" s="114" t="n"/>
    </row>
    <row r="1756" ht="15" customHeight="1" s="68">
      <c r="A1756" s="114" t="n"/>
      <c r="B1756" s="114" t="n"/>
      <c r="C1756" s="114" t="n"/>
      <c r="D1756" s="114" t="n"/>
      <c r="E1756" s="114" t="n"/>
      <c r="F1756" s="114" t="n"/>
      <c r="G1756" s="114" t="n"/>
      <c r="H1756" s="114" t="n"/>
      <c r="I1756" s="114" t="n"/>
      <c r="J1756" s="114" t="n"/>
    </row>
    <row r="1757" ht="15" customHeight="1" s="68">
      <c r="A1757" s="114" t="n"/>
      <c r="B1757" s="114" t="n"/>
      <c r="C1757" s="114" t="n"/>
      <c r="D1757" s="114" t="n"/>
      <c r="E1757" s="114" t="n"/>
      <c r="F1757" s="114" t="n"/>
      <c r="G1757" s="114" t="n"/>
      <c r="H1757" s="114" t="n"/>
      <c r="I1757" s="114" t="n"/>
      <c r="J1757" s="114" t="n"/>
    </row>
    <row r="1758" ht="15" customHeight="1" s="68">
      <c r="A1758" s="114" t="n"/>
      <c r="B1758" s="114" t="n"/>
      <c r="C1758" s="114" t="n"/>
      <c r="D1758" s="114" t="n"/>
      <c r="E1758" s="114" t="n"/>
      <c r="F1758" s="114" t="n"/>
      <c r="G1758" s="114" t="n"/>
      <c r="H1758" s="114" t="n"/>
      <c r="I1758" s="114" t="n"/>
      <c r="J1758" s="114" t="n"/>
    </row>
    <row r="1759" ht="15" customHeight="1" s="68">
      <c r="A1759" s="114" t="n"/>
      <c r="B1759" s="114" t="n"/>
      <c r="C1759" s="114" t="n"/>
      <c r="D1759" s="114" t="n"/>
      <c r="E1759" s="114" t="n"/>
      <c r="F1759" s="114" t="n"/>
      <c r="G1759" s="114" t="n"/>
      <c r="H1759" s="114" t="n"/>
      <c r="I1759" s="114" t="n"/>
      <c r="J1759" s="114" t="n"/>
    </row>
    <row r="1760" ht="15" customHeight="1" s="68">
      <c r="A1760" s="114" t="n"/>
      <c r="B1760" s="114" t="n"/>
      <c r="C1760" s="114" t="n"/>
      <c r="D1760" s="114" t="n"/>
      <c r="E1760" s="114" t="n"/>
      <c r="F1760" s="114" t="n"/>
      <c r="G1760" s="114" t="n"/>
      <c r="H1760" s="114" t="n"/>
      <c r="I1760" s="114" t="n"/>
      <c r="J1760" s="114" t="n"/>
    </row>
    <row r="1761" ht="15" customHeight="1" s="68">
      <c r="A1761" s="114" t="n"/>
      <c r="B1761" s="114" t="n"/>
      <c r="C1761" s="114" t="n"/>
      <c r="D1761" s="114" t="n"/>
      <c r="E1761" s="114" t="n"/>
      <c r="F1761" s="114" t="n"/>
      <c r="G1761" s="114" t="n"/>
      <c r="H1761" s="114" t="n"/>
      <c r="I1761" s="114" t="n"/>
      <c r="J1761" s="114" t="n"/>
    </row>
    <row r="1762" ht="15" customHeight="1" s="68">
      <c r="A1762" s="114" t="n"/>
      <c r="B1762" s="114" t="n"/>
      <c r="C1762" s="114" t="n"/>
      <c r="D1762" s="114" t="n"/>
      <c r="E1762" s="114" t="n"/>
      <c r="F1762" s="114" t="n"/>
      <c r="G1762" s="114" t="n"/>
      <c r="H1762" s="114" t="n"/>
      <c r="I1762" s="114" t="n"/>
      <c r="J1762" s="114" t="n"/>
    </row>
    <row r="1763" ht="15" customHeight="1" s="68">
      <c r="A1763" s="114" t="n"/>
      <c r="B1763" s="114" t="n"/>
      <c r="C1763" s="114" t="n"/>
      <c r="D1763" s="114" t="n"/>
      <c r="E1763" s="114" t="n"/>
      <c r="F1763" s="114" t="n"/>
      <c r="G1763" s="114" t="n"/>
      <c r="H1763" s="114" t="n"/>
      <c r="I1763" s="114" t="n"/>
      <c r="J1763" s="114" t="n"/>
    </row>
    <row r="1764" ht="15" customHeight="1" s="68">
      <c r="A1764" s="114" t="n"/>
      <c r="B1764" s="114" t="n"/>
      <c r="C1764" s="114" t="n"/>
      <c r="D1764" s="114" t="n"/>
      <c r="E1764" s="114" t="n"/>
      <c r="F1764" s="114" t="n"/>
      <c r="G1764" s="114" t="n"/>
      <c r="H1764" s="114" t="n"/>
      <c r="I1764" s="114" t="n"/>
      <c r="J1764" s="114" t="n"/>
    </row>
    <row r="1765" ht="15" customHeight="1" s="68">
      <c r="A1765" s="114" t="n"/>
      <c r="B1765" s="114" t="n"/>
      <c r="C1765" s="114" t="n"/>
      <c r="D1765" s="114" t="n"/>
      <c r="E1765" s="114" t="n"/>
      <c r="F1765" s="114" t="n"/>
      <c r="G1765" s="114" t="n"/>
      <c r="H1765" s="114" t="n"/>
      <c r="I1765" s="114" t="n"/>
      <c r="J1765" s="114" t="n"/>
    </row>
    <row r="1766" ht="15" customHeight="1" s="68">
      <c r="A1766" s="114" t="n"/>
      <c r="B1766" s="114" t="n"/>
      <c r="C1766" s="114" t="n"/>
      <c r="D1766" s="114" t="n"/>
      <c r="E1766" s="114" t="n"/>
      <c r="F1766" s="114" t="n"/>
      <c r="G1766" s="114" t="n"/>
      <c r="H1766" s="114" t="n"/>
      <c r="I1766" s="114" t="n"/>
      <c r="J1766" s="114" t="n"/>
    </row>
    <row r="1767" ht="15" customHeight="1" s="68">
      <c r="A1767" s="114" t="n"/>
      <c r="B1767" s="114" t="n"/>
      <c r="C1767" s="114" t="n"/>
      <c r="D1767" s="114" t="n"/>
      <c r="E1767" s="114" t="n"/>
      <c r="F1767" s="114" t="n"/>
      <c r="G1767" s="114" t="n"/>
      <c r="H1767" s="114" t="n"/>
      <c r="I1767" s="114" t="n"/>
      <c r="J1767" s="114" t="n"/>
    </row>
    <row r="1768" ht="15" customHeight="1" s="68">
      <c r="A1768" s="114" t="n"/>
      <c r="B1768" s="114" t="n"/>
      <c r="C1768" s="114" t="n"/>
      <c r="D1768" s="114" t="n"/>
      <c r="E1768" s="114" t="n"/>
      <c r="F1768" s="114" t="n"/>
      <c r="G1768" s="114" t="n"/>
      <c r="H1768" s="114" t="n"/>
      <c r="I1768" s="114" t="n"/>
      <c r="J1768" s="114" t="n"/>
    </row>
    <row r="1769" ht="15" customHeight="1" s="68">
      <c r="A1769" s="114" t="n"/>
      <c r="B1769" s="114" t="n"/>
      <c r="C1769" s="114" t="n"/>
      <c r="D1769" s="114" t="n"/>
      <c r="E1769" s="114" t="n"/>
      <c r="F1769" s="114" t="n"/>
      <c r="G1769" s="114" t="n"/>
      <c r="H1769" s="114" t="n"/>
      <c r="I1769" s="114" t="n"/>
      <c r="J1769" s="114" t="n"/>
    </row>
    <row r="1770" ht="15" customHeight="1" s="68">
      <c r="A1770" s="114" t="n"/>
      <c r="B1770" s="114" t="n"/>
      <c r="C1770" s="114" t="n"/>
      <c r="D1770" s="114" t="n"/>
      <c r="E1770" s="114" t="n"/>
      <c r="F1770" s="114" t="n"/>
      <c r="G1770" s="114" t="n"/>
      <c r="H1770" s="114" t="n"/>
      <c r="I1770" s="114" t="n"/>
      <c r="J1770" s="114" t="n"/>
    </row>
    <row r="1771" ht="15" customHeight="1" s="68">
      <c r="A1771" s="114" t="n"/>
      <c r="B1771" s="114" t="n"/>
      <c r="C1771" s="114" t="n"/>
      <c r="D1771" s="114" t="n"/>
      <c r="E1771" s="114" t="n"/>
      <c r="F1771" s="114" t="n"/>
      <c r="G1771" s="114" t="n"/>
      <c r="H1771" s="114" t="n"/>
      <c r="I1771" s="114" t="n"/>
      <c r="J1771" s="114" t="n"/>
    </row>
    <row r="1772" ht="15" customHeight="1" s="68">
      <c r="A1772" s="114" t="n"/>
      <c r="B1772" s="114" t="n"/>
      <c r="C1772" s="114" t="n"/>
      <c r="D1772" s="114" t="n"/>
      <c r="E1772" s="114" t="n"/>
      <c r="F1772" s="114" t="n"/>
      <c r="G1772" s="114" t="n"/>
      <c r="H1772" s="114" t="n"/>
      <c r="I1772" s="114" t="n"/>
      <c r="J1772" s="114" t="n"/>
    </row>
    <row r="1773" ht="15" customHeight="1" s="68">
      <c r="A1773" s="114" t="n"/>
      <c r="B1773" s="114" t="n"/>
      <c r="C1773" s="114" t="n"/>
      <c r="D1773" s="114" t="n"/>
      <c r="E1773" s="114" t="n"/>
      <c r="F1773" s="114" t="n"/>
      <c r="G1773" s="114" t="n"/>
      <c r="H1773" s="114" t="n"/>
      <c r="I1773" s="114" t="n"/>
      <c r="J1773" s="114" t="n"/>
    </row>
    <row r="1774" ht="15" customHeight="1" s="68">
      <c r="A1774" s="114" t="n"/>
      <c r="B1774" s="114" t="n"/>
      <c r="C1774" s="114" t="n"/>
      <c r="D1774" s="114" t="n"/>
      <c r="E1774" s="114" t="n"/>
      <c r="F1774" s="114" t="n"/>
      <c r="G1774" s="114" t="n"/>
      <c r="H1774" s="114" t="n"/>
      <c r="I1774" s="114" t="n"/>
      <c r="J1774" s="114" t="n"/>
    </row>
    <row r="1775" ht="15" customHeight="1" s="68">
      <c r="A1775" s="114" t="n"/>
      <c r="B1775" s="114" t="n"/>
      <c r="C1775" s="114" t="n"/>
      <c r="D1775" s="114" t="n"/>
      <c r="E1775" s="114" t="n"/>
      <c r="F1775" s="114" t="n"/>
      <c r="G1775" s="114" t="n"/>
      <c r="H1775" s="114" t="n"/>
      <c r="I1775" s="114" t="n"/>
      <c r="J1775" s="114" t="n"/>
    </row>
    <row r="1776" ht="15" customHeight="1" s="68">
      <c r="A1776" s="114" t="n"/>
      <c r="B1776" s="114" t="n"/>
      <c r="C1776" s="114" t="n"/>
      <c r="D1776" s="114" t="n"/>
      <c r="E1776" s="114" t="n"/>
      <c r="F1776" s="114" t="n"/>
      <c r="G1776" s="114" t="n"/>
      <c r="H1776" s="114" t="n"/>
      <c r="I1776" s="114" t="n"/>
      <c r="J1776" s="114" t="n"/>
    </row>
    <row r="1777" ht="15" customHeight="1" s="68">
      <c r="A1777" s="114" t="n"/>
      <c r="B1777" s="114" t="n"/>
      <c r="C1777" s="114" t="n"/>
      <c r="D1777" s="114" t="n"/>
      <c r="E1777" s="114" t="n"/>
      <c r="F1777" s="114" t="n"/>
      <c r="G1777" s="114" t="n"/>
      <c r="H1777" s="114" t="n"/>
      <c r="I1777" s="114" t="n"/>
      <c r="J1777" s="114" t="n"/>
    </row>
    <row r="1778" ht="15" customHeight="1" s="68">
      <c r="A1778" s="114" t="n"/>
      <c r="B1778" s="114" t="n"/>
      <c r="C1778" s="114" t="n"/>
      <c r="D1778" s="114" t="n"/>
      <c r="E1778" s="114" t="n"/>
      <c r="F1778" s="114" t="n"/>
      <c r="G1778" s="114" t="n"/>
      <c r="H1778" s="114" t="n"/>
      <c r="I1778" s="114" t="n"/>
      <c r="J1778" s="114" t="n"/>
    </row>
    <row r="1779" ht="15" customHeight="1" s="68">
      <c r="A1779" s="114" t="n"/>
      <c r="B1779" s="114" t="n"/>
      <c r="C1779" s="114" t="n"/>
      <c r="D1779" s="114" t="n"/>
      <c r="E1779" s="114" t="n"/>
      <c r="F1779" s="114" t="n"/>
      <c r="G1779" s="114" t="n"/>
      <c r="H1779" s="114" t="n"/>
      <c r="I1779" s="114" t="n"/>
      <c r="J1779" s="114" t="n"/>
    </row>
    <row r="1780" ht="15" customHeight="1" s="68">
      <c r="A1780" s="114" t="n"/>
      <c r="B1780" s="114" t="n"/>
      <c r="C1780" s="114" t="n"/>
      <c r="D1780" s="114" t="n"/>
      <c r="E1780" s="114" t="n"/>
      <c r="F1780" s="114" t="n"/>
      <c r="G1780" s="114" t="n"/>
      <c r="H1780" s="114" t="n"/>
      <c r="I1780" s="114" t="n"/>
      <c r="J1780" s="114" t="n"/>
    </row>
    <row r="1781" ht="15" customHeight="1" s="68">
      <c r="A1781" s="114" t="n"/>
      <c r="B1781" s="114" t="n"/>
      <c r="C1781" s="114" t="n"/>
      <c r="D1781" s="114" t="n"/>
      <c r="E1781" s="114" t="n"/>
      <c r="F1781" s="114" t="n"/>
      <c r="G1781" s="114" t="n"/>
      <c r="H1781" s="114" t="n"/>
      <c r="I1781" s="114" t="n"/>
      <c r="J1781" s="114" t="n"/>
    </row>
    <row r="1782" ht="15" customHeight="1" s="68">
      <c r="A1782" s="114" t="n"/>
      <c r="B1782" s="114" t="n"/>
      <c r="C1782" s="114" t="n"/>
      <c r="D1782" s="114" t="n"/>
      <c r="E1782" s="114" t="n"/>
      <c r="F1782" s="114" t="n"/>
      <c r="G1782" s="114" t="n"/>
      <c r="H1782" s="114" t="n"/>
      <c r="I1782" s="114" t="n"/>
      <c r="J1782" s="114" t="n"/>
    </row>
    <row r="1783" ht="15" customHeight="1" s="68">
      <c r="A1783" s="114" t="n"/>
      <c r="B1783" s="114" t="n"/>
      <c r="C1783" s="114" t="n"/>
      <c r="D1783" s="114" t="n"/>
      <c r="E1783" s="114" t="n"/>
      <c r="F1783" s="114" t="n"/>
      <c r="G1783" s="114" t="n"/>
      <c r="H1783" s="114" t="n"/>
      <c r="I1783" s="114" t="n"/>
      <c r="J1783" s="114" t="n"/>
    </row>
    <row r="1784" ht="15" customHeight="1" s="68">
      <c r="A1784" s="114" t="n"/>
      <c r="B1784" s="114" t="n"/>
      <c r="C1784" s="114" t="n"/>
      <c r="D1784" s="114" t="n"/>
      <c r="E1784" s="114" t="n"/>
      <c r="F1784" s="114" t="n"/>
      <c r="G1784" s="114" t="n"/>
      <c r="H1784" s="114" t="n"/>
      <c r="I1784" s="114" t="n"/>
      <c r="J1784" s="114" t="n"/>
    </row>
    <row r="1785" ht="15" customHeight="1" s="68">
      <c r="A1785" s="114" t="n"/>
      <c r="B1785" s="114" t="n"/>
      <c r="C1785" s="114" t="n"/>
      <c r="D1785" s="114" t="n"/>
      <c r="E1785" s="114" t="n"/>
      <c r="F1785" s="114" t="n"/>
      <c r="G1785" s="114" t="n"/>
      <c r="H1785" s="114" t="n"/>
      <c r="I1785" s="114" t="n"/>
      <c r="J1785" s="114" t="n"/>
    </row>
    <row r="1786" ht="15" customHeight="1" s="68">
      <c r="A1786" s="114" t="n"/>
      <c r="B1786" s="114" t="n"/>
      <c r="C1786" s="114" t="n"/>
      <c r="D1786" s="114" t="n"/>
      <c r="E1786" s="114" t="n"/>
      <c r="F1786" s="114" t="n"/>
      <c r="G1786" s="114" t="n"/>
      <c r="H1786" s="114" t="n"/>
      <c r="I1786" s="114" t="n"/>
      <c r="J1786" s="114" t="n"/>
    </row>
    <row r="1787" ht="15" customHeight="1" s="68">
      <c r="A1787" s="114" t="n"/>
      <c r="B1787" s="114" t="n"/>
      <c r="C1787" s="114" t="n"/>
      <c r="D1787" s="114" t="n"/>
      <c r="E1787" s="114" t="n"/>
      <c r="F1787" s="114" t="n"/>
      <c r="G1787" s="114" t="n"/>
      <c r="H1787" s="114" t="n"/>
      <c r="I1787" s="114" t="n"/>
      <c r="J1787" s="114" t="n"/>
    </row>
    <row r="1788" ht="15" customHeight="1" s="68">
      <c r="A1788" s="114" t="n"/>
      <c r="B1788" s="114" t="n"/>
      <c r="C1788" s="114" t="n"/>
      <c r="D1788" s="114" t="n"/>
      <c r="E1788" s="114" t="n"/>
      <c r="F1788" s="114" t="n"/>
      <c r="G1788" s="114" t="n"/>
      <c r="H1788" s="114" t="n"/>
      <c r="I1788" s="114" t="n"/>
      <c r="J1788" s="114" t="n"/>
    </row>
    <row r="1789" ht="15" customHeight="1" s="68">
      <c r="A1789" s="114" t="n"/>
      <c r="B1789" s="114" t="n"/>
      <c r="C1789" s="114" t="n"/>
      <c r="D1789" s="114" t="n"/>
      <c r="E1789" s="114" t="n"/>
      <c r="F1789" s="114" t="n"/>
      <c r="G1789" s="114" t="n"/>
      <c r="H1789" s="114" t="n"/>
      <c r="I1789" s="114" t="n"/>
      <c r="J1789" s="114" t="n"/>
    </row>
    <row r="1790" ht="15" customHeight="1" s="68">
      <c r="A1790" s="114" t="n"/>
      <c r="B1790" s="114" t="n"/>
      <c r="C1790" s="114" t="n"/>
      <c r="D1790" s="114" t="n"/>
      <c r="E1790" s="114" t="n"/>
      <c r="F1790" s="114" t="n"/>
      <c r="G1790" s="114" t="n"/>
      <c r="H1790" s="114" t="n"/>
      <c r="I1790" s="114" t="n"/>
      <c r="J1790" s="114" t="n"/>
    </row>
    <row r="1791" ht="15" customHeight="1" s="68">
      <c r="A1791" s="114" t="n"/>
      <c r="B1791" s="114" t="n"/>
      <c r="C1791" s="114" t="n"/>
      <c r="D1791" s="114" t="n"/>
      <c r="E1791" s="114" t="n"/>
      <c r="F1791" s="114" t="n"/>
      <c r="G1791" s="114" t="n"/>
      <c r="H1791" s="114" t="n"/>
      <c r="I1791" s="114" t="n"/>
      <c r="J1791" s="114" t="n"/>
    </row>
    <row r="1792" ht="15" customHeight="1" s="68">
      <c r="A1792" s="114" t="n"/>
      <c r="B1792" s="114" t="n"/>
      <c r="C1792" s="114" t="n"/>
      <c r="D1792" s="114" t="n"/>
      <c r="E1792" s="114" t="n"/>
      <c r="F1792" s="114" t="n"/>
      <c r="G1792" s="114" t="n"/>
      <c r="H1792" s="114" t="n"/>
      <c r="I1792" s="114" t="n"/>
      <c r="J1792" s="114" t="n"/>
    </row>
    <row r="1793" ht="15" customHeight="1" s="68">
      <c r="A1793" s="114" t="n"/>
      <c r="B1793" s="114" t="n"/>
      <c r="C1793" s="114" t="n"/>
      <c r="D1793" s="114" t="n"/>
      <c r="E1793" s="114" t="n"/>
      <c r="F1793" s="114" t="n"/>
      <c r="G1793" s="114" t="n"/>
      <c r="H1793" s="114" t="n"/>
      <c r="I1793" s="114" t="n"/>
      <c r="J1793" s="114" t="n"/>
    </row>
    <row r="1794" ht="15" customHeight="1" s="68">
      <c r="A1794" s="114" t="n"/>
      <c r="B1794" s="114" t="n"/>
      <c r="C1794" s="114" t="n"/>
      <c r="D1794" s="114" t="n"/>
      <c r="E1794" s="114" t="n"/>
      <c r="F1794" s="114" t="n"/>
      <c r="G1794" s="114" t="n"/>
      <c r="H1794" s="114" t="n"/>
      <c r="I1794" s="114" t="n"/>
      <c r="J1794" s="114" t="n"/>
    </row>
    <row r="1795" ht="15" customHeight="1" s="68">
      <c r="A1795" s="114" t="n"/>
      <c r="B1795" s="114" t="n"/>
      <c r="C1795" s="114" t="n"/>
      <c r="D1795" s="114" t="n"/>
      <c r="E1795" s="114" t="n"/>
      <c r="F1795" s="114" t="n"/>
      <c r="G1795" s="114" t="n"/>
      <c r="H1795" s="114" t="n"/>
      <c r="I1795" s="114" t="n"/>
      <c r="J1795" s="114" t="n"/>
    </row>
    <row r="1796" ht="15" customHeight="1" s="68">
      <c r="A1796" s="114" t="n"/>
      <c r="B1796" s="114" t="n"/>
      <c r="C1796" s="114" t="n"/>
      <c r="D1796" s="114" t="n"/>
      <c r="E1796" s="114" t="n"/>
      <c r="F1796" s="114" t="n"/>
      <c r="G1796" s="114" t="n"/>
      <c r="H1796" s="114" t="n"/>
      <c r="I1796" s="114" t="n"/>
      <c r="J1796" s="114" t="n"/>
    </row>
    <row r="1797" ht="15" customHeight="1" s="68">
      <c r="A1797" s="114" t="n"/>
      <c r="B1797" s="114" t="n"/>
      <c r="C1797" s="114" t="n"/>
      <c r="D1797" s="114" t="n"/>
      <c r="E1797" s="114" t="n"/>
      <c r="F1797" s="114" t="n"/>
      <c r="G1797" s="114" t="n"/>
      <c r="H1797" s="114" t="n"/>
      <c r="I1797" s="114" t="n"/>
      <c r="J1797" s="114" t="n"/>
    </row>
    <row r="1798" ht="15" customHeight="1" s="68">
      <c r="A1798" s="114" t="n"/>
      <c r="B1798" s="114" t="n"/>
      <c r="C1798" s="114" t="n"/>
      <c r="D1798" s="114" t="n"/>
      <c r="E1798" s="114" t="n"/>
      <c r="F1798" s="114" t="n"/>
      <c r="G1798" s="114" t="n"/>
      <c r="H1798" s="114" t="n"/>
      <c r="I1798" s="114" t="n"/>
      <c r="J1798" s="114" t="n"/>
    </row>
    <row r="1799" ht="15" customHeight="1" s="68">
      <c r="A1799" s="114" t="n"/>
      <c r="B1799" s="114" t="n"/>
      <c r="C1799" s="114" t="n"/>
      <c r="D1799" s="114" t="n"/>
      <c r="E1799" s="114" t="n"/>
      <c r="F1799" s="114" t="n"/>
      <c r="G1799" s="114" t="n"/>
      <c r="H1799" s="114" t="n"/>
      <c r="I1799" s="114" t="n"/>
      <c r="J1799" s="114" t="n"/>
    </row>
    <row r="1800" ht="15" customHeight="1" s="68">
      <c r="A1800" s="114" t="n"/>
      <c r="B1800" s="114" t="n"/>
      <c r="C1800" s="114" t="n"/>
      <c r="D1800" s="114" t="n"/>
      <c r="E1800" s="114" t="n"/>
      <c r="F1800" s="114" t="n"/>
      <c r="G1800" s="114" t="n"/>
      <c r="H1800" s="114" t="n"/>
      <c r="I1800" s="114" t="n"/>
      <c r="J1800" s="114" t="n"/>
    </row>
    <row r="1801" ht="15" customHeight="1" s="68">
      <c r="A1801" s="114" t="n"/>
      <c r="B1801" s="114" t="n"/>
      <c r="C1801" s="114" t="n"/>
      <c r="D1801" s="114" t="n"/>
      <c r="E1801" s="114" t="n"/>
      <c r="F1801" s="114" t="n"/>
      <c r="G1801" s="114" t="n"/>
      <c r="H1801" s="114" t="n"/>
      <c r="I1801" s="114" t="n"/>
      <c r="J1801" s="114" t="n"/>
    </row>
    <row r="1802" ht="15" customHeight="1" s="68">
      <c r="A1802" s="114" t="n"/>
      <c r="B1802" s="114" t="n"/>
      <c r="C1802" s="114" t="n"/>
      <c r="D1802" s="114" t="n"/>
      <c r="E1802" s="114" t="n"/>
      <c r="F1802" s="114" t="n"/>
      <c r="G1802" s="114" t="n"/>
      <c r="H1802" s="114" t="n"/>
      <c r="I1802" s="114" t="n"/>
      <c r="J1802" s="114" t="n"/>
    </row>
    <row r="1803" ht="15" customHeight="1" s="68">
      <c r="A1803" s="114" t="n"/>
      <c r="B1803" s="114" t="n"/>
      <c r="C1803" s="114" t="n"/>
      <c r="D1803" s="114" t="n"/>
      <c r="E1803" s="114" t="n"/>
      <c r="F1803" s="114" t="n"/>
      <c r="G1803" s="114" t="n"/>
      <c r="H1803" s="114" t="n"/>
      <c r="I1803" s="114" t="n"/>
      <c r="J1803" s="114" t="n"/>
    </row>
    <row r="1804" ht="15" customHeight="1" s="68">
      <c r="A1804" s="114" t="n"/>
      <c r="B1804" s="114" t="n"/>
      <c r="C1804" s="114" t="n"/>
      <c r="D1804" s="114" t="n"/>
      <c r="E1804" s="114" t="n"/>
      <c r="F1804" s="114" t="n"/>
      <c r="G1804" s="114" t="n"/>
      <c r="H1804" s="114" t="n"/>
      <c r="I1804" s="114" t="n"/>
      <c r="J1804" s="114" t="n"/>
    </row>
    <row r="1805" ht="15" customHeight="1" s="68">
      <c r="A1805" s="114" t="n"/>
      <c r="B1805" s="114" t="n"/>
      <c r="C1805" s="114" t="n"/>
      <c r="D1805" s="114" t="n"/>
      <c r="E1805" s="114" t="n"/>
      <c r="F1805" s="114" t="n"/>
      <c r="G1805" s="114" t="n"/>
      <c r="H1805" s="114" t="n"/>
      <c r="I1805" s="114" t="n"/>
      <c r="J1805" s="114" t="n"/>
    </row>
    <row r="1806" ht="15" customHeight="1" s="68">
      <c r="A1806" s="114" t="n"/>
      <c r="B1806" s="114" t="n"/>
      <c r="C1806" s="114" t="n"/>
      <c r="D1806" s="114" t="n"/>
      <c r="E1806" s="114" t="n"/>
      <c r="F1806" s="114" t="n"/>
      <c r="G1806" s="114" t="n"/>
      <c r="H1806" s="114" t="n"/>
      <c r="I1806" s="114" t="n"/>
      <c r="J1806" s="114" t="n"/>
    </row>
    <row r="1807" ht="15" customHeight="1" s="68">
      <c r="A1807" s="114" t="n"/>
      <c r="B1807" s="114" t="n"/>
      <c r="C1807" s="114" t="n"/>
      <c r="D1807" s="114" t="n"/>
      <c r="E1807" s="114" t="n"/>
      <c r="F1807" s="114" t="n"/>
      <c r="G1807" s="114" t="n"/>
      <c r="H1807" s="114" t="n"/>
      <c r="I1807" s="114" t="n"/>
      <c r="J1807" s="114" t="n"/>
    </row>
    <row r="1808" ht="15" customHeight="1" s="68">
      <c r="A1808" s="114" t="n"/>
      <c r="B1808" s="114" t="n"/>
      <c r="C1808" s="114" t="n"/>
      <c r="D1808" s="114" t="n"/>
      <c r="E1808" s="114" t="n"/>
      <c r="F1808" s="114" t="n"/>
      <c r="G1808" s="114" t="n"/>
      <c r="H1808" s="114" t="n"/>
      <c r="I1808" s="114" t="n"/>
      <c r="J1808" s="114" t="n"/>
    </row>
    <row r="1809" ht="15" customHeight="1" s="68">
      <c r="A1809" s="114" t="n"/>
      <c r="B1809" s="114" t="n"/>
      <c r="C1809" s="114" t="n"/>
      <c r="D1809" s="114" t="n"/>
      <c r="E1809" s="114" t="n"/>
      <c r="F1809" s="114" t="n"/>
      <c r="G1809" s="114" t="n"/>
      <c r="H1809" s="114" t="n"/>
      <c r="I1809" s="114" t="n"/>
      <c r="J1809" s="114" t="n"/>
    </row>
    <row r="1810" ht="15" customHeight="1" s="68">
      <c r="A1810" s="114" t="n"/>
      <c r="B1810" s="114" t="n"/>
      <c r="C1810" s="114" t="n"/>
      <c r="D1810" s="114" t="n"/>
      <c r="E1810" s="114" t="n"/>
      <c r="F1810" s="114" t="n"/>
      <c r="G1810" s="114" t="n"/>
      <c r="H1810" s="114" t="n"/>
      <c r="I1810" s="114" t="n"/>
      <c r="J1810" s="114" t="n"/>
    </row>
    <row r="1811" ht="15" customHeight="1" s="68">
      <c r="A1811" s="114" t="n"/>
      <c r="B1811" s="114" t="n"/>
      <c r="C1811" s="114" t="n"/>
      <c r="D1811" s="114" t="n"/>
      <c r="E1811" s="114" t="n"/>
      <c r="F1811" s="114" t="n"/>
      <c r="G1811" s="114" t="n"/>
      <c r="H1811" s="114" t="n"/>
      <c r="I1811" s="114" t="n"/>
      <c r="J1811" s="114" t="n"/>
    </row>
    <row r="1812" ht="15" customHeight="1" s="68">
      <c r="A1812" s="114" t="n"/>
      <c r="B1812" s="114" t="n"/>
      <c r="C1812" s="114" t="n"/>
      <c r="D1812" s="114" t="n"/>
      <c r="E1812" s="114" t="n"/>
      <c r="F1812" s="114" t="n"/>
      <c r="G1812" s="114" t="n"/>
      <c r="H1812" s="114" t="n"/>
      <c r="I1812" s="114" t="n"/>
      <c r="J1812" s="114" t="n"/>
    </row>
    <row r="1813" ht="15" customHeight="1" s="68">
      <c r="A1813" s="114" t="n"/>
      <c r="B1813" s="114" t="n"/>
      <c r="C1813" s="114" t="n"/>
      <c r="D1813" s="114" t="n"/>
      <c r="E1813" s="114" t="n"/>
      <c r="F1813" s="114" t="n"/>
      <c r="G1813" s="114" t="n"/>
      <c r="H1813" s="114" t="n"/>
      <c r="I1813" s="114" t="n"/>
      <c r="J1813" s="114" t="n"/>
    </row>
    <row r="1814" ht="15" customHeight="1" s="68">
      <c r="A1814" s="114" t="n"/>
      <c r="B1814" s="114" t="n"/>
      <c r="C1814" s="114" t="n"/>
      <c r="D1814" s="114" t="n"/>
      <c r="E1814" s="114" t="n"/>
      <c r="F1814" s="114" t="n"/>
      <c r="G1814" s="114" t="n"/>
      <c r="H1814" s="114" t="n"/>
      <c r="I1814" s="114" t="n"/>
      <c r="J1814" s="114" t="n"/>
    </row>
    <row r="1815" ht="15" customHeight="1" s="68">
      <c r="A1815" s="114" t="n"/>
      <c r="B1815" s="114" t="n"/>
      <c r="C1815" s="114" t="n"/>
      <c r="D1815" s="114" t="n"/>
      <c r="E1815" s="114" t="n"/>
      <c r="F1815" s="114" t="n"/>
      <c r="G1815" s="114" t="n"/>
      <c r="H1815" s="114" t="n"/>
      <c r="I1815" s="114" t="n"/>
      <c r="J1815" s="114" t="n"/>
    </row>
    <row r="1816" ht="15" customHeight="1" s="68">
      <c r="A1816" s="114" t="n"/>
      <c r="B1816" s="114" t="n"/>
      <c r="C1816" s="114" t="n"/>
      <c r="D1816" s="114" t="n"/>
      <c r="E1816" s="114" t="n"/>
      <c r="F1816" s="114" t="n"/>
      <c r="G1816" s="114" t="n"/>
      <c r="H1816" s="114" t="n"/>
      <c r="I1816" s="114" t="n"/>
      <c r="J1816" s="114" t="n"/>
    </row>
    <row r="1817" ht="15" customHeight="1" s="68">
      <c r="A1817" s="114" t="n"/>
      <c r="B1817" s="114" t="n"/>
      <c r="C1817" s="114" t="n"/>
      <c r="D1817" s="114" t="n"/>
      <c r="E1817" s="114" t="n"/>
      <c r="F1817" s="114" t="n"/>
      <c r="G1817" s="114" t="n"/>
      <c r="H1817" s="114" t="n"/>
      <c r="I1817" s="114" t="n"/>
      <c r="J1817" s="114" t="n"/>
    </row>
    <row r="1818" ht="15" customHeight="1" s="68">
      <c r="A1818" s="114" t="n"/>
      <c r="B1818" s="114" t="n"/>
      <c r="C1818" s="114" t="n"/>
      <c r="D1818" s="114" t="n"/>
      <c r="E1818" s="114" t="n"/>
      <c r="F1818" s="114" t="n"/>
      <c r="G1818" s="114" t="n"/>
      <c r="H1818" s="114" t="n"/>
      <c r="I1818" s="114" t="n"/>
      <c r="J1818" s="114" t="n"/>
    </row>
    <row r="1819" ht="15" customHeight="1" s="68">
      <c r="A1819" s="114" t="n"/>
      <c r="B1819" s="114" t="n"/>
      <c r="C1819" s="114" t="n"/>
      <c r="D1819" s="114" t="n"/>
      <c r="E1819" s="114" t="n"/>
      <c r="F1819" s="114" t="n"/>
      <c r="G1819" s="114" t="n"/>
      <c r="H1819" s="114" t="n"/>
      <c r="I1819" s="114" t="n"/>
      <c r="J1819" s="114" t="n"/>
    </row>
    <row r="1820" ht="15" customHeight="1" s="68">
      <c r="A1820" s="114" t="n"/>
      <c r="B1820" s="114" t="n"/>
      <c r="C1820" s="114" t="n"/>
      <c r="D1820" s="114" t="n"/>
      <c r="E1820" s="114" t="n"/>
      <c r="F1820" s="114" t="n"/>
      <c r="G1820" s="114" t="n"/>
      <c r="H1820" s="114" t="n"/>
      <c r="I1820" s="114" t="n"/>
      <c r="J1820" s="114" t="n"/>
    </row>
    <row r="1821" ht="15" customHeight="1" s="68">
      <c r="A1821" s="114" t="n"/>
      <c r="B1821" s="114" t="n"/>
      <c r="C1821" s="114" t="n"/>
      <c r="D1821" s="114" t="n"/>
      <c r="E1821" s="114" t="n"/>
      <c r="F1821" s="114" t="n"/>
      <c r="G1821" s="114" t="n"/>
      <c r="H1821" s="114" t="n"/>
      <c r="I1821" s="114" t="n"/>
      <c r="J1821" s="114" t="n"/>
    </row>
    <row r="1822" ht="15" customHeight="1" s="68">
      <c r="A1822" s="114" t="n"/>
      <c r="B1822" s="114" t="n"/>
      <c r="C1822" s="114" t="n"/>
      <c r="D1822" s="114" t="n"/>
      <c r="E1822" s="114" t="n"/>
      <c r="F1822" s="114" t="n"/>
      <c r="G1822" s="114" t="n"/>
      <c r="H1822" s="114" t="n"/>
      <c r="I1822" s="114" t="n"/>
      <c r="J1822" s="114" t="n"/>
    </row>
    <row r="1823" ht="15" customHeight="1" s="68">
      <c r="A1823" s="114" t="n"/>
      <c r="B1823" s="114" t="n"/>
      <c r="C1823" s="114" t="n"/>
      <c r="D1823" s="114" t="n"/>
      <c r="E1823" s="114" t="n"/>
      <c r="F1823" s="114" t="n"/>
      <c r="G1823" s="114" t="n"/>
      <c r="H1823" s="114" t="n"/>
      <c r="I1823" s="114" t="n"/>
      <c r="J1823" s="114" t="n"/>
    </row>
    <row r="1824" ht="15" customHeight="1" s="68">
      <c r="A1824" s="114" t="n"/>
      <c r="B1824" s="114" t="n"/>
      <c r="C1824" s="114" t="n"/>
      <c r="D1824" s="114" t="n"/>
      <c r="E1824" s="114" t="n"/>
      <c r="F1824" s="114" t="n"/>
      <c r="G1824" s="114" t="n"/>
      <c r="H1824" s="114" t="n"/>
      <c r="I1824" s="114" t="n"/>
      <c r="J1824" s="114" t="n"/>
    </row>
    <row r="1825" ht="15" customHeight="1" s="68">
      <c r="A1825" s="114" t="n"/>
      <c r="B1825" s="114" t="n"/>
      <c r="C1825" s="114" t="n"/>
      <c r="D1825" s="114" t="n"/>
      <c r="E1825" s="114" t="n"/>
      <c r="F1825" s="114" t="n"/>
      <c r="G1825" s="114" t="n"/>
      <c r="H1825" s="114" t="n"/>
      <c r="I1825" s="114" t="n"/>
      <c r="J1825" s="114" t="n"/>
    </row>
    <row r="1826" ht="15" customHeight="1" s="68">
      <c r="A1826" s="114" t="n"/>
      <c r="B1826" s="114" t="n"/>
      <c r="C1826" s="114" t="n"/>
      <c r="D1826" s="114" t="n"/>
      <c r="E1826" s="114" t="n"/>
      <c r="F1826" s="114" t="n"/>
      <c r="G1826" s="114" t="n"/>
      <c r="H1826" s="114" t="n"/>
      <c r="I1826" s="114" t="n"/>
      <c r="J1826" s="114" t="n"/>
    </row>
    <row r="1827" ht="15" customHeight="1" s="68">
      <c r="A1827" s="114" t="n"/>
      <c r="B1827" s="114" t="n"/>
      <c r="C1827" s="114" t="n"/>
      <c r="D1827" s="114" t="n"/>
      <c r="E1827" s="114" t="n"/>
      <c r="F1827" s="114" t="n"/>
      <c r="G1827" s="114" t="n"/>
      <c r="H1827" s="114" t="n"/>
      <c r="I1827" s="114" t="n"/>
      <c r="J1827" s="114" t="n"/>
    </row>
    <row r="1828" ht="15" customHeight="1" s="68">
      <c r="A1828" s="114" t="n"/>
      <c r="B1828" s="114" t="n"/>
      <c r="C1828" s="114" t="n"/>
      <c r="D1828" s="114" t="n"/>
      <c r="E1828" s="114" t="n"/>
      <c r="F1828" s="114" t="n"/>
      <c r="G1828" s="114" t="n"/>
      <c r="H1828" s="114" t="n"/>
      <c r="I1828" s="114" t="n"/>
      <c r="J1828" s="114" t="n"/>
    </row>
    <row r="1829" ht="15" customHeight="1" s="68">
      <c r="A1829" s="114" t="n"/>
      <c r="B1829" s="114" t="n"/>
      <c r="C1829" s="114" t="n"/>
      <c r="D1829" s="114" t="n"/>
      <c r="E1829" s="114" t="n"/>
      <c r="F1829" s="114" t="n"/>
      <c r="G1829" s="114" t="n"/>
      <c r="H1829" s="114" t="n"/>
      <c r="I1829" s="114" t="n"/>
      <c r="J1829" s="114" t="n"/>
    </row>
    <row r="1830" ht="15" customHeight="1" s="68">
      <c r="A1830" s="114" t="n"/>
      <c r="B1830" s="114" t="n"/>
      <c r="C1830" s="114" t="n"/>
      <c r="D1830" s="114" t="n"/>
      <c r="E1830" s="114" t="n"/>
      <c r="F1830" s="114" t="n"/>
      <c r="G1830" s="114" t="n"/>
      <c r="H1830" s="114" t="n"/>
      <c r="I1830" s="114" t="n"/>
      <c r="J1830" s="114" t="n"/>
    </row>
    <row r="1831" ht="15" customHeight="1" s="68">
      <c r="A1831" s="114" t="n"/>
      <c r="B1831" s="114" t="n"/>
      <c r="C1831" s="114" t="n"/>
      <c r="D1831" s="114" t="n"/>
      <c r="E1831" s="114" t="n"/>
      <c r="F1831" s="114" t="n"/>
      <c r="G1831" s="114" t="n"/>
      <c r="H1831" s="114" t="n"/>
      <c r="I1831" s="114" t="n"/>
      <c r="J1831" s="114" t="n"/>
    </row>
    <row r="1832" ht="15" customHeight="1" s="68">
      <c r="A1832" s="114" t="n"/>
      <c r="B1832" s="114" t="n"/>
      <c r="C1832" s="114" t="n"/>
      <c r="D1832" s="114" t="n"/>
      <c r="E1832" s="114" t="n"/>
      <c r="F1832" s="114" t="n"/>
      <c r="G1832" s="114" t="n"/>
      <c r="H1832" s="114" t="n"/>
      <c r="I1832" s="114" t="n"/>
      <c r="J1832" s="114" t="n"/>
    </row>
    <row r="1833" ht="15" customHeight="1" s="68">
      <c r="A1833" s="114" t="n"/>
      <c r="B1833" s="114" t="n"/>
      <c r="C1833" s="114" t="n"/>
      <c r="D1833" s="114" t="n"/>
      <c r="E1833" s="114" t="n"/>
      <c r="F1833" s="114" t="n"/>
      <c r="G1833" s="114" t="n"/>
      <c r="H1833" s="114" t="n"/>
      <c r="I1833" s="114" t="n"/>
      <c r="J1833" s="114" t="n"/>
    </row>
    <row r="1834" ht="15" customHeight="1" s="68">
      <c r="A1834" s="114" t="n"/>
      <c r="B1834" s="114" t="n"/>
      <c r="C1834" s="114" t="n"/>
      <c r="D1834" s="114" t="n"/>
      <c r="E1834" s="114" t="n"/>
      <c r="F1834" s="114" t="n"/>
      <c r="G1834" s="114" t="n"/>
      <c r="H1834" s="114" t="n"/>
      <c r="I1834" s="114" t="n"/>
      <c r="J1834" s="114" t="n"/>
    </row>
    <row r="1835" ht="15" customHeight="1" s="68">
      <c r="A1835" s="114" t="n"/>
      <c r="B1835" s="114" t="n"/>
      <c r="C1835" s="114" t="n"/>
      <c r="D1835" s="114" t="n"/>
      <c r="E1835" s="114" t="n"/>
      <c r="F1835" s="114" t="n"/>
      <c r="G1835" s="114" t="n"/>
      <c r="H1835" s="114" t="n"/>
      <c r="I1835" s="114" t="n"/>
      <c r="J1835" s="114" t="n"/>
    </row>
    <row r="1836" ht="15" customHeight="1" s="68">
      <c r="A1836" s="114" t="n"/>
      <c r="B1836" s="114" t="n"/>
      <c r="C1836" s="114" t="n"/>
      <c r="D1836" s="114" t="n"/>
      <c r="E1836" s="114" t="n"/>
      <c r="F1836" s="114" t="n"/>
      <c r="G1836" s="114" t="n"/>
      <c r="H1836" s="114" t="n"/>
      <c r="I1836" s="114" t="n"/>
      <c r="J1836" s="114" t="n"/>
    </row>
    <row r="1837" ht="15" customHeight="1" s="68">
      <c r="A1837" s="114" t="n"/>
      <c r="B1837" s="114" t="n"/>
      <c r="C1837" s="114" t="n"/>
      <c r="D1837" s="114" t="n"/>
      <c r="E1837" s="114" t="n"/>
      <c r="F1837" s="114" t="n"/>
      <c r="G1837" s="114" t="n"/>
      <c r="H1837" s="114" t="n"/>
      <c r="I1837" s="114" t="n"/>
      <c r="J1837" s="114" t="n"/>
    </row>
    <row r="1838" ht="15" customHeight="1" s="68">
      <c r="A1838" s="114" t="n"/>
      <c r="B1838" s="114" t="n"/>
      <c r="C1838" s="114" t="n"/>
      <c r="D1838" s="114" t="n"/>
      <c r="E1838" s="114" t="n"/>
      <c r="F1838" s="114" t="n"/>
      <c r="G1838" s="114" t="n"/>
      <c r="H1838" s="114" t="n"/>
      <c r="I1838" s="114" t="n"/>
      <c r="J1838" s="114" t="n"/>
    </row>
    <row r="1839" ht="15" customHeight="1" s="68">
      <c r="A1839" s="114" t="n"/>
      <c r="B1839" s="114" t="n"/>
      <c r="C1839" s="114" t="n"/>
      <c r="D1839" s="114" t="n"/>
      <c r="E1839" s="114" t="n"/>
      <c r="F1839" s="114" t="n"/>
      <c r="G1839" s="114" t="n"/>
      <c r="H1839" s="114" t="n"/>
      <c r="I1839" s="114" t="n"/>
      <c r="J1839" s="114" t="n"/>
    </row>
    <row r="1840" ht="15" customHeight="1" s="68">
      <c r="A1840" s="114" t="n"/>
      <c r="B1840" s="114" t="n"/>
      <c r="C1840" s="114" t="n"/>
      <c r="D1840" s="114" t="n"/>
      <c r="E1840" s="114" t="n"/>
      <c r="F1840" s="114" t="n"/>
      <c r="G1840" s="114" t="n"/>
      <c r="H1840" s="114" t="n"/>
      <c r="I1840" s="114" t="n"/>
      <c r="J1840" s="114" t="n"/>
    </row>
    <row r="1841" ht="15" customHeight="1" s="68">
      <c r="A1841" s="114" t="n"/>
      <c r="B1841" s="114" t="n"/>
      <c r="C1841" s="114" t="n"/>
      <c r="D1841" s="114" t="n"/>
      <c r="E1841" s="114" t="n"/>
      <c r="F1841" s="114" t="n"/>
      <c r="G1841" s="114" t="n"/>
      <c r="H1841" s="114" t="n"/>
      <c r="I1841" s="114" t="n"/>
      <c r="J1841" s="114" t="n"/>
    </row>
    <row r="1842" ht="15" customHeight="1" s="68">
      <c r="A1842" s="114" t="n"/>
      <c r="B1842" s="114" t="n"/>
      <c r="C1842" s="114" t="n"/>
      <c r="D1842" s="114" t="n"/>
      <c r="E1842" s="114" t="n"/>
      <c r="F1842" s="114" t="n"/>
      <c r="G1842" s="114" t="n"/>
      <c r="H1842" s="114" t="n"/>
      <c r="I1842" s="114" t="n"/>
      <c r="J1842" s="114" t="n"/>
    </row>
    <row r="1843" ht="15" customHeight="1" s="68">
      <c r="A1843" s="114" t="n"/>
      <c r="B1843" s="114" t="n"/>
      <c r="C1843" s="114" t="n"/>
      <c r="D1843" s="114" t="n"/>
      <c r="E1843" s="114" t="n"/>
      <c r="F1843" s="114" t="n"/>
      <c r="G1843" s="114" t="n"/>
      <c r="H1843" s="114" t="n"/>
      <c r="I1843" s="114" t="n"/>
      <c r="J1843" s="114" t="n"/>
    </row>
    <row r="1844" ht="15" customHeight="1" s="68">
      <c r="A1844" s="114" t="n"/>
      <c r="B1844" s="114" t="n"/>
      <c r="C1844" s="114" t="n"/>
      <c r="D1844" s="114" t="n"/>
      <c r="E1844" s="114" t="n"/>
      <c r="F1844" s="114" t="n"/>
      <c r="G1844" s="114" t="n"/>
      <c r="H1844" s="114" t="n"/>
      <c r="I1844" s="114" t="n"/>
      <c r="J1844" s="114" t="n"/>
    </row>
    <row r="1845" ht="15" customHeight="1" s="68">
      <c r="A1845" s="114" t="n"/>
      <c r="B1845" s="114" t="n"/>
      <c r="C1845" s="114" t="n"/>
      <c r="D1845" s="114" t="n"/>
      <c r="E1845" s="114" t="n"/>
      <c r="F1845" s="114" t="n"/>
      <c r="G1845" s="114" t="n"/>
      <c r="H1845" s="114" t="n"/>
      <c r="I1845" s="114" t="n"/>
      <c r="J1845" s="114" t="n"/>
    </row>
    <row r="1846" ht="15" customHeight="1" s="68">
      <c r="A1846" s="114" t="n"/>
      <c r="B1846" s="114" t="n"/>
      <c r="C1846" s="114" t="n"/>
      <c r="D1846" s="114" t="n"/>
      <c r="E1846" s="114" t="n"/>
      <c r="F1846" s="114" t="n"/>
      <c r="G1846" s="114" t="n"/>
      <c r="H1846" s="114" t="n"/>
      <c r="I1846" s="114" t="n"/>
      <c r="J1846" s="114" t="n"/>
    </row>
    <row r="1847" ht="15" customHeight="1" s="68">
      <c r="A1847" s="114" t="n"/>
      <c r="B1847" s="114" t="n"/>
      <c r="C1847" s="114" t="n"/>
      <c r="D1847" s="114" t="n"/>
      <c r="E1847" s="114" t="n"/>
      <c r="F1847" s="114" t="n"/>
      <c r="G1847" s="114" t="n"/>
      <c r="H1847" s="114" t="n"/>
      <c r="I1847" s="114" t="n"/>
      <c r="J1847" s="114" t="n"/>
    </row>
    <row r="1848" ht="15" customHeight="1" s="68">
      <c r="A1848" s="114" t="n"/>
      <c r="B1848" s="114" t="n"/>
      <c r="C1848" s="114" t="n"/>
      <c r="D1848" s="114" t="n"/>
      <c r="E1848" s="114" t="n"/>
      <c r="F1848" s="114" t="n"/>
      <c r="G1848" s="114" t="n"/>
      <c r="H1848" s="114" t="n"/>
      <c r="I1848" s="114" t="n"/>
      <c r="J1848" s="114" t="n"/>
    </row>
    <row r="1849" ht="15" customHeight="1" s="68">
      <c r="A1849" s="114" t="n"/>
      <c r="B1849" s="114" t="n"/>
      <c r="C1849" s="114" t="n"/>
      <c r="D1849" s="114" t="n"/>
      <c r="E1849" s="114" t="n"/>
      <c r="F1849" s="114" t="n"/>
      <c r="G1849" s="114" t="n"/>
      <c r="H1849" s="114" t="n"/>
      <c r="I1849" s="114" t="n"/>
      <c r="J1849" s="114" t="n"/>
    </row>
    <row r="1850" ht="15" customHeight="1" s="68">
      <c r="A1850" s="114" t="n"/>
      <c r="B1850" s="114" t="n"/>
      <c r="C1850" s="114" t="n"/>
      <c r="D1850" s="114" t="n"/>
      <c r="E1850" s="114" t="n"/>
      <c r="F1850" s="114" t="n"/>
      <c r="G1850" s="114" t="n"/>
      <c r="H1850" s="114" t="n"/>
      <c r="I1850" s="114" t="n"/>
      <c r="J1850" s="114" t="n"/>
    </row>
    <row r="1851" ht="15" customHeight="1" s="68">
      <c r="A1851" s="114" t="n"/>
      <c r="B1851" s="114" t="n"/>
      <c r="C1851" s="114" t="n"/>
      <c r="D1851" s="114" t="n"/>
      <c r="E1851" s="114" t="n"/>
      <c r="F1851" s="114" t="n"/>
      <c r="G1851" s="114" t="n"/>
      <c r="H1851" s="114" t="n"/>
      <c r="I1851" s="114" t="n"/>
      <c r="J1851" s="114" t="n"/>
    </row>
    <row r="1852" ht="15" customHeight="1" s="68">
      <c r="A1852" s="114" t="n"/>
      <c r="B1852" s="114" t="n"/>
      <c r="C1852" s="114" t="n"/>
      <c r="D1852" s="114" t="n"/>
      <c r="E1852" s="114" t="n"/>
      <c r="F1852" s="114" t="n"/>
      <c r="G1852" s="114" t="n"/>
      <c r="H1852" s="114" t="n"/>
      <c r="I1852" s="114" t="n"/>
      <c r="J1852" s="114" t="n"/>
    </row>
    <row r="1853" ht="15" customHeight="1" s="68">
      <c r="A1853" s="114" t="n"/>
      <c r="B1853" s="114" t="n"/>
      <c r="C1853" s="114" t="n"/>
      <c r="D1853" s="114" t="n"/>
      <c r="E1853" s="114" t="n"/>
      <c r="F1853" s="114" t="n"/>
      <c r="G1853" s="114" t="n"/>
      <c r="H1853" s="114" t="n"/>
      <c r="I1853" s="114" t="n"/>
      <c r="J1853" s="114" t="n"/>
    </row>
    <row r="1854" ht="15" customHeight="1" s="68">
      <c r="A1854" s="114" t="n"/>
      <c r="B1854" s="114" t="n"/>
      <c r="C1854" s="114" t="n"/>
      <c r="D1854" s="114" t="n"/>
      <c r="E1854" s="114" t="n"/>
      <c r="F1854" s="114" t="n"/>
      <c r="G1854" s="114" t="n"/>
      <c r="H1854" s="114" t="n"/>
      <c r="I1854" s="114" t="n"/>
      <c r="J1854" s="114" t="n"/>
    </row>
    <row r="1855" ht="15" customHeight="1" s="68">
      <c r="A1855" s="114" t="n"/>
      <c r="B1855" s="114" t="n"/>
      <c r="C1855" s="114" t="n"/>
      <c r="D1855" s="114" t="n"/>
      <c r="E1855" s="114" t="n"/>
      <c r="F1855" s="114" t="n"/>
      <c r="G1855" s="114" t="n"/>
      <c r="H1855" s="114" t="n"/>
      <c r="I1855" s="114" t="n"/>
      <c r="J1855" s="114" t="n"/>
    </row>
    <row r="1856" ht="15" customHeight="1" s="68">
      <c r="A1856" s="114" t="n"/>
      <c r="B1856" s="114" t="n"/>
      <c r="C1856" s="114" t="n"/>
      <c r="D1856" s="114" t="n"/>
      <c r="E1856" s="114" t="n"/>
      <c r="F1856" s="114" t="n"/>
      <c r="G1856" s="114" t="n"/>
      <c r="H1856" s="114" t="n"/>
      <c r="I1856" s="114" t="n"/>
      <c r="J1856" s="114" t="n"/>
    </row>
    <row r="1857" ht="15" customHeight="1" s="68">
      <c r="A1857" s="114" t="n"/>
      <c r="B1857" s="114" t="n"/>
      <c r="C1857" s="114" t="n"/>
      <c r="D1857" s="114" t="n"/>
      <c r="E1857" s="114" t="n"/>
      <c r="F1857" s="114" t="n"/>
      <c r="G1857" s="114" t="n"/>
      <c r="H1857" s="114" t="n"/>
      <c r="I1857" s="114" t="n"/>
      <c r="J1857" s="114" t="n"/>
    </row>
    <row r="1858" ht="15" customHeight="1" s="68">
      <c r="A1858" s="114" t="n"/>
      <c r="B1858" s="114" t="n"/>
      <c r="C1858" s="114" t="n"/>
      <c r="D1858" s="114" t="n"/>
      <c r="E1858" s="114" t="n"/>
      <c r="F1858" s="114" t="n"/>
      <c r="G1858" s="114" t="n"/>
      <c r="H1858" s="114" t="n"/>
      <c r="I1858" s="114" t="n"/>
      <c r="J1858" s="114" t="n"/>
    </row>
    <row r="1859" ht="15" customHeight="1" s="68">
      <c r="A1859" s="114" t="n"/>
      <c r="B1859" s="114" t="n"/>
      <c r="C1859" s="114" t="n"/>
      <c r="D1859" s="114" t="n"/>
      <c r="E1859" s="114" t="n"/>
      <c r="F1859" s="114" t="n"/>
      <c r="G1859" s="114" t="n"/>
      <c r="H1859" s="114" t="n"/>
      <c r="I1859" s="114" t="n"/>
      <c r="J1859" s="114" t="n"/>
    </row>
    <row r="1860" ht="15" customHeight="1" s="68">
      <c r="A1860" s="114" t="n"/>
      <c r="B1860" s="114" t="n"/>
      <c r="C1860" s="114" t="n"/>
      <c r="D1860" s="114" t="n"/>
      <c r="E1860" s="114" t="n"/>
      <c r="F1860" s="114" t="n"/>
      <c r="G1860" s="114" t="n"/>
      <c r="H1860" s="114" t="n"/>
      <c r="I1860" s="114" t="n"/>
      <c r="J1860" s="114" t="n"/>
    </row>
    <row r="1861" ht="15" customHeight="1" s="68">
      <c r="A1861" s="114" t="n"/>
      <c r="B1861" s="114" t="n"/>
      <c r="C1861" s="114" t="n"/>
      <c r="D1861" s="114" t="n"/>
      <c r="E1861" s="114" t="n"/>
      <c r="F1861" s="114" t="n"/>
      <c r="G1861" s="114" t="n"/>
      <c r="H1861" s="114" t="n"/>
      <c r="I1861" s="114" t="n"/>
      <c r="J1861" s="114" t="n"/>
    </row>
    <row r="1862" ht="15" customHeight="1" s="68">
      <c r="A1862" s="114" t="n"/>
      <c r="B1862" s="114" t="n"/>
      <c r="C1862" s="114" t="n"/>
      <c r="D1862" s="114" t="n"/>
      <c r="E1862" s="114" t="n"/>
      <c r="F1862" s="114" t="n"/>
      <c r="G1862" s="114" t="n"/>
      <c r="H1862" s="114" t="n"/>
      <c r="I1862" s="114" t="n"/>
      <c r="J1862" s="114" t="n"/>
    </row>
    <row r="1863" ht="15" customHeight="1" s="68">
      <c r="A1863" s="114" t="n"/>
      <c r="B1863" s="114" t="n"/>
      <c r="C1863" s="114" t="n"/>
      <c r="D1863" s="114" t="n"/>
      <c r="E1863" s="114" t="n"/>
      <c r="F1863" s="114" t="n"/>
      <c r="G1863" s="114" t="n"/>
      <c r="H1863" s="114" t="n"/>
      <c r="I1863" s="114" t="n"/>
      <c r="J1863" s="114" t="n"/>
    </row>
    <row r="1864" ht="15" customHeight="1" s="68">
      <c r="A1864" s="114" t="n"/>
      <c r="B1864" s="114" t="n"/>
      <c r="C1864" s="114" t="n"/>
      <c r="D1864" s="114" t="n"/>
      <c r="E1864" s="114" t="n"/>
      <c r="F1864" s="114" t="n"/>
      <c r="G1864" s="114" t="n"/>
      <c r="H1864" s="114" t="n"/>
      <c r="I1864" s="114" t="n"/>
      <c r="J1864" s="114" t="n"/>
    </row>
    <row r="1865" ht="15" customHeight="1" s="68">
      <c r="A1865" s="114" t="n"/>
      <c r="B1865" s="114" t="n"/>
      <c r="C1865" s="114" t="n"/>
      <c r="D1865" s="114" t="n"/>
      <c r="E1865" s="114" t="n"/>
      <c r="F1865" s="114" t="n"/>
      <c r="G1865" s="114" t="n"/>
      <c r="H1865" s="114" t="n"/>
      <c r="I1865" s="114" t="n"/>
      <c r="J1865" s="114" t="n"/>
    </row>
    <row r="1866" ht="15" customHeight="1" s="68">
      <c r="A1866" s="114" t="n"/>
      <c r="B1866" s="114" t="n"/>
      <c r="C1866" s="114" t="n"/>
      <c r="D1866" s="114" t="n"/>
      <c r="E1866" s="114" t="n"/>
      <c r="F1866" s="114" t="n"/>
      <c r="G1866" s="114" t="n"/>
      <c r="H1866" s="114" t="n"/>
      <c r="I1866" s="114" t="n"/>
      <c r="J1866" s="114" t="n"/>
    </row>
    <row r="1867" ht="15" customHeight="1" s="68">
      <c r="A1867" s="114" t="n"/>
      <c r="B1867" s="114" t="n"/>
      <c r="C1867" s="114" t="n"/>
      <c r="D1867" s="114" t="n"/>
      <c r="E1867" s="114" t="n"/>
      <c r="F1867" s="114" t="n"/>
      <c r="G1867" s="114" t="n"/>
      <c r="H1867" s="114" t="n"/>
      <c r="I1867" s="114" t="n"/>
      <c r="J1867" s="114" t="n"/>
    </row>
    <row r="1868" ht="15" customHeight="1" s="68">
      <c r="A1868" s="114" t="n"/>
      <c r="B1868" s="114" t="n"/>
      <c r="C1868" s="114" t="n"/>
      <c r="D1868" s="114" t="n"/>
      <c r="E1868" s="114" t="n"/>
      <c r="F1868" s="114" t="n"/>
      <c r="G1868" s="114" t="n"/>
      <c r="H1868" s="114" t="n"/>
      <c r="I1868" s="114" t="n"/>
      <c r="J1868" s="114" t="n"/>
    </row>
    <row r="1869" ht="15" customHeight="1" s="68">
      <c r="A1869" s="114" t="n"/>
      <c r="B1869" s="114" t="n"/>
      <c r="C1869" s="114" t="n"/>
      <c r="D1869" s="114" t="n"/>
      <c r="E1869" s="114" t="n"/>
      <c r="F1869" s="114" t="n"/>
      <c r="G1869" s="114" t="n"/>
      <c r="H1869" s="114" t="n"/>
      <c r="I1869" s="114" t="n"/>
      <c r="J1869" s="114" t="n"/>
    </row>
    <row r="1870" ht="15" customHeight="1" s="68">
      <c r="A1870" s="114" t="n"/>
      <c r="B1870" s="114" t="n"/>
      <c r="C1870" s="114" t="n"/>
      <c r="D1870" s="114" t="n"/>
      <c r="E1870" s="114" t="n"/>
      <c r="F1870" s="114" t="n"/>
      <c r="G1870" s="114" t="n"/>
      <c r="H1870" s="114" t="n"/>
      <c r="I1870" s="114" t="n"/>
      <c r="J1870" s="114" t="n"/>
    </row>
    <row r="1871" ht="15" customHeight="1" s="68">
      <c r="A1871" s="114" t="n"/>
      <c r="B1871" s="114" t="n"/>
      <c r="C1871" s="114" t="n"/>
      <c r="D1871" s="114" t="n"/>
      <c r="E1871" s="114" t="n"/>
      <c r="F1871" s="114" t="n"/>
      <c r="G1871" s="114" t="n"/>
      <c r="H1871" s="114" t="n"/>
      <c r="I1871" s="114" t="n"/>
      <c r="J1871" s="114" t="n"/>
    </row>
    <row r="1872" ht="15" customHeight="1" s="68">
      <c r="A1872" s="114" t="n"/>
      <c r="B1872" s="114" t="n"/>
      <c r="C1872" s="114" t="n"/>
      <c r="D1872" s="114" t="n"/>
      <c r="E1872" s="114" t="n"/>
      <c r="F1872" s="114" t="n"/>
      <c r="G1872" s="114" t="n"/>
      <c r="H1872" s="114" t="n"/>
      <c r="I1872" s="114" t="n"/>
      <c r="J1872" s="114" t="n"/>
    </row>
    <row r="1873" ht="15" customHeight="1" s="68">
      <c r="A1873" s="114" t="n"/>
      <c r="B1873" s="114" t="n"/>
      <c r="C1873" s="114" t="n"/>
      <c r="D1873" s="114" t="n"/>
      <c r="E1873" s="114" t="n"/>
      <c r="F1873" s="114" t="n"/>
      <c r="G1873" s="114" t="n"/>
      <c r="H1873" s="114" t="n"/>
      <c r="I1873" s="114" t="n"/>
      <c r="J1873" s="114" t="n"/>
    </row>
    <row r="1874" ht="15" customHeight="1" s="68">
      <c r="A1874" s="114" t="n"/>
      <c r="B1874" s="114" t="n"/>
      <c r="C1874" s="114" t="n"/>
      <c r="D1874" s="114" t="n"/>
      <c r="E1874" s="114" t="n"/>
      <c r="F1874" s="114" t="n"/>
      <c r="G1874" s="114" t="n"/>
      <c r="H1874" s="114" t="n"/>
      <c r="I1874" s="114" t="n"/>
      <c r="J1874" s="114" t="n"/>
    </row>
    <row r="1875" ht="15" customHeight="1" s="68">
      <c r="A1875" s="114" t="n"/>
      <c r="B1875" s="114" t="n"/>
      <c r="C1875" s="114" t="n"/>
      <c r="D1875" s="114" t="n"/>
      <c r="E1875" s="114" t="n"/>
      <c r="F1875" s="114" t="n"/>
      <c r="G1875" s="114" t="n"/>
      <c r="H1875" s="114" t="n"/>
      <c r="I1875" s="114" t="n"/>
      <c r="J1875" s="114" t="n"/>
    </row>
    <row r="1876" ht="15" customHeight="1" s="68">
      <c r="A1876" s="114" t="n"/>
      <c r="B1876" s="114" t="n"/>
      <c r="C1876" s="114" t="n"/>
      <c r="D1876" s="114" t="n"/>
      <c r="E1876" s="114" t="n"/>
      <c r="F1876" s="114" t="n"/>
      <c r="G1876" s="114" t="n"/>
      <c r="H1876" s="114" t="n"/>
      <c r="I1876" s="114" t="n"/>
      <c r="J1876" s="114" t="n"/>
    </row>
    <row r="1877" ht="15" customHeight="1" s="68">
      <c r="A1877" s="114" t="n"/>
      <c r="B1877" s="114" t="n"/>
      <c r="C1877" s="114" t="n"/>
      <c r="D1877" s="114" t="n"/>
      <c r="E1877" s="114" t="n"/>
      <c r="F1877" s="114" t="n"/>
      <c r="G1877" s="114" t="n"/>
      <c r="H1877" s="114" t="n"/>
      <c r="I1877" s="114" t="n"/>
      <c r="J1877" s="114" t="n"/>
    </row>
    <row r="1878" ht="15" customHeight="1" s="68">
      <c r="A1878" s="114" t="n"/>
      <c r="B1878" s="114" t="n"/>
      <c r="C1878" s="114" t="n"/>
      <c r="D1878" s="114" t="n"/>
      <c r="E1878" s="114" t="n"/>
      <c r="F1878" s="114" t="n"/>
      <c r="G1878" s="114" t="n"/>
      <c r="H1878" s="114" t="n"/>
      <c r="I1878" s="114" t="n"/>
      <c r="J1878" s="114" t="n"/>
    </row>
    <row r="1879" ht="15" customHeight="1" s="68">
      <c r="A1879" s="114" t="n"/>
      <c r="B1879" s="114" t="n"/>
      <c r="C1879" s="114" t="n"/>
      <c r="D1879" s="114" t="n"/>
      <c r="E1879" s="114" t="n"/>
      <c r="F1879" s="114" t="n"/>
      <c r="G1879" s="114" t="n"/>
      <c r="H1879" s="114" t="n"/>
      <c r="I1879" s="114" t="n"/>
      <c r="J1879" s="114" t="n"/>
    </row>
    <row r="1880" ht="15" customHeight="1" s="68">
      <c r="A1880" s="114" t="n"/>
      <c r="B1880" s="114" t="n"/>
      <c r="C1880" s="114" t="n"/>
      <c r="D1880" s="114" t="n"/>
      <c r="E1880" s="114" t="n"/>
      <c r="F1880" s="114" t="n"/>
      <c r="G1880" s="114" t="n"/>
      <c r="H1880" s="114" t="n"/>
      <c r="I1880" s="114" t="n"/>
      <c r="J1880" s="114" t="n"/>
    </row>
    <row r="1881" ht="15" customHeight="1" s="68">
      <c r="A1881" s="114" t="n"/>
      <c r="B1881" s="114" t="n"/>
      <c r="C1881" s="114" t="n"/>
      <c r="D1881" s="114" t="n"/>
      <c r="E1881" s="114" t="n"/>
      <c r="F1881" s="114" t="n"/>
      <c r="G1881" s="114" t="n"/>
      <c r="H1881" s="114" t="n"/>
      <c r="I1881" s="114" t="n"/>
      <c r="J1881" s="114" t="n"/>
    </row>
    <row r="1882" ht="15" customHeight="1" s="68">
      <c r="A1882" s="114" t="n"/>
      <c r="B1882" s="114" t="n"/>
      <c r="C1882" s="114" t="n"/>
      <c r="D1882" s="114" t="n"/>
      <c r="E1882" s="114" t="n"/>
      <c r="F1882" s="114" t="n"/>
      <c r="G1882" s="114" t="n"/>
      <c r="H1882" s="114" t="n"/>
      <c r="I1882" s="114" t="n"/>
      <c r="J1882" s="114" t="n"/>
    </row>
    <row r="1883" ht="15" customHeight="1" s="68">
      <c r="A1883" s="114" t="n"/>
      <c r="B1883" s="114" t="n"/>
      <c r="C1883" s="114" t="n"/>
      <c r="D1883" s="114" t="n"/>
      <c r="E1883" s="114" t="n"/>
      <c r="F1883" s="114" t="n"/>
      <c r="G1883" s="114" t="n"/>
      <c r="H1883" s="114" t="n"/>
      <c r="I1883" s="114" t="n"/>
      <c r="J1883" s="114" t="n"/>
    </row>
    <row r="1884" ht="15" customHeight="1" s="68">
      <c r="A1884" s="114" t="n"/>
      <c r="B1884" s="114" t="n"/>
      <c r="C1884" s="114" t="n"/>
      <c r="D1884" s="114" t="n"/>
      <c r="E1884" s="114" t="n"/>
      <c r="F1884" s="114" t="n"/>
      <c r="G1884" s="114" t="n"/>
      <c r="H1884" s="114" t="n"/>
      <c r="I1884" s="114" t="n"/>
      <c r="J1884" s="114" t="n"/>
    </row>
    <row r="1885" ht="15" customHeight="1" s="68">
      <c r="A1885" s="114" t="n"/>
      <c r="B1885" s="114" t="n"/>
      <c r="C1885" s="114" t="n"/>
      <c r="D1885" s="114" t="n"/>
      <c r="E1885" s="114" t="n"/>
      <c r="F1885" s="114" t="n"/>
      <c r="G1885" s="114" t="n"/>
      <c r="H1885" s="114" t="n"/>
      <c r="I1885" s="114" t="n"/>
      <c r="J1885" s="114" t="n"/>
    </row>
    <row r="1886" ht="15" customHeight="1" s="68">
      <c r="A1886" s="114" t="n"/>
      <c r="B1886" s="114" t="n"/>
      <c r="C1886" s="114" t="n"/>
      <c r="D1886" s="114" t="n"/>
      <c r="E1886" s="114" t="n"/>
      <c r="F1886" s="114" t="n"/>
      <c r="G1886" s="114" t="n"/>
      <c r="H1886" s="114" t="n"/>
      <c r="I1886" s="114" t="n"/>
      <c r="J1886" s="114" t="n"/>
    </row>
    <row r="1887" ht="15" customHeight="1" s="68">
      <c r="A1887" s="114" t="n"/>
      <c r="B1887" s="114" t="n"/>
      <c r="C1887" s="114" t="n"/>
      <c r="D1887" s="114" t="n"/>
      <c r="E1887" s="114" t="n"/>
      <c r="F1887" s="114" t="n"/>
      <c r="G1887" s="114" t="n"/>
      <c r="H1887" s="114" t="n"/>
      <c r="I1887" s="114" t="n"/>
      <c r="J1887" s="114" t="n"/>
    </row>
    <row r="1888" ht="15" customHeight="1" s="68">
      <c r="A1888" s="114" t="n"/>
      <c r="B1888" s="114" t="n"/>
      <c r="C1888" s="114" t="n"/>
      <c r="D1888" s="114" t="n"/>
      <c r="E1888" s="114" t="n"/>
      <c r="F1888" s="114" t="n"/>
      <c r="G1888" s="114" t="n"/>
      <c r="H1888" s="114" t="n"/>
      <c r="I1888" s="114" t="n"/>
      <c r="J1888" s="114" t="n"/>
    </row>
    <row r="1889" ht="15" customHeight="1" s="68">
      <c r="A1889" s="114" t="n"/>
      <c r="B1889" s="114" t="n"/>
      <c r="C1889" s="114" t="n"/>
      <c r="D1889" s="114" t="n"/>
      <c r="E1889" s="114" t="n"/>
      <c r="F1889" s="114" t="n"/>
      <c r="G1889" s="114" t="n"/>
      <c r="H1889" s="114" t="n"/>
      <c r="I1889" s="114" t="n"/>
      <c r="J1889" s="114" t="n"/>
    </row>
    <row r="1890" ht="15" customHeight="1" s="68">
      <c r="A1890" s="114" t="n"/>
      <c r="B1890" s="114" t="n"/>
      <c r="C1890" s="114" t="n"/>
      <c r="D1890" s="114" t="n"/>
      <c r="E1890" s="114" t="n"/>
      <c r="F1890" s="114" t="n"/>
      <c r="G1890" s="114" t="n"/>
      <c r="H1890" s="114" t="n"/>
      <c r="I1890" s="114" t="n"/>
      <c r="J1890" s="114" t="n"/>
    </row>
    <row r="1891" ht="15" customHeight="1" s="68">
      <c r="A1891" s="114" t="n"/>
      <c r="B1891" s="114" t="n"/>
      <c r="C1891" s="114" t="n"/>
      <c r="D1891" s="114" t="n"/>
      <c r="E1891" s="114" t="n"/>
      <c r="F1891" s="114" t="n"/>
      <c r="G1891" s="114" t="n"/>
      <c r="H1891" s="114" t="n"/>
      <c r="I1891" s="114" t="n"/>
      <c r="J1891" s="114" t="n"/>
    </row>
    <row r="1892" ht="15" customHeight="1" s="68">
      <c r="A1892" s="114" t="n"/>
      <c r="B1892" s="114" t="n"/>
      <c r="C1892" s="114" t="n"/>
      <c r="D1892" s="114" t="n"/>
      <c r="E1892" s="114" t="n"/>
      <c r="F1892" s="114" t="n"/>
      <c r="G1892" s="114" t="n"/>
      <c r="H1892" s="114" t="n"/>
      <c r="I1892" s="114" t="n"/>
      <c r="J1892" s="114" t="n"/>
    </row>
    <row r="1893" ht="15" customHeight="1" s="68">
      <c r="A1893" s="114" t="n"/>
      <c r="B1893" s="114" t="n"/>
      <c r="C1893" s="114" t="n"/>
      <c r="D1893" s="114" t="n"/>
      <c r="E1893" s="114" t="n"/>
      <c r="F1893" s="114" t="n"/>
      <c r="G1893" s="114" t="n"/>
      <c r="H1893" s="114" t="n"/>
      <c r="I1893" s="114" t="n"/>
      <c r="J1893" s="114" t="n"/>
    </row>
    <row r="1894" ht="15" customHeight="1" s="68">
      <c r="A1894" s="114" t="n"/>
      <c r="B1894" s="114" t="n"/>
      <c r="C1894" s="114" t="n"/>
      <c r="D1894" s="114" t="n"/>
      <c r="E1894" s="114" t="n"/>
      <c r="F1894" s="114" t="n"/>
      <c r="G1894" s="114" t="n"/>
      <c r="H1894" s="114" t="n"/>
      <c r="I1894" s="114" t="n"/>
      <c r="J1894" s="114" t="n"/>
    </row>
    <row r="1895" ht="15" customHeight="1" s="68">
      <c r="A1895" s="114" t="n"/>
      <c r="B1895" s="114" t="n"/>
      <c r="C1895" s="114" t="n"/>
      <c r="D1895" s="114" t="n"/>
      <c r="E1895" s="114" t="n"/>
      <c r="F1895" s="114" t="n"/>
      <c r="G1895" s="114" t="n"/>
      <c r="H1895" s="114" t="n"/>
      <c r="I1895" s="114" t="n"/>
      <c r="J1895" s="114" t="n"/>
    </row>
    <row r="1896" ht="15" customHeight="1" s="68">
      <c r="A1896" s="114" t="n"/>
      <c r="B1896" s="114" t="n"/>
      <c r="C1896" s="114" t="n"/>
      <c r="D1896" s="114" t="n"/>
      <c r="E1896" s="114" t="n"/>
      <c r="F1896" s="114" t="n"/>
      <c r="G1896" s="114" t="n"/>
      <c r="H1896" s="114" t="n"/>
      <c r="I1896" s="114" t="n"/>
      <c r="J1896" s="114" t="n"/>
    </row>
    <row r="1897" ht="15" customHeight="1" s="68">
      <c r="A1897" s="114" t="n"/>
      <c r="B1897" s="114" t="n"/>
      <c r="C1897" s="114" t="n"/>
      <c r="D1897" s="114" t="n"/>
      <c r="E1897" s="114" t="n"/>
      <c r="F1897" s="114" t="n"/>
      <c r="G1897" s="114" t="n"/>
      <c r="H1897" s="114" t="n"/>
      <c r="I1897" s="114" t="n"/>
      <c r="J1897" s="114" t="n"/>
    </row>
    <row r="1898" ht="15" customHeight="1" s="68">
      <c r="A1898" s="114" t="n"/>
      <c r="B1898" s="114" t="n"/>
      <c r="C1898" s="114" t="n"/>
      <c r="D1898" s="114" t="n"/>
      <c r="E1898" s="114" t="n"/>
      <c r="F1898" s="114" t="n"/>
      <c r="G1898" s="114" t="n"/>
      <c r="H1898" s="114" t="n"/>
      <c r="I1898" s="114" t="n"/>
      <c r="J1898" s="114" t="n"/>
    </row>
    <row r="1899" ht="15" customHeight="1" s="68">
      <c r="A1899" s="114" t="n"/>
      <c r="B1899" s="114" t="n"/>
      <c r="C1899" s="114" t="n"/>
      <c r="D1899" s="114" t="n"/>
      <c r="E1899" s="114" t="n"/>
      <c r="F1899" s="114" t="n"/>
      <c r="G1899" s="114" t="n"/>
      <c r="H1899" s="114" t="n"/>
      <c r="I1899" s="114" t="n"/>
      <c r="J1899" s="114" t="n"/>
    </row>
    <row r="1900" ht="15" customHeight="1" s="68">
      <c r="A1900" s="114" t="n"/>
      <c r="B1900" s="114" t="n"/>
      <c r="C1900" s="114" t="n"/>
      <c r="D1900" s="114" t="n"/>
      <c r="E1900" s="114" t="n"/>
      <c r="F1900" s="114" t="n"/>
      <c r="G1900" s="114" t="n"/>
      <c r="H1900" s="114" t="n"/>
      <c r="I1900" s="114" t="n"/>
      <c r="J1900" s="114" t="n"/>
    </row>
    <row r="1901" ht="15" customHeight="1" s="68">
      <c r="A1901" s="114" t="n"/>
      <c r="B1901" s="114" t="n"/>
      <c r="C1901" s="114" t="n"/>
      <c r="D1901" s="114" t="n"/>
      <c r="E1901" s="114" t="n"/>
      <c r="F1901" s="114" t="n"/>
      <c r="G1901" s="114" t="n"/>
      <c r="H1901" s="114" t="n"/>
      <c r="I1901" s="114" t="n"/>
      <c r="J1901" s="114" t="n"/>
    </row>
    <row r="1902" ht="15" customHeight="1" s="68">
      <c r="A1902" s="114" t="n"/>
      <c r="B1902" s="114" t="n"/>
      <c r="C1902" s="114" t="n"/>
      <c r="D1902" s="114" t="n"/>
      <c r="E1902" s="114" t="n"/>
      <c r="F1902" s="114" t="n"/>
      <c r="G1902" s="114" t="n"/>
      <c r="H1902" s="114" t="n"/>
      <c r="I1902" s="114" t="n"/>
      <c r="J1902" s="114" t="n"/>
    </row>
    <row r="1903" ht="15" customHeight="1" s="68">
      <c r="A1903" s="114" t="n"/>
      <c r="B1903" s="114" t="n"/>
      <c r="C1903" s="114" t="n"/>
      <c r="D1903" s="114" t="n"/>
      <c r="E1903" s="114" t="n"/>
      <c r="F1903" s="114" t="n"/>
      <c r="G1903" s="114" t="n"/>
      <c r="H1903" s="114" t="n"/>
      <c r="I1903" s="114" t="n"/>
      <c r="J1903" s="114" t="n"/>
    </row>
    <row r="1904" ht="15" customHeight="1" s="68">
      <c r="A1904" s="114" t="n"/>
      <c r="B1904" s="114" t="n"/>
      <c r="C1904" s="114" t="n"/>
      <c r="D1904" s="114" t="n"/>
      <c r="E1904" s="114" t="n"/>
      <c r="F1904" s="114" t="n"/>
      <c r="G1904" s="114" t="n"/>
      <c r="H1904" s="114" t="n"/>
      <c r="I1904" s="114" t="n"/>
      <c r="J1904" s="114" t="n"/>
    </row>
    <row r="1905" ht="15" customHeight="1" s="68">
      <c r="A1905" s="114" t="n"/>
      <c r="B1905" s="114" t="n"/>
      <c r="C1905" s="114" t="n"/>
      <c r="D1905" s="114" t="n"/>
      <c r="E1905" s="114" t="n"/>
      <c r="F1905" s="114" t="n"/>
      <c r="G1905" s="114" t="n"/>
      <c r="H1905" s="114" t="n"/>
      <c r="I1905" s="114" t="n"/>
      <c r="J1905" s="114" t="n"/>
    </row>
    <row r="1906" ht="15" customHeight="1" s="68">
      <c r="A1906" s="114" t="n"/>
      <c r="B1906" s="114" t="n"/>
      <c r="C1906" s="114" t="n"/>
      <c r="D1906" s="114" t="n"/>
      <c r="E1906" s="114" t="n"/>
      <c r="F1906" s="114" t="n"/>
      <c r="G1906" s="114" t="n"/>
      <c r="H1906" s="114" t="n"/>
      <c r="I1906" s="114" t="n"/>
      <c r="J1906" s="114" t="n"/>
    </row>
    <row r="1907" ht="15" customHeight="1" s="68">
      <c r="A1907" s="114" t="n"/>
      <c r="B1907" s="114" t="n"/>
      <c r="C1907" s="114" t="n"/>
      <c r="D1907" s="114" t="n"/>
      <c r="E1907" s="114" t="n"/>
      <c r="F1907" s="114" t="n"/>
      <c r="G1907" s="114" t="n"/>
      <c r="H1907" s="114" t="n"/>
      <c r="I1907" s="114" t="n"/>
      <c r="J1907" s="114" t="n"/>
    </row>
    <row r="1908" ht="15" customHeight="1" s="68">
      <c r="A1908" s="114" t="n"/>
      <c r="B1908" s="114" t="n"/>
      <c r="C1908" s="114" t="n"/>
      <c r="D1908" s="114" t="n"/>
      <c r="E1908" s="114" t="n"/>
      <c r="F1908" s="114" t="n"/>
      <c r="G1908" s="114" t="n"/>
      <c r="H1908" s="114" t="n"/>
      <c r="I1908" s="114" t="n"/>
      <c r="J1908" s="114" t="n"/>
    </row>
    <row r="1909" ht="15" customHeight="1" s="68">
      <c r="A1909" s="114" t="n"/>
      <c r="B1909" s="114" t="n"/>
      <c r="C1909" s="114" t="n"/>
      <c r="D1909" s="114" t="n"/>
      <c r="E1909" s="114" t="n"/>
      <c r="F1909" s="114" t="n"/>
      <c r="G1909" s="114" t="n"/>
      <c r="H1909" s="114" t="n"/>
      <c r="I1909" s="114" t="n"/>
      <c r="J1909" s="114" t="n"/>
    </row>
    <row r="1910" ht="15" customHeight="1" s="68">
      <c r="A1910" s="114" t="n"/>
      <c r="B1910" s="114" t="n"/>
      <c r="C1910" s="114" t="n"/>
      <c r="D1910" s="114" t="n"/>
      <c r="E1910" s="114" t="n"/>
      <c r="F1910" s="114" t="n"/>
      <c r="G1910" s="114" t="n"/>
      <c r="H1910" s="114" t="n"/>
      <c r="I1910" s="114" t="n"/>
      <c r="J1910" s="114" t="n"/>
    </row>
    <row r="1911" ht="15" customHeight="1" s="68">
      <c r="A1911" s="114" t="n"/>
      <c r="B1911" s="114" t="n"/>
      <c r="C1911" s="114" t="n"/>
      <c r="D1911" s="114" t="n"/>
      <c r="E1911" s="114" t="n"/>
      <c r="F1911" s="114" t="n"/>
      <c r="G1911" s="114" t="n"/>
      <c r="H1911" s="114" t="n"/>
      <c r="I1911" s="114" t="n"/>
      <c r="J1911" s="114" t="n"/>
    </row>
    <row r="1912" ht="15" customHeight="1" s="68">
      <c r="A1912" s="114" t="n"/>
      <c r="B1912" s="114" t="n"/>
      <c r="C1912" s="114" t="n"/>
      <c r="D1912" s="114" t="n"/>
      <c r="E1912" s="114" t="n"/>
      <c r="F1912" s="114" t="n"/>
      <c r="G1912" s="114" t="n"/>
      <c r="H1912" s="114" t="n"/>
      <c r="I1912" s="114" t="n"/>
      <c r="J1912" s="114" t="n"/>
    </row>
    <row r="1913" ht="15" customHeight="1" s="68">
      <c r="A1913" s="114" t="n"/>
      <c r="B1913" s="114" t="n"/>
      <c r="C1913" s="114" t="n"/>
      <c r="D1913" s="114" t="n"/>
      <c r="E1913" s="114" t="n"/>
      <c r="F1913" s="114" t="n"/>
      <c r="G1913" s="114" t="n"/>
      <c r="H1913" s="114" t="n"/>
      <c r="I1913" s="114" t="n"/>
      <c r="J1913" s="114" t="n"/>
    </row>
    <row r="1914" ht="15" customHeight="1" s="68">
      <c r="A1914" s="114" t="n"/>
      <c r="B1914" s="114" t="n"/>
      <c r="C1914" s="114" t="n"/>
      <c r="D1914" s="114" t="n"/>
      <c r="E1914" s="114" t="n"/>
      <c r="F1914" s="114" t="n"/>
      <c r="G1914" s="114" t="n"/>
      <c r="H1914" s="114" t="n"/>
      <c r="I1914" s="114" t="n"/>
      <c r="J1914" s="114" t="n"/>
    </row>
    <row r="1915" ht="15" customHeight="1" s="68">
      <c r="A1915" s="114" t="n"/>
      <c r="B1915" s="114" t="n"/>
      <c r="C1915" s="114" t="n"/>
      <c r="D1915" s="114" t="n"/>
      <c r="E1915" s="114" t="n"/>
      <c r="F1915" s="114" t="n"/>
      <c r="G1915" s="114" t="n"/>
      <c r="H1915" s="114" t="n"/>
      <c r="I1915" s="114" t="n"/>
      <c r="J1915" s="114" t="n"/>
    </row>
    <row r="1916" ht="15" customHeight="1" s="68">
      <c r="A1916" s="114" t="n"/>
      <c r="B1916" s="114" t="n"/>
      <c r="C1916" s="114" t="n"/>
      <c r="D1916" s="114" t="n"/>
      <c r="E1916" s="114" t="n"/>
      <c r="F1916" s="114" t="n"/>
      <c r="G1916" s="114" t="n"/>
      <c r="H1916" s="114" t="n"/>
      <c r="I1916" s="114" t="n"/>
      <c r="J1916" s="114" t="n"/>
    </row>
    <row r="1917" ht="15" customHeight="1" s="68">
      <c r="A1917" s="114" t="n"/>
      <c r="B1917" s="114" t="n"/>
      <c r="C1917" s="114" t="n"/>
      <c r="D1917" s="114" t="n"/>
      <c r="E1917" s="114" t="n"/>
      <c r="F1917" s="114" t="n"/>
      <c r="G1917" s="114" t="n"/>
      <c r="H1917" s="114" t="n"/>
      <c r="I1917" s="114" t="n"/>
      <c r="J1917" s="114" t="n"/>
    </row>
    <row r="1918" ht="15" customHeight="1" s="68">
      <c r="A1918" s="114" t="n"/>
      <c r="B1918" s="114" t="n"/>
      <c r="C1918" s="114" t="n"/>
      <c r="D1918" s="114" t="n"/>
      <c r="E1918" s="114" t="n"/>
      <c r="F1918" s="114" t="n"/>
      <c r="G1918" s="114" t="n"/>
      <c r="H1918" s="114" t="n"/>
      <c r="I1918" s="114" t="n"/>
      <c r="J1918" s="114" t="n"/>
    </row>
    <row r="1919" ht="15" customHeight="1" s="68">
      <c r="A1919" s="114" t="n"/>
      <c r="B1919" s="114" t="n"/>
      <c r="C1919" s="114" t="n"/>
      <c r="D1919" s="114" t="n"/>
      <c r="E1919" s="114" t="n"/>
      <c r="F1919" s="114" t="n"/>
      <c r="G1919" s="114" t="n"/>
      <c r="H1919" s="114" t="n"/>
      <c r="I1919" s="114" t="n"/>
      <c r="J1919" s="114" t="n"/>
    </row>
    <row r="1920" ht="15" customHeight="1" s="68">
      <c r="A1920" s="114" t="n"/>
      <c r="B1920" s="114" t="n"/>
      <c r="C1920" s="114" t="n"/>
      <c r="D1920" s="114" t="n"/>
      <c r="E1920" s="114" t="n"/>
      <c r="F1920" s="114" t="n"/>
      <c r="G1920" s="114" t="n"/>
      <c r="H1920" s="114" t="n"/>
      <c r="I1920" s="114" t="n"/>
      <c r="J1920" s="114" t="n"/>
    </row>
    <row r="1921" ht="15" customHeight="1" s="68">
      <c r="A1921" s="114" t="n"/>
      <c r="B1921" s="114" t="n"/>
      <c r="C1921" s="114" t="n"/>
      <c r="D1921" s="114" t="n"/>
      <c r="E1921" s="114" t="n"/>
      <c r="F1921" s="114" t="n"/>
      <c r="G1921" s="114" t="n"/>
      <c r="H1921" s="114" t="n"/>
      <c r="I1921" s="114" t="n"/>
      <c r="J1921" s="114" t="n"/>
    </row>
    <row r="1922" ht="15" customHeight="1" s="68">
      <c r="A1922" s="114" t="n"/>
      <c r="B1922" s="114" t="n"/>
      <c r="C1922" s="114" t="n"/>
      <c r="D1922" s="114" t="n"/>
      <c r="E1922" s="114" t="n"/>
      <c r="F1922" s="114" t="n"/>
      <c r="G1922" s="114" t="n"/>
      <c r="H1922" s="114" t="n"/>
      <c r="I1922" s="114" t="n"/>
      <c r="J1922" s="114" t="n"/>
    </row>
    <row r="1923" ht="15" customHeight="1" s="68">
      <c r="A1923" s="114" t="n"/>
      <c r="B1923" s="114" t="n"/>
      <c r="C1923" s="114" t="n"/>
      <c r="D1923" s="114" t="n"/>
      <c r="E1923" s="114" t="n"/>
      <c r="F1923" s="114" t="n"/>
      <c r="G1923" s="114" t="n"/>
      <c r="H1923" s="114" t="n"/>
      <c r="I1923" s="114" t="n"/>
      <c r="J1923" s="114" t="n"/>
    </row>
    <row r="1924" ht="15" customHeight="1" s="68">
      <c r="A1924" s="114" t="n"/>
      <c r="B1924" s="114" t="n"/>
      <c r="C1924" s="114" t="n"/>
      <c r="D1924" s="114" t="n"/>
      <c r="E1924" s="114" t="n"/>
      <c r="F1924" s="114" t="n"/>
      <c r="G1924" s="114" t="n"/>
      <c r="H1924" s="114" t="n"/>
      <c r="I1924" s="114" t="n"/>
      <c r="J1924" s="114" t="n"/>
    </row>
    <row r="1925" ht="15" customHeight="1" s="68">
      <c r="A1925" s="114" t="n"/>
      <c r="B1925" s="114" t="n"/>
      <c r="C1925" s="114" t="n"/>
      <c r="D1925" s="114" t="n"/>
      <c r="E1925" s="114" t="n"/>
      <c r="F1925" s="114" t="n"/>
      <c r="G1925" s="114" t="n"/>
      <c r="H1925" s="114" t="n"/>
      <c r="I1925" s="114" t="n"/>
      <c r="J1925" s="114" t="n"/>
    </row>
    <row r="1926" ht="15" customHeight="1" s="68">
      <c r="A1926" s="114" t="n"/>
      <c r="B1926" s="114" t="n"/>
      <c r="C1926" s="114" t="n"/>
      <c r="D1926" s="114" t="n"/>
      <c r="E1926" s="114" t="n"/>
      <c r="F1926" s="114" t="n"/>
      <c r="G1926" s="114" t="n"/>
      <c r="H1926" s="114" t="n"/>
      <c r="I1926" s="114" t="n"/>
      <c r="J1926" s="114" t="n"/>
    </row>
    <row r="1927" ht="15" customHeight="1" s="68">
      <c r="A1927" s="114" t="n"/>
      <c r="B1927" s="114" t="n"/>
      <c r="C1927" s="114" t="n"/>
      <c r="D1927" s="114" t="n"/>
      <c r="E1927" s="114" t="n"/>
      <c r="F1927" s="114" t="n"/>
      <c r="G1927" s="114" t="n"/>
      <c r="H1927" s="114" t="n"/>
      <c r="I1927" s="114" t="n"/>
      <c r="J1927" s="114" t="n"/>
    </row>
    <row r="1928" ht="15" customHeight="1" s="68">
      <c r="A1928" s="114" t="n"/>
      <c r="B1928" s="114" t="n"/>
      <c r="C1928" s="114" t="n"/>
      <c r="D1928" s="114" t="n"/>
      <c r="E1928" s="114" t="n"/>
      <c r="F1928" s="114" t="n"/>
      <c r="G1928" s="114" t="n"/>
      <c r="H1928" s="114" t="n"/>
      <c r="I1928" s="114" t="n"/>
      <c r="J1928" s="114" t="n"/>
    </row>
    <row r="1929" ht="15" customHeight="1" s="68">
      <c r="A1929" s="114" t="n"/>
      <c r="B1929" s="114" t="n"/>
      <c r="C1929" s="114" t="n"/>
      <c r="D1929" s="114" t="n"/>
      <c r="E1929" s="114" t="n"/>
      <c r="F1929" s="114" t="n"/>
      <c r="G1929" s="114" t="n"/>
      <c r="H1929" s="114" t="n"/>
      <c r="I1929" s="114" t="n"/>
      <c r="J1929" s="114" t="n"/>
    </row>
    <row r="1930" ht="15" customHeight="1" s="68">
      <c r="A1930" s="114" t="n"/>
      <c r="B1930" s="114" t="n"/>
      <c r="C1930" s="114" t="n"/>
      <c r="D1930" s="114" t="n"/>
      <c r="E1930" s="114" t="n"/>
      <c r="F1930" s="114" t="n"/>
      <c r="G1930" s="114" t="n"/>
      <c r="H1930" s="114" t="n"/>
      <c r="I1930" s="114" t="n"/>
      <c r="J1930" s="114" t="n"/>
    </row>
    <row r="1931" ht="15" customHeight="1" s="68">
      <c r="A1931" s="114" t="n"/>
      <c r="B1931" s="114" t="n"/>
      <c r="C1931" s="114" t="n"/>
      <c r="D1931" s="114" t="n"/>
      <c r="E1931" s="114" t="n"/>
      <c r="F1931" s="114" t="n"/>
      <c r="G1931" s="114" t="n"/>
      <c r="H1931" s="114" t="n"/>
      <c r="I1931" s="114" t="n"/>
      <c r="J1931" s="114" t="n"/>
    </row>
    <row r="1932" ht="15" customHeight="1" s="68">
      <c r="A1932" s="114" t="n"/>
      <c r="B1932" s="114" t="n"/>
      <c r="C1932" s="114" t="n"/>
      <c r="D1932" s="114" t="n"/>
      <c r="E1932" s="114" t="n"/>
      <c r="F1932" s="114" t="n"/>
      <c r="G1932" s="114" t="n"/>
      <c r="H1932" s="114" t="n"/>
      <c r="I1932" s="114" t="n"/>
      <c r="J1932" s="114" t="n"/>
    </row>
    <row r="1933" ht="15" customHeight="1" s="68">
      <c r="A1933" s="114" t="n"/>
      <c r="B1933" s="114" t="n"/>
      <c r="C1933" s="114" t="n"/>
      <c r="D1933" s="114" t="n"/>
      <c r="E1933" s="114" t="n"/>
      <c r="F1933" s="114" t="n"/>
      <c r="G1933" s="114" t="n"/>
      <c r="H1933" s="114" t="n"/>
      <c r="I1933" s="114" t="n"/>
      <c r="J1933" s="114" t="n"/>
    </row>
    <row r="1934" ht="15" customHeight="1" s="68">
      <c r="A1934" s="114" t="n"/>
      <c r="B1934" s="114" t="n"/>
      <c r="C1934" s="114" t="n"/>
      <c r="D1934" s="114" t="n"/>
      <c r="E1934" s="114" t="n"/>
      <c r="F1934" s="114" t="n"/>
      <c r="G1934" s="114" t="n"/>
      <c r="H1934" s="114" t="n"/>
      <c r="I1934" s="114" t="n"/>
      <c r="J1934" s="114" t="n"/>
    </row>
    <row r="1935" ht="15" customHeight="1" s="68">
      <c r="A1935" s="114" t="n"/>
      <c r="B1935" s="114" t="n"/>
      <c r="C1935" s="114" t="n"/>
      <c r="D1935" s="114" t="n"/>
      <c r="E1935" s="114" t="n"/>
      <c r="F1935" s="114" t="n"/>
      <c r="G1935" s="114" t="n"/>
      <c r="H1935" s="114" t="n"/>
      <c r="I1935" s="114" t="n"/>
      <c r="J1935" s="114" t="n"/>
    </row>
    <row r="1936" ht="15" customHeight="1" s="68">
      <c r="A1936" s="114" t="n"/>
      <c r="B1936" s="114" t="n"/>
      <c r="C1936" s="114" t="n"/>
      <c r="D1936" s="114" t="n"/>
      <c r="E1936" s="114" t="n"/>
      <c r="F1936" s="114" t="n"/>
      <c r="G1936" s="114" t="n"/>
      <c r="H1936" s="114" t="n"/>
      <c r="I1936" s="114" t="n"/>
      <c r="J1936" s="114" t="n"/>
    </row>
    <row r="1937" ht="15" customHeight="1" s="68">
      <c r="A1937" s="114" t="n"/>
      <c r="B1937" s="114" t="n"/>
      <c r="C1937" s="114" t="n"/>
      <c r="D1937" s="114" t="n"/>
      <c r="E1937" s="114" t="n"/>
      <c r="F1937" s="114" t="n"/>
      <c r="G1937" s="114" t="n"/>
      <c r="H1937" s="114" t="n"/>
      <c r="I1937" s="114" t="n"/>
      <c r="J1937" s="114" t="n"/>
    </row>
    <row r="1938" ht="15" customHeight="1" s="68">
      <c r="A1938" s="114" t="n"/>
      <c r="B1938" s="114" t="n"/>
      <c r="C1938" s="114" t="n"/>
      <c r="D1938" s="114" t="n"/>
      <c r="E1938" s="114" t="n"/>
      <c r="F1938" s="114" t="n"/>
      <c r="G1938" s="114" t="n"/>
      <c r="H1938" s="114" t="n"/>
      <c r="I1938" s="114" t="n"/>
      <c r="J1938" s="114" t="n"/>
    </row>
    <row r="1939" ht="15" customHeight="1" s="68">
      <c r="A1939" s="114" t="n"/>
      <c r="B1939" s="114" t="n"/>
      <c r="C1939" s="114" t="n"/>
      <c r="D1939" s="114" t="n"/>
      <c r="E1939" s="114" t="n"/>
      <c r="F1939" s="114" t="n"/>
      <c r="G1939" s="114" t="n"/>
      <c r="H1939" s="114" t="n"/>
      <c r="I1939" s="114" t="n"/>
      <c r="J1939" s="114" t="n"/>
    </row>
    <row r="1940" ht="15" customHeight="1" s="68">
      <c r="A1940" s="114" t="n"/>
      <c r="B1940" s="114" t="n"/>
      <c r="C1940" s="114" t="n"/>
      <c r="D1940" s="114" t="n"/>
      <c r="E1940" s="114" t="n"/>
      <c r="F1940" s="114" t="n"/>
      <c r="G1940" s="114" t="n"/>
      <c r="H1940" s="114" t="n"/>
      <c r="I1940" s="114" t="n"/>
      <c r="J1940" s="114" t="n"/>
    </row>
    <row r="1941" ht="15" customHeight="1" s="68">
      <c r="A1941" s="114" t="n"/>
      <c r="B1941" s="114" t="n"/>
      <c r="C1941" s="114" t="n"/>
      <c r="D1941" s="114" t="n"/>
      <c r="E1941" s="114" t="n"/>
      <c r="F1941" s="114" t="n"/>
      <c r="G1941" s="114" t="n"/>
      <c r="H1941" s="114" t="n"/>
      <c r="I1941" s="114" t="n"/>
      <c r="J1941" s="114" t="n"/>
    </row>
    <row r="1942" ht="15" customHeight="1" s="68">
      <c r="A1942" s="114" t="n"/>
      <c r="B1942" s="114" t="n"/>
      <c r="C1942" s="114" t="n"/>
      <c r="D1942" s="114" t="n"/>
      <c r="E1942" s="114" t="n"/>
      <c r="F1942" s="114" t="n"/>
      <c r="G1942" s="114" t="n"/>
      <c r="H1942" s="114" t="n"/>
      <c r="I1942" s="114" t="n"/>
      <c r="J1942" s="114" t="n"/>
    </row>
    <row r="1943" ht="15" customHeight="1" s="68">
      <c r="A1943" s="114" t="n"/>
      <c r="B1943" s="114" t="n"/>
      <c r="C1943" s="114" t="n"/>
      <c r="D1943" s="114" t="n"/>
      <c r="E1943" s="114" t="n"/>
      <c r="F1943" s="114" t="n"/>
      <c r="G1943" s="114" t="n"/>
      <c r="H1943" s="114" t="n"/>
      <c r="I1943" s="114" t="n"/>
      <c r="J1943" s="114" t="n"/>
    </row>
    <row r="1944" ht="15" customHeight="1" s="68">
      <c r="A1944" s="114" t="n"/>
      <c r="B1944" s="114" t="n"/>
      <c r="C1944" s="114" t="n"/>
      <c r="D1944" s="114" t="n"/>
      <c r="E1944" s="114" t="n"/>
      <c r="F1944" s="114" t="n"/>
      <c r="G1944" s="114" t="n"/>
      <c r="H1944" s="114" t="n"/>
      <c r="I1944" s="114" t="n"/>
      <c r="J1944" s="114" t="n"/>
    </row>
    <row r="1945" ht="15" customHeight="1" s="68">
      <c r="A1945" s="114" t="n"/>
      <c r="B1945" s="114" t="n"/>
      <c r="C1945" s="114" t="n"/>
      <c r="D1945" s="114" t="n"/>
      <c r="E1945" s="114" t="n"/>
      <c r="F1945" s="114" t="n"/>
      <c r="G1945" s="114" t="n"/>
      <c r="H1945" s="114" t="n"/>
      <c r="I1945" s="114" t="n"/>
      <c r="J1945" s="114" t="n"/>
    </row>
    <row r="1946" ht="15" customHeight="1" s="68">
      <c r="A1946" s="114" t="n"/>
      <c r="B1946" s="114" t="n"/>
      <c r="C1946" s="114" t="n"/>
      <c r="D1946" s="114" t="n"/>
      <c r="E1946" s="114" t="n"/>
      <c r="F1946" s="114" t="n"/>
      <c r="G1946" s="114" t="n"/>
      <c r="H1946" s="114" t="n"/>
      <c r="I1946" s="114" t="n"/>
      <c r="J1946" s="114" t="n"/>
    </row>
    <row r="1947" ht="15" customHeight="1" s="68">
      <c r="A1947" s="114" t="n"/>
      <c r="B1947" s="114" t="n"/>
      <c r="C1947" s="114" t="n"/>
      <c r="D1947" s="114" t="n"/>
      <c r="E1947" s="114" t="n"/>
      <c r="F1947" s="114" t="n"/>
      <c r="G1947" s="114" t="n"/>
      <c r="H1947" s="114" t="n"/>
      <c r="I1947" s="114" t="n"/>
      <c r="J1947" s="114" t="n"/>
    </row>
    <row r="1948" ht="15" customHeight="1" s="68">
      <c r="A1948" s="114" t="n"/>
      <c r="B1948" s="114" t="n"/>
      <c r="C1948" s="114" t="n"/>
      <c r="D1948" s="114" t="n"/>
      <c r="E1948" s="114" t="n"/>
      <c r="F1948" s="114" t="n"/>
      <c r="G1948" s="114" t="n"/>
      <c r="H1948" s="114" t="n"/>
      <c r="I1948" s="114" t="n"/>
      <c r="J1948" s="114" t="n"/>
    </row>
    <row r="1949" ht="15" customHeight="1" s="68">
      <c r="A1949" s="114" t="n"/>
      <c r="B1949" s="114" t="n"/>
      <c r="C1949" s="114" t="n"/>
      <c r="D1949" s="114" t="n"/>
      <c r="E1949" s="114" t="n"/>
      <c r="F1949" s="114" t="n"/>
      <c r="G1949" s="114" t="n"/>
      <c r="H1949" s="114" t="n"/>
      <c r="I1949" s="114" t="n"/>
      <c r="J1949" s="114" t="n"/>
    </row>
    <row r="1950" ht="15" customHeight="1" s="68">
      <c r="A1950" s="114" t="n"/>
      <c r="B1950" s="114" t="n"/>
      <c r="C1950" s="114" t="n"/>
      <c r="D1950" s="114" t="n"/>
      <c r="E1950" s="114" t="n"/>
      <c r="F1950" s="114" t="n"/>
      <c r="G1950" s="114" t="n"/>
      <c r="H1950" s="114" t="n"/>
      <c r="I1950" s="114" t="n"/>
      <c r="J1950" s="114" t="n"/>
    </row>
    <row r="1951" ht="15" customHeight="1" s="68">
      <c r="A1951" s="114" t="n"/>
      <c r="B1951" s="114" t="n"/>
      <c r="C1951" s="114" t="n"/>
      <c r="D1951" s="114" t="n"/>
      <c r="E1951" s="114" t="n"/>
      <c r="F1951" s="114" t="n"/>
      <c r="G1951" s="114" t="n"/>
      <c r="H1951" s="114" t="n"/>
      <c r="I1951" s="114" t="n"/>
      <c r="J1951" s="114" t="n"/>
    </row>
    <row r="1952" ht="15" customHeight="1" s="68">
      <c r="A1952" s="114" t="n"/>
      <c r="B1952" s="114" t="n"/>
      <c r="C1952" s="114" t="n"/>
      <c r="D1952" s="114" t="n"/>
      <c r="E1952" s="114" t="n"/>
      <c r="F1952" s="114" t="n"/>
      <c r="G1952" s="114" t="n"/>
      <c r="H1952" s="114" t="n"/>
      <c r="I1952" s="114" t="n"/>
      <c r="J1952" s="114" t="n"/>
    </row>
    <row r="1953" ht="15" customHeight="1" s="68">
      <c r="A1953" s="114" t="n"/>
      <c r="B1953" s="114" t="n"/>
      <c r="C1953" s="114" t="n"/>
      <c r="D1953" s="114" t="n"/>
      <c r="E1953" s="114" t="n"/>
      <c r="F1953" s="114" t="n"/>
      <c r="G1953" s="114" t="n"/>
      <c r="H1953" s="114" t="n"/>
      <c r="I1953" s="114" t="n"/>
      <c r="J1953" s="114" t="n"/>
    </row>
    <row r="1954" ht="15" customHeight="1" s="68">
      <c r="A1954" s="114" t="n"/>
      <c r="B1954" s="114" t="n"/>
      <c r="C1954" s="114" t="n"/>
      <c r="D1954" s="114" t="n"/>
      <c r="E1954" s="114" t="n"/>
      <c r="F1954" s="114" t="n"/>
      <c r="G1954" s="114" t="n"/>
      <c r="H1954" s="114" t="n"/>
      <c r="I1954" s="114" t="n"/>
      <c r="J1954" s="114" t="n"/>
    </row>
    <row r="1955" ht="15" customHeight="1" s="68">
      <c r="A1955" s="114" t="n"/>
      <c r="B1955" s="114" t="n"/>
      <c r="C1955" s="114" t="n"/>
      <c r="D1955" s="114" t="n"/>
      <c r="E1955" s="114" t="n"/>
      <c r="F1955" s="114" t="n"/>
      <c r="G1955" s="114" t="n"/>
      <c r="H1955" s="114" t="n"/>
      <c r="I1955" s="114" t="n"/>
      <c r="J1955" s="114" t="n"/>
    </row>
    <row r="1956" ht="15" customHeight="1" s="68">
      <c r="A1956" s="114" t="n"/>
      <c r="B1956" s="114" t="n"/>
      <c r="C1956" s="114" t="n"/>
      <c r="D1956" s="114" t="n"/>
      <c r="E1956" s="114" t="n"/>
      <c r="F1956" s="114" t="n"/>
      <c r="G1956" s="114" t="n"/>
      <c r="H1956" s="114" t="n"/>
      <c r="I1956" s="114" t="n"/>
      <c r="J1956" s="114" t="n"/>
    </row>
    <row r="1957" ht="15" customHeight="1" s="68">
      <c r="A1957" s="114" t="n"/>
      <c r="B1957" s="114" t="n"/>
      <c r="C1957" s="114" t="n"/>
      <c r="D1957" s="114" t="n"/>
      <c r="E1957" s="114" t="n"/>
      <c r="F1957" s="114" t="n"/>
      <c r="G1957" s="114" t="n"/>
      <c r="H1957" s="114" t="n"/>
      <c r="I1957" s="114" t="n"/>
      <c r="J1957" s="114" t="n"/>
    </row>
    <row r="1958" ht="15" customHeight="1" s="68">
      <c r="A1958" s="114" t="n"/>
      <c r="B1958" s="114" t="n"/>
      <c r="C1958" s="114" t="n"/>
      <c r="D1958" s="114" t="n"/>
      <c r="E1958" s="114" t="n"/>
      <c r="F1958" s="114" t="n"/>
      <c r="G1958" s="114" t="n"/>
      <c r="H1958" s="114" t="n"/>
      <c r="I1958" s="114" t="n"/>
      <c r="J1958" s="114" t="n"/>
    </row>
    <row r="1959" ht="15" customHeight="1" s="68">
      <c r="A1959" s="114" t="n"/>
      <c r="B1959" s="114" t="n"/>
      <c r="C1959" s="114" t="n"/>
      <c r="D1959" s="114" t="n"/>
      <c r="E1959" s="114" t="n"/>
      <c r="F1959" s="114" t="n"/>
      <c r="G1959" s="114" t="n"/>
      <c r="H1959" s="114" t="n"/>
      <c r="I1959" s="114" t="n"/>
      <c r="J1959" s="114" t="n"/>
    </row>
    <row r="1960" ht="15" customHeight="1" s="68">
      <c r="A1960" s="114" t="n"/>
      <c r="B1960" s="114" t="n"/>
      <c r="C1960" s="114" t="n"/>
      <c r="D1960" s="114" t="n"/>
      <c r="E1960" s="114" t="n"/>
      <c r="F1960" s="114" t="n"/>
      <c r="G1960" s="114" t="n"/>
      <c r="H1960" s="114" t="n"/>
      <c r="I1960" s="114" t="n"/>
      <c r="J1960" s="114" t="n"/>
    </row>
    <row r="1961" ht="15" customHeight="1" s="68">
      <c r="A1961" s="114" t="n"/>
      <c r="B1961" s="114" t="n"/>
      <c r="C1961" s="114" t="n"/>
      <c r="D1961" s="114" t="n"/>
      <c r="E1961" s="114" t="n"/>
      <c r="F1961" s="114" t="n"/>
      <c r="G1961" s="114" t="n"/>
      <c r="H1961" s="114" t="n"/>
      <c r="I1961" s="114" t="n"/>
      <c r="J1961" s="114" t="n"/>
    </row>
    <row r="1962" ht="15" customHeight="1" s="68">
      <c r="A1962" s="114" t="n"/>
      <c r="B1962" s="114" t="n"/>
      <c r="C1962" s="114" t="n"/>
      <c r="D1962" s="114" t="n"/>
      <c r="E1962" s="114" t="n"/>
      <c r="F1962" s="114" t="n"/>
      <c r="G1962" s="114" t="n"/>
      <c r="H1962" s="114" t="n"/>
      <c r="I1962" s="114" t="n"/>
      <c r="J1962" s="114" t="n"/>
    </row>
    <row r="1963" ht="15" customHeight="1" s="68">
      <c r="A1963" s="114" t="n"/>
      <c r="B1963" s="114" t="n"/>
      <c r="C1963" s="114" t="n"/>
      <c r="D1963" s="114" t="n"/>
      <c r="E1963" s="114" t="n"/>
      <c r="F1963" s="114" t="n"/>
      <c r="G1963" s="114" t="n"/>
      <c r="H1963" s="114" t="n"/>
      <c r="I1963" s="114" t="n"/>
      <c r="J1963" s="114" t="n"/>
    </row>
    <row r="1964" ht="15" customHeight="1" s="68">
      <c r="A1964" s="114" t="n"/>
      <c r="B1964" s="114" t="n"/>
      <c r="C1964" s="114" t="n"/>
      <c r="D1964" s="114" t="n"/>
      <c r="E1964" s="114" t="n"/>
      <c r="F1964" s="114" t="n"/>
      <c r="G1964" s="114" t="n"/>
      <c r="H1964" s="114" t="n"/>
      <c r="I1964" s="114" t="n"/>
      <c r="J1964" s="114" t="n"/>
    </row>
    <row r="1965" ht="15" customHeight="1" s="68">
      <c r="A1965" s="114" t="n"/>
      <c r="B1965" s="114" t="n"/>
      <c r="C1965" s="114" t="n"/>
      <c r="D1965" s="114" t="n"/>
      <c r="E1965" s="114" t="n"/>
      <c r="F1965" s="114" t="n"/>
      <c r="G1965" s="114" t="n"/>
      <c r="H1965" s="114" t="n"/>
      <c r="I1965" s="114" t="n"/>
      <c r="J1965" s="114" t="n"/>
    </row>
    <row r="1966" ht="15" customHeight="1" s="68">
      <c r="A1966" s="114" t="n"/>
      <c r="B1966" s="114" t="n"/>
      <c r="C1966" s="114" t="n"/>
      <c r="D1966" s="114" t="n"/>
      <c r="E1966" s="114" t="n"/>
      <c r="F1966" s="114" t="n"/>
      <c r="G1966" s="114" t="n"/>
      <c r="H1966" s="114" t="n"/>
      <c r="I1966" s="114" t="n"/>
      <c r="J1966" s="114" t="n"/>
    </row>
    <row r="1967" ht="15" customHeight="1" s="68">
      <c r="A1967" s="114" t="n"/>
      <c r="B1967" s="114" t="n"/>
      <c r="C1967" s="114" t="n"/>
      <c r="D1967" s="114" t="n"/>
      <c r="E1967" s="114" t="n"/>
      <c r="F1967" s="114" t="n"/>
      <c r="G1967" s="114" t="n"/>
      <c r="H1967" s="114" t="n"/>
      <c r="I1967" s="114" t="n"/>
      <c r="J1967" s="114" t="n"/>
    </row>
    <row r="1968" ht="15" customHeight="1" s="68">
      <c r="A1968" s="114" t="n"/>
      <c r="B1968" s="114" t="n"/>
      <c r="C1968" s="114" t="n"/>
      <c r="D1968" s="114" t="n"/>
      <c r="E1968" s="114" t="n"/>
      <c r="F1968" s="114" t="n"/>
      <c r="G1968" s="114" t="n"/>
      <c r="H1968" s="114" t="n"/>
      <c r="I1968" s="114" t="n"/>
      <c r="J1968" s="114" t="n"/>
    </row>
    <row r="1969" ht="15" customHeight="1" s="68">
      <c r="A1969" s="114" t="n"/>
      <c r="B1969" s="114" t="n"/>
      <c r="C1969" s="114" t="n"/>
      <c r="D1969" s="114" t="n"/>
      <c r="E1969" s="114" t="n"/>
      <c r="F1969" s="114" t="n"/>
      <c r="G1969" s="114" t="n"/>
      <c r="H1969" s="114" t="n"/>
      <c r="I1969" s="114" t="n"/>
      <c r="J1969" s="114" t="n"/>
    </row>
    <row r="1970" ht="15" customHeight="1" s="68">
      <c r="A1970" s="114" t="n"/>
      <c r="B1970" s="114" t="n"/>
      <c r="C1970" s="114" t="n"/>
      <c r="D1970" s="114" t="n"/>
      <c r="E1970" s="114" t="n"/>
      <c r="F1970" s="114" t="n"/>
      <c r="G1970" s="114" t="n"/>
      <c r="H1970" s="114" t="n"/>
      <c r="I1970" s="114" t="n"/>
      <c r="J1970" s="114" t="n"/>
    </row>
    <row r="1971" ht="15" customHeight="1" s="68">
      <c r="A1971" s="114" t="n"/>
      <c r="B1971" s="114" t="n"/>
      <c r="C1971" s="114" t="n"/>
      <c r="D1971" s="114" t="n"/>
      <c r="E1971" s="114" t="n"/>
      <c r="F1971" s="114" t="n"/>
      <c r="G1971" s="114" t="n"/>
      <c r="H1971" s="114" t="n"/>
      <c r="I1971" s="114" t="n"/>
      <c r="J1971" s="114" t="n"/>
    </row>
    <row r="1972" ht="15" customHeight="1" s="68">
      <c r="A1972" s="114" t="n"/>
      <c r="B1972" s="114" t="n"/>
      <c r="C1972" s="114" t="n"/>
      <c r="D1972" s="114" t="n"/>
      <c r="E1972" s="114" t="n"/>
      <c r="F1972" s="114" t="n"/>
      <c r="G1972" s="114" t="n"/>
      <c r="H1972" s="114" t="n"/>
      <c r="I1972" s="114" t="n"/>
      <c r="J1972" s="114" t="n"/>
    </row>
    <row r="1973" ht="15" customHeight="1" s="68">
      <c r="A1973" s="114" t="n"/>
      <c r="B1973" s="114" t="n"/>
      <c r="C1973" s="114" t="n"/>
      <c r="D1973" s="114" t="n"/>
      <c r="E1973" s="114" t="n"/>
      <c r="F1973" s="114" t="n"/>
      <c r="G1973" s="114" t="n"/>
      <c r="H1973" s="114" t="n"/>
      <c r="I1973" s="114" t="n"/>
      <c r="J1973" s="114" t="n"/>
    </row>
    <row r="1974" ht="15" customHeight="1" s="68">
      <c r="A1974" s="114" t="n"/>
      <c r="B1974" s="114" t="n"/>
      <c r="C1974" s="114" t="n"/>
      <c r="D1974" s="114" t="n"/>
      <c r="E1974" s="114" t="n"/>
      <c r="F1974" s="114" t="n"/>
      <c r="G1974" s="114" t="n"/>
      <c r="H1974" s="114" t="n"/>
      <c r="I1974" s="114" t="n"/>
      <c r="J1974" s="114" t="n"/>
    </row>
    <row r="1975" ht="15" customHeight="1" s="68">
      <c r="A1975" s="114" t="n"/>
      <c r="B1975" s="114" t="n"/>
      <c r="C1975" s="114" t="n"/>
      <c r="D1975" s="114" t="n"/>
      <c r="E1975" s="114" t="n"/>
      <c r="F1975" s="114" t="n"/>
      <c r="G1975" s="114" t="n"/>
      <c r="H1975" s="114" t="n"/>
      <c r="I1975" s="114" t="n"/>
      <c r="J1975" s="114" t="n"/>
    </row>
    <row r="1976" ht="15" customHeight="1" s="68">
      <c r="A1976" s="114" t="n"/>
      <c r="B1976" s="114" t="n"/>
      <c r="C1976" s="114" t="n"/>
      <c r="D1976" s="114" t="n"/>
      <c r="E1976" s="114" t="n"/>
      <c r="F1976" s="114" t="n"/>
      <c r="G1976" s="114" t="n"/>
      <c r="H1976" s="114" t="n"/>
      <c r="I1976" s="114" t="n"/>
      <c r="J1976" s="114" t="n"/>
    </row>
    <row r="1977" ht="15" customHeight="1" s="68">
      <c r="A1977" s="114" t="n"/>
      <c r="B1977" s="114" t="n"/>
      <c r="C1977" s="114" t="n"/>
      <c r="D1977" s="114" t="n"/>
      <c r="E1977" s="114" t="n"/>
      <c r="F1977" s="114" t="n"/>
      <c r="G1977" s="114" t="n"/>
      <c r="H1977" s="114" t="n"/>
      <c r="I1977" s="114" t="n"/>
      <c r="J1977" s="114" t="n"/>
    </row>
    <row r="1978" ht="15" customHeight="1" s="68">
      <c r="A1978" s="114" t="n"/>
      <c r="B1978" s="114" t="n"/>
      <c r="C1978" s="114" t="n"/>
      <c r="D1978" s="114" t="n"/>
      <c r="E1978" s="114" t="n"/>
      <c r="F1978" s="114" t="n"/>
      <c r="G1978" s="114" t="n"/>
      <c r="H1978" s="114" t="n"/>
      <c r="I1978" s="114" t="n"/>
      <c r="J1978" s="114" t="n"/>
    </row>
    <row r="1979" ht="15" customHeight="1" s="68">
      <c r="A1979" s="114" t="n"/>
      <c r="B1979" s="114" t="n"/>
      <c r="C1979" s="114" t="n"/>
      <c r="D1979" s="114" t="n"/>
      <c r="E1979" s="114" t="n"/>
      <c r="F1979" s="114" t="n"/>
      <c r="G1979" s="114" t="n"/>
      <c r="H1979" s="114" t="n"/>
      <c r="I1979" s="114" t="n"/>
      <c r="J1979" s="114" t="n"/>
    </row>
    <row r="1980" ht="15" customHeight="1" s="68">
      <c r="A1980" s="114" t="n"/>
      <c r="B1980" s="114" t="n"/>
      <c r="C1980" s="114" t="n"/>
      <c r="D1980" s="114" t="n"/>
      <c r="E1980" s="114" t="n"/>
      <c r="F1980" s="114" t="n"/>
      <c r="G1980" s="114" t="n"/>
      <c r="H1980" s="114" t="n"/>
      <c r="I1980" s="114" t="n"/>
      <c r="J1980" s="114" t="n"/>
    </row>
    <row r="1981" ht="15" customHeight="1" s="68">
      <c r="A1981" s="114" t="n"/>
      <c r="B1981" s="114" t="n"/>
      <c r="C1981" s="114" t="n"/>
      <c r="D1981" s="114" t="n"/>
      <c r="E1981" s="114" t="n"/>
      <c r="F1981" s="114" t="n"/>
      <c r="G1981" s="114" t="n"/>
      <c r="H1981" s="114" t="n"/>
      <c r="I1981" s="114" t="n"/>
      <c r="J1981" s="114" t="n"/>
    </row>
    <row r="1982" ht="15" customHeight="1" s="68">
      <c r="A1982" s="114" t="n"/>
      <c r="B1982" s="114" t="n"/>
      <c r="C1982" s="114" t="n"/>
      <c r="D1982" s="114" t="n"/>
      <c r="E1982" s="114" t="n"/>
      <c r="F1982" s="114" t="n"/>
      <c r="G1982" s="114" t="n"/>
      <c r="H1982" s="114" t="n"/>
      <c r="I1982" s="114" t="n"/>
      <c r="J1982" s="114" t="n"/>
    </row>
    <row r="1983" ht="15" customHeight="1" s="68">
      <c r="A1983" s="114" t="n"/>
      <c r="B1983" s="114" t="n"/>
      <c r="C1983" s="114" t="n"/>
      <c r="D1983" s="114" t="n"/>
      <c r="E1983" s="114" t="n"/>
      <c r="F1983" s="114" t="n"/>
      <c r="G1983" s="114" t="n"/>
      <c r="H1983" s="114" t="n"/>
      <c r="I1983" s="114" t="n"/>
      <c r="J1983" s="114" t="n"/>
    </row>
    <row r="1984" ht="15" customHeight="1" s="68">
      <c r="A1984" s="114" t="n"/>
      <c r="B1984" s="114" t="n"/>
      <c r="C1984" s="114" t="n"/>
      <c r="D1984" s="114" t="n"/>
      <c r="E1984" s="114" t="n"/>
      <c r="F1984" s="114" t="n"/>
      <c r="G1984" s="114" t="n"/>
      <c r="H1984" s="114" t="n"/>
      <c r="I1984" s="114" t="n"/>
      <c r="J1984" s="114" t="n"/>
    </row>
    <row r="1985" ht="15" customHeight="1" s="68">
      <c r="A1985" s="114" t="n"/>
      <c r="B1985" s="114" t="n"/>
      <c r="C1985" s="114" t="n"/>
      <c r="D1985" s="114" t="n"/>
      <c r="E1985" s="114" t="n"/>
      <c r="F1985" s="114" t="n"/>
      <c r="G1985" s="114" t="n"/>
      <c r="H1985" s="114" t="n"/>
      <c r="I1985" s="114" t="n"/>
      <c r="J1985" s="114" t="n"/>
    </row>
    <row r="1986" ht="15" customHeight="1" s="68">
      <c r="A1986" s="114" t="n"/>
      <c r="B1986" s="114" t="n"/>
      <c r="C1986" s="114" t="n"/>
      <c r="D1986" s="114" t="n"/>
      <c r="E1986" s="114" t="n"/>
      <c r="F1986" s="114" t="n"/>
      <c r="G1986" s="114" t="n"/>
      <c r="H1986" s="114" t="n"/>
      <c r="I1986" s="114" t="n"/>
      <c r="J1986" s="114" t="n"/>
    </row>
    <row r="1987" ht="15" customHeight="1" s="68">
      <c r="A1987" s="114" t="n"/>
      <c r="B1987" s="114" t="n"/>
      <c r="C1987" s="114" t="n"/>
      <c r="D1987" s="114" t="n"/>
      <c r="E1987" s="114" t="n"/>
      <c r="F1987" s="114" t="n"/>
      <c r="G1987" s="114" t="n"/>
      <c r="H1987" s="114" t="n"/>
      <c r="I1987" s="114" t="n"/>
      <c r="J1987" s="114" t="n"/>
    </row>
    <row r="1988" ht="15" customHeight="1" s="68">
      <c r="A1988" s="114" t="n"/>
      <c r="B1988" s="114" t="n"/>
      <c r="C1988" s="114" t="n"/>
      <c r="D1988" s="114" t="n"/>
      <c r="E1988" s="114" t="n"/>
      <c r="F1988" s="114" t="n"/>
      <c r="G1988" s="114" t="n"/>
      <c r="H1988" s="114" t="n"/>
      <c r="I1988" s="114" t="n"/>
      <c r="J1988" s="114" t="n"/>
    </row>
    <row r="1989" ht="15" customHeight="1" s="68">
      <c r="A1989" s="114" t="n"/>
      <c r="B1989" s="114" t="n"/>
      <c r="C1989" s="114" t="n"/>
      <c r="D1989" s="114" t="n"/>
      <c r="E1989" s="114" t="n"/>
      <c r="F1989" s="114" t="n"/>
      <c r="G1989" s="114" t="n"/>
      <c r="H1989" s="114" t="n"/>
      <c r="I1989" s="114" t="n"/>
      <c r="J1989" s="114" t="n"/>
    </row>
    <row r="1990" ht="15" customHeight="1" s="68">
      <c r="A1990" s="114" t="n"/>
      <c r="B1990" s="114" t="n"/>
      <c r="C1990" s="114" t="n"/>
      <c r="D1990" s="114" t="n"/>
      <c r="E1990" s="114" t="n"/>
      <c r="F1990" s="114" t="n"/>
      <c r="G1990" s="114" t="n"/>
      <c r="H1990" s="114" t="n"/>
      <c r="I1990" s="114" t="n"/>
      <c r="J1990" s="114" t="n"/>
    </row>
    <row r="1991" ht="15" customHeight="1" s="68">
      <c r="A1991" s="114" t="n"/>
      <c r="B1991" s="114" t="n"/>
      <c r="C1991" s="114" t="n"/>
      <c r="D1991" s="114" t="n"/>
      <c r="E1991" s="114" t="n"/>
      <c r="F1991" s="114" t="n"/>
      <c r="G1991" s="114" t="n"/>
      <c r="H1991" s="114" t="n"/>
      <c r="I1991" s="114" t="n"/>
      <c r="J1991" s="114" t="n"/>
    </row>
    <row r="1992" ht="15" customHeight="1" s="68">
      <c r="A1992" s="114" t="n"/>
      <c r="B1992" s="114" t="n"/>
      <c r="C1992" s="114" t="n"/>
      <c r="D1992" s="114" t="n"/>
      <c r="E1992" s="114" t="n"/>
      <c r="F1992" s="114" t="n"/>
      <c r="G1992" s="114" t="n"/>
      <c r="H1992" s="114" t="n"/>
      <c r="I1992" s="114" t="n"/>
      <c r="J1992" s="114" t="n"/>
    </row>
    <row r="1993" ht="15" customHeight="1" s="68">
      <c r="A1993" s="114" t="n"/>
      <c r="B1993" s="114" t="n"/>
      <c r="C1993" s="114" t="n"/>
      <c r="D1993" s="114" t="n"/>
      <c r="E1993" s="114" t="n"/>
      <c r="F1993" s="114" t="n"/>
      <c r="G1993" s="114" t="n"/>
      <c r="H1993" s="114" t="n"/>
      <c r="I1993" s="114" t="n"/>
      <c r="J1993" s="114" t="n"/>
    </row>
    <row r="1994" ht="15" customHeight="1" s="68">
      <c r="A1994" s="114" t="n"/>
      <c r="B1994" s="114" t="n"/>
      <c r="C1994" s="114" t="n"/>
      <c r="D1994" s="114" t="n"/>
      <c r="E1994" s="114" t="n"/>
      <c r="F1994" s="114" t="n"/>
      <c r="G1994" s="114" t="n"/>
      <c r="H1994" s="114" t="n"/>
      <c r="I1994" s="114" t="n"/>
      <c r="J1994" s="114" t="n"/>
    </row>
    <row r="1995" ht="15" customHeight="1" s="68">
      <c r="A1995" s="114" t="n"/>
      <c r="B1995" s="114" t="n"/>
      <c r="C1995" s="114" t="n"/>
      <c r="D1995" s="114" t="n"/>
      <c r="E1995" s="114" t="n"/>
      <c r="F1995" s="114" t="n"/>
      <c r="G1995" s="114" t="n"/>
      <c r="H1995" s="114" t="n"/>
      <c r="I1995" s="114" t="n"/>
      <c r="J1995" s="114" t="n"/>
    </row>
    <row r="1996" ht="15" customHeight="1" s="68">
      <c r="A1996" s="114" t="n"/>
      <c r="B1996" s="114" t="n"/>
      <c r="C1996" s="114" t="n"/>
      <c r="D1996" s="114" t="n"/>
      <c r="E1996" s="114" t="n"/>
      <c r="F1996" s="114" t="n"/>
      <c r="G1996" s="114" t="n"/>
      <c r="H1996" s="114" t="n"/>
      <c r="I1996" s="114" t="n"/>
      <c r="J1996" s="114" t="n"/>
    </row>
    <row r="1997" ht="15" customHeight="1" s="68">
      <c r="A1997" s="114" t="n"/>
      <c r="B1997" s="114" t="n"/>
      <c r="C1997" s="114" t="n"/>
      <c r="D1997" s="114" t="n"/>
      <c r="E1997" s="114" t="n"/>
      <c r="F1997" s="114" t="n"/>
      <c r="G1997" s="114" t="n"/>
      <c r="H1997" s="114" t="n"/>
      <c r="I1997" s="114" t="n"/>
      <c r="J1997" s="114" t="n"/>
    </row>
    <row r="1998" ht="15" customHeight="1" s="68">
      <c r="A1998" s="114" t="n"/>
      <c r="B1998" s="114" t="n"/>
      <c r="C1998" s="114" t="n"/>
      <c r="D1998" s="114" t="n"/>
      <c r="E1998" s="114" t="n"/>
      <c r="F1998" s="114" t="n"/>
      <c r="G1998" s="114" t="n"/>
      <c r="H1998" s="114" t="n"/>
      <c r="I1998" s="114" t="n"/>
      <c r="J1998" s="114" t="n"/>
    </row>
    <row r="1999" ht="15" customHeight="1" s="68">
      <c r="A1999" s="114" t="n"/>
      <c r="B1999" s="114" t="n"/>
      <c r="C1999" s="114" t="n"/>
      <c r="D1999" s="114" t="n"/>
      <c r="E1999" s="114" t="n"/>
      <c r="F1999" s="114" t="n"/>
      <c r="G1999" s="114" t="n"/>
      <c r="H1999" s="114" t="n"/>
      <c r="I1999" s="114" t="n"/>
      <c r="J1999" s="114" t="n"/>
    </row>
    <row r="2000" ht="15" customHeight="1" s="68">
      <c r="A2000" s="114" t="n"/>
      <c r="B2000" s="114" t="n"/>
      <c r="C2000" s="114" t="n"/>
      <c r="D2000" s="114" t="n"/>
      <c r="E2000" s="114" t="n"/>
      <c r="F2000" s="114" t="n"/>
      <c r="G2000" s="114" t="n"/>
      <c r="H2000" s="114" t="n"/>
      <c r="I2000" s="114" t="n"/>
      <c r="J2000" s="114" t="n"/>
    </row>
    <row r="2001" ht="15" customHeight="1" s="68">
      <c r="A2001" s="114" t="n"/>
      <c r="B2001" s="114" t="n"/>
      <c r="C2001" s="114" t="n"/>
      <c r="D2001" s="114" t="n"/>
      <c r="E2001" s="114" t="n"/>
      <c r="F2001" s="114" t="n"/>
      <c r="G2001" s="114" t="n"/>
      <c r="H2001" s="114" t="n"/>
      <c r="I2001" s="114" t="n"/>
      <c r="J2001" s="114" t="n"/>
    </row>
    <row r="2002" ht="15" customHeight="1" s="68">
      <c r="A2002" s="114" t="n"/>
      <c r="B2002" s="114" t="n"/>
      <c r="C2002" s="114" t="n"/>
      <c r="D2002" s="114" t="n"/>
      <c r="E2002" s="114" t="n"/>
      <c r="F2002" s="114" t="n"/>
      <c r="G2002" s="114" t="n"/>
      <c r="H2002" s="114" t="n"/>
      <c r="I2002" s="114" t="n"/>
      <c r="J2002" s="114" t="n"/>
    </row>
    <row r="2003" ht="15" customHeight="1" s="68">
      <c r="A2003" s="114" t="n"/>
      <c r="B2003" s="114" t="n"/>
      <c r="C2003" s="114" t="n"/>
      <c r="D2003" s="114" t="n"/>
      <c r="E2003" s="114" t="n"/>
      <c r="F2003" s="114" t="n"/>
      <c r="G2003" s="114" t="n"/>
      <c r="H2003" s="114" t="n"/>
      <c r="I2003" s="114" t="n"/>
      <c r="J2003" s="114" t="n"/>
    </row>
    <row r="2004" ht="15" customHeight="1" s="68">
      <c r="A2004" s="114" t="n"/>
      <c r="B2004" s="114" t="n"/>
      <c r="C2004" s="114" t="n"/>
      <c r="D2004" s="114" t="n"/>
      <c r="E2004" s="114" t="n"/>
      <c r="F2004" s="114" t="n"/>
      <c r="G2004" s="114" t="n"/>
      <c r="H2004" s="114" t="n"/>
      <c r="I2004" s="114" t="n"/>
      <c r="J2004" s="114" t="n"/>
    </row>
    <row r="2006" ht="19.5" customHeight="1" s="68">
      <c r="A2006" s="105" t="inlineStr">
        <is>
          <t>Vergi matrah zinciri: GV=CIF×oran, ÖTV=(CIF+GV)×oran, KDV=(CIF+GV+ÖTV)×oran; yurt içi masraflar FOB payıyla ürünlere dağıtılır.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006:AN2006"/>
    <mergeCell ref="A4:U4"/>
    <mergeCell ref="A1:AD1"/>
  </mergeCells>
  <conditionalFormatting sqref="T6:T2004">
    <cfRule type="cellIs" rank="0" priority="2" equalAverage="0" operator="greaterThan" aboveAverage="0" dxfId="6" text="" percent="0" bottom="0">
      <formula>0</formula>
    </cfRule>
  </conditionalFormatting>
  <conditionalFormatting sqref="U6:U2004">
    <cfRule type="cellIs" rank="0" priority="3" equalAverage="0" operator="greaterThan" aboveAverage="0" dxfId="7" text="" percent="0" bottom="0">
      <formula>MaliyetFaktorEsik</formula>
    </cfRule>
  </conditionalFormatting>
  <conditionalFormatting sqref="D6:D2004">
    <cfRule type="cellIs" rank="0" priority="4" equalAverage="0" operator="lessThan" aboveAverage="0" dxfId="7" text="" percent="0" bottom="0">
      <formula>0</formula>
    </cfRule>
  </conditionalFormatting>
  <conditionalFormatting sqref="F6:F2004">
    <cfRule type="cellIs" rank="0" priority="5" equalAverage="0" operator="equal" aboveAverage="0" dxfId="8" text="" percent="0" bottom="0">
      <formula>0</formula>
    </cfRule>
  </conditionalFormatting>
  <conditionalFormatting sqref="S6:S2004">
    <cfRule type="cellIs" rank="0" priority="6" equalAverage="0" operator="greaterThan" aboveAverage="0" dxfId="6" text="" percent="0" bottom="0">
      <formula>0</formula>
    </cfRule>
  </conditionalFormatting>
  <conditionalFormatting sqref="H6:H2004">
    <cfRule type="cellIs" rank="0" priority="7" equalAverage="0" operator="greaterThan" aboveAverage="0" dxfId="7" text="" percent="0" bottom="0">
      <formula>1</formula>
    </cfRule>
  </conditionalFormatting>
  <dataValidations count="5">
    <dataValidation sqref="E6:E2004" showDropDown="0" showInputMessage="1" showErrorMessage="1" allowBlank="1" errorTitle="Geçersiz döviz cinsi" error="Listeden bir değer seçin." promptTitle="Döviz Cinsi" prompt="USD / EUR / GBP seçin." type="list" errorStyle="stop" operator="between">
      <formula1>dovizcinsleri</formula1>
      <formula2>0</formula2>
    </dataValidation>
    <dataValidation sqref="B6:B2004" showDropDown="0" showInputMessage="1" showErrorMessage="1" allowBlank="1" errorTitle="Geçersiz birim" error="Listeden bir değer seçin." promptTitle="Birim" prompt="Adet / Kg / Ton / Palet / Metre seçin." type="list" errorStyle="stop" operator="between">
      <formula1>birimler</formula1>
      <formula2>0</formula2>
    </dataValidation>
    <dataValidation sqref="C6:C2004" showDropDown="0" showInputMessage="1" showErrorMessage="1" allowBlank="1" errorTitle="Geçersiz adet" error="Adet 0'dan büyük olmalıdır." promptTitle="Adet" prompt="İthal edilen ürün adedini girin." type="decimal" errorStyle="stop" operator="greaterThan">
      <formula1>0</formula1>
      <formula2>0</formula2>
    </dataValidation>
    <dataValidation sqref="D6:D2004" showDropDown="0" showInputMessage="1" showErrorMessage="1" allowBlank="1" errorTitle="Geçersiz fiyat" error="Fiyat 0'dan büyük olmalıdır." promptTitle="FOB Birim Fiyat" prompt="Döviz cinsinden birim fiyatı girin." type="decimal" errorStyle="stop" operator="greaterThan">
      <formula1>0</formula1>
      <formula2>0</formula2>
    </dataValidation>
    <dataValidation sqref="F6:F2004" showDropDown="0" showInputMessage="1" showErrorMessage="1" allowBlank="1" errorTitle="Geçersiz kur" error="Kur 0'dan büyük olmalıdır." promptTitle="Kur" prompt="1 döviz biriminin TL karşılığını girin." type="decimal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94" min="1" max="1"/>
    <col width="20" customWidth="1" style="94" min="2" max="3"/>
  </cols>
  <sheetData>
    <row r="1" ht="25.5" customHeight="1" s="68">
      <c r="A1" s="106" t="inlineStr">
        <is>
          <t>MASRAFLAR — İTHALAT DEPO TESLİM (RAFA GELEN) NET BİRİM MALİYET</t>
        </is>
      </c>
    </row>
    <row r="3" ht="15" customHeight="1" s="68">
      <c r="A3" s="107" t="inlineStr">
        <is>
          <t>Yurt İçi Operasyon Masrafları (Liman → Depo)</t>
        </is>
      </c>
    </row>
    <row r="4" ht="15" customHeight="1" s="68">
      <c r="A4" s="108" t="inlineStr">
        <is>
          <t>Sarı hücrelere masraf kalemi ve TL tutarı girin; ürünlere FOB payıyla otomatik dağıtılır.</t>
        </is>
      </c>
    </row>
    <row r="5" ht="30" customHeight="1" s="68">
      <c r="A5" s="109" t="inlineStr">
        <is>
          <t>Masraf Kalemi</t>
        </is>
      </c>
      <c r="B5" s="109" t="inlineStr">
        <is>
          <t>Tutar TL</t>
        </is>
      </c>
      <c r="C5" s="109" t="inlineStr">
        <is>
          <t>Açıklama</t>
        </is>
      </c>
    </row>
    <row r="6" ht="15" customHeight="1" s="68">
      <c r="A6" s="110" t="inlineStr">
        <is>
          <t>Liman ve Antrepo</t>
        </is>
      </c>
      <c r="B6" s="115" t="n">
        <v>25000</v>
      </c>
      <c r="C6" s="110" t="inlineStr">
        <is>
          <t>Sevkiyat başı</t>
        </is>
      </c>
    </row>
    <row r="7" ht="15" customHeight="1" s="68">
      <c r="A7" s="110" t="inlineStr">
        <is>
          <t>Gümrük Müşavirliği</t>
        </is>
      </c>
      <c r="B7" s="115" t="n">
        <v>8000</v>
      </c>
      <c r="C7" s="110" t="inlineStr">
        <is>
          <t>Beyan ve refakat</t>
        </is>
      </c>
    </row>
    <row r="8" ht="15" customHeight="1" s="68">
      <c r="A8" s="110" t="inlineStr">
        <is>
          <t>Yurt İçi Nakliye</t>
        </is>
      </c>
      <c r="B8" s="115" t="n">
        <v>15000</v>
      </c>
      <c r="C8" s="110" t="inlineStr">
        <is>
          <t>Liman → depo</t>
        </is>
      </c>
    </row>
    <row r="9" ht="15" customHeight="1" s="68">
      <c r="A9" s="110" t="inlineStr">
        <is>
          <t>Belgelendirme</t>
        </is>
      </c>
      <c r="B9" s="115" t="n">
        <v>3000</v>
      </c>
      <c r="C9" s="110" t="inlineStr">
        <is>
          <t>Menşe ve uygunluk</t>
        </is>
      </c>
    </row>
    <row r="10" ht="15" customHeight="1" s="68">
      <c r="A10" s="110" t="inlineStr">
        <is>
          <t>Sigorta Primi</t>
        </is>
      </c>
      <c r="B10" s="115" t="n">
        <v>4500</v>
      </c>
      <c r="C10" s="110" t="inlineStr">
        <is>
          <t>Nakliyat sigortası</t>
        </is>
      </c>
    </row>
    <row r="11" ht="15" customHeight="1" s="68">
      <c r="A11" s="110" t="inlineStr">
        <is>
          <t>Damga Vergisi</t>
        </is>
      </c>
      <c r="B11" s="115" t="n">
        <v>1200</v>
      </c>
      <c r="C11" s="110" t="inlineStr">
        <is>
          <t>Beyanname</t>
        </is>
      </c>
    </row>
    <row r="12" ht="15" customHeight="1" s="68">
      <c r="A12" s="110" t="inlineStr">
        <is>
          <t>Bankacılık ve Döviz</t>
        </is>
      </c>
      <c r="B12" s="115" t="n">
        <v>2500</v>
      </c>
      <c r="C12" s="110" t="inlineStr">
        <is>
          <t>Ödeme masrafları</t>
        </is>
      </c>
    </row>
    <row r="13" ht="15" customHeight="1" s="68">
      <c r="A13" s="110" t="inlineStr">
        <is>
          <t>Konteyner Depolama</t>
        </is>
      </c>
      <c r="B13" s="115" t="n">
        <v>6000</v>
      </c>
      <c r="C13" s="110" t="inlineStr">
        <is>
          <t>Bekleme süresi</t>
        </is>
      </c>
    </row>
    <row r="14" ht="15" customHeight="1" s="68">
      <c r="A14" s="110" t="inlineStr">
        <is>
          <t>Palet ve Ambalaj</t>
        </is>
      </c>
      <c r="B14" s="115" t="n">
        <v>3800</v>
      </c>
      <c r="C14" s="110" t="inlineStr">
        <is>
          <t>Taşıma koruması</t>
        </is>
      </c>
    </row>
    <row r="15" ht="15" customHeight="1" s="68">
      <c r="A15" s="110" t="inlineStr">
        <is>
          <t>Geçici Depolama</t>
        </is>
      </c>
      <c r="B15" s="115" t="n">
        <v>2200</v>
      </c>
      <c r="C15" s="110" t="inlineStr">
        <is>
          <t>Depo elleçleme</t>
        </is>
      </c>
    </row>
    <row r="16" ht="15" customHeight="1" s="68">
      <c r="A16" s="114" t="n"/>
      <c r="B16" s="114" t="n"/>
      <c r="C16" s="114" t="n"/>
    </row>
    <row r="17" ht="15" customHeight="1" s="68">
      <c r="A17" s="114" t="n"/>
      <c r="B17" s="114" t="n"/>
      <c r="C17" s="114" t="n"/>
    </row>
    <row r="18" ht="15" customHeight="1" s="68">
      <c r="A18" s="114" t="n"/>
      <c r="B18" s="114" t="n"/>
      <c r="C18" s="114" t="n"/>
    </row>
    <row r="19" ht="15" customHeight="1" s="68">
      <c r="A19" s="114" t="n"/>
      <c r="B19" s="114" t="n"/>
      <c r="C19" s="114" t="n"/>
    </row>
    <row r="20" ht="15" customHeight="1" s="68">
      <c r="A20" s="114" t="n"/>
      <c r="B20" s="114" t="n"/>
      <c r="C20" s="114" t="n"/>
    </row>
    <row r="21" ht="15" customHeight="1" s="68">
      <c r="A21" s="114" t="n"/>
      <c r="B21" s="114" t="n"/>
      <c r="C21" s="114" t="n"/>
    </row>
    <row r="22" ht="15" customHeight="1" s="68">
      <c r="A22" s="114" t="n"/>
      <c r="B22" s="114" t="n"/>
      <c r="C22" s="114" t="n"/>
    </row>
    <row r="23" ht="15" customHeight="1" s="68">
      <c r="A23" s="114" t="n"/>
      <c r="B23" s="114" t="n"/>
      <c r="C23" s="114" t="n"/>
    </row>
    <row r="24" ht="15" customHeight="1" s="68">
      <c r="A24" s="114" t="n"/>
      <c r="B24" s="114" t="n"/>
      <c r="C24" s="114" t="n"/>
    </row>
    <row r="25" ht="15" customHeight="1" s="68">
      <c r="A25" s="114" t="n"/>
      <c r="B25" s="114" t="n"/>
      <c r="C25" s="114" t="n"/>
    </row>
    <row r="26" ht="15" customHeight="1" s="68">
      <c r="A26" s="114" t="n"/>
      <c r="B26" s="114" t="n"/>
      <c r="C26" s="114" t="n"/>
    </row>
    <row r="27" ht="15" customHeight="1" s="68">
      <c r="A27" s="114" t="n"/>
      <c r="B27" s="114" t="n"/>
      <c r="C27" s="114" t="n"/>
    </row>
    <row r="28" ht="15" customHeight="1" s="68">
      <c r="A28" s="114" t="n"/>
      <c r="B28" s="114" t="n"/>
      <c r="C28" s="114" t="n"/>
    </row>
    <row r="29" ht="15" customHeight="1" s="68">
      <c r="A29" s="114" t="n"/>
      <c r="B29" s="114" t="n"/>
      <c r="C29" s="114" t="n"/>
    </row>
    <row r="30" ht="15" customHeight="1" s="68">
      <c r="A30" s="114" t="n"/>
      <c r="B30" s="114" t="n"/>
      <c r="C30" s="114" t="n"/>
    </row>
    <row r="31" ht="15" customHeight="1" s="68">
      <c r="A31" s="114" t="n"/>
      <c r="B31" s="114" t="n"/>
      <c r="C31" s="114" t="n"/>
    </row>
    <row r="32" ht="15" customHeight="1" s="68">
      <c r="A32" s="114" t="n"/>
      <c r="B32" s="114" t="n"/>
      <c r="C32" s="114" t="n"/>
    </row>
    <row r="33" ht="15" customHeight="1" s="68">
      <c r="A33" s="114" t="n"/>
      <c r="B33" s="114" t="n"/>
      <c r="C33" s="114" t="n"/>
    </row>
    <row r="34" ht="15" customHeight="1" s="68">
      <c r="A34" s="114" t="n"/>
      <c r="B34" s="114" t="n"/>
      <c r="C34" s="114" t="n"/>
    </row>
    <row r="35" ht="15" customHeight="1" s="68">
      <c r="A35" s="114" t="n"/>
      <c r="B35" s="114" t="n"/>
      <c r="C35" s="114" t="n"/>
    </row>
    <row r="36" ht="15" customHeight="1" s="68">
      <c r="A36" s="114" t="n"/>
      <c r="B36" s="114" t="n"/>
      <c r="C36" s="114" t="n"/>
    </row>
    <row r="37" ht="15" customHeight="1" s="68">
      <c r="A37" s="114" t="n"/>
      <c r="B37" s="114" t="n"/>
      <c r="C37" s="114" t="n"/>
    </row>
    <row r="38" ht="15" customHeight="1" s="68">
      <c r="A38" s="114" t="n"/>
      <c r="B38" s="114" t="n"/>
      <c r="C38" s="114" t="n"/>
    </row>
    <row r="39" ht="15" customHeight="1" s="68">
      <c r="A39" s="114" t="n"/>
      <c r="B39" s="114" t="n"/>
      <c r="C39" s="114" t="n"/>
    </row>
    <row r="40" ht="15" customHeight="1" s="68">
      <c r="A40" s="114" t="n"/>
      <c r="B40" s="114" t="n"/>
      <c r="C40" s="114" t="n"/>
    </row>
    <row r="41" ht="15" customHeight="1" s="68">
      <c r="A41" s="114" t="n"/>
      <c r="B41" s="114" t="n"/>
      <c r="C41" s="114" t="n"/>
    </row>
    <row r="42" ht="15" customHeight="1" s="68">
      <c r="A42" s="114" t="n"/>
      <c r="B42" s="114" t="n"/>
      <c r="C42" s="114" t="n"/>
    </row>
    <row r="43" ht="15" customHeight="1" s="68">
      <c r="A43" s="114" t="n"/>
      <c r="B43" s="114" t="n"/>
      <c r="C43" s="114" t="n"/>
    </row>
    <row r="44" ht="15" customHeight="1" s="68">
      <c r="A44" s="114" t="n"/>
      <c r="B44" s="114" t="n"/>
      <c r="C44" s="114" t="n"/>
    </row>
    <row r="45" ht="15" customHeight="1" s="68">
      <c r="A45" s="114" t="n"/>
      <c r="B45" s="114" t="n"/>
      <c r="C45" s="114" t="n"/>
    </row>
    <row r="46" ht="15" customHeight="1" s="68">
      <c r="A46" s="114" t="n"/>
      <c r="B46" s="114" t="n"/>
      <c r="C46" s="114" t="n"/>
    </row>
    <row r="47" ht="15" customHeight="1" s="68">
      <c r="A47" s="114" t="n"/>
      <c r="B47" s="114" t="n"/>
      <c r="C47" s="114" t="n"/>
    </row>
    <row r="48" ht="15" customHeight="1" s="68">
      <c r="A48" s="114" t="n"/>
      <c r="B48" s="114" t="n"/>
      <c r="C48" s="114" t="n"/>
    </row>
    <row r="49" ht="15" customHeight="1" s="68">
      <c r="A49" s="114" t="n"/>
      <c r="B49" s="114" t="n"/>
      <c r="C49" s="114" t="n"/>
    </row>
    <row r="50" ht="15" customHeight="1" s="68">
      <c r="A50" s="114" t="n"/>
      <c r="B50" s="114" t="n"/>
      <c r="C50" s="114" t="n"/>
    </row>
    <row r="51" ht="15" customHeight="1" s="68">
      <c r="A51" s="114" t="n"/>
      <c r="B51" s="114" t="n"/>
      <c r="C51" s="114" t="n"/>
    </row>
    <row r="52" ht="15" customHeight="1" s="68">
      <c r="A52" s="114" t="n"/>
      <c r="B52" s="114" t="n"/>
      <c r="C52" s="114" t="n"/>
    </row>
    <row r="53" ht="15" customHeight="1" s="68">
      <c r="A53" s="114" t="n"/>
      <c r="B53" s="114" t="n"/>
      <c r="C53" s="114" t="n"/>
    </row>
    <row r="54" ht="15" customHeight="1" s="68">
      <c r="A54" s="114" t="n"/>
      <c r="B54" s="114" t="n"/>
      <c r="C54" s="114" t="n"/>
    </row>
    <row r="55" ht="15" customHeight="1" s="68">
      <c r="A55" s="114" t="n"/>
      <c r="B55" s="114" t="n"/>
      <c r="C55" s="114" t="n"/>
    </row>
    <row r="56" ht="15" customHeight="1" s="68">
      <c r="A56" s="114" t="n"/>
      <c r="B56" s="114" t="n"/>
      <c r="C56" s="114" t="n"/>
    </row>
    <row r="57" ht="15" customHeight="1" s="68">
      <c r="A57" s="114" t="n"/>
      <c r="B57" s="114" t="n"/>
      <c r="C57" s="114" t="n"/>
    </row>
    <row r="58" ht="15" customHeight="1" s="68">
      <c r="A58" s="114" t="n"/>
      <c r="B58" s="114" t="n"/>
      <c r="C58" s="114" t="n"/>
    </row>
    <row r="59" ht="15" customHeight="1" s="68">
      <c r="A59" s="114" t="n"/>
      <c r="B59" s="114" t="n"/>
      <c r="C59" s="114" t="n"/>
    </row>
    <row r="60" ht="15" customHeight="1" s="68">
      <c r="A60" s="114" t="n"/>
      <c r="B60" s="114" t="n"/>
      <c r="C60" s="114" t="n"/>
    </row>
    <row r="61" ht="15" customHeight="1" s="68">
      <c r="A61" s="114" t="n"/>
      <c r="B61" s="114" t="n"/>
      <c r="C61" s="114" t="n"/>
    </row>
    <row r="62" ht="15" customHeight="1" s="68">
      <c r="A62" s="114" t="n"/>
      <c r="B62" s="114" t="n"/>
      <c r="C62" s="114" t="n"/>
    </row>
    <row r="63" ht="15" customHeight="1" s="68">
      <c r="A63" s="114" t="n"/>
      <c r="B63" s="114" t="n"/>
      <c r="C63" s="114" t="n"/>
    </row>
    <row r="64" ht="15" customHeight="1" s="68">
      <c r="A64" s="114" t="n"/>
      <c r="B64" s="114" t="n"/>
      <c r="C64" s="114" t="n"/>
    </row>
    <row r="65" ht="15" customHeight="1" s="68">
      <c r="A65" s="114" t="n"/>
      <c r="B65" s="114" t="n"/>
      <c r="C65" s="114" t="n"/>
    </row>
    <row r="66" ht="15" customHeight="1" s="68">
      <c r="A66" s="114" t="n"/>
      <c r="B66" s="114" t="n"/>
      <c r="C66" s="114" t="n"/>
    </row>
    <row r="67" ht="15" customHeight="1" s="68">
      <c r="A67" s="114" t="n"/>
      <c r="B67" s="114" t="n"/>
      <c r="C67" s="114" t="n"/>
    </row>
    <row r="68" ht="15" customHeight="1" s="68">
      <c r="A68" s="114" t="n"/>
      <c r="B68" s="114" t="n"/>
      <c r="C68" s="114" t="n"/>
    </row>
    <row r="69" ht="15" customHeight="1" s="68">
      <c r="A69" s="114" t="n"/>
      <c r="B69" s="114" t="n"/>
      <c r="C69" s="114" t="n"/>
    </row>
    <row r="70" ht="15" customHeight="1" s="68">
      <c r="A70" s="114" t="n"/>
      <c r="B70" s="114" t="n"/>
      <c r="C70" s="114" t="n"/>
    </row>
    <row r="71" ht="15" customHeight="1" s="68">
      <c r="A71" s="114" t="n"/>
      <c r="B71" s="114" t="n"/>
      <c r="C71" s="114" t="n"/>
    </row>
    <row r="72" ht="15" customHeight="1" s="68">
      <c r="A72" s="114" t="n"/>
      <c r="B72" s="114" t="n"/>
      <c r="C72" s="114" t="n"/>
    </row>
    <row r="73" ht="15" customHeight="1" s="68">
      <c r="A73" s="114" t="n"/>
      <c r="B73" s="114" t="n"/>
      <c r="C73" s="114" t="n"/>
    </row>
    <row r="74" ht="15" customHeight="1" s="68">
      <c r="A74" s="114" t="n"/>
      <c r="B74" s="114" t="n"/>
      <c r="C74" s="114" t="n"/>
    </row>
    <row r="75" ht="15" customHeight="1" s="68">
      <c r="A75" s="114" t="n"/>
      <c r="B75" s="114" t="n"/>
      <c r="C75" s="114" t="n"/>
    </row>
    <row r="76" ht="15" customHeight="1" s="68">
      <c r="A76" s="114" t="n"/>
      <c r="B76" s="114" t="n"/>
      <c r="C76" s="114" t="n"/>
    </row>
    <row r="77" ht="15" customHeight="1" s="68">
      <c r="A77" s="114" t="n"/>
      <c r="B77" s="114" t="n"/>
      <c r="C77" s="114" t="n"/>
    </row>
    <row r="78" ht="15" customHeight="1" s="68">
      <c r="A78" s="114" t="n"/>
      <c r="B78" s="114" t="n"/>
      <c r="C78" s="114" t="n"/>
    </row>
    <row r="79" ht="15" customHeight="1" s="68">
      <c r="A79" s="114" t="n"/>
      <c r="B79" s="114" t="n"/>
      <c r="C79" s="114" t="n"/>
    </row>
    <row r="80" ht="15" customHeight="1" s="68">
      <c r="A80" s="114" t="n"/>
      <c r="B80" s="114" t="n"/>
      <c r="C80" s="114" t="n"/>
    </row>
    <row r="81" ht="15" customHeight="1" s="68">
      <c r="A81" s="114" t="n"/>
      <c r="B81" s="114" t="n"/>
      <c r="C81" s="114" t="n"/>
    </row>
    <row r="82" ht="15" customHeight="1" s="68">
      <c r="A82" s="114" t="n"/>
      <c r="B82" s="114" t="n"/>
      <c r="C82" s="114" t="n"/>
    </row>
    <row r="83" ht="15" customHeight="1" s="68">
      <c r="A83" s="114" t="n"/>
      <c r="B83" s="114" t="n"/>
      <c r="C83" s="114" t="n"/>
    </row>
    <row r="84" ht="15" customHeight="1" s="68">
      <c r="A84" s="114" t="n"/>
      <c r="B84" s="114" t="n"/>
      <c r="C84" s="114" t="n"/>
    </row>
    <row r="85" ht="15" customHeight="1" s="68">
      <c r="A85" s="114" t="n"/>
      <c r="B85" s="114" t="n"/>
      <c r="C85" s="114" t="n"/>
    </row>
    <row r="86" ht="15" customHeight="1" s="68">
      <c r="A86" s="114" t="n"/>
      <c r="B86" s="114" t="n"/>
      <c r="C86" s="114" t="n"/>
    </row>
    <row r="87" ht="15" customHeight="1" s="68">
      <c r="A87" s="114" t="n"/>
      <c r="B87" s="114" t="n"/>
      <c r="C87" s="114" t="n"/>
    </row>
    <row r="88" ht="15" customHeight="1" s="68">
      <c r="A88" s="114" t="n"/>
      <c r="B88" s="114" t="n"/>
      <c r="C88" s="114" t="n"/>
    </row>
    <row r="89" ht="15" customHeight="1" s="68">
      <c r="A89" s="114" t="n"/>
      <c r="B89" s="114" t="n"/>
      <c r="C89" s="114" t="n"/>
    </row>
    <row r="90" ht="15" customHeight="1" s="68">
      <c r="A90" s="114" t="n"/>
      <c r="B90" s="114" t="n"/>
      <c r="C90" s="114" t="n"/>
    </row>
    <row r="91" ht="15" customHeight="1" s="68">
      <c r="A91" s="114" t="n"/>
      <c r="B91" s="114" t="n"/>
      <c r="C91" s="114" t="n"/>
    </row>
    <row r="92" ht="15" customHeight="1" s="68">
      <c r="A92" s="114" t="n"/>
      <c r="B92" s="114" t="n"/>
      <c r="C92" s="114" t="n"/>
    </row>
    <row r="93" ht="15" customHeight="1" s="68">
      <c r="A93" s="114" t="n"/>
      <c r="B93" s="114" t="n"/>
      <c r="C93" s="114" t="n"/>
    </row>
    <row r="94" ht="15" customHeight="1" s="68">
      <c r="A94" s="114" t="n"/>
      <c r="B94" s="114" t="n"/>
      <c r="C94" s="114" t="n"/>
    </row>
    <row r="95" ht="15" customHeight="1" s="68">
      <c r="A95" s="114" t="n"/>
      <c r="B95" s="114" t="n"/>
      <c r="C95" s="114" t="n"/>
    </row>
    <row r="96" ht="15" customHeight="1" s="68">
      <c r="A96" s="114" t="n"/>
      <c r="B96" s="114" t="n"/>
      <c r="C96" s="114" t="n"/>
    </row>
    <row r="97" ht="15" customHeight="1" s="68">
      <c r="A97" s="114" t="n"/>
      <c r="B97" s="114" t="n"/>
      <c r="C97" s="114" t="n"/>
    </row>
    <row r="98" ht="15" customHeight="1" s="68">
      <c r="A98" s="114" t="n"/>
      <c r="B98" s="114" t="n"/>
      <c r="C98" s="114" t="n"/>
    </row>
    <row r="99" ht="15" customHeight="1" s="68">
      <c r="A99" s="114" t="n"/>
      <c r="B99" s="114" t="n"/>
      <c r="C99" s="114" t="n"/>
    </row>
    <row r="100" ht="15" customHeight="1" s="68">
      <c r="A100" s="114" t="n"/>
      <c r="B100" s="114" t="n"/>
      <c r="C100" s="114" t="n"/>
    </row>
    <row r="101" ht="15" customHeight="1" s="68">
      <c r="A101" s="114" t="n"/>
      <c r="B101" s="114" t="n"/>
      <c r="C101" s="114" t="n"/>
    </row>
    <row r="102" ht="15" customHeight="1" s="68">
      <c r="A102" s="114" t="n"/>
      <c r="B102" s="114" t="n"/>
      <c r="C102" s="114" t="n"/>
    </row>
    <row r="103" ht="15" customHeight="1" s="68">
      <c r="A103" s="114" t="n"/>
      <c r="B103" s="114" t="n"/>
      <c r="C103" s="114" t="n"/>
    </row>
    <row r="104" ht="15" customHeight="1" s="68">
      <c r="A104" s="114" t="n"/>
      <c r="B104" s="114" t="n"/>
      <c r="C104" s="114" t="n"/>
    </row>
    <row r="105" ht="15" customHeight="1" s="68">
      <c r="A105" s="114" t="n"/>
      <c r="B105" s="114" t="n"/>
      <c r="C105" s="114" t="n"/>
    </row>
    <row r="106" ht="15" customHeight="1" s="68">
      <c r="A106" s="114" t="n"/>
      <c r="B106" s="114" t="n"/>
      <c r="C106" s="114" t="n"/>
    </row>
    <row r="107" ht="15" customHeight="1" s="68">
      <c r="A107" s="114" t="n"/>
      <c r="B107" s="114" t="n"/>
      <c r="C107" s="114" t="n"/>
    </row>
    <row r="108" ht="15" customHeight="1" s="68">
      <c r="A108" s="114" t="n"/>
      <c r="B108" s="114" t="n"/>
      <c r="C108" s="114" t="n"/>
    </row>
    <row r="109" ht="15" customHeight="1" s="68">
      <c r="A109" s="114" t="n"/>
      <c r="B109" s="114" t="n"/>
      <c r="C109" s="114" t="n"/>
    </row>
    <row r="110" ht="15" customHeight="1" s="68">
      <c r="A110" s="114" t="n"/>
      <c r="B110" s="114" t="n"/>
      <c r="C110" s="114" t="n"/>
    </row>
    <row r="111" ht="15" customHeight="1" s="68">
      <c r="A111" s="114" t="n"/>
      <c r="B111" s="114" t="n"/>
      <c r="C111" s="114" t="n"/>
    </row>
    <row r="112" ht="15" customHeight="1" s="68">
      <c r="A112" s="114" t="n"/>
      <c r="B112" s="114" t="n"/>
      <c r="C112" s="114" t="n"/>
    </row>
    <row r="113" ht="15" customHeight="1" s="68">
      <c r="A113" s="114" t="n"/>
      <c r="B113" s="114" t="n"/>
      <c r="C113" s="114" t="n"/>
    </row>
    <row r="114" ht="15" customHeight="1" s="68">
      <c r="A114" s="114" t="n"/>
      <c r="B114" s="114" t="n"/>
      <c r="C114" s="114" t="n"/>
    </row>
    <row r="115" ht="15" customHeight="1" s="68">
      <c r="A115" s="114" t="n"/>
      <c r="B115" s="114" t="n"/>
      <c r="C115" s="114" t="n"/>
    </row>
    <row r="116" ht="15" customHeight="1" s="68">
      <c r="A116" s="114" t="n"/>
      <c r="B116" s="114" t="n"/>
      <c r="C116" s="114" t="n"/>
    </row>
    <row r="117" ht="15" customHeight="1" s="68">
      <c r="A117" s="114" t="n"/>
      <c r="B117" s="114" t="n"/>
      <c r="C117" s="114" t="n"/>
    </row>
    <row r="118" ht="15" customHeight="1" s="68">
      <c r="A118" s="114" t="n"/>
      <c r="B118" s="114" t="n"/>
      <c r="C118" s="114" t="n"/>
    </row>
    <row r="119" ht="15" customHeight="1" s="68">
      <c r="A119" s="114" t="n"/>
      <c r="B119" s="114" t="n"/>
      <c r="C119" s="114" t="n"/>
    </row>
    <row r="120" ht="15" customHeight="1" s="68">
      <c r="A120" s="114" t="n"/>
      <c r="B120" s="114" t="n"/>
      <c r="C120" s="114" t="n"/>
    </row>
    <row r="121" ht="15" customHeight="1" s="68">
      <c r="A121" s="114" t="n"/>
      <c r="B121" s="114" t="n"/>
      <c r="C121" s="114" t="n"/>
    </row>
    <row r="122" ht="15" customHeight="1" s="68">
      <c r="A122" s="114" t="n"/>
      <c r="B122" s="114" t="n"/>
      <c r="C122" s="114" t="n"/>
    </row>
    <row r="123" ht="15" customHeight="1" s="68">
      <c r="A123" s="114" t="n"/>
      <c r="B123" s="114" t="n"/>
      <c r="C123" s="114" t="n"/>
    </row>
    <row r="124" ht="15" customHeight="1" s="68">
      <c r="A124" s="114" t="n"/>
      <c r="B124" s="114" t="n"/>
      <c r="C124" s="114" t="n"/>
    </row>
    <row r="125" ht="15" customHeight="1" s="68">
      <c r="A125" s="114" t="n"/>
      <c r="B125" s="114" t="n"/>
      <c r="C125" s="114" t="n"/>
    </row>
    <row r="126" ht="15" customHeight="1" s="68">
      <c r="A126" s="114" t="n"/>
      <c r="B126" s="114" t="n"/>
      <c r="C126" s="114" t="n"/>
    </row>
    <row r="127" ht="15" customHeight="1" s="68">
      <c r="A127" s="114" t="n"/>
      <c r="B127" s="114" t="n"/>
      <c r="C127" s="114" t="n"/>
    </row>
    <row r="128" ht="15" customHeight="1" s="68">
      <c r="A128" s="114" t="n"/>
      <c r="B128" s="114" t="n"/>
      <c r="C128" s="114" t="n"/>
    </row>
    <row r="129" ht="15" customHeight="1" s="68">
      <c r="A129" s="114" t="n"/>
      <c r="B129" s="114" t="n"/>
      <c r="C129" s="114" t="n"/>
    </row>
    <row r="130" ht="15" customHeight="1" s="68">
      <c r="A130" s="114" t="n"/>
      <c r="B130" s="114" t="n"/>
      <c r="C130" s="114" t="n"/>
    </row>
    <row r="131" ht="15" customHeight="1" s="68">
      <c r="A131" s="114" t="n"/>
      <c r="B131" s="114" t="n"/>
      <c r="C131" s="114" t="n"/>
    </row>
    <row r="132" ht="15" customHeight="1" s="68">
      <c r="A132" s="114" t="n"/>
      <c r="B132" s="114" t="n"/>
      <c r="C132" s="114" t="n"/>
    </row>
    <row r="133" ht="15" customHeight="1" s="68">
      <c r="A133" s="114" t="n"/>
      <c r="B133" s="114" t="n"/>
      <c r="C133" s="114" t="n"/>
    </row>
    <row r="134" ht="15" customHeight="1" s="68">
      <c r="A134" s="114" t="n"/>
      <c r="B134" s="114" t="n"/>
      <c r="C134" s="114" t="n"/>
    </row>
    <row r="135" ht="15" customHeight="1" s="68">
      <c r="A135" s="114" t="n"/>
      <c r="B135" s="114" t="n"/>
      <c r="C135" s="114" t="n"/>
    </row>
    <row r="136" ht="15" customHeight="1" s="68">
      <c r="A136" s="114" t="n"/>
      <c r="B136" s="114" t="n"/>
      <c r="C136" s="114" t="n"/>
    </row>
    <row r="137" ht="15" customHeight="1" s="68">
      <c r="A137" s="114" t="n"/>
      <c r="B137" s="114" t="n"/>
      <c r="C137" s="114" t="n"/>
    </row>
    <row r="138" ht="15" customHeight="1" s="68">
      <c r="A138" s="114" t="n"/>
      <c r="B138" s="114" t="n"/>
      <c r="C138" s="114" t="n"/>
    </row>
    <row r="139" ht="15" customHeight="1" s="68">
      <c r="A139" s="114" t="n"/>
      <c r="B139" s="114" t="n"/>
      <c r="C139" s="114" t="n"/>
    </row>
    <row r="140" ht="15" customHeight="1" s="68">
      <c r="A140" s="114" t="n"/>
      <c r="B140" s="114" t="n"/>
      <c r="C140" s="114" t="n"/>
    </row>
    <row r="141" ht="15" customHeight="1" s="68">
      <c r="A141" s="114" t="n"/>
      <c r="B141" s="114" t="n"/>
      <c r="C141" s="114" t="n"/>
    </row>
    <row r="142" ht="15" customHeight="1" s="68">
      <c r="A142" s="114" t="n"/>
      <c r="B142" s="114" t="n"/>
      <c r="C142" s="114" t="n"/>
    </row>
    <row r="143" ht="15" customHeight="1" s="68">
      <c r="A143" s="114" t="n"/>
      <c r="B143" s="114" t="n"/>
      <c r="C143" s="114" t="n"/>
    </row>
    <row r="144" ht="15" customHeight="1" s="68">
      <c r="A144" s="114" t="n"/>
      <c r="B144" s="114" t="n"/>
      <c r="C144" s="114" t="n"/>
    </row>
    <row r="145" ht="15" customHeight="1" s="68">
      <c r="A145" s="114" t="n"/>
      <c r="B145" s="114" t="n"/>
      <c r="C145" s="114" t="n"/>
    </row>
    <row r="146" ht="15" customHeight="1" s="68">
      <c r="A146" s="114" t="n"/>
      <c r="B146" s="114" t="n"/>
      <c r="C146" s="114" t="n"/>
    </row>
    <row r="147" ht="15" customHeight="1" s="68">
      <c r="A147" s="114" t="n"/>
      <c r="B147" s="114" t="n"/>
      <c r="C147" s="114" t="n"/>
    </row>
    <row r="148" ht="15" customHeight="1" s="68">
      <c r="A148" s="114" t="n"/>
      <c r="B148" s="114" t="n"/>
      <c r="C148" s="114" t="n"/>
    </row>
    <row r="149" ht="15" customHeight="1" s="68">
      <c r="A149" s="114" t="n"/>
      <c r="B149" s="114" t="n"/>
      <c r="C149" s="114" t="n"/>
    </row>
    <row r="150" ht="15" customHeight="1" s="68">
      <c r="A150" s="114" t="n"/>
      <c r="B150" s="114" t="n"/>
      <c r="C150" s="114" t="n"/>
    </row>
    <row r="151" ht="15" customHeight="1" s="68">
      <c r="A151" s="114" t="n"/>
      <c r="B151" s="114" t="n"/>
      <c r="C151" s="114" t="n"/>
    </row>
    <row r="152" ht="15" customHeight="1" s="68">
      <c r="A152" s="114" t="n"/>
      <c r="B152" s="114" t="n"/>
      <c r="C152" s="114" t="n"/>
    </row>
    <row r="153" ht="15" customHeight="1" s="68">
      <c r="A153" s="114" t="n"/>
      <c r="B153" s="114" t="n"/>
      <c r="C153" s="114" t="n"/>
    </row>
    <row r="154" ht="15" customHeight="1" s="68">
      <c r="A154" s="114" t="n"/>
      <c r="B154" s="114" t="n"/>
      <c r="C154" s="114" t="n"/>
    </row>
    <row r="155" ht="15" customHeight="1" s="68">
      <c r="A155" s="114" t="n"/>
      <c r="B155" s="114" t="n"/>
      <c r="C155" s="114" t="n"/>
    </row>
    <row r="156" ht="15" customHeight="1" s="68">
      <c r="A156" s="114" t="n"/>
      <c r="B156" s="114" t="n"/>
      <c r="C156" s="114" t="n"/>
    </row>
    <row r="157" ht="15" customHeight="1" s="68">
      <c r="A157" s="114" t="n"/>
      <c r="B157" s="114" t="n"/>
      <c r="C157" s="114" t="n"/>
    </row>
    <row r="158" ht="15" customHeight="1" s="68">
      <c r="A158" s="114" t="n"/>
      <c r="B158" s="114" t="n"/>
      <c r="C158" s="114" t="n"/>
    </row>
    <row r="159" ht="15" customHeight="1" s="68">
      <c r="A159" s="114" t="n"/>
      <c r="B159" s="114" t="n"/>
      <c r="C159" s="114" t="n"/>
    </row>
    <row r="160" ht="15" customHeight="1" s="68">
      <c r="A160" s="114" t="n"/>
      <c r="B160" s="114" t="n"/>
      <c r="C160" s="114" t="n"/>
    </row>
    <row r="161" ht="15" customHeight="1" s="68">
      <c r="A161" s="114" t="n"/>
      <c r="B161" s="114" t="n"/>
      <c r="C161" s="114" t="n"/>
    </row>
    <row r="162" ht="15" customHeight="1" s="68">
      <c r="A162" s="114" t="n"/>
      <c r="B162" s="114" t="n"/>
      <c r="C162" s="114" t="n"/>
    </row>
    <row r="163" ht="15" customHeight="1" s="68">
      <c r="A163" s="114" t="n"/>
      <c r="B163" s="114" t="n"/>
      <c r="C163" s="114" t="n"/>
    </row>
    <row r="164" ht="15" customHeight="1" s="68">
      <c r="A164" s="114" t="n"/>
      <c r="B164" s="114" t="n"/>
      <c r="C164" s="114" t="n"/>
    </row>
    <row r="165" ht="15" customHeight="1" s="68">
      <c r="A165" s="114" t="n"/>
      <c r="B165" s="114" t="n"/>
      <c r="C165" s="114" t="n"/>
    </row>
    <row r="166" ht="15" customHeight="1" s="68">
      <c r="A166" s="114" t="n"/>
      <c r="B166" s="114" t="n"/>
      <c r="C166" s="114" t="n"/>
    </row>
    <row r="167" ht="15" customHeight="1" s="68">
      <c r="A167" s="114" t="n"/>
      <c r="B167" s="114" t="n"/>
      <c r="C167" s="114" t="n"/>
    </row>
    <row r="168" ht="15" customHeight="1" s="68">
      <c r="A168" s="114" t="n"/>
      <c r="B168" s="114" t="n"/>
      <c r="C168" s="114" t="n"/>
    </row>
    <row r="169" ht="15" customHeight="1" s="68">
      <c r="A169" s="114" t="n"/>
      <c r="B169" s="114" t="n"/>
      <c r="C169" s="114" t="n"/>
    </row>
    <row r="170" ht="15" customHeight="1" s="68">
      <c r="A170" s="114" t="n"/>
      <c r="B170" s="114" t="n"/>
      <c r="C170" s="114" t="n"/>
    </row>
    <row r="171" ht="15" customHeight="1" s="68">
      <c r="A171" s="114" t="n"/>
      <c r="B171" s="114" t="n"/>
      <c r="C171" s="114" t="n"/>
    </row>
    <row r="172" ht="15" customHeight="1" s="68">
      <c r="A172" s="114" t="n"/>
      <c r="B172" s="114" t="n"/>
      <c r="C172" s="114" t="n"/>
    </row>
    <row r="173" ht="15" customHeight="1" s="68">
      <c r="A173" s="114" t="n"/>
      <c r="B173" s="114" t="n"/>
      <c r="C173" s="114" t="n"/>
    </row>
    <row r="174" ht="15" customHeight="1" s="68">
      <c r="A174" s="114" t="n"/>
      <c r="B174" s="114" t="n"/>
      <c r="C174" s="114" t="n"/>
    </row>
    <row r="175" ht="15" customHeight="1" s="68">
      <c r="A175" s="114" t="n"/>
      <c r="B175" s="114" t="n"/>
      <c r="C175" s="114" t="n"/>
    </row>
    <row r="176" ht="15" customHeight="1" s="68">
      <c r="A176" s="114" t="n"/>
      <c r="B176" s="114" t="n"/>
      <c r="C176" s="114" t="n"/>
    </row>
    <row r="177" ht="15" customHeight="1" s="68">
      <c r="A177" s="114" t="n"/>
      <c r="B177" s="114" t="n"/>
      <c r="C177" s="114" t="n"/>
    </row>
    <row r="178" ht="15" customHeight="1" s="68">
      <c r="A178" s="114" t="n"/>
      <c r="B178" s="114" t="n"/>
      <c r="C178" s="114" t="n"/>
    </row>
    <row r="179" ht="15" customHeight="1" s="68">
      <c r="A179" s="114" t="n"/>
      <c r="B179" s="114" t="n"/>
      <c r="C179" s="114" t="n"/>
    </row>
    <row r="180" ht="15" customHeight="1" s="68">
      <c r="A180" s="114" t="n"/>
      <c r="B180" s="114" t="n"/>
      <c r="C180" s="114" t="n"/>
    </row>
    <row r="181" ht="15" customHeight="1" s="68">
      <c r="A181" s="114" t="n"/>
      <c r="B181" s="114" t="n"/>
      <c r="C181" s="114" t="n"/>
    </row>
    <row r="182" ht="15" customHeight="1" s="68">
      <c r="A182" s="114" t="n"/>
      <c r="B182" s="114" t="n"/>
      <c r="C182" s="114" t="n"/>
    </row>
    <row r="183" ht="15" customHeight="1" s="68">
      <c r="A183" s="114" t="n"/>
      <c r="B183" s="114" t="n"/>
      <c r="C183" s="114" t="n"/>
    </row>
    <row r="184" ht="15" customHeight="1" s="68">
      <c r="A184" s="114" t="n"/>
      <c r="B184" s="114" t="n"/>
      <c r="C184" s="114" t="n"/>
    </row>
    <row r="185" ht="15" customHeight="1" s="68">
      <c r="A185" s="114" t="n"/>
      <c r="B185" s="114" t="n"/>
      <c r="C185" s="114" t="n"/>
    </row>
    <row r="186" ht="15" customHeight="1" s="68">
      <c r="A186" s="114" t="n"/>
      <c r="B186" s="114" t="n"/>
      <c r="C186" s="114" t="n"/>
    </row>
    <row r="187" ht="15" customHeight="1" s="68">
      <c r="A187" s="114" t="n"/>
      <c r="B187" s="114" t="n"/>
      <c r="C187" s="114" t="n"/>
    </row>
    <row r="188" ht="15" customHeight="1" s="68">
      <c r="A188" s="114" t="n"/>
      <c r="B188" s="114" t="n"/>
      <c r="C188" s="114" t="n"/>
    </row>
    <row r="189" ht="15" customHeight="1" s="68">
      <c r="A189" s="114" t="n"/>
      <c r="B189" s="114" t="n"/>
      <c r="C189" s="114" t="n"/>
    </row>
    <row r="190" ht="15" customHeight="1" s="68">
      <c r="A190" s="114" t="n"/>
      <c r="B190" s="114" t="n"/>
      <c r="C190" s="114" t="n"/>
    </row>
    <row r="191" ht="15" customHeight="1" s="68">
      <c r="A191" s="114" t="n"/>
      <c r="B191" s="114" t="n"/>
      <c r="C191" s="114" t="n"/>
    </row>
    <row r="192" ht="15" customHeight="1" s="68">
      <c r="A192" s="114" t="n"/>
      <c r="B192" s="114" t="n"/>
      <c r="C192" s="114" t="n"/>
    </row>
    <row r="193" ht="15" customHeight="1" s="68">
      <c r="A193" s="114" t="n"/>
      <c r="B193" s="114" t="n"/>
      <c r="C193" s="114" t="n"/>
    </row>
    <row r="194" ht="15" customHeight="1" s="68">
      <c r="A194" s="114" t="n"/>
      <c r="B194" s="114" t="n"/>
      <c r="C194" s="114" t="n"/>
    </row>
    <row r="195" ht="15" customHeight="1" s="68">
      <c r="A195" s="114" t="n"/>
      <c r="B195" s="114" t="n"/>
      <c r="C195" s="114" t="n"/>
    </row>
    <row r="196" ht="15" customHeight="1" s="68">
      <c r="A196" s="114" t="n"/>
      <c r="B196" s="114" t="n"/>
      <c r="C196" s="114" t="n"/>
    </row>
    <row r="197" ht="15" customHeight="1" s="68">
      <c r="A197" s="114" t="n"/>
      <c r="B197" s="114" t="n"/>
      <c r="C197" s="114" t="n"/>
    </row>
    <row r="198" ht="15" customHeight="1" s="68">
      <c r="A198" s="114" t="n"/>
      <c r="B198" s="114" t="n"/>
      <c r="C198" s="114" t="n"/>
    </row>
    <row r="199" ht="15" customHeight="1" s="68">
      <c r="A199" s="114" t="n"/>
      <c r="B199" s="114" t="n"/>
      <c r="C199" s="114" t="n"/>
    </row>
    <row r="200" ht="15" customHeight="1" s="68">
      <c r="A200" s="114" t="n"/>
      <c r="B200" s="114" t="n"/>
      <c r="C200" s="114" t="n"/>
    </row>
    <row r="201" ht="15" customHeight="1" s="68">
      <c r="A201" s="114" t="n"/>
      <c r="B201" s="114" t="n"/>
      <c r="C201" s="114" t="n"/>
    </row>
    <row r="202" ht="15" customHeight="1" s="68">
      <c r="A202" s="114" t="n"/>
      <c r="B202" s="114" t="n"/>
      <c r="C202" s="114" t="n"/>
    </row>
    <row r="203" ht="15" customHeight="1" s="68">
      <c r="A203" s="114" t="n"/>
      <c r="B203" s="114" t="n"/>
      <c r="C203" s="114" t="n"/>
    </row>
    <row r="204" ht="15" customHeight="1" s="68">
      <c r="A204" s="114" t="n"/>
      <c r="B204" s="114" t="n"/>
      <c r="C204" s="114" t="n"/>
    </row>
    <row r="205" ht="15" customHeight="1" s="68">
      <c r="A205" s="114" t="n"/>
      <c r="B205" s="114" t="n"/>
      <c r="C205" s="114" t="n"/>
    </row>
    <row r="206" ht="15" customHeight="1" s="68">
      <c r="A206" s="114" t="n"/>
      <c r="B206" s="114" t="n"/>
      <c r="C206" s="114" t="n"/>
    </row>
    <row r="207" ht="15" customHeight="1" s="68">
      <c r="A207" s="114" t="n"/>
      <c r="B207" s="114" t="n"/>
      <c r="C207" s="114" t="n"/>
    </row>
    <row r="208" ht="15" customHeight="1" s="68">
      <c r="A208" s="114" t="n"/>
      <c r="B208" s="114" t="n"/>
      <c r="C208" s="114" t="n"/>
    </row>
    <row r="209" ht="15" customHeight="1" s="68">
      <c r="A209" s="114" t="n"/>
      <c r="B209" s="114" t="n"/>
      <c r="C209" s="114" t="n"/>
    </row>
    <row r="210" ht="15" customHeight="1" s="68">
      <c r="A210" s="114" t="n"/>
      <c r="B210" s="114" t="n"/>
      <c r="C210" s="114" t="n"/>
    </row>
    <row r="211" ht="15" customHeight="1" s="68">
      <c r="A211" s="114" t="n"/>
      <c r="B211" s="114" t="n"/>
      <c r="C211" s="114" t="n"/>
    </row>
    <row r="212" ht="15" customHeight="1" s="68">
      <c r="A212" s="114" t="n"/>
      <c r="B212" s="114" t="n"/>
      <c r="C212" s="114" t="n"/>
    </row>
    <row r="213" ht="15" customHeight="1" s="68">
      <c r="A213" s="114" t="n"/>
      <c r="B213" s="114" t="n"/>
      <c r="C213" s="114" t="n"/>
    </row>
    <row r="214" ht="15" customHeight="1" s="68">
      <c r="A214" s="114" t="n"/>
      <c r="B214" s="114" t="n"/>
      <c r="C214" s="114" t="n"/>
    </row>
    <row r="215" ht="15" customHeight="1" s="68">
      <c r="A215" s="114" t="n"/>
      <c r="B215" s="114" t="n"/>
      <c r="C215" s="114" t="n"/>
    </row>
    <row r="216" ht="15" customHeight="1" s="68">
      <c r="A216" s="114" t="n"/>
      <c r="B216" s="114" t="n"/>
      <c r="C216" s="114" t="n"/>
    </row>
    <row r="217" ht="15" customHeight="1" s="68">
      <c r="A217" s="114" t="n"/>
      <c r="B217" s="114" t="n"/>
      <c r="C217" s="114" t="n"/>
    </row>
    <row r="218" ht="15" customHeight="1" s="68">
      <c r="A218" s="114" t="n"/>
      <c r="B218" s="114" t="n"/>
      <c r="C218" s="114" t="n"/>
    </row>
    <row r="219" ht="15" customHeight="1" s="68">
      <c r="A219" s="114" t="n"/>
      <c r="B219" s="114" t="n"/>
      <c r="C219" s="114" t="n"/>
    </row>
    <row r="220" ht="15" customHeight="1" s="68">
      <c r="A220" s="114" t="n"/>
      <c r="B220" s="114" t="n"/>
      <c r="C220" s="114" t="n"/>
    </row>
    <row r="221" ht="15" customHeight="1" s="68">
      <c r="A221" s="114" t="n"/>
      <c r="B221" s="114" t="n"/>
      <c r="C221" s="114" t="n"/>
    </row>
    <row r="222" ht="15" customHeight="1" s="68">
      <c r="A222" s="114" t="n"/>
      <c r="B222" s="114" t="n"/>
      <c r="C222" s="114" t="n"/>
    </row>
    <row r="223" ht="15" customHeight="1" s="68">
      <c r="A223" s="114" t="n"/>
      <c r="B223" s="114" t="n"/>
      <c r="C223" s="114" t="n"/>
    </row>
    <row r="224" ht="15" customHeight="1" s="68">
      <c r="A224" s="114" t="n"/>
      <c r="B224" s="114" t="n"/>
      <c r="C224" s="114" t="n"/>
    </row>
    <row r="225" ht="15" customHeight="1" s="68">
      <c r="A225" s="114" t="n"/>
      <c r="B225" s="114" t="n"/>
      <c r="C225" s="114" t="n"/>
    </row>
    <row r="226" ht="15" customHeight="1" s="68">
      <c r="A226" s="114" t="n"/>
      <c r="B226" s="114" t="n"/>
      <c r="C226" s="114" t="n"/>
    </row>
    <row r="227" ht="15" customHeight="1" s="68">
      <c r="A227" s="114" t="n"/>
      <c r="B227" s="114" t="n"/>
      <c r="C227" s="114" t="n"/>
    </row>
    <row r="228" ht="15" customHeight="1" s="68">
      <c r="A228" s="114" t="n"/>
      <c r="B228" s="114" t="n"/>
      <c r="C228" s="114" t="n"/>
    </row>
    <row r="229" ht="15" customHeight="1" s="68">
      <c r="A229" s="114" t="n"/>
      <c r="B229" s="114" t="n"/>
      <c r="C229" s="114" t="n"/>
    </row>
    <row r="230" ht="15" customHeight="1" s="68">
      <c r="A230" s="114" t="n"/>
      <c r="B230" s="114" t="n"/>
      <c r="C230" s="114" t="n"/>
    </row>
    <row r="231" ht="15" customHeight="1" s="68">
      <c r="A231" s="114" t="n"/>
      <c r="B231" s="114" t="n"/>
      <c r="C231" s="114" t="n"/>
    </row>
    <row r="232" ht="15" customHeight="1" s="68">
      <c r="A232" s="114" t="n"/>
      <c r="B232" s="114" t="n"/>
      <c r="C232" s="114" t="n"/>
    </row>
    <row r="233" ht="15" customHeight="1" s="68">
      <c r="A233" s="114" t="n"/>
      <c r="B233" s="114" t="n"/>
      <c r="C233" s="114" t="n"/>
    </row>
    <row r="234" ht="15" customHeight="1" s="68">
      <c r="A234" s="114" t="n"/>
      <c r="B234" s="114" t="n"/>
      <c r="C234" s="114" t="n"/>
    </row>
    <row r="235" ht="15" customHeight="1" s="68">
      <c r="A235" s="114" t="n"/>
      <c r="B235" s="114" t="n"/>
      <c r="C235" s="114" t="n"/>
    </row>
    <row r="236" ht="15" customHeight="1" s="68">
      <c r="A236" s="114" t="n"/>
      <c r="B236" s="114" t="n"/>
      <c r="C236" s="114" t="n"/>
    </row>
    <row r="237" ht="15" customHeight="1" s="68">
      <c r="A237" s="114" t="n"/>
      <c r="B237" s="114" t="n"/>
      <c r="C237" s="114" t="n"/>
    </row>
    <row r="238" ht="15" customHeight="1" s="68">
      <c r="A238" s="114" t="n"/>
      <c r="B238" s="114" t="n"/>
      <c r="C238" s="114" t="n"/>
    </row>
    <row r="239" ht="15" customHeight="1" s="68">
      <c r="A239" s="114" t="n"/>
      <c r="B239" s="114" t="n"/>
      <c r="C239" s="114" t="n"/>
    </row>
    <row r="240" ht="15" customHeight="1" s="68">
      <c r="A240" s="114" t="n"/>
      <c r="B240" s="114" t="n"/>
      <c r="C240" s="114" t="n"/>
    </row>
    <row r="241" ht="15" customHeight="1" s="68">
      <c r="A241" s="114" t="n"/>
      <c r="B241" s="114" t="n"/>
      <c r="C241" s="114" t="n"/>
    </row>
    <row r="242" ht="15" customHeight="1" s="68">
      <c r="A242" s="114" t="n"/>
      <c r="B242" s="114" t="n"/>
      <c r="C242" s="114" t="n"/>
    </row>
    <row r="243" ht="15" customHeight="1" s="68">
      <c r="A243" s="114" t="n"/>
      <c r="B243" s="114" t="n"/>
      <c r="C243" s="114" t="n"/>
    </row>
    <row r="244" ht="15" customHeight="1" s="68">
      <c r="A244" s="114" t="n"/>
      <c r="B244" s="114" t="n"/>
      <c r="C244" s="114" t="n"/>
    </row>
    <row r="245" ht="15" customHeight="1" s="68">
      <c r="A245" s="114" t="n"/>
      <c r="B245" s="114" t="n"/>
      <c r="C245" s="114" t="n"/>
    </row>
    <row r="246" ht="15" customHeight="1" s="68">
      <c r="A246" s="114" t="n"/>
      <c r="B246" s="114" t="n"/>
      <c r="C246" s="114" t="n"/>
    </row>
    <row r="247" ht="15" customHeight="1" s="68">
      <c r="A247" s="114" t="n"/>
      <c r="B247" s="114" t="n"/>
      <c r="C247" s="114" t="n"/>
    </row>
    <row r="248" ht="15" customHeight="1" s="68">
      <c r="A248" s="114" t="n"/>
      <c r="B248" s="114" t="n"/>
      <c r="C248" s="114" t="n"/>
    </row>
    <row r="249" ht="15" customHeight="1" s="68">
      <c r="A249" s="114" t="n"/>
      <c r="B249" s="114" t="n"/>
      <c r="C249" s="114" t="n"/>
    </row>
    <row r="250" ht="15" customHeight="1" s="68">
      <c r="A250" s="114" t="n"/>
      <c r="B250" s="114" t="n"/>
      <c r="C250" s="114" t="n"/>
    </row>
    <row r="251" ht="15" customHeight="1" s="68">
      <c r="A251" s="114" t="n"/>
      <c r="B251" s="114" t="n"/>
      <c r="C251" s="114" t="n"/>
    </row>
    <row r="252" ht="15" customHeight="1" s="68">
      <c r="A252" s="114" t="n"/>
      <c r="B252" s="114" t="n"/>
      <c r="C252" s="114" t="n"/>
    </row>
    <row r="253" ht="15" customHeight="1" s="68">
      <c r="A253" s="114" t="n"/>
      <c r="B253" s="114" t="n"/>
      <c r="C253" s="114" t="n"/>
    </row>
    <row r="254" ht="15" customHeight="1" s="68">
      <c r="A254" s="114" t="n"/>
      <c r="B254" s="114" t="n"/>
      <c r="C254" s="114" t="n"/>
    </row>
    <row r="255" ht="15" customHeight="1" s="68">
      <c r="A255" s="114" t="n"/>
      <c r="B255" s="114" t="n"/>
      <c r="C255" s="114" t="n"/>
    </row>
    <row r="256" ht="15" customHeight="1" s="68">
      <c r="A256" s="114" t="n"/>
      <c r="B256" s="114" t="n"/>
      <c r="C256" s="114" t="n"/>
    </row>
    <row r="257" ht="15" customHeight="1" s="68">
      <c r="A257" s="114" t="n"/>
      <c r="B257" s="114" t="n"/>
      <c r="C257" s="114" t="n"/>
    </row>
    <row r="258" ht="15" customHeight="1" s="68">
      <c r="A258" s="114" t="n"/>
      <c r="B258" s="114" t="n"/>
      <c r="C258" s="114" t="n"/>
    </row>
    <row r="259" ht="15" customHeight="1" s="68">
      <c r="A259" s="114" t="n"/>
      <c r="B259" s="114" t="n"/>
      <c r="C259" s="114" t="n"/>
    </row>
    <row r="260" ht="15" customHeight="1" s="68">
      <c r="A260" s="114" t="n"/>
      <c r="B260" s="114" t="n"/>
      <c r="C260" s="114" t="n"/>
    </row>
    <row r="261" ht="15" customHeight="1" s="68">
      <c r="A261" s="114" t="n"/>
      <c r="B261" s="114" t="n"/>
      <c r="C261" s="114" t="n"/>
    </row>
    <row r="262" ht="15" customHeight="1" s="68">
      <c r="A262" s="114" t="n"/>
      <c r="B262" s="114" t="n"/>
      <c r="C262" s="114" t="n"/>
    </row>
    <row r="263" ht="15" customHeight="1" s="68">
      <c r="A263" s="114" t="n"/>
      <c r="B263" s="114" t="n"/>
      <c r="C263" s="114" t="n"/>
    </row>
    <row r="264" ht="15" customHeight="1" s="68">
      <c r="A264" s="114" t="n"/>
      <c r="B264" s="114" t="n"/>
      <c r="C264" s="114" t="n"/>
    </row>
    <row r="265" ht="15" customHeight="1" s="68">
      <c r="A265" s="114" t="n"/>
      <c r="B265" s="114" t="n"/>
      <c r="C265" s="114" t="n"/>
    </row>
    <row r="266" ht="15" customHeight="1" s="68">
      <c r="A266" s="114" t="n"/>
      <c r="B266" s="114" t="n"/>
      <c r="C266" s="114" t="n"/>
    </row>
    <row r="267" ht="15" customHeight="1" s="68">
      <c r="A267" s="114" t="n"/>
      <c r="B267" s="114" t="n"/>
      <c r="C267" s="114" t="n"/>
    </row>
    <row r="268" ht="15" customHeight="1" s="68">
      <c r="A268" s="114" t="n"/>
      <c r="B268" s="114" t="n"/>
      <c r="C268" s="114" t="n"/>
    </row>
    <row r="269" ht="15" customHeight="1" s="68">
      <c r="A269" s="114" t="n"/>
      <c r="B269" s="114" t="n"/>
      <c r="C269" s="114" t="n"/>
    </row>
    <row r="270" ht="15" customHeight="1" s="68">
      <c r="A270" s="114" t="n"/>
      <c r="B270" s="114" t="n"/>
      <c r="C270" s="114" t="n"/>
    </row>
    <row r="271" ht="15" customHeight="1" s="68">
      <c r="A271" s="114" t="n"/>
      <c r="B271" s="114" t="n"/>
      <c r="C271" s="114" t="n"/>
    </row>
    <row r="272" ht="15" customHeight="1" s="68">
      <c r="A272" s="114" t="n"/>
      <c r="B272" s="114" t="n"/>
      <c r="C272" s="114" t="n"/>
    </row>
    <row r="273" ht="15" customHeight="1" s="68">
      <c r="A273" s="114" t="n"/>
      <c r="B273" s="114" t="n"/>
      <c r="C273" s="114" t="n"/>
    </row>
    <row r="274" ht="15" customHeight="1" s="68">
      <c r="A274" s="114" t="n"/>
      <c r="B274" s="114" t="n"/>
      <c r="C274" s="114" t="n"/>
    </row>
    <row r="275" ht="15" customHeight="1" s="68">
      <c r="A275" s="114" t="n"/>
      <c r="B275" s="114" t="n"/>
      <c r="C275" s="114" t="n"/>
    </row>
    <row r="276" ht="15" customHeight="1" s="68">
      <c r="A276" s="114" t="n"/>
      <c r="B276" s="114" t="n"/>
      <c r="C276" s="114" t="n"/>
    </row>
    <row r="277" ht="15" customHeight="1" s="68">
      <c r="A277" s="114" t="n"/>
      <c r="B277" s="114" t="n"/>
      <c r="C277" s="114" t="n"/>
    </row>
    <row r="278" ht="15" customHeight="1" s="68">
      <c r="A278" s="114" t="n"/>
      <c r="B278" s="114" t="n"/>
      <c r="C278" s="114" t="n"/>
    </row>
    <row r="279" ht="15" customHeight="1" s="68">
      <c r="A279" s="114" t="n"/>
      <c r="B279" s="114" t="n"/>
      <c r="C279" s="114" t="n"/>
    </row>
    <row r="280" ht="15" customHeight="1" s="68">
      <c r="A280" s="114" t="n"/>
      <c r="B280" s="114" t="n"/>
      <c r="C280" s="114" t="n"/>
    </row>
    <row r="281" ht="15" customHeight="1" s="68">
      <c r="A281" s="114" t="n"/>
      <c r="B281" s="114" t="n"/>
      <c r="C281" s="114" t="n"/>
    </row>
    <row r="282" ht="15" customHeight="1" s="68">
      <c r="A282" s="114" t="n"/>
      <c r="B282" s="114" t="n"/>
      <c r="C282" s="114" t="n"/>
    </row>
    <row r="283" ht="15" customHeight="1" s="68">
      <c r="A283" s="114" t="n"/>
      <c r="B283" s="114" t="n"/>
      <c r="C283" s="114" t="n"/>
    </row>
    <row r="284" ht="15" customHeight="1" s="68">
      <c r="A284" s="114" t="n"/>
      <c r="B284" s="114" t="n"/>
      <c r="C284" s="114" t="n"/>
    </row>
    <row r="285" ht="15" customHeight="1" s="68">
      <c r="A285" s="114" t="n"/>
      <c r="B285" s="114" t="n"/>
      <c r="C285" s="114" t="n"/>
    </row>
    <row r="286" ht="15" customHeight="1" s="68">
      <c r="A286" s="114" t="n"/>
      <c r="B286" s="114" t="n"/>
      <c r="C286" s="114" t="n"/>
    </row>
    <row r="287" ht="15" customHeight="1" s="68">
      <c r="A287" s="114" t="n"/>
      <c r="B287" s="114" t="n"/>
      <c r="C287" s="114" t="n"/>
    </row>
    <row r="288" ht="15" customHeight="1" s="68">
      <c r="A288" s="114" t="n"/>
      <c r="B288" s="114" t="n"/>
      <c r="C288" s="114" t="n"/>
    </row>
    <row r="289" ht="15" customHeight="1" s="68">
      <c r="A289" s="114" t="n"/>
      <c r="B289" s="114" t="n"/>
      <c r="C289" s="114" t="n"/>
    </row>
    <row r="290" ht="15" customHeight="1" s="68">
      <c r="A290" s="114" t="n"/>
      <c r="B290" s="114" t="n"/>
      <c r="C290" s="114" t="n"/>
    </row>
    <row r="291" ht="15" customHeight="1" s="68">
      <c r="A291" s="114" t="n"/>
      <c r="B291" s="114" t="n"/>
      <c r="C291" s="114" t="n"/>
    </row>
    <row r="292" ht="15" customHeight="1" s="68">
      <c r="A292" s="114" t="n"/>
      <c r="B292" s="114" t="n"/>
      <c r="C292" s="114" t="n"/>
    </row>
    <row r="293" ht="15" customHeight="1" s="68">
      <c r="A293" s="114" t="n"/>
      <c r="B293" s="114" t="n"/>
      <c r="C293" s="114" t="n"/>
    </row>
    <row r="294" ht="15" customHeight="1" s="68">
      <c r="A294" s="114" t="n"/>
      <c r="B294" s="114" t="n"/>
      <c r="C294" s="114" t="n"/>
    </row>
    <row r="295" ht="15" customHeight="1" s="68">
      <c r="A295" s="114" t="n"/>
      <c r="B295" s="114" t="n"/>
      <c r="C295" s="114" t="n"/>
    </row>
    <row r="296" ht="15" customHeight="1" s="68">
      <c r="A296" s="114" t="n"/>
      <c r="B296" s="114" t="n"/>
      <c r="C296" s="114" t="n"/>
    </row>
    <row r="297" ht="15" customHeight="1" s="68">
      <c r="A297" s="114" t="n"/>
      <c r="B297" s="114" t="n"/>
      <c r="C297" s="114" t="n"/>
    </row>
    <row r="298" ht="15" customHeight="1" s="68">
      <c r="A298" s="114" t="n"/>
      <c r="B298" s="114" t="n"/>
      <c r="C298" s="114" t="n"/>
    </row>
    <row r="299" ht="15" customHeight="1" s="68">
      <c r="A299" s="114" t="n"/>
      <c r="B299" s="114" t="n"/>
      <c r="C299" s="114" t="n"/>
    </row>
    <row r="300" ht="15" customHeight="1" s="68">
      <c r="A300" s="114" t="n"/>
      <c r="B300" s="114" t="n"/>
      <c r="C300" s="114" t="n"/>
    </row>
    <row r="301" ht="15" customHeight="1" s="68">
      <c r="A301" s="114" t="n"/>
      <c r="B301" s="114" t="n"/>
      <c r="C301" s="114" t="n"/>
    </row>
    <row r="302" ht="15" customHeight="1" s="68">
      <c r="A302" s="114" t="n"/>
      <c r="B302" s="114" t="n"/>
      <c r="C302" s="114" t="n"/>
    </row>
    <row r="303" ht="15" customHeight="1" s="68">
      <c r="A303" s="114" t="n"/>
      <c r="B303" s="114" t="n"/>
      <c r="C303" s="114" t="n"/>
    </row>
    <row r="304" ht="15" customHeight="1" s="68">
      <c r="A304" s="114" t="n"/>
      <c r="B304" s="114" t="n"/>
      <c r="C304" s="114" t="n"/>
    </row>
    <row r="305" ht="15" customHeight="1" s="68">
      <c r="A305" s="114" t="n"/>
      <c r="B305" s="114" t="n"/>
      <c r="C305" s="114" t="n"/>
    </row>
    <row r="306" ht="15" customHeight="1" s="68">
      <c r="A306" s="114" t="n"/>
      <c r="B306" s="114" t="n"/>
      <c r="C306" s="114" t="n"/>
    </row>
    <row r="307" ht="15" customHeight="1" s="68">
      <c r="A307" s="114" t="n"/>
      <c r="B307" s="114" t="n"/>
      <c r="C307" s="114" t="n"/>
    </row>
    <row r="308" ht="15" customHeight="1" s="68">
      <c r="A308" s="114" t="n"/>
      <c r="B308" s="114" t="n"/>
      <c r="C308" s="114" t="n"/>
    </row>
    <row r="309" ht="15" customHeight="1" s="68">
      <c r="A309" s="114" t="n"/>
      <c r="B309" s="114" t="n"/>
      <c r="C309" s="114" t="n"/>
    </row>
    <row r="310" ht="15" customHeight="1" s="68">
      <c r="A310" s="114" t="n"/>
      <c r="B310" s="114" t="n"/>
      <c r="C310" s="114" t="n"/>
    </row>
    <row r="311" ht="15" customHeight="1" s="68">
      <c r="A311" s="114" t="n"/>
      <c r="B311" s="114" t="n"/>
      <c r="C311" s="114" t="n"/>
    </row>
    <row r="312" ht="15" customHeight="1" s="68">
      <c r="A312" s="114" t="n"/>
      <c r="B312" s="114" t="n"/>
      <c r="C312" s="114" t="n"/>
    </row>
    <row r="313" ht="15" customHeight="1" s="68">
      <c r="A313" s="114" t="n"/>
      <c r="B313" s="114" t="n"/>
      <c r="C313" s="114" t="n"/>
    </row>
    <row r="314" ht="15" customHeight="1" s="68">
      <c r="A314" s="114" t="n"/>
      <c r="B314" s="114" t="n"/>
      <c r="C314" s="114" t="n"/>
    </row>
    <row r="315" ht="15" customHeight="1" s="68">
      <c r="A315" s="114" t="n"/>
      <c r="B315" s="114" t="n"/>
      <c r="C315" s="114" t="n"/>
    </row>
    <row r="316" ht="15" customHeight="1" s="68">
      <c r="A316" s="114" t="n"/>
      <c r="B316" s="114" t="n"/>
      <c r="C316" s="114" t="n"/>
    </row>
    <row r="317" ht="15" customHeight="1" s="68">
      <c r="A317" s="114" t="n"/>
      <c r="B317" s="114" t="n"/>
      <c r="C317" s="114" t="n"/>
    </row>
    <row r="318" ht="15" customHeight="1" s="68">
      <c r="A318" s="114" t="n"/>
      <c r="B318" s="114" t="n"/>
      <c r="C318" s="114" t="n"/>
    </row>
    <row r="319" ht="15" customHeight="1" s="68">
      <c r="A319" s="114" t="n"/>
      <c r="B319" s="114" t="n"/>
      <c r="C319" s="114" t="n"/>
    </row>
    <row r="320" ht="15" customHeight="1" s="68">
      <c r="A320" s="114" t="n"/>
      <c r="B320" s="114" t="n"/>
      <c r="C320" s="114" t="n"/>
    </row>
    <row r="321" ht="15" customHeight="1" s="68">
      <c r="A321" s="114" t="n"/>
      <c r="B321" s="114" t="n"/>
      <c r="C321" s="114" t="n"/>
    </row>
    <row r="322" ht="15" customHeight="1" s="68">
      <c r="A322" s="114" t="n"/>
      <c r="B322" s="114" t="n"/>
      <c r="C322" s="114" t="n"/>
    </row>
    <row r="323" ht="15" customHeight="1" s="68">
      <c r="A323" s="114" t="n"/>
      <c r="B323" s="114" t="n"/>
      <c r="C323" s="114" t="n"/>
    </row>
    <row r="324" ht="15" customHeight="1" s="68">
      <c r="A324" s="114" t="n"/>
      <c r="B324" s="114" t="n"/>
      <c r="C324" s="114" t="n"/>
    </row>
    <row r="325" ht="15" customHeight="1" s="68">
      <c r="A325" s="114" t="n"/>
      <c r="B325" s="114" t="n"/>
      <c r="C325" s="114" t="n"/>
    </row>
    <row r="326" ht="15" customHeight="1" s="68">
      <c r="A326" s="114" t="n"/>
      <c r="B326" s="114" t="n"/>
      <c r="C326" s="114" t="n"/>
    </row>
    <row r="327" ht="15" customHeight="1" s="68">
      <c r="A327" s="114" t="n"/>
      <c r="B327" s="114" t="n"/>
      <c r="C327" s="114" t="n"/>
    </row>
    <row r="328" ht="15" customHeight="1" s="68">
      <c r="A328" s="114" t="n"/>
      <c r="B328" s="114" t="n"/>
      <c r="C328" s="114" t="n"/>
    </row>
    <row r="329" ht="15" customHeight="1" s="68">
      <c r="A329" s="114" t="n"/>
      <c r="B329" s="114" t="n"/>
      <c r="C329" s="114" t="n"/>
    </row>
    <row r="330" ht="15" customHeight="1" s="68">
      <c r="A330" s="114" t="n"/>
      <c r="B330" s="114" t="n"/>
      <c r="C330" s="114" t="n"/>
    </row>
    <row r="331" ht="15" customHeight="1" s="68">
      <c r="A331" s="114" t="n"/>
      <c r="B331" s="114" t="n"/>
      <c r="C331" s="114" t="n"/>
    </row>
    <row r="332" ht="15" customHeight="1" s="68">
      <c r="A332" s="114" t="n"/>
      <c r="B332" s="114" t="n"/>
      <c r="C332" s="114" t="n"/>
    </row>
    <row r="333" ht="15" customHeight="1" s="68">
      <c r="A333" s="114" t="n"/>
      <c r="B333" s="114" t="n"/>
      <c r="C333" s="114" t="n"/>
    </row>
    <row r="334" ht="15" customHeight="1" s="68">
      <c r="A334" s="114" t="n"/>
      <c r="B334" s="114" t="n"/>
      <c r="C334" s="114" t="n"/>
    </row>
    <row r="335" ht="15" customHeight="1" s="68">
      <c r="A335" s="114" t="n"/>
      <c r="B335" s="114" t="n"/>
      <c r="C335" s="114" t="n"/>
    </row>
    <row r="336" ht="15" customHeight="1" s="68">
      <c r="A336" s="114" t="n"/>
      <c r="B336" s="114" t="n"/>
      <c r="C336" s="114" t="n"/>
    </row>
    <row r="337" ht="15" customHeight="1" s="68">
      <c r="A337" s="114" t="n"/>
      <c r="B337" s="114" t="n"/>
      <c r="C337" s="114" t="n"/>
    </row>
    <row r="338" ht="15" customHeight="1" s="68">
      <c r="A338" s="114" t="n"/>
      <c r="B338" s="114" t="n"/>
      <c r="C338" s="114" t="n"/>
    </row>
    <row r="339" ht="15" customHeight="1" s="68">
      <c r="A339" s="114" t="n"/>
      <c r="B339" s="114" t="n"/>
      <c r="C339" s="114" t="n"/>
    </row>
    <row r="340" ht="15" customHeight="1" s="68">
      <c r="A340" s="114" t="n"/>
      <c r="B340" s="114" t="n"/>
      <c r="C340" s="114" t="n"/>
    </row>
    <row r="341" ht="15" customHeight="1" s="68">
      <c r="A341" s="114" t="n"/>
      <c r="B341" s="114" t="n"/>
      <c r="C341" s="114" t="n"/>
    </row>
    <row r="342" ht="15" customHeight="1" s="68">
      <c r="A342" s="114" t="n"/>
      <c r="B342" s="114" t="n"/>
      <c r="C342" s="114" t="n"/>
    </row>
    <row r="343" ht="15" customHeight="1" s="68">
      <c r="A343" s="114" t="n"/>
      <c r="B343" s="114" t="n"/>
      <c r="C343" s="114" t="n"/>
    </row>
    <row r="344" ht="15" customHeight="1" s="68">
      <c r="A344" s="114" t="n"/>
      <c r="B344" s="114" t="n"/>
      <c r="C344" s="114" t="n"/>
    </row>
    <row r="345" ht="15" customHeight="1" s="68">
      <c r="A345" s="114" t="n"/>
      <c r="B345" s="114" t="n"/>
      <c r="C345" s="114" t="n"/>
    </row>
    <row r="346" ht="15" customHeight="1" s="68">
      <c r="A346" s="114" t="n"/>
      <c r="B346" s="114" t="n"/>
      <c r="C346" s="114" t="n"/>
    </row>
    <row r="347" ht="15" customHeight="1" s="68">
      <c r="A347" s="114" t="n"/>
      <c r="B347" s="114" t="n"/>
      <c r="C347" s="114" t="n"/>
    </row>
    <row r="348" ht="15" customHeight="1" s="68">
      <c r="A348" s="114" t="n"/>
      <c r="B348" s="114" t="n"/>
      <c r="C348" s="114" t="n"/>
    </row>
    <row r="349" ht="15" customHeight="1" s="68">
      <c r="A349" s="114" t="n"/>
      <c r="B349" s="114" t="n"/>
      <c r="C349" s="114" t="n"/>
    </row>
    <row r="350" ht="15" customHeight="1" s="68">
      <c r="A350" s="114" t="n"/>
      <c r="B350" s="114" t="n"/>
      <c r="C350" s="114" t="n"/>
    </row>
    <row r="351" ht="15" customHeight="1" s="68">
      <c r="A351" s="114" t="n"/>
      <c r="B351" s="114" t="n"/>
      <c r="C351" s="114" t="n"/>
    </row>
    <row r="352" ht="15" customHeight="1" s="68">
      <c r="A352" s="114" t="n"/>
      <c r="B352" s="114" t="n"/>
      <c r="C352" s="114" t="n"/>
    </row>
    <row r="353" ht="15" customHeight="1" s="68">
      <c r="A353" s="114" t="n"/>
      <c r="B353" s="114" t="n"/>
      <c r="C353" s="114" t="n"/>
    </row>
    <row r="354" ht="15" customHeight="1" s="68">
      <c r="A354" s="114" t="n"/>
      <c r="B354" s="114" t="n"/>
      <c r="C354" s="114" t="n"/>
    </row>
    <row r="355" ht="15" customHeight="1" s="68">
      <c r="A355" s="114" t="n"/>
      <c r="B355" s="114" t="n"/>
      <c r="C355" s="114" t="n"/>
    </row>
    <row r="356" ht="15" customHeight="1" s="68">
      <c r="A356" s="114" t="n"/>
      <c r="B356" s="114" t="n"/>
      <c r="C356" s="114" t="n"/>
    </row>
    <row r="357" ht="15" customHeight="1" s="68">
      <c r="A357" s="114" t="n"/>
      <c r="B357" s="114" t="n"/>
      <c r="C357" s="114" t="n"/>
    </row>
    <row r="358" ht="15" customHeight="1" s="68">
      <c r="A358" s="114" t="n"/>
      <c r="B358" s="114" t="n"/>
      <c r="C358" s="114" t="n"/>
    </row>
    <row r="359" ht="15" customHeight="1" s="68">
      <c r="A359" s="114" t="n"/>
      <c r="B359" s="114" t="n"/>
      <c r="C359" s="114" t="n"/>
    </row>
    <row r="360" ht="15" customHeight="1" s="68">
      <c r="A360" s="114" t="n"/>
      <c r="B360" s="114" t="n"/>
      <c r="C360" s="114" t="n"/>
    </row>
    <row r="361" ht="15" customHeight="1" s="68">
      <c r="A361" s="114" t="n"/>
      <c r="B361" s="114" t="n"/>
      <c r="C361" s="114" t="n"/>
    </row>
    <row r="362" ht="15" customHeight="1" s="68">
      <c r="A362" s="114" t="n"/>
      <c r="B362" s="114" t="n"/>
      <c r="C362" s="114" t="n"/>
    </row>
    <row r="363" ht="15" customHeight="1" s="68">
      <c r="A363" s="114" t="n"/>
      <c r="B363" s="114" t="n"/>
      <c r="C363" s="114" t="n"/>
    </row>
    <row r="364" ht="15" customHeight="1" s="68">
      <c r="A364" s="114" t="n"/>
      <c r="B364" s="114" t="n"/>
      <c r="C364" s="114" t="n"/>
    </row>
    <row r="365" ht="15" customHeight="1" s="68">
      <c r="A365" s="114" t="n"/>
      <c r="B365" s="114" t="n"/>
      <c r="C365" s="114" t="n"/>
    </row>
    <row r="366" ht="15" customHeight="1" s="68">
      <c r="A366" s="114" t="n"/>
      <c r="B366" s="114" t="n"/>
      <c r="C366" s="114" t="n"/>
    </row>
    <row r="367" ht="15" customHeight="1" s="68">
      <c r="A367" s="114" t="n"/>
      <c r="B367" s="114" t="n"/>
      <c r="C367" s="114" t="n"/>
    </row>
    <row r="368" ht="15" customHeight="1" s="68">
      <c r="A368" s="114" t="n"/>
      <c r="B368" s="114" t="n"/>
      <c r="C368" s="114" t="n"/>
    </row>
    <row r="369" ht="15" customHeight="1" s="68">
      <c r="A369" s="114" t="n"/>
      <c r="B369" s="114" t="n"/>
      <c r="C369" s="114" t="n"/>
    </row>
    <row r="370" ht="15" customHeight="1" s="68">
      <c r="A370" s="114" t="n"/>
      <c r="B370" s="114" t="n"/>
      <c r="C370" s="114" t="n"/>
    </row>
    <row r="371" ht="15" customHeight="1" s="68">
      <c r="A371" s="114" t="n"/>
      <c r="B371" s="114" t="n"/>
      <c r="C371" s="114" t="n"/>
    </row>
    <row r="372" ht="15" customHeight="1" s="68">
      <c r="A372" s="114" t="n"/>
      <c r="B372" s="114" t="n"/>
      <c r="C372" s="114" t="n"/>
    </row>
    <row r="373" ht="15" customHeight="1" s="68">
      <c r="A373" s="114" t="n"/>
      <c r="B373" s="114" t="n"/>
      <c r="C373" s="114" t="n"/>
    </row>
    <row r="374" ht="15" customHeight="1" s="68">
      <c r="A374" s="114" t="n"/>
      <c r="B374" s="114" t="n"/>
      <c r="C374" s="114" t="n"/>
    </row>
    <row r="375" ht="15" customHeight="1" s="68">
      <c r="A375" s="114" t="n"/>
      <c r="B375" s="114" t="n"/>
      <c r="C375" s="114" t="n"/>
    </row>
    <row r="376" ht="15" customHeight="1" s="68">
      <c r="A376" s="114" t="n"/>
      <c r="B376" s="114" t="n"/>
      <c r="C376" s="114" t="n"/>
    </row>
    <row r="377" ht="15" customHeight="1" s="68">
      <c r="A377" s="114" t="n"/>
      <c r="B377" s="114" t="n"/>
      <c r="C377" s="114" t="n"/>
    </row>
    <row r="378" ht="15" customHeight="1" s="68">
      <c r="A378" s="114" t="n"/>
      <c r="B378" s="114" t="n"/>
      <c r="C378" s="114" t="n"/>
    </row>
    <row r="379" ht="15" customHeight="1" s="68">
      <c r="A379" s="114" t="n"/>
      <c r="B379" s="114" t="n"/>
      <c r="C379" s="114" t="n"/>
    </row>
    <row r="380" ht="15" customHeight="1" s="68">
      <c r="A380" s="114" t="n"/>
      <c r="B380" s="114" t="n"/>
      <c r="C380" s="114" t="n"/>
    </row>
    <row r="381" ht="15" customHeight="1" s="68">
      <c r="A381" s="114" t="n"/>
      <c r="B381" s="114" t="n"/>
      <c r="C381" s="114" t="n"/>
    </row>
    <row r="382" ht="15" customHeight="1" s="68">
      <c r="A382" s="114" t="n"/>
      <c r="B382" s="114" t="n"/>
      <c r="C382" s="114" t="n"/>
    </row>
    <row r="383" ht="15" customHeight="1" s="68">
      <c r="A383" s="114" t="n"/>
      <c r="B383" s="114" t="n"/>
      <c r="C383" s="114" t="n"/>
    </row>
    <row r="384" ht="15" customHeight="1" s="68">
      <c r="A384" s="114" t="n"/>
      <c r="B384" s="114" t="n"/>
      <c r="C384" s="114" t="n"/>
    </row>
    <row r="385" ht="15" customHeight="1" s="68">
      <c r="A385" s="114" t="n"/>
      <c r="B385" s="114" t="n"/>
      <c r="C385" s="114" t="n"/>
    </row>
    <row r="386" ht="15" customHeight="1" s="68">
      <c r="A386" s="114" t="n"/>
      <c r="B386" s="114" t="n"/>
      <c r="C386" s="114" t="n"/>
    </row>
    <row r="387" ht="15" customHeight="1" s="68">
      <c r="A387" s="114" t="n"/>
      <c r="B387" s="114" t="n"/>
      <c r="C387" s="114" t="n"/>
    </row>
    <row r="388" ht="15" customHeight="1" s="68">
      <c r="A388" s="114" t="n"/>
      <c r="B388" s="114" t="n"/>
      <c r="C388" s="114" t="n"/>
    </row>
    <row r="389" ht="15" customHeight="1" s="68">
      <c r="A389" s="114" t="n"/>
      <c r="B389" s="114" t="n"/>
      <c r="C389" s="114" t="n"/>
    </row>
    <row r="390" ht="15" customHeight="1" s="68">
      <c r="A390" s="114" t="n"/>
      <c r="B390" s="114" t="n"/>
      <c r="C390" s="114" t="n"/>
    </row>
    <row r="391" ht="15" customHeight="1" s="68">
      <c r="A391" s="114" t="n"/>
      <c r="B391" s="114" t="n"/>
      <c r="C391" s="114" t="n"/>
    </row>
    <row r="392" ht="15" customHeight="1" s="68">
      <c r="A392" s="114" t="n"/>
      <c r="B392" s="114" t="n"/>
      <c r="C392" s="114" t="n"/>
    </row>
    <row r="393" ht="15" customHeight="1" s="68">
      <c r="A393" s="114" t="n"/>
      <c r="B393" s="114" t="n"/>
      <c r="C393" s="114" t="n"/>
    </row>
    <row r="394" ht="15" customHeight="1" s="68">
      <c r="A394" s="114" t="n"/>
      <c r="B394" s="114" t="n"/>
      <c r="C394" s="114" t="n"/>
    </row>
    <row r="395" ht="15" customHeight="1" s="68">
      <c r="A395" s="114" t="n"/>
      <c r="B395" s="114" t="n"/>
      <c r="C395" s="114" t="n"/>
    </row>
    <row r="396" ht="15" customHeight="1" s="68">
      <c r="A396" s="114" t="n"/>
      <c r="B396" s="114" t="n"/>
      <c r="C396" s="114" t="n"/>
    </row>
    <row r="397" ht="15" customHeight="1" s="68">
      <c r="A397" s="114" t="n"/>
      <c r="B397" s="114" t="n"/>
      <c r="C397" s="114" t="n"/>
    </row>
    <row r="398" ht="15" customHeight="1" s="68">
      <c r="A398" s="114" t="n"/>
      <c r="B398" s="114" t="n"/>
      <c r="C398" s="114" t="n"/>
    </row>
    <row r="399" ht="15" customHeight="1" s="68">
      <c r="A399" s="114" t="n"/>
      <c r="B399" s="114" t="n"/>
      <c r="C399" s="114" t="n"/>
    </row>
    <row r="400" ht="15" customHeight="1" s="68">
      <c r="A400" s="114" t="n"/>
      <c r="B400" s="114" t="n"/>
      <c r="C400" s="114" t="n"/>
    </row>
    <row r="401" ht="15" customHeight="1" s="68">
      <c r="A401" s="114" t="n"/>
      <c r="B401" s="114" t="n"/>
      <c r="C401" s="114" t="n"/>
    </row>
    <row r="402" ht="15" customHeight="1" s="68">
      <c r="A402" s="114" t="n"/>
      <c r="B402" s="114" t="n"/>
      <c r="C402" s="114" t="n"/>
    </row>
    <row r="403" ht="15" customHeight="1" s="68">
      <c r="A403" s="114" t="n"/>
      <c r="B403" s="114" t="n"/>
      <c r="C403" s="114" t="n"/>
    </row>
    <row r="404" ht="15" customHeight="1" s="68">
      <c r="A404" s="114" t="n"/>
      <c r="B404" s="114" t="n"/>
      <c r="C404" s="114" t="n"/>
    </row>
    <row r="405" ht="15" customHeight="1" s="68">
      <c r="A405" s="114" t="n"/>
      <c r="B405" s="114" t="n"/>
      <c r="C405" s="114" t="n"/>
    </row>
    <row r="406" ht="15" customHeight="1" s="68">
      <c r="A406" s="114" t="n"/>
      <c r="B406" s="114" t="n"/>
      <c r="C406" s="114" t="n"/>
    </row>
    <row r="407" ht="15" customHeight="1" s="68">
      <c r="A407" s="114" t="n"/>
      <c r="B407" s="114" t="n"/>
      <c r="C407" s="114" t="n"/>
    </row>
    <row r="408" ht="15" customHeight="1" s="68">
      <c r="A408" s="114" t="n"/>
      <c r="B408" s="114" t="n"/>
      <c r="C408" s="114" t="n"/>
    </row>
    <row r="409" ht="15" customHeight="1" s="68">
      <c r="A409" s="114" t="n"/>
      <c r="B409" s="114" t="n"/>
      <c r="C409" s="114" t="n"/>
    </row>
    <row r="410" ht="15" customHeight="1" s="68">
      <c r="A410" s="114" t="n"/>
      <c r="B410" s="114" t="n"/>
      <c r="C410" s="114" t="n"/>
    </row>
    <row r="411" ht="15" customHeight="1" s="68">
      <c r="A411" s="114" t="n"/>
      <c r="B411" s="114" t="n"/>
      <c r="C411" s="114" t="n"/>
    </row>
    <row r="412" ht="15" customHeight="1" s="68">
      <c r="A412" s="114" t="n"/>
      <c r="B412" s="114" t="n"/>
      <c r="C412" s="114" t="n"/>
    </row>
    <row r="413" ht="15" customHeight="1" s="68">
      <c r="A413" s="114" t="n"/>
      <c r="B413" s="114" t="n"/>
      <c r="C413" s="114" t="n"/>
    </row>
    <row r="414" ht="15" customHeight="1" s="68">
      <c r="A414" s="114" t="n"/>
      <c r="B414" s="114" t="n"/>
      <c r="C414" s="114" t="n"/>
    </row>
    <row r="415" ht="15" customHeight="1" s="68">
      <c r="A415" s="114" t="n"/>
      <c r="B415" s="114" t="n"/>
      <c r="C415" s="114" t="n"/>
    </row>
    <row r="416" ht="15" customHeight="1" s="68">
      <c r="A416" s="114" t="n"/>
      <c r="B416" s="114" t="n"/>
      <c r="C416" s="114" t="n"/>
    </row>
    <row r="417" ht="15" customHeight="1" s="68">
      <c r="A417" s="114" t="n"/>
      <c r="B417" s="114" t="n"/>
      <c r="C417" s="114" t="n"/>
    </row>
    <row r="418" ht="15" customHeight="1" s="68">
      <c r="A418" s="114" t="n"/>
      <c r="B418" s="114" t="n"/>
      <c r="C418" s="114" t="n"/>
    </row>
    <row r="419" ht="15" customHeight="1" s="68">
      <c r="A419" s="114" t="n"/>
      <c r="B419" s="114" t="n"/>
      <c r="C419" s="114" t="n"/>
    </row>
    <row r="420" ht="15" customHeight="1" s="68">
      <c r="A420" s="114" t="n"/>
      <c r="B420" s="114" t="n"/>
      <c r="C420" s="114" t="n"/>
    </row>
    <row r="421" ht="15" customHeight="1" s="68">
      <c r="A421" s="114" t="n"/>
      <c r="B421" s="114" t="n"/>
      <c r="C421" s="114" t="n"/>
    </row>
    <row r="422" ht="15" customHeight="1" s="68">
      <c r="A422" s="114" t="n"/>
      <c r="B422" s="114" t="n"/>
      <c r="C422" s="114" t="n"/>
    </row>
    <row r="423" ht="15" customHeight="1" s="68">
      <c r="A423" s="114" t="n"/>
      <c r="B423" s="114" t="n"/>
      <c r="C423" s="114" t="n"/>
    </row>
    <row r="424" ht="15" customHeight="1" s="68">
      <c r="A424" s="114" t="n"/>
      <c r="B424" s="114" t="n"/>
      <c r="C424" s="114" t="n"/>
    </row>
    <row r="425" ht="15" customHeight="1" s="68">
      <c r="A425" s="114" t="n"/>
      <c r="B425" s="114" t="n"/>
      <c r="C425" s="114" t="n"/>
    </row>
    <row r="426" ht="15" customHeight="1" s="68">
      <c r="A426" s="114" t="n"/>
      <c r="B426" s="114" t="n"/>
      <c r="C426" s="114" t="n"/>
    </row>
    <row r="427" ht="15" customHeight="1" s="68">
      <c r="A427" s="114" t="n"/>
      <c r="B427" s="114" t="n"/>
      <c r="C427" s="114" t="n"/>
    </row>
    <row r="428" ht="15" customHeight="1" s="68">
      <c r="A428" s="114" t="n"/>
      <c r="B428" s="114" t="n"/>
      <c r="C428" s="114" t="n"/>
    </row>
    <row r="429" ht="15" customHeight="1" s="68">
      <c r="A429" s="114" t="n"/>
      <c r="B429" s="114" t="n"/>
      <c r="C429" s="114" t="n"/>
    </row>
    <row r="430" ht="15" customHeight="1" s="68">
      <c r="A430" s="114" t="n"/>
      <c r="B430" s="114" t="n"/>
      <c r="C430" s="114" t="n"/>
    </row>
    <row r="431" ht="15" customHeight="1" s="68">
      <c r="A431" s="114" t="n"/>
      <c r="B431" s="114" t="n"/>
      <c r="C431" s="114" t="n"/>
    </row>
    <row r="432" ht="15" customHeight="1" s="68">
      <c r="A432" s="114" t="n"/>
      <c r="B432" s="114" t="n"/>
      <c r="C432" s="114" t="n"/>
    </row>
    <row r="433" ht="15" customHeight="1" s="68">
      <c r="A433" s="114" t="n"/>
      <c r="B433" s="114" t="n"/>
      <c r="C433" s="114" t="n"/>
    </row>
    <row r="434" ht="15" customHeight="1" s="68">
      <c r="A434" s="114" t="n"/>
      <c r="B434" s="114" t="n"/>
      <c r="C434" s="114" t="n"/>
    </row>
    <row r="435" ht="15" customHeight="1" s="68">
      <c r="A435" s="114" t="n"/>
      <c r="B435" s="114" t="n"/>
      <c r="C435" s="114" t="n"/>
    </row>
    <row r="436" ht="15" customHeight="1" s="68">
      <c r="A436" s="114" t="n"/>
      <c r="B436" s="114" t="n"/>
      <c r="C436" s="114" t="n"/>
    </row>
    <row r="437" ht="15" customHeight="1" s="68">
      <c r="A437" s="114" t="n"/>
      <c r="B437" s="114" t="n"/>
      <c r="C437" s="114" t="n"/>
    </row>
    <row r="438" ht="15" customHeight="1" s="68">
      <c r="A438" s="114" t="n"/>
      <c r="B438" s="114" t="n"/>
      <c r="C438" s="114" t="n"/>
    </row>
    <row r="439" ht="15" customHeight="1" s="68">
      <c r="A439" s="114" t="n"/>
      <c r="B439" s="114" t="n"/>
      <c r="C439" s="114" t="n"/>
    </row>
    <row r="440" ht="15" customHeight="1" s="68">
      <c r="A440" s="114" t="n"/>
      <c r="B440" s="114" t="n"/>
      <c r="C440" s="114" t="n"/>
    </row>
    <row r="441" ht="15" customHeight="1" s="68">
      <c r="A441" s="114" t="n"/>
      <c r="B441" s="114" t="n"/>
      <c r="C441" s="114" t="n"/>
    </row>
    <row r="442" ht="15" customHeight="1" s="68">
      <c r="A442" s="114" t="n"/>
      <c r="B442" s="114" t="n"/>
      <c r="C442" s="114" t="n"/>
    </row>
    <row r="443" ht="15" customHeight="1" s="68">
      <c r="A443" s="114" t="n"/>
      <c r="B443" s="114" t="n"/>
      <c r="C443" s="114" t="n"/>
    </row>
    <row r="444" ht="15" customHeight="1" s="68">
      <c r="A444" s="114" t="n"/>
      <c r="B444" s="114" t="n"/>
      <c r="C444" s="114" t="n"/>
    </row>
    <row r="445" ht="15" customHeight="1" s="68">
      <c r="A445" s="114" t="n"/>
      <c r="B445" s="114" t="n"/>
      <c r="C445" s="114" t="n"/>
    </row>
    <row r="446" ht="15" customHeight="1" s="68">
      <c r="A446" s="114" t="n"/>
      <c r="B446" s="114" t="n"/>
      <c r="C446" s="114" t="n"/>
    </row>
    <row r="447" ht="15" customHeight="1" s="68">
      <c r="A447" s="114" t="n"/>
      <c r="B447" s="114" t="n"/>
      <c r="C447" s="114" t="n"/>
    </row>
    <row r="448" ht="15" customHeight="1" s="68">
      <c r="A448" s="114" t="n"/>
      <c r="B448" s="114" t="n"/>
      <c r="C448" s="114" t="n"/>
    </row>
    <row r="449" ht="15" customHeight="1" s="68">
      <c r="A449" s="114" t="n"/>
      <c r="B449" s="114" t="n"/>
      <c r="C449" s="114" t="n"/>
    </row>
    <row r="450" ht="15" customHeight="1" s="68">
      <c r="A450" s="114" t="n"/>
      <c r="B450" s="114" t="n"/>
      <c r="C450" s="114" t="n"/>
    </row>
    <row r="451" ht="15" customHeight="1" s="68">
      <c r="A451" s="114" t="n"/>
      <c r="B451" s="114" t="n"/>
      <c r="C451" s="114" t="n"/>
    </row>
    <row r="452" ht="15" customHeight="1" s="68">
      <c r="A452" s="114" t="n"/>
      <c r="B452" s="114" t="n"/>
      <c r="C452" s="114" t="n"/>
    </row>
    <row r="453" ht="15" customHeight="1" s="68">
      <c r="A453" s="114" t="n"/>
      <c r="B453" s="114" t="n"/>
      <c r="C453" s="114" t="n"/>
    </row>
    <row r="454" ht="15" customHeight="1" s="68">
      <c r="A454" s="114" t="n"/>
      <c r="B454" s="114" t="n"/>
      <c r="C454" s="114" t="n"/>
    </row>
    <row r="455" ht="15" customHeight="1" s="68">
      <c r="A455" s="114" t="n"/>
      <c r="B455" s="114" t="n"/>
      <c r="C455" s="114" t="n"/>
    </row>
    <row r="456" ht="15" customHeight="1" s="68">
      <c r="A456" s="114" t="n"/>
      <c r="B456" s="114" t="n"/>
      <c r="C456" s="114" t="n"/>
    </row>
    <row r="457" ht="15" customHeight="1" s="68">
      <c r="A457" s="114" t="n"/>
      <c r="B457" s="114" t="n"/>
      <c r="C457" s="114" t="n"/>
    </row>
    <row r="458" ht="15" customHeight="1" s="68">
      <c r="A458" s="114" t="n"/>
      <c r="B458" s="114" t="n"/>
      <c r="C458" s="114" t="n"/>
    </row>
    <row r="459" ht="15" customHeight="1" s="68">
      <c r="A459" s="114" t="n"/>
      <c r="B459" s="114" t="n"/>
      <c r="C459" s="114" t="n"/>
    </row>
    <row r="460" ht="15" customHeight="1" s="68">
      <c r="A460" s="114" t="n"/>
      <c r="B460" s="114" t="n"/>
      <c r="C460" s="114" t="n"/>
    </row>
    <row r="461" ht="15" customHeight="1" s="68">
      <c r="A461" s="114" t="n"/>
      <c r="B461" s="114" t="n"/>
      <c r="C461" s="114" t="n"/>
    </row>
    <row r="462" ht="15" customHeight="1" s="68">
      <c r="A462" s="114" t="n"/>
      <c r="B462" s="114" t="n"/>
      <c r="C462" s="114" t="n"/>
    </row>
    <row r="463" ht="15" customHeight="1" s="68">
      <c r="A463" s="114" t="n"/>
      <c r="B463" s="114" t="n"/>
      <c r="C463" s="114" t="n"/>
    </row>
    <row r="464" ht="15" customHeight="1" s="68">
      <c r="A464" s="114" t="n"/>
      <c r="B464" s="114" t="n"/>
      <c r="C464" s="114" t="n"/>
    </row>
    <row r="465" ht="15" customHeight="1" s="68">
      <c r="A465" s="114" t="n"/>
      <c r="B465" s="114" t="n"/>
      <c r="C465" s="114" t="n"/>
    </row>
    <row r="466" ht="15" customHeight="1" s="68">
      <c r="A466" s="114" t="n"/>
      <c r="B466" s="114" t="n"/>
      <c r="C466" s="114" t="n"/>
    </row>
    <row r="467" ht="15" customHeight="1" s="68">
      <c r="A467" s="114" t="n"/>
      <c r="B467" s="114" t="n"/>
      <c r="C467" s="114" t="n"/>
    </row>
    <row r="468" ht="15" customHeight="1" s="68">
      <c r="A468" s="114" t="n"/>
      <c r="B468" s="114" t="n"/>
      <c r="C468" s="114" t="n"/>
    </row>
    <row r="469" ht="15" customHeight="1" s="68">
      <c r="A469" s="114" t="n"/>
      <c r="B469" s="114" t="n"/>
      <c r="C469" s="114" t="n"/>
    </row>
    <row r="470" ht="15" customHeight="1" s="68">
      <c r="A470" s="114" t="n"/>
      <c r="B470" s="114" t="n"/>
      <c r="C470" s="114" t="n"/>
    </row>
    <row r="471" ht="15" customHeight="1" s="68">
      <c r="A471" s="114" t="n"/>
      <c r="B471" s="114" t="n"/>
      <c r="C471" s="114" t="n"/>
    </row>
    <row r="472" ht="15" customHeight="1" s="68">
      <c r="A472" s="114" t="n"/>
      <c r="B472" s="114" t="n"/>
      <c r="C472" s="114" t="n"/>
    </row>
    <row r="473" ht="15" customHeight="1" s="68">
      <c r="A473" s="114" t="n"/>
      <c r="B473" s="114" t="n"/>
      <c r="C473" s="114" t="n"/>
    </row>
    <row r="474" ht="15" customHeight="1" s="68">
      <c r="A474" s="114" t="n"/>
      <c r="B474" s="114" t="n"/>
      <c r="C474" s="114" t="n"/>
    </row>
    <row r="475" ht="15" customHeight="1" s="68">
      <c r="A475" s="114" t="n"/>
      <c r="B475" s="114" t="n"/>
      <c r="C475" s="114" t="n"/>
    </row>
    <row r="476" ht="15" customHeight="1" s="68">
      <c r="A476" s="114" t="n"/>
      <c r="B476" s="114" t="n"/>
      <c r="C476" s="114" t="n"/>
    </row>
    <row r="477" ht="15" customHeight="1" s="68">
      <c r="A477" s="114" t="n"/>
      <c r="B477" s="114" t="n"/>
      <c r="C477" s="114" t="n"/>
    </row>
    <row r="478" ht="15" customHeight="1" s="68">
      <c r="A478" s="114" t="n"/>
      <c r="B478" s="114" t="n"/>
      <c r="C478" s="114" t="n"/>
    </row>
    <row r="479" ht="15" customHeight="1" s="68">
      <c r="A479" s="114" t="n"/>
      <c r="B479" s="114" t="n"/>
      <c r="C479" s="114" t="n"/>
    </row>
    <row r="480" ht="15" customHeight="1" s="68">
      <c r="A480" s="114" t="n"/>
      <c r="B480" s="114" t="n"/>
      <c r="C480" s="114" t="n"/>
    </row>
    <row r="481" ht="15" customHeight="1" s="68">
      <c r="A481" s="114" t="n"/>
      <c r="B481" s="114" t="n"/>
      <c r="C481" s="114" t="n"/>
    </row>
    <row r="482" ht="15" customHeight="1" s="68">
      <c r="A482" s="114" t="n"/>
      <c r="B482" s="114" t="n"/>
      <c r="C482" s="114" t="n"/>
    </row>
    <row r="483" ht="15" customHeight="1" s="68">
      <c r="A483" s="114" t="n"/>
      <c r="B483" s="114" t="n"/>
      <c r="C483" s="114" t="n"/>
    </row>
    <row r="484" ht="15" customHeight="1" s="68">
      <c r="A484" s="114" t="n"/>
      <c r="B484" s="114" t="n"/>
      <c r="C484" s="114" t="n"/>
    </row>
    <row r="485" ht="15" customHeight="1" s="68">
      <c r="A485" s="114" t="n"/>
      <c r="B485" s="114" t="n"/>
      <c r="C485" s="114" t="n"/>
    </row>
    <row r="486" ht="15" customHeight="1" s="68">
      <c r="A486" s="114" t="n"/>
      <c r="B486" s="114" t="n"/>
      <c r="C486" s="114" t="n"/>
    </row>
    <row r="487" ht="15" customHeight="1" s="68">
      <c r="A487" s="114" t="n"/>
      <c r="B487" s="114" t="n"/>
      <c r="C487" s="114" t="n"/>
    </row>
    <row r="488" ht="15" customHeight="1" s="68">
      <c r="A488" s="114" t="n"/>
      <c r="B488" s="114" t="n"/>
      <c r="C488" s="114" t="n"/>
    </row>
    <row r="489" ht="15" customHeight="1" s="68">
      <c r="A489" s="114" t="n"/>
      <c r="B489" s="114" t="n"/>
      <c r="C489" s="114" t="n"/>
    </row>
    <row r="490" ht="15" customHeight="1" s="68">
      <c r="A490" s="114" t="n"/>
      <c r="B490" s="114" t="n"/>
      <c r="C490" s="114" t="n"/>
    </row>
    <row r="491" ht="15" customHeight="1" s="68">
      <c r="A491" s="114" t="n"/>
      <c r="B491" s="114" t="n"/>
      <c r="C491" s="114" t="n"/>
    </row>
    <row r="492" ht="15" customHeight="1" s="68">
      <c r="A492" s="114" t="n"/>
      <c r="B492" s="114" t="n"/>
      <c r="C492" s="114" t="n"/>
    </row>
    <row r="493" ht="15" customHeight="1" s="68">
      <c r="A493" s="114" t="n"/>
      <c r="B493" s="114" t="n"/>
      <c r="C493" s="114" t="n"/>
    </row>
    <row r="494" ht="15" customHeight="1" s="68">
      <c r="A494" s="114" t="n"/>
      <c r="B494" s="114" t="n"/>
      <c r="C494" s="114" t="n"/>
    </row>
    <row r="495" ht="15" customHeight="1" s="68">
      <c r="A495" s="114" t="n"/>
      <c r="B495" s="114" t="n"/>
      <c r="C495" s="114" t="n"/>
    </row>
    <row r="496" ht="15" customHeight="1" s="68">
      <c r="A496" s="114" t="n"/>
      <c r="B496" s="114" t="n"/>
      <c r="C496" s="114" t="n"/>
    </row>
    <row r="497" ht="15" customHeight="1" s="68">
      <c r="A497" s="114" t="n"/>
      <c r="B497" s="114" t="n"/>
      <c r="C497" s="114" t="n"/>
    </row>
    <row r="498" ht="15" customHeight="1" s="68">
      <c r="A498" s="114" t="n"/>
      <c r="B498" s="114" t="n"/>
      <c r="C498" s="114" t="n"/>
    </row>
    <row r="499" ht="15" customHeight="1" s="68">
      <c r="A499" s="114" t="n"/>
      <c r="B499" s="114" t="n"/>
      <c r="C499" s="114" t="n"/>
    </row>
    <row r="500" ht="15" customHeight="1" s="68">
      <c r="A500" s="114" t="n"/>
      <c r="B500" s="114" t="n"/>
      <c r="C500" s="114" t="n"/>
    </row>
    <row r="501" ht="15" customHeight="1" s="68">
      <c r="A501" s="114" t="n"/>
      <c r="B501" s="114" t="n"/>
      <c r="C501" s="114" t="n"/>
    </row>
    <row r="502" ht="15" customHeight="1" s="68">
      <c r="A502" s="114" t="n"/>
      <c r="B502" s="114" t="n"/>
      <c r="C502" s="114" t="n"/>
    </row>
    <row r="503" ht="15" customHeight="1" s="68">
      <c r="A503" s="114" t="n"/>
      <c r="B503" s="114" t="n"/>
      <c r="C503" s="114" t="n"/>
    </row>
    <row r="504" ht="15" customHeight="1" s="68">
      <c r="A504" s="114" t="n"/>
      <c r="B504" s="114" t="n"/>
      <c r="C504" s="114" t="n"/>
    </row>
    <row r="505" ht="15" customHeight="1" s="68">
      <c r="A505" s="114" t="n"/>
      <c r="B505" s="114" t="n"/>
      <c r="C505" s="114" t="n"/>
    </row>
    <row r="506" ht="15" customHeight="1" s="68">
      <c r="A506" s="114" t="n"/>
      <c r="B506" s="114" t="n"/>
      <c r="C506" s="114" t="n"/>
    </row>
    <row r="507" ht="15" customHeight="1" s="68">
      <c r="A507" s="114" t="n"/>
      <c r="B507" s="114" t="n"/>
      <c r="C507" s="114" t="n"/>
    </row>
    <row r="508" ht="15" customHeight="1" s="68">
      <c r="A508" s="114" t="n"/>
      <c r="B508" s="114" t="n"/>
      <c r="C508" s="114" t="n"/>
    </row>
    <row r="509" ht="15" customHeight="1" s="68">
      <c r="A509" s="114" t="n"/>
      <c r="B509" s="114" t="n"/>
      <c r="C509" s="114" t="n"/>
    </row>
    <row r="510" ht="15" customHeight="1" s="68">
      <c r="A510" s="114" t="n"/>
      <c r="B510" s="114" t="n"/>
      <c r="C510" s="114" t="n"/>
    </row>
    <row r="511" ht="15" customHeight="1" s="68">
      <c r="A511" s="114" t="n"/>
      <c r="B511" s="114" t="n"/>
      <c r="C511" s="114" t="n"/>
    </row>
    <row r="512" ht="15" customHeight="1" s="68">
      <c r="A512" s="114" t="n"/>
      <c r="B512" s="114" t="n"/>
      <c r="C512" s="114" t="n"/>
    </row>
    <row r="513" ht="15" customHeight="1" s="68">
      <c r="A513" s="114" t="n"/>
      <c r="B513" s="114" t="n"/>
      <c r="C513" s="114" t="n"/>
    </row>
    <row r="514" ht="15" customHeight="1" s="68">
      <c r="A514" s="114" t="n"/>
      <c r="B514" s="114" t="n"/>
      <c r="C514" s="114" t="n"/>
    </row>
    <row r="515" ht="15" customHeight="1" s="68">
      <c r="A515" s="114" t="n"/>
      <c r="B515" s="114" t="n"/>
      <c r="C515" s="114" t="n"/>
    </row>
    <row r="516" ht="15" customHeight="1" s="68">
      <c r="A516" s="114" t="n"/>
      <c r="B516" s="114" t="n"/>
      <c r="C516" s="114" t="n"/>
    </row>
    <row r="517" ht="15" customHeight="1" s="68">
      <c r="A517" s="114" t="n"/>
      <c r="B517" s="114" t="n"/>
      <c r="C517" s="114" t="n"/>
    </row>
    <row r="518" ht="15" customHeight="1" s="68">
      <c r="A518" s="114" t="n"/>
      <c r="B518" s="114" t="n"/>
      <c r="C518" s="114" t="n"/>
    </row>
    <row r="519" ht="15" customHeight="1" s="68">
      <c r="A519" s="114" t="n"/>
      <c r="B519" s="114" t="n"/>
      <c r="C519" s="114" t="n"/>
    </row>
    <row r="520" ht="15" customHeight="1" s="68">
      <c r="A520" s="114" t="n"/>
      <c r="B520" s="114" t="n"/>
      <c r="C520" s="114" t="n"/>
    </row>
    <row r="521" ht="15" customHeight="1" s="68">
      <c r="A521" s="114" t="n"/>
      <c r="B521" s="114" t="n"/>
      <c r="C521" s="114" t="n"/>
    </row>
    <row r="522" ht="15" customHeight="1" s="68">
      <c r="A522" s="114" t="n"/>
      <c r="B522" s="114" t="n"/>
      <c r="C522" s="114" t="n"/>
    </row>
    <row r="523" ht="15" customHeight="1" s="68">
      <c r="A523" s="114" t="n"/>
      <c r="B523" s="114" t="n"/>
      <c r="C523" s="114" t="n"/>
    </row>
    <row r="524" ht="15" customHeight="1" s="68">
      <c r="A524" s="114" t="n"/>
      <c r="B524" s="114" t="n"/>
      <c r="C524" s="114" t="n"/>
    </row>
    <row r="525" ht="15" customHeight="1" s="68">
      <c r="A525" s="114" t="n"/>
      <c r="B525" s="114" t="n"/>
      <c r="C525" s="114" t="n"/>
    </row>
    <row r="526" ht="15" customHeight="1" s="68">
      <c r="A526" s="114" t="n"/>
      <c r="B526" s="114" t="n"/>
      <c r="C526" s="114" t="n"/>
    </row>
    <row r="527" ht="15" customHeight="1" s="68">
      <c r="A527" s="114" t="n"/>
      <c r="B527" s="114" t="n"/>
      <c r="C527" s="114" t="n"/>
    </row>
    <row r="528" ht="15" customHeight="1" s="68">
      <c r="A528" s="114" t="n"/>
      <c r="B528" s="114" t="n"/>
      <c r="C528" s="114" t="n"/>
    </row>
    <row r="529" ht="15" customHeight="1" s="68">
      <c r="A529" s="114" t="n"/>
      <c r="B529" s="114" t="n"/>
      <c r="C529" s="114" t="n"/>
    </row>
    <row r="530" ht="15" customHeight="1" s="68">
      <c r="A530" s="114" t="n"/>
      <c r="B530" s="114" t="n"/>
      <c r="C530" s="114" t="n"/>
    </row>
    <row r="531" ht="15" customHeight="1" s="68">
      <c r="A531" s="114" t="n"/>
      <c r="B531" s="114" t="n"/>
      <c r="C531" s="114" t="n"/>
    </row>
    <row r="532" ht="15" customHeight="1" s="68">
      <c r="A532" s="114" t="n"/>
      <c r="B532" s="114" t="n"/>
      <c r="C532" s="114" t="n"/>
    </row>
    <row r="533" ht="15" customHeight="1" s="68">
      <c r="A533" s="114" t="n"/>
      <c r="B533" s="114" t="n"/>
      <c r="C533" s="114" t="n"/>
    </row>
    <row r="534" ht="15" customHeight="1" s="68">
      <c r="A534" s="114" t="n"/>
      <c r="B534" s="114" t="n"/>
      <c r="C534" s="114" t="n"/>
    </row>
    <row r="535" ht="15" customHeight="1" s="68">
      <c r="A535" s="114" t="n"/>
      <c r="B535" s="114" t="n"/>
      <c r="C535" s="114" t="n"/>
    </row>
    <row r="536" ht="15" customHeight="1" s="68">
      <c r="A536" s="114" t="n"/>
      <c r="B536" s="114" t="n"/>
      <c r="C536" s="114" t="n"/>
    </row>
    <row r="537" ht="15" customHeight="1" s="68">
      <c r="A537" s="114" t="n"/>
      <c r="B537" s="114" t="n"/>
      <c r="C537" s="114" t="n"/>
    </row>
    <row r="538" ht="15" customHeight="1" s="68">
      <c r="A538" s="114" t="n"/>
      <c r="B538" s="114" t="n"/>
      <c r="C538" s="114" t="n"/>
    </row>
    <row r="539" ht="15" customHeight="1" s="68">
      <c r="A539" s="114" t="n"/>
      <c r="B539" s="114" t="n"/>
      <c r="C539" s="114" t="n"/>
    </row>
    <row r="540" ht="15" customHeight="1" s="68">
      <c r="A540" s="114" t="n"/>
      <c r="B540" s="114" t="n"/>
      <c r="C540" s="114" t="n"/>
    </row>
    <row r="541" ht="15" customHeight="1" s="68">
      <c r="A541" s="114" t="n"/>
      <c r="B541" s="114" t="n"/>
      <c r="C541" s="114" t="n"/>
    </row>
    <row r="542" ht="15" customHeight="1" s="68">
      <c r="A542" s="114" t="n"/>
      <c r="B542" s="114" t="n"/>
      <c r="C542" s="114" t="n"/>
    </row>
    <row r="543" ht="15" customHeight="1" s="68">
      <c r="A543" s="114" t="n"/>
      <c r="B543" s="114" t="n"/>
      <c r="C543" s="114" t="n"/>
    </row>
    <row r="544" ht="15" customHeight="1" s="68">
      <c r="A544" s="114" t="n"/>
      <c r="B544" s="114" t="n"/>
      <c r="C544" s="114" t="n"/>
    </row>
    <row r="545" ht="15" customHeight="1" s="68">
      <c r="A545" s="114" t="n"/>
      <c r="B545" s="114" t="n"/>
      <c r="C545" s="114" t="n"/>
    </row>
    <row r="546" ht="15" customHeight="1" s="68">
      <c r="A546" s="114" t="n"/>
      <c r="B546" s="114" t="n"/>
      <c r="C546" s="114" t="n"/>
    </row>
    <row r="547" ht="15" customHeight="1" s="68">
      <c r="A547" s="114" t="n"/>
      <c r="B547" s="114" t="n"/>
      <c r="C547" s="114" t="n"/>
    </row>
    <row r="548" ht="15" customHeight="1" s="68">
      <c r="A548" s="114" t="n"/>
      <c r="B548" s="114" t="n"/>
      <c r="C548" s="114" t="n"/>
    </row>
    <row r="549" ht="15" customHeight="1" s="68">
      <c r="A549" s="114" t="n"/>
      <c r="B549" s="114" t="n"/>
      <c r="C549" s="114" t="n"/>
    </row>
    <row r="550" ht="15" customHeight="1" s="68">
      <c r="A550" s="114" t="n"/>
      <c r="B550" s="114" t="n"/>
      <c r="C550" s="114" t="n"/>
    </row>
    <row r="551" ht="15" customHeight="1" s="68">
      <c r="A551" s="114" t="n"/>
      <c r="B551" s="114" t="n"/>
      <c r="C551" s="114" t="n"/>
    </row>
    <row r="552" ht="15" customHeight="1" s="68">
      <c r="A552" s="114" t="n"/>
      <c r="B552" s="114" t="n"/>
      <c r="C552" s="114" t="n"/>
    </row>
    <row r="553" ht="15" customHeight="1" s="68">
      <c r="A553" s="114" t="n"/>
      <c r="B553" s="114" t="n"/>
      <c r="C553" s="114" t="n"/>
    </row>
    <row r="554" ht="15" customHeight="1" s="68">
      <c r="A554" s="114" t="n"/>
      <c r="B554" s="114" t="n"/>
      <c r="C554" s="114" t="n"/>
    </row>
    <row r="555" ht="15" customHeight="1" s="68">
      <c r="A555" s="114" t="n"/>
      <c r="B555" s="114" t="n"/>
      <c r="C555" s="114" t="n"/>
    </row>
    <row r="556" ht="15" customHeight="1" s="68">
      <c r="A556" s="114" t="n"/>
      <c r="B556" s="114" t="n"/>
      <c r="C556" s="114" t="n"/>
    </row>
    <row r="557" ht="15" customHeight="1" s="68">
      <c r="A557" s="114" t="n"/>
      <c r="B557" s="114" t="n"/>
      <c r="C557" s="114" t="n"/>
    </row>
    <row r="558" ht="15" customHeight="1" s="68">
      <c r="A558" s="114" t="n"/>
      <c r="B558" s="114" t="n"/>
      <c r="C558" s="114" t="n"/>
    </row>
    <row r="559" ht="15" customHeight="1" s="68">
      <c r="A559" s="114" t="n"/>
      <c r="B559" s="114" t="n"/>
      <c r="C559" s="114" t="n"/>
    </row>
    <row r="560" ht="15" customHeight="1" s="68">
      <c r="A560" s="114" t="n"/>
      <c r="B560" s="114" t="n"/>
      <c r="C560" s="114" t="n"/>
    </row>
    <row r="561" ht="15" customHeight="1" s="68">
      <c r="A561" s="114" t="n"/>
      <c r="B561" s="114" t="n"/>
      <c r="C561" s="114" t="n"/>
    </row>
    <row r="562" ht="15" customHeight="1" s="68">
      <c r="A562" s="114" t="n"/>
      <c r="B562" s="114" t="n"/>
      <c r="C562" s="114" t="n"/>
    </row>
    <row r="563" ht="15" customHeight="1" s="68">
      <c r="A563" s="114" t="n"/>
      <c r="B563" s="114" t="n"/>
      <c r="C563" s="114" t="n"/>
    </row>
    <row r="564" ht="15" customHeight="1" s="68">
      <c r="A564" s="114" t="n"/>
      <c r="B564" s="114" t="n"/>
      <c r="C564" s="114" t="n"/>
    </row>
    <row r="565" ht="15" customHeight="1" s="68">
      <c r="A565" s="114" t="n"/>
      <c r="B565" s="114" t="n"/>
      <c r="C565" s="114" t="n"/>
    </row>
    <row r="566" ht="15" customHeight="1" s="68">
      <c r="A566" s="114" t="n"/>
      <c r="B566" s="114" t="n"/>
      <c r="C566" s="114" t="n"/>
    </row>
    <row r="567" ht="15" customHeight="1" s="68">
      <c r="A567" s="114" t="n"/>
      <c r="B567" s="114" t="n"/>
      <c r="C567" s="114" t="n"/>
    </row>
    <row r="568" ht="15" customHeight="1" s="68">
      <c r="A568" s="114" t="n"/>
      <c r="B568" s="114" t="n"/>
      <c r="C568" s="114" t="n"/>
    </row>
    <row r="569" ht="15" customHeight="1" s="68">
      <c r="A569" s="114" t="n"/>
      <c r="B569" s="114" t="n"/>
      <c r="C569" s="114" t="n"/>
    </row>
    <row r="570" ht="15" customHeight="1" s="68">
      <c r="A570" s="114" t="n"/>
      <c r="B570" s="114" t="n"/>
      <c r="C570" s="114" t="n"/>
    </row>
    <row r="571" ht="15" customHeight="1" s="68">
      <c r="A571" s="114" t="n"/>
      <c r="B571" s="114" t="n"/>
      <c r="C571" s="114" t="n"/>
    </row>
    <row r="572" ht="15" customHeight="1" s="68">
      <c r="A572" s="114" t="n"/>
      <c r="B572" s="114" t="n"/>
      <c r="C572" s="114" t="n"/>
    </row>
    <row r="573" ht="15" customHeight="1" s="68">
      <c r="A573" s="114" t="n"/>
      <c r="B573" s="114" t="n"/>
      <c r="C573" s="114" t="n"/>
    </row>
    <row r="574" ht="15" customHeight="1" s="68">
      <c r="A574" s="114" t="n"/>
      <c r="B574" s="114" t="n"/>
      <c r="C574" s="114" t="n"/>
    </row>
    <row r="575" ht="15" customHeight="1" s="68">
      <c r="A575" s="114" t="n"/>
      <c r="B575" s="114" t="n"/>
      <c r="C575" s="114" t="n"/>
    </row>
    <row r="576" ht="15" customHeight="1" s="68">
      <c r="A576" s="114" t="n"/>
      <c r="B576" s="114" t="n"/>
      <c r="C576" s="114" t="n"/>
    </row>
    <row r="577" ht="15" customHeight="1" s="68">
      <c r="A577" s="114" t="n"/>
      <c r="B577" s="114" t="n"/>
      <c r="C577" s="114" t="n"/>
    </row>
    <row r="578" ht="15" customHeight="1" s="68">
      <c r="A578" s="114" t="n"/>
      <c r="B578" s="114" t="n"/>
      <c r="C578" s="114" t="n"/>
    </row>
    <row r="579" ht="15" customHeight="1" s="68">
      <c r="A579" s="114" t="n"/>
      <c r="B579" s="114" t="n"/>
      <c r="C579" s="114" t="n"/>
    </row>
    <row r="580" ht="15" customHeight="1" s="68">
      <c r="A580" s="114" t="n"/>
      <c r="B580" s="114" t="n"/>
      <c r="C580" s="114" t="n"/>
    </row>
    <row r="581" ht="15" customHeight="1" s="68">
      <c r="A581" s="114" t="n"/>
      <c r="B581" s="114" t="n"/>
      <c r="C581" s="114" t="n"/>
    </row>
    <row r="582" ht="15" customHeight="1" s="68">
      <c r="A582" s="114" t="n"/>
      <c r="B582" s="114" t="n"/>
      <c r="C582" s="114" t="n"/>
    </row>
    <row r="583" ht="15" customHeight="1" s="68">
      <c r="A583" s="114" t="n"/>
      <c r="B583" s="114" t="n"/>
      <c r="C583" s="114" t="n"/>
    </row>
    <row r="584" ht="15" customHeight="1" s="68">
      <c r="A584" s="114" t="n"/>
      <c r="B584" s="114" t="n"/>
      <c r="C584" s="114" t="n"/>
    </row>
    <row r="585" ht="15" customHeight="1" s="68">
      <c r="A585" s="114" t="n"/>
      <c r="B585" s="114" t="n"/>
      <c r="C585" s="114" t="n"/>
    </row>
    <row r="586" ht="15" customHeight="1" s="68">
      <c r="A586" s="114" t="n"/>
      <c r="B586" s="114" t="n"/>
      <c r="C586" s="114" t="n"/>
    </row>
    <row r="587" ht="15" customHeight="1" s="68">
      <c r="A587" s="114" t="n"/>
      <c r="B587" s="114" t="n"/>
      <c r="C587" s="114" t="n"/>
    </row>
    <row r="588" ht="15" customHeight="1" s="68">
      <c r="A588" s="114" t="n"/>
      <c r="B588" s="114" t="n"/>
      <c r="C588" s="114" t="n"/>
    </row>
    <row r="589" ht="15" customHeight="1" s="68">
      <c r="A589" s="114" t="n"/>
      <c r="B589" s="114" t="n"/>
      <c r="C589" s="114" t="n"/>
    </row>
    <row r="590" ht="15" customHeight="1" s="68">
      <c r="A590" s="114" t="n"/>
      <c r="B590" s="114" t="n"/>
      <c r="C590" s="114" t="n"/>
    </row>
    <row r="591" ht="15" customHeight="1" s="68">
      <c r="A591" s="114" t="n"/>
      <c r="B591" s="114" t="n"/>
      <c r="C591" s="114" t="n"/>
    </row>
    <row r="592" ht="15" customHeight="1" s="68">
      <c r="A592" s="114" t="n"/>
      <c r="B592" s="114" t="n"/>
      <c r="C592" s="114" t="n"/>
    </row>
    <row r="593" ht="15" customHeight="1" s="68">
      <c r="A593" s="114" t="n"/>
      <c r="B593" s="114" t="n"/>
      <c r="C593" s="114" t="n"/>
    </row>
    <row r="594" ht="15" customHeight="1" s="68">
      <c r="A594" s="114" t="n"/>
      <c r="B594" s="114" t="n"/>
      <c r="C594" s="114" t="n"/>
    </row>
    <row r="595" ht="15" customHeight="1" s="68">
      <c r="A595" s="114" t="n"/>
      <c r="B595" s="114" t="n"/>
      <c r="C595" s="114" t="n"/>
    </row>
    <row r="596" ht="15" customHeight="1" s="68">
      <c r="A596" s="114" t="n"/>
      <c r="B596" s="114" t="n"/>
      <c r="C596" s="114" t="n"/>
    </row>
    <row r="597" ht="15" customHeight="1" s="68">
      <c r="A597" s="114" t="n"/>
      <c r="B597" s="114" t="n"/>
      <c r="C597" s="114" t="n"/>
    </row>
    <row r="598" ht="15" customHeight="1" s="68">
      <c r="A598" s="114" t="n"/>
      <c r="B598" s="114" t="n"/>
      <c r="C598" s="114" t="n"/>
    </row>
    <row r="599" ht="15" customHeight="1" s="68">
      <c r="A599" s="114" t="n"/>
      <c r="B599" s="114" t="n"/>
      <c r="C599" s="114" t="n"/>
    </row>
    <row r="600" ht="15" customHeight="1" s="68">
      <c r="A600" s="114" t="n"/>
      <c r="B600" s="114" t="n"/>
      <c r="C600" s="114" t="n"/>
    </row>
    <row r="601" ht="15" customHeight="1" s="68">
      <c r="A601" s="114" t="n"/>
      <c r="B601" s="114" t="n"/>
      <c r="C601" s="114" t="n"/>
    </row>
    <row r="602" ht="15" customHeight="1" s="68">
      <c r="A602" s="114" t="n"/>
      <c r="B602" s="114" t="n"/>
      <c r="C602" s="114" t="n"/>
    </row>
    <row r="603" ht="15" customHeight="1" s="68">
      <c r="A603" s="114" t="n"/>
      <c r="B603" s="114" t="n"/>
      <c r="C603" s="114" t="n"/>
    </row>
    <row r="604" ht="15" customHeight="1" s="68">
      <c r="A604" s="114" t="n"/>
      <c r="B604" s="114" t="n"/>
      <c r="C604" s="114" t="n"/>
    </row>
    <row r="605" ht="15" customHeight="1" s="68">
      <c r="A605" s="114" t="n"/>
      <c r="B605" s="114" t="n"/>
      <c r="C605" s="114" t="n"/>
    </row>
    <row r="606" ht="15" customHeight="1" s="68">
      <c r="A606" s="114" t="n"/>
      <c r="B606" s="114" t="n"/>
      <c r="C606" s="114" t="n"/>
    </row>
    <row r="607" ht="15" customHeight="1" s="68">
      <c r="A607" s="114" t="n"/>
      <c r="B607" s="114" t="n"/>
      <c r="C607" s="114" t="n"/>
    </row>
    <row r="608" ht="15" customHeight="1" s="68">
      <c r="A608" s="114" t="n"/>
      <c r="B608" s="114" t="n"/>
      <c r="C608" s="114" t="n"/>
    </row>
    <row r="609" ht="15" customHeight="1" s="68">
      <c r="A609" s="114" t="n"/>
      <c r="B609" s="114" t="n"/>
      <c r="C609" s="114" t="n"/>
    </row>
    <row r="610" ht="15" customHeight="1" s="68">
      <c r="A610" s="114" t="n"/>
      <c r="B610" s="114" t="n"/>
      <c r="C610" s="114" t="n"/>
    </row>
    <row r="611" ht="15" customHeight="1" s="68">
      <c r="A611" s="114" t="n"/>
      <c r="B611" s="114" t="n"/>
      <c r="C611" s="114" t="n"/>
    </row>
    <row r="612" ht="15" customHeight="1" s="68">
      <c r="A612" s="114" t="n"/>
      <c r="B612" s="114" t="n"/>
      <c r="C612" s="114" t="n"/>
    </row>
    <row r="613" ht="15" customHeight="1" s="68">
      <c r="A613" s="114" t="n"/>
      <c r="B613" s="114" t="n"/>
      <c r="C613" s="114" t="n"/>
    </row>
    <row r="614" ht="15" customHeight="1" s="68">
      <c r="A614" s="114" t="n"/>
      <c r="B614" s="114" t="n"/>
      <c r="C614" s="114" t="n"/>
    </row>
    <row r="615" ht="15" customHeight="1" s="68">
      <c r="A615" s="114" t="n"/>
      <c r="B615" s="114" t="n"/>
      <c r="C615" s="114" t="n"/>
    </row>
    <row r="616" ht="15" customHeight="1" s="68">
      <c r="A616" s="114" t="n"/>
      <c r="B616" s="114" t="n"/>
      <c r="C616" s="114" t="n"/>
    </row>
    <row r="617" ht="15" customHeight="1" s="68">
      <c r="A617" s="114" t="n"/>
      <c r="B617" s="114" t="n"/>
      <c r="C617" s="114" t="n"/>
    </row>
    <row r="618" ht="15" customHeight="1" s="68">
      <c r="A618" s="114" t="n"/>
      <c r="B618" s="114" t="n"/>
      <c r="C618" s="114" t="n"/>
    </row>
    <row r="619" ht="15" customHeight="1" s="68">
      <c r="A619" s="114" t="n"/>
      <c r="B619" s="114" t="n"/>
      <c r="C619" s="114" t="n"/>
    </row>
    <row r="620" ht="15" customHeight="1" s="68">
      <c r="A620" s="114" t="n"/>
      <c r="B620" s="114" t="n"/>
      <c r="C620" s="114" t="n"/>
    </row>
    <row r="621" ht="15" customHeight="1" s="68">
      <c r="A621" s="114" t="n"/>
      <c r="B621" s="114" t="n"/>
      <c r="C621" s="114" t="n"/>
    </row>
    <row r="622" ht="15" customHeight="1" s="68">
      <c r="A622" s="114" t="n"/>
      <c r="B622" s="114" t="n"/>
      <c r="C622" s="114" t="n"/>
    </row>
    <row r="623" ht="15" customHeight="1" s="68">
      <c r="A623" s="114" t="n"/>
      <c r="B623" s="114" t="n"/>
      <c r="C623" s="114" t="n"/>
    </row>
    <row r="624" ht="15" customHeight="1" s="68">
      <c r="A624" s="114" t="n"/>
      <c r="B624" s="114" t="n"/>
      <c r="C624" s="114" t="n"/>
    </row>
    <row r="625" ht="15" customHeight="1" s="68">
      <c r="A625" s="114" t="n"/>
      <c r="B625" s="114" t="n"/>
      <c r="C625" s="114" t="n"/>
    </row>
    <row r="626" ht="15" customHeight="1" s="68">
      <c r="A626" s="114" t="n"/>
      <c r="B626" s="114" t="n"/>
      <c r="C626" s="114" t="n"/>
    </row>
    <row r="627" ht="15" customHeight="1" s="68">
      <c r="A627" s="114" t="n"/>
      <c r="B627" s="114" t="n"/>
      <c r="C627" s="114" t="n"/>
    </row>
    <row r="628" ht="15" customHeight="1" s="68">
      <c r="A628" s="114" t="n"/>
      <c r="B628" s="114" t="n"/>
      <c r="C628" s="114" t="n"/>
    </row>
    <row r="629" ht="15" customHeight="1" s="68">
      <c r="A629" s="114" t="n"/>
      <c r="B629" s="114" t="n"/>
      <c r="C629" s="114" t="n"/>
    </row>
    <row r="630" ht="15" customHeight="1" s="68">
      <c r="A630" s="114" t="n"/>
      <c r="B630" s="114" t="n"/>
      <c r="C630" s="114" t="n"/>
    </row>
    <row r="631" ht="15" customHeight="1" s="68">
      <c r="A631" s="114" t="n"/>
      <c r="B631" s="114" t="n"/>
      <c r="C631" s="114" t="n"/>
    </row>
    <row r="632" ht="15" customHeight="1" s="68">
      <c r="A632" s="114" t="n"/>
      <c r="B632" s="114" t="n"/>
      <c r="C632" s="114" t="n"/>
    </row>
    <row r="633" ht="15" customHeight="1" s="68">
      <c r="A633" s="114" t="n"/>
      <c r="B633" s="114" t="n"/>
      <c r="C633" s="114" t="n"/>
    </row>
    <row r="634" ht="15" customHeight="1" s="68">
      <c r="A634" s="114" t="n"/>
      <c r="B634" s="114" t="n"/>
      <c r="C634" s="114" t="n"/>
    </row>
    <row r="635" ht="15" customHeight="1" s="68">
      <c r="A635" s="114" t="n"/>
      <c r="B635" s="114" t="n"/>
      <c r="C635" s="114" t="n"/>
    </row>
    <row r="636" ht="15" customHeight="1" s="68">
      <c r="A636" s="114" t="n"/>
      <c r="B636" s="114" t="n"/>
      <c r="C636" s="114" t="n"/>
    </row>
    <row r="637" ht="15" customHeight="1" s="68">
      <c r="A637" s="114" t="n"/>
      <c r="B637" s="114" t="n"/>
      <c r="C637" s="114" t="n"/>
    </row>
    <row r="638" ht="15" customHeight="1" s="68">
      <c r="A638" s="114" t="n"/>
      <c r="B638" s="114" t="n"/>
      <c r="C638" s="114" t="n"/>
    </row>
    <row r="639" ht="15" customHeight="1" s="68">
      <c r="A639" s="114" t="n"/>
      <c r="B639" s="114" t="n"/>
      <c r="C639" s="114" t="n"/>
    </row>
    <row r="640" ht="15" customHeight="1" s="68">
      <c r="A640" s="114" t="n"/>
      <c r="B640" s="114" t="n"/>
      <c r="C640" s="114" t="n"/>
    </row>
    <row r="641" ht="15" customHeight="1" s="68">
      <c r="A641" s="114" t="n"/>
      <c r="B641" s="114" t="n"/>
      <c r="C641" s="114" t="n"/>
    </row>
    <row r="642" ht="15" customHeight="1" s="68">
      <c r="A642" s="114" t="n"/>
      <c r="B642" s="114" t="n"/>
      <c r="C642" s="114" t="n"/>
    </row>
    <row r="643" ht="15" customHeight="1" s="68">
      <c r="A643" s="114" t="n"/>
      <c r="B643" s="114" t="n"/>
      <c r="C643" s="114" t="n"/>
    </row>
    <row r="644" ht="15" customHeight="1" s="68">
      <c r="A644" s="114" t="n"/>
      <c r="B644" s="114" t="n"/>
      <c r="C644" s="114" t="n"/>
    </row>
    <row r="645" ht="15" customHeight="1" s="68">
      <c r="A645" s="114" t="n"/>
      <c r="B645" s="114" t="n"/>
      <c r="C645" s="114" t="n"/>
    </row>
    <row r="646" ht="15" customHeight="1" s="68">
      <c r="A646" s="114" t="n"/>
      <c r="B646" s="114" t="n"/>
      <c r="C646" s="114" t="n"/>
    </row>
    <row r="647" ht="15" customHeight="1" s="68">
      <c r="A647" s="114" t="n"/>
      <c r="B647" s="114" t="n"/>
      <c r="C647" s="114" t="n"/>
    </row>
    <row r="648" ht="15" customHeight="1" s="68">
      <c r="A648" s="114" t="n"/>
      <c r="B648" s="114" t="n"/>
      <c r="C648" s="114" t="n"/>
    </row>
    <row r="649" ht="15" customHeight="1" s="68">
      <c r="A649" s="114" t="n"/>
      <c r="B649" s="114" t="n"/>
      <c r="C649" s="114" t="n"/>
    </row>
    <row r="650" ht="15" customHeight="1" s="68">
      <c r="A650" s="114" t="n"/>
      <c r="B650" s="114" t="n"/>
      <c r="C650" s="114" t="n"/>
    </row>
    <row r="651" ht="15" customHeight="1" s="68">
      <c r="A651" s="114" t="n"/>
      <c r="B651" s="114" t="n"/>
      <c r="C651" s="114" t="n"/>
    </row>
    <row r="652" ht="15" customHeight="1" s="68">
      <c r="A652" s="114" t="n"/>
      <c r="B652" s="114" t="n"/>
      <c r="C652" s="114" t="n"/>
    </row>
    <row r="653" ht="15" customHeight="1" s="68">
      <c r="A653" s="114" t="n"/>
      <c r="B653" s="114" t="n"/>
      <c r="C653" s="114" t="n"/>
    </row>
    <row r="654" ht="15" customHeight="1" s="68">
      <c r="A654" s="114" t="n"/>
      <c r="B654" s="114" t="n"/>
      <c r="C654" s="114" t="n"/>
    </row>
    <row r="655" ht="15" customHeight="1" s="68">
      <c r="A655" s="114" t="n"/>
      <c r="B655" s="114" t="n"/>
      <c r="C655" s="114" t="n"/>
    </row>
    <row r="656" ht="15" customHeight="1" s="68">
      <c r="A656" s="114" t="n"/>
      <c r="B656" s="114" t="n"/>
      <c r="C656" s="114" t="n"/>
    </row>
    <row r="657" ht="15" customHeight="1" s="68">
      <c r="A657" s="114" t="n"/>
      <c r="B657" s="114" t="n"/>
      <c r="C657" s="114" t="n"/>
    </row>
    <row r="658" ht="15" customHeight="1" s="68">
      <c r="A658" s="114" t="n"/>
      <c r="B658" s="114" t="n"/>
      <c r="C658" s="114" t="n"/>
    </row>
    <row r="659" ht="15" customHeight="1" s="68">
      <c r="A659" s="114" t="n"/>
      <c r="B659" s="114" t="n"/>
      <c r="C659" s="114" t="n"/>
    </row>
    <row r="660" ht="15" customHeight="1" s="68">
      <c r="A660" s="114" t="n"/>
      <c r="B660" s="114" t="n"/>
      <c r="C660" s="114" t="n"/>
    </row>
    <row r="661" ht="15" customHeight="1" s="68">
      <c r="A661" s="114" t="n"/>
      <c r="B661" s="114" t="n"/>
      <c r="C661" s="114" t="n"/>
    </row>
    <row r="662" ht="15" customHeight="1" s="68">
      <c r="A662" s="114" t="n"/>
      <c r="B662" s="114" t="n"/>
      <c r="C662" s="114" t="n"/>
    </row>
    <row r="663" ht="15" customHeight="1" s="68">
      <c r="A663" s="114" t="n"/>
      <c r="B663" s="114" t="n"/>
      <c r="C663" s="114" t="n"/>
    </row>
    <row r="664" ht="15" customHeight="1" s="68">
      <c r="A664" s="114" t="n"/>
      <c r="B664" s="114" t="n"/>
      <c r="C664" s="114" t="n"/>
    </row>
    <row r="665" ht="15" customHeight="1" s="68">
      <c r="A665" s="114" t="n"/>
      <c r="B665" s="114" t="n"/>
      <c r="C665" s="114" t="n"/>
    </row>
    <row r="666" ht="15" customHeight="1" s="68">
      <c r="A666" s="114" t="n"/>
      <c r="B666" s="114" t="n"/>
      <c r="C666" s="114" t="n"/>
    </row>
    <row r="667" ht="15" customHeight="1" s="68">
      <c r="A667" s="114" t="n"/>
      <c r="B667" s="114" t="n"/>
      <c r="C667" s="114" t="n"/>
    </row>
    <row r="668" ht="15" customHeight="1" s="68">
      <c r="A668" s="114" t="n"/>
      <c r="B668" s="114" t="n"/>
      <c r="C668" s="114" t="n"/>
    </row>
    <row r="669" ht="15" customHeight="1" s="68">
      <c r="A669" s="114" t="n"/>
      <c r="B669" s="114" t="n"/>
      <c r="C669" s="114" t="n"/>
    </row>
    <row r="670" ht="15" customHeight="1" s="68">
      <c r="A670" s="114" t="n"/>
      <c r="B670" s="114" t="n"/>
      <c r="C670" s="114" t="n"/>
    </row>
    <row r="671" ht="15" customHeight="1" s="68">
      <c r="A671" s="114" t="n"/>
      <c r="B671" s="114" t="n"/>
      <c r="C671" s="114" t="n"/>
    </row>
    <row r="672" ht="15" customHeight="1" s="68">
      <c r="A672" s="114" t="n"/>
      <c r="B672" s="114" t="n"/>
      <c r="C672" s="114" t="n"/>
    </row>
    <row r="673" ht="15" customHeight="1" s="68">
      <c r="A673" s="114" t="n"/>
      <c r="B673" s="114" t="n"/>
      <c r="C673" s="114" t="n"/>
    </row>
    <row r="674" ht="15" customHeight="1" s="68">
      <c r="A674" s="114" t="n"/>
      <c r="B674" s="114" t="n"/>
      <c r="C674" s="114" t="n"/>
    </row>
    <row r="675" ht="15" customHeight="1" s="68">
      <c r="A675" s="114" t="n"/>
      <c r="B675" s="114" t="n"/>
      <c r="C675" s="114" t="n"/>
    </row>
    <row r="676" ht="15" customHeight="1" s="68">
      <c r="A676" s="114" t="n"/>
      <c r="B676" s="114" t="n"/>
      <c r="C676" s="114" t="n"/>
    </row>
    <row r="677" ht="15" customHeight="1" s="68">
      <c r="A677" s="114" t="n"/>
      <c r="B677" s="114" t="n"/>
      <c r="C677" s="114" t="n"/>
    </row>
    <row r="678" ht="15" customHeight="1" s="68">
      <c r="A678" s="114" t="n"/>
      <c r="B678" s="114" t="n"/>
      <c r="C678" s="114" t="n"/>
    </row>
    <row r="679" ht="15" customHeight="1" s="68">
      <c r="A679" s="114" t="n"/>
      <c r="B679" s="114" t="n"/>
      <c r="C679" s="114" t="n"/>
    </row>
    <row r="680" ht="15" customHeight="1" s="68">
      <c r="A680" s="114" t="n"/>
      <c r="B680" s="114" t="n"/>
      <c r="C680" s="114" t="n"/>
    </row>
    <row r="681" ht="15" customHeight="1" s="68">
      <c r="A681" s="114" t="n"/>
      <c r="B681" s="114" t="n"/>
      <c r="C681" s="114" t="n"/>
    </row>
    <row r="682" ht="15" customHeight="1" s="68">
      <c r="A682" s="114" t="n"/>
      <c r="B682" s="114" t="n"/>
      <c r="C682" s="114" t="n"/>
    </row>
    <row r="683" ht="15" customHeight="1" s="68">
      <c r="A683" s="114" t="n"/>
      <c r="B683" s="114" t="n"/>
      <c r="C683" s="114" t="n"/>
    </row>
    <row r="684" ht="15" customHeight="1" s="68">
      <c r="A684" s="114" t="n"/>
      <c r="B684" s="114" t="n"/>
      <c r="C684" s="114" t="n"/>
    </row>
    <row r="685" ht="15" customHeight="1" s="68">
      <c r="A685" s="114" t="n"/>
      <c r="B685" s="114" t="n"/>
      <c r="C685" s="114" t="n"/>
    </row>
    <row r="686" ht="15" customHeight="1" s="68">
      <c r="A686" s="114" t="n"/>
      <c r="B686" s="114" t="n"/>
      <c r="C686" s="114" t="n"/>
    </row>
    <row r="687" ht="15" customHeight="1" s="68">
      <c r="A687" s="114" t="n"/>
      <c r="B687" s="114" t="n"/>
      <c r="C687" s="114" t="n"/>
    </row>
    <row r="688" ht="15" customHeight="1" s="68">
      <c r="A688" s="114" t="n"/>
      <c r="B688" s="114" t="n"/>
      <c r="C688" s="114" t="n"/>
    </row>
    <row r="689" ht="15" customHeight="1" s="68">
      <c r="A689" s="114" t="n"/>
      <c r="B689" s="114" t="n"/>
      <c r="C689" s="114" t="n"/>
    </row>
    <row r="690" ht="15" customHeight="1" s="68">
      <c r="A690" s="114" t="n"/>
      <c r="B690" s="114" t="n"/>
      <c r="C690" s="114" t="n"/>
    </row>
    <row r="691" ht="15" customHeight="1" s="68">
      <c r="A691" s="114" t="n"/>
      <c r="B691" s="114" t="n"/>
      <c r="C691" s="114" t="n"/>
    </row>
    <row r="692" ht="15" customHeight="1" s="68">
      <c r="A692" s="114" t="n"/>
      <c r="B692" s="114" t="n"/>
      <c r="C692" s="114" t="n"/>
    </row>
    <row r="693" ht="15" customHeight="1" s="68">
      <c r="A693" s="114" t="n"/>
      <c r="B693" s="114" t="n"/>
      <c r="C693" s="114" t="n"/>
    </row>
    <row r="694" ht="15" customHeight="1" s="68">
      <c r="A694" s="114" t="n"/>
      <c r="B694" s="114" t="n"/>
      <c r="C694" s="114" t="n"/>
    </row>
    <row r="695" ht="15" customHeight="1" s="68">
      <c r="A695" s="114" t="n"/>
      <c r="B695" s="114" t="n"/>
      <c r="C695" s="114" t="n"/>
    </row>
    <row r="696" ht="15" customHeight="1" s="68">
      <c r="A696" s="114" t="n"/>
      <c r="B696" s="114" t="n"/>
      <c r="C696" s="114" t="n"/>
    </row>
    <row r="697" ht="15" customHeight="1" s="68">
      <c r="A697" s="114" t="n"/>
      <c r="B697" s="114" t="n"/>
      <c r="C697" s="114" t="n"/>
    </row>
    <row r="698" ht="15" customHeight="1" s="68">
      <c r="A698" s="114" t="n"/>
      <c r="B698" s="114" t="n"/>
      <c r="C698" s="114" t="n"/>
    </row>
    <row r="699" ht="15" customHeight="1" s="68">
      <c r="A699" s="114" t="n"/>
      <c r="B699" s="114" t="n"/>
      <c r="C699" s="114" t="n"/>
    </row>
    <row r="700" ht="15" customHeight="1" s="68">
      <c r="A700" s="114" t="n"/>
      <c r="B700" s="114" t="n"/>
      <c r="C700" s="114" t="n"/>
    </row>
    <row r="701" ht="15" customHeight="1" s="68">
      <c r="A701" s="114" t="n"/>
      <c r="B701" s="114" t="n"/>
      <c r="C701" s="114" t="n"/>
    </row>
    <row r="702" ht="15" customHeight="1" s="68">
      <c r="A702" s="114" t="n"/>
      <c r="B702" s="114" t="n"/>
      <c r="C702" s="114" t="n"/>
    </row>
    <row r="703" ht="15" customHeight="1" s="68">
      <c r="A703" s="114" t="n"/>
      <c r="B703" s="114" t="n"/>
      <c r="C703" s="114" t="n"/>
    </row>
    <row r="704" ht="15" customHeight="1" s="68">
      <c r="A704" s="114" t="n"/>
      <c r="B704" s="114" t="n"/>
      <c r="C704" s="114" t="n"/>
    </row>
    <row r="705" ht="15" customHeight="1" s="68">
      <c r="A705" s="114" t="n"/>
      <c r="B705" s="114" t="n"/>
      <c r="C705" s="114" t="n"/>
    </row>
    <row r="706" ht="15" customHeight="1" s="68">
      <c r="A706" s="114" t="n"/>
      <c r="B706" s="114" t="n"/>
      <c r="C706" s="114" t="n"/>
    </row>
    <row r="707" ht="15" customHeight="1" s="68">
      <c r="A707" s="114" t="n"/>
      <c r="B707" s="114" t="n"/>
      <c r="C707" s="114" t="n"/>
    </row>
    <row r="708" ht="15" customHeight="1" s="68">
      <c r="A708" s="114" t="n"/>
      <c r="B708" s="114" t="n"/>
      <c r="C708" s="114" t="n"/>
    </row>
    <row r="709" ht="15" customHeight="1" s="68">
      <c r="A709" s="114" t="n"/>
      <c r="B709" s="114" t="n"/>
      <c r="C709" s="114" t="n"/>
    </row>
    <row r="710" ht="15" customHeight="1" s="68">
      <c r="A710" s="114" t="n"/>
      <c r="B710" s="114" t="n"/>
      <c r="C710" s="114" t="n"/>
    </row>
    <row r="711" ht="15" customHeight="1" s="68">
      <c r="A711" s="114" t="n"/>
      <c r="B711" s="114" t="n"/>
      <c r="C711" s="114" t="n"/>
    </row>
    <row r="712" ht="15" customHeight="1" s="68">
      <c r="A712" s="114" t="n"/>
      <c r="B712" s="114" t="n"/>
      <c r="C712" s="114" t="n"/>
    </row>
    <row r="713" ht="15" customHeight="1" s="68">
      <c r="A713" s="114" t="n"/>
      <c r="B713" s="114" t="n"/>
      <c r="C713" s="114" t="n"/>
    </row>
    <row r="714" ht="15" customHeight="1" s="68">
      <c r="A714" s="114" t="n"/>
      <c r="B714" s="114" t="n"/>
      <c r="C714" s="114" t="n"/>
    </row>
    <row r="715" ht="15" customHeight="1" s="68">
      <c r="A715" s="114" t="n"/>
      <c r="B715" s="114" t="n"/>
      <c r="C715" s="114" t="n"/>
    </row>
    <row r="716" ht="15" customHeight="1" s="68">
      <c r="A716" s="114" t="n"/>
      <c r="B716" s="114" t="n"/>
      <c r="C716" s="114" t="n"/>
    </row>
    <row r="717" ht="15" customHeight="1" s="68">
      <c r="A717" s="114" t="n"/>
      <c r="B717" s="114" t="n"/>
      <c r="C717" s="114" t="n"/>
    </row>
    <row r="718" ht="15" customHeight="1" s="68">
      <c r="A718" s="114" t="n"/>
      <c r="B718" s="114" t="n"/>
      <c r="C718" s="114" t="n"/>
    </row>
    <row r="719" ht="15" customHeight="1" s="68">
      <c r="A719" s="114" t="n"/>
      <c r="B719" s="114" t="n"/>
      <c r="C719" s="114" t="n"/>
    </row>
    <row r="720" ht="15" customHeight="1" s="68">
      <c r="A720" s="114" t="n"/>
      <c r="B720" s="114" t="n"/>
      <c r="C720" s="114" t="n"/>
    </row>
    <row r="721" ht="15" customHeight="1" s="68">
      <c r="A721" s="114" t="n"/>
      <c r="B721" s="114" t="n"/>
      <c r="C721" s="114" t="n"/>
    </row>
    <row r="722" ht="15" customHeight="1" s="68">
      <c r="A722" s="114" t="n"/>
      <c r="B722" s="114" t="n"/>
      <c r="C722" s="114" t="n"/>
    </row>
    <row r="723" ht="15" customHeight="1" s="68">
      <c r="A723" s="114" t="n"/>
      <c r="B723" s="114" t="n"/>
      <c r="C723" s="114" t="n"/>
    </row>
    <row r="724" ht="15" customHeight="1" s="68">
      <c r="A724" s="114" t="n"/>
      <c r="B724" s="114" t="n"/>
      <c r="C724" s="114" t="n"/>
    </row>
    <row r="725" ht="15" customHeight="1" s="68">
      <c r="A725" s="114" t="n"/>
      <c r="B725" s="114" t="n"/>
      <c r="C725" s="114" t="n"/>
    </row>
    <row r="726" ht="15" customHeight="1" s="68">
      <c r="A726" s="114" t="n"/>
      <c r="B726" s="114" t="n"/>
      <c r="C726" s="114" t="n"/>
    </row>
    <row r="727" ht="15" customHeight="1" s="68">
      <c r="A727" s="114" t="n"/>
      <c r="B727" s="114" t="n"/>
      <c r="C727" s="114" t="n"/>
    </row>
    <row r="728" ht="15" customHeight="1" s="68">
      <c r="A728" s="114" t="n"/>
      <c r="B728" s="114" t="n"/>
      <c r="C728" s="114" t="n"/>
    </row>
    <row r="729" ht="15" customHeight="1" s="68">
      <c r="A729" s="114" t="n"/>
      <c r="B729" s="114" t="n"/>
      <c r="C729" s="114" t="n"/>
    </row>
    <row r="730" ht="15" customHeight="1" s="68">
      <c r="A730" s="114" t="n"/>
      <c r="B730" s="114" t="n"/>
      <c r="C730" s="114" t="n"/>
    </row>
    <row r="731" ht="15" customHeight="1" s="68">
      <c r="A731" s="114" t="n"/>
      <c r="B731" s="114" t="n"/>
      <c r="C731" s="114" t="n"/>
    </row>
    <row r="732" ht="15" customHeight="1" s="68">
      <c r="A732" s="114" t="n"/>
      <c r="B732" s="114" t="n"/>
      <c r="C732" s="114" t="n"/>
    </row>
    <row r="733" ht="15" customHeight="1" s="68">
      <c r="A733" s="114" t="n"/>
      <c r="B733" s="114" t="n"/>
      <c r="C733" s="114" t="n"/>
    </row>
    <row r="734" ht="15" customHeight="1" s="68">
      <c r="A734" s="114" t="n"/>
      <c r="B734" s="114" t="n"/>
      <c r="C734" s="114" t="n"/>
    </row>
    <row r="735" ht="15" customHeight="1" s="68">
      <c r="A735" s="114" t="n"/>
      <c r="B735" s="114" t="n"/>
      <c r="C735" s="114" t="n"/>
    </row>
    <row r="736" ht="15" customHeight="1" s="68">
      <c r="A736" s="114" t="n"/>
      <c r="B736" s="114" t="n"/>
      <c r="C736" s="114" t="n"/>
    </row>
    <row r="737" ht="15" customHeight="1" s="68">
      <c r="A737" s="114" t="n"/>
      <c r="B737" s="114" t="n"/>
      <c r="C737" s="114" t="n"/>
    </row>
    <row r="738" ht="15" customHeight="1" s="68">
      <c r="A738" s="114" t="n"/>
      <c r="B738" s="114" t="n"/>
      <c r="C738" s="114" t="n"/>
    </row>
    <row r="739" ht="15" customHeight="1" s="68">
      <c r="A739" s="114" t="n"/>
      <c r="B739" s="114" t="n"/>
      <c r="C739" s="114" t="n"/>
    </row>
    <row r="740" ht="15" customHeight="1" s="68">
      <c r="A740" s="114" t="n"/>
      <c r="B740" s="114" t="n"/>
      <c r="C740" s="114" t="n"/>
    </row>
    <row r="741" ht="15" customHeight="1" s="68">
      <c r="A741" s="114" t="n"/>
      <c r="B741" s="114" t="n"/>
      <c r="C741" s="114" t="n"/>
    </row>
    <row r="742" ht="15" customHeight="1" s="68">
      <c r="A742" s="114" t="n"/>
      <c r="B742" s="114" t="n"/>
      <c r="C742" s="114" t="n"/>
    </row>
    <row r="743" ht="15" customHeight="1" s="68">
      <c r="A743" s="114" t="n"/>
      <c r="B743" s="114" t="n"/>
      <c r="C743" s="114" t="n"/>
    </row>
    <row r="744" ht="15" customHeight="1" s="68">
      <c r="A744" s="114" t="n"/>
      <c r="B744" s="114" t="n"/>
      <c r="C744" s="114" t="n"/>
    </row>
    <row r="745" ht="15" customHeight="1" s="68">
      <c r="A745" s="114" t="n"/>
      <c r="B745" s="114" t="n"/>
      <c r="C745" s="114" t="n"/>
    </row>
    <row r="746" ht="15" customHeight="1" s="68">
      <c r="A746" s="114" t="n"/>
      <c r="B746" s="114" t="n"/>
      <c r="C746" s="114" t="n"/>
    </row>
    <row r="747" ht="15" customHeight="1" s="68">
      <c r="A747" s="114" t="n"/>
      <c r="B747" s="114" t="n"/>
      <c r="C747" s="114" t="n"/>
    </row>
    <row r="748" ht="15" customHeight="1" s="68">
      <c r="A748" s="114" t="n"/>
      <c r="B748" s="114" t="n"/>
      <c r="C748" s="114" t="n"/>
    </row>
    <row r="749" ht="15" customHeight="1" s="68">
      <c r="A749" s="114" t="n"/>
      <c r="B749" s="114" t="n"/>
      <c r="C749" s="114" t="n"/>
    </row>
    <row r="750" ht="15" customHeight="1" s="68">
      <c r="A750" s="114" t="n"/>
      <c r="B750" s="114" t="n"/>
      <c r="C750" s="114" t="n"/>
    </row>
    <row r="751" ht="15" customHeight="1" s="68">
      <c r="A751" s="114" t="n"/>
      <c r="B751" s="114" t="n"/>
      <c r="C751" s="114" t="n"/>
    </row>
    <row r="752" ht="15" customHeight="1" s="68">
      <c r="A752" s="114" t="n"/>
      <c r="B752" s="114" t="n"/>
      <c r="C752" s="114" t="n"/>
    </row>
    <row r="753" ht="15" customHeight="1" s="68">
      <c r="A753" s="114" t="n"/>
      <c r="B753" s="114" t="n"/>
      <c r="C753" s="114" t="n"/>
    </row>
    <row r="754" ht="15" customHeight="1" s="68">
      <c r="A754" s="114" t="n"/>
      <c r="B754" s="114" t="n"/>
      <c r="C754" s="114" t="n"/>
    </row>
    <row r="755" ht="15" customHeight="1" s="68">
      <c r="A755" s="114" t="n"/>
      <c r="B755" s="114" t="n"/>
      <c r="C755" s="114" t="n"/>
    </row>
    <row r="756" ht="15" customHeight="1" s="68">
      <c r="A756" s="114" t="n"/>
      <c r="B756" s="114" t="n"/>
      <c r="C756" s="114" t="n"/>
    </row>
    <row r="757" ht="15" customHeight="1" s="68">
      <c r="A757" s="114" t="n"/>
      <c r="B757" s="114" t="n"/>
      <c r="C757" s="114" t="n"/>
    </row>
    <row r="758" ht="15" customHeight="1" s="68">
      <c r="A758" s="114" t="n"/>
      <c r="B758" s="114" t="n"/>
      <c r="C758" s="114" t="n"/>
    </row>
    <row r="759" ht="15" customHeight="1" s="68">
      <c r="A759" s="114" t="n"/>
      <c r="B759" s="114" t="n"/>
      <c r="C759" s="114" t="n"/>
    </row>
    <row r="760" ht="15" customHeight="1" s="68">
      <c r="A760" s="114" t="n"/>
      <c r="B760" s="114" t="n"/>
      <c r="C760" s="114" t="n"/>
    </row>
    <row r="761" ht="15" customHeight="1" s="68">
      <c r="A761" s="114" t="n"/>
      <c r="B761" s="114" t="n"/>
      <c r="C761" s="114" t="n"/>
    </row>
    <row r="762" ht="15" customHeight="1" s="68">
      <c r="A762" s="114" t="n"/>
      <c r="B762" s="114" t="n"/>
      <c r="C762" s="114" t="n"/>
    </row>
    <row r="763" ht="15" customHeight="1" s="68">
      <c r="A763" s="114" t="n"/>
      <c r="B763" s="114" t="n"/>
      <c r="C763" s="114" t="n"/>
    </row>
    <row r="764" ht="15" customHeight="1" s="68">
      <c r="A764" s="114" t="n"/>
      <c r="B764" s="114" t="n"/>
      <c r="C764" s="114" t="n"/>
    </row>
    <row r="765" ht="15" customHeight="1" s="68">
      <c r="A765" s="114" t="n"/>
      <c r="B765" s="114" t="n"/>
      <c r="C765" s="114" t="n"/>
    </row>
    <row r="766" ht="15" customHeight="1" s="68">
      <c r="A766" s="114" t="n"/>
      <c r="B766" s="114" t="n"/>
      <c r="C766" s="114" t="n"/>
    </row>
    <row r="767" ht="15" customHeight="1" s="68">
      <c r="A767" s="114" t="n"/>
      <c r="B767" s="114" t="n"/>
      <c r="C767" s="114" t="n"/>
    </row>
    <row r="768" ht="15" customHeight="1" s="68">
      <c r="A768" s="114" t="n"/>
      <c r="B768" s="114" t="n"/>
      <c r="C768" s="114" t="n"/>
    </row>
    <row r="769" ht="15" customHeight="1" s="68">
      <c r="A769" s="114" t="n"/>
      <c r="B769" s="114" t="n"/>
      <c r="C769" s="114" t="n"/>
    </row>
    <row r="770" ht="15" customHeight="1" s="68">
      <c r="A770" s="114" t="n"/>
      <c r="B770" s="114" t="n"/>
      <c r="C770" s="114" t="n"/>
    </row>
    <row r="771" ht="15" customHeight="1" s="68">
      <c r="A771" s="114" t="n"/>
      <c r="B771" s="114" t="n"/>
      <c r="C771" s="114" t="n"/>
    </row>
    <row r="772" ht="15" customHeight="1" s="68">
      <c r="A772" s="114" t="n"/>
      <c r="B772" s="114" t="n"/>
      <c r="C772" s="114" t="n"/>
    </row>
    <row r="773" ht="15" customHeight="1" s="68">
      <c r="A773" s="114" t="n"/>
      <c r="B773" s="114" t="n"/>
      <c r="C773" s="114" t="n"/>
    </row>
    <row r="774" ht="15" customHeight="1" s="68">
      <c r="A774" s="114" t="n"/>
      <c r="B774" s="114" t="n"/>
      <c r="C774" s="114" t="n"/>
    </row>
    <row r="775" ht="15" customHeight="1" s="68">
      <c r="A775" s="114" t="n"/>
      <c r="B775" s="114" t="n"/>
      <c r="C775" s="114" t="n"/>
    </row>
    <row r="776" ht="15" customHeight="1" s="68">
      <c r="A776" s="114" t="n"/>
      <c r="B776" s="114" t="n"/>
      <c r="C776" s="114" t="n"/>
    </row>
    <row r="777" ht="15" customHeight="1" s="68">
      <c r="A777" s="114" t="n"/>
      <c r="B777" s="114" t="n"/>
      <c r="C777" s="114" t="n"/>
    </row>
    <row r="778" ht="15" customHeight="1" s="68">
      <c r="A778" s="114" t="n"/>
      <c r="B778" s="114" t="n"/>
      <c r="C778" s="114" t="n"/>
    </row>
    <row r="779" ht="15" customHeight="1" s="68">
      <c r="A779" s="114" t="n"/>
      <c r="B779" s="114" t="n"/>
      <c r="C779" s="114" t="n"/>
    </row>
    <row r="780" ht="15" customHeight="1" s="68">
      <c r="A780" s="114" t="n"/>
      <c r="B780" s="114" t="n"/>
      <c r="C780" s="114" t="n"/>
    </row>
    <row r="781" ht="15" customHeight="1" s="68">
      <c r="A781" s="114" t="n"/>
      <c r="B781" s="114" t="n"/>
      <c r="C781" s="114" t="n"/>
    </row>
    <row r="782" ht="15" customHeight="1" s="68">
      <c r="A782" s="114" t="n"/>
      <c r="B782" s="114" t="n"/>
      <c r="C782" s="114" t="n"/>
    </row>
    <row r="783" ht="15" customHeight="1" s="68">
      <c r="A783" s="114" t="n"/>
      <c r="B783" s="114" t="n"/>
      <c r="C783" s="114" t="n"/>
    </row>
    <row r="784" ht="15" customHeight="1" s="68">
      <c r="A784" s="114" t="n"/>
      <c r="B784" s="114" t="n"/>
      <c r="C784" s="114" t="n"/>
    </row>
    <row r="785" ht="15" customHeight="1" s="68">
      <c r="A785" s="114" t="n"/>
      <c r="B785" s="114" t="n"/>
      <c r="C785" s="114" t="n"/>
    </row>
    <row r="786" ht="15" customHeight="1" s="68">
      <c r="A786" s="114" t="n"/>
      <c r="B786" s="114" t="n"/>
      <c r="C786" s="114" t="n"/>
    </row>
    <row r="787" ht="15" customHeight="1" s="68">
      <c r="A787" s="114" t="n"/>
      <c r="B787" s="114" t="n"/>
      <c r="C787" s="114" t="n"/>
    </row>
    <row r="788" ht="15" customHeight="1" s="68">
      <c r="A788" s="114" t="n"/>
      <c r="B788" s="114" t="n"/>
      <c r="C788" s="114" t="n"/>
    </row>
    <row r="789" ht="15" customHeight="1" s="68">
      <c r="A789" s="114" t="n"/>
      <c r="B789" s="114" t="n"/>
      <c r="C789" s="114" t="n"/>
    </row>
    <row r="790" ht="15" customHeight="1" s="68">
      <c r="A790" s="114" t="n"/>
      <c r="B790" s="114" t="n"/>
      <c r="C790" s="114" t="n"/>
    </row>
    <row r="791" ht="15" customHeight="1" s="68">
      <c r="A791" s="114" t="n"/>
      <c r="B791" s="114" t="n"/>
      <c r="C791" s="114" t="n"/>
    </row>
    <row r="792" ht="15" customHeight="1" s="68">
      <c r="A792" s="114" t="n"/>
      <c r="B792" s="114" t="n"/>
      <c r="C792" s="114" t="n"/>
    </row>
    <row r="793" ht="15" customHeight="1" s="68">
      <c r="A793" s="114" t="n"/>
      <c r="B793" s="114" t="n"/>
      <c r="C793" s="114" t="n"/>
    </row>
    <row r="794" ht="15" customHeight="1" s="68">
      <c r="A794" s="114" t="n"/>
      <c r="B794" s="114" t="n"/>
      <c r="C794" s="114" t="n"/>
    </row>
    <row r="795" ht="15" customHeight="1" s="68">
      <c r="A795" s="114" t="n"/>
      <c r="B795" s="114" t="n"/>
      <c r="C795" s="114" t="n"/>
    </row>
    <row r="796" ht="15" customHeight="1" s="68">
      <c r="A796" s="114" t="n"/>
      <c r="B796" s="114" t="n"/>
      <c r="C796" s="114" t="n"/>
    </row>
    <row r="797" ht="15" customHeight="1" s="68">
      <c r="A797" s="114" t="n"/>
      <c r="B797" s="114" t="n"/>
      <c r="C797" s="114" t="n"/>
    </row>
    <row r="798" ht="15" customHeight="1" s="68">
      <c r="A798" s="114" t="n"/>
      <c r="B798" s="114" t="n"/>
      <c r="C798" s="114" t="n"/>
    </row>
    <row r="799" ht="15" customHeight="1" s="68">
      <c r="A799" s="114" t="n"/>
      <c r="B799" s="114" t="n"/>
      <c r="C799" s="114" t="n"/>
    </row>
    <row r="800" ht="15" customHeight="1" s="68">
      <c r="A800" s="114" t="n"/>
      <c r="B800" s="114" t="n"/>
      <c r="C800" s="114" t="n"/>
    </row>
    <row r="801" ht="15" customHeight="1" s="68">
      <c r="A801" s="114" t="n"/>
      <c r="B801" s="114" t="n"/>
      <c r="C801" s="114" t="n"/>
    </row>
    <row r="802" ht="15" customHeight="1" s="68">
      <c r="A802" s="114" t="n"/>
      <c r="B802" s="114" t="n"/>
      <c r="C802" s="114" t="n"/>
    </row>
    <row r="803" ht="15" customHeight="1" s="68">
      <c r="A803" s="114" t="n"/>
      <c r="B803" s="114" t="n"/>
      <c r="C803" s="114" t="n"/>
    </row>
    <row r="804" ht="15" customHeight="1" s="68">
      <c r="A804" s="114" t="n"/>
      <c r="B804" s="114" t="n"/>
      <c r="C804" s="114" t="n"/>
    </row>
    <row r="805" ht="15" customHeight="1" s="68">
      <c r="A805" s="114" t="n"/>
      <c r="B805" s="114" t="n"/>
      <c r="C805" s="114" t="n"/>
    </row>
    <row r="806" ht="15" customHeight="1" s="68">
      <c r="A806" s="114" t="n"/>
      <c r="B806" s="114" t="n"/>
      <c r="C806" s="114" t="n"/>
    </row>
    <row r="807" ht="15" customHeight="1" s="68">
      <c r="A807" s="114" t="n"/>
      <c r="B807" s="114" t="n"/>
      <c r="C807" s="114" t="n"/>
    </row>
    <row r="808" ht="15" customHeight="1" s="68">
      <c r="A808" s="114" t="n"/>
      <c r="B808" s="114" t="n"/>
      <c r="C808" s="114" t="n"/>
    </row>
    <row r="809" ht="15" customHeight="1" s="68">
      <c r="A809" s="114" t="n"/>
      <c r="B809" s="114" t="n"/>
      <c r="C809" s="114" t="n"/>
    </row>
    <row r="810" ht="15" customHeight="1" s="68">
      <c r="A810" s="114" t="n"/>
      <c r="B810" s="114" t="n"/>
      <c r="C810" s="114" t="n"/>
    </row>
    <row r="811" ht="15" customHeight="1" s="68">
      <c r="A811" s="114" t="n"/>
      <c r="B811" s="114" t="n"/>
      <c r="C811" s="114" t="n"/>
    </row>
    <row r="812" ht="15" customHeight="1" s="68">
      <c r="A812" s="114" t="n"/>
      <c r="B812" s="114" t="n"/>
      <c r="C812" s="114" t="n"/>
    </row>
    <row r="813" ht="15" customHeight="1" s="68">
      <c r="A813" s="114" t="n"/>
      <c r="B813" s="114" t="n"/>
      <c r="C813" s="114" t="n"/>
    </row>
    <row r="814" ht="15" customHeight="1" s="68">
      <c r="A814" s="114" t="n"/>
      <c r="B814" s="114" t="n"/>
      <c r="C814" s="114" t="n"/>
    </row>
    <row r="815" ht="15" customHeight="1" s="68">
      <c r="A815" s="114" t="n"/>
      <c r="B815" s="114" t="n"/>
      <c r="C815" s="114" t="n"/>
    </row>
    <row r="816" ht="15" customHeight="1" s="68">
      <c r="A816" s="114" t="n"/>
      <c r="B816" s="114" t="n"/>
      <c r="C816" s="114" t="n"/>
    </row>
    <row r="817" ht="15" customHeight="1" s="68">
      <c r="A817" s="114" t="n"/>
      <c r="B817" s="114" t="n"/>
      <c r="C817" s="114" t="n"/>
    </row>
    <row r="818" ht="15" customHeight="1" s="68">
      <c r="A818" s="114" t="n"/>
      <c r="B818" s="114" t="n"/>
      <c r="C818" s="114" t="n"/>
    </row>
    <row r="819" ht="15" customHeight="1" s="68">
      <c r="A819" s="114" t="n"/>
      <c r="B819" s="114" t="n"/>
      <c r="C819" s="114" t="n"/>
    </row>
    <row r="820" ht="15" customHeight="1" s="68">
      <c r="A820" s="114" t="n"/>
      <c r="B820" s="114" t="n"/>
      <c r="C820" s="114" t="n"/>
    </row>
    <row r="821" ht="15" customHeight="1" s="68">
      <c r="A821" s="114" t="n"/>
      <c r="B821" s="114" t="n"/>
      <c r="C821" s="114" t="n"/>
    </row>
    <row r="822" ht="15" customHeight="1" s="68">
      <c r="A822" s="114" t="n"/>
      <c r="B822" s="114" t="n"/>
      <c r="C822" s="114" t="n"/>
    </row>
    <row r="823" ht="15" customHeight="1" s="68">
      <c r="A823" s="114" t="n"/>
      <c r="B823" s="114" t="n"/>
      <c r="C823" s="114" t="n"/>
    </row>
    <row r="824" ht="15" customHeight="1" s="68">
      <c r="A824" s="114" t="n"/>
      <c r="B824" s="114" t="n"/>
      <c r="C824" s="114" t="n"/>
    </row>
    <row r="825" ht="15" customHeight="1" s="68">
      <c r="A825" s="114" t="n"/>
      <c r="B825" s="114" t="n"/>
      <c r="C825" s="114" t="n"/>
    </row>
    <row r="826" ht="15" customHeight="1" s="68">
      <c r="A826" s="114" t="n"/>
      <c r="B826" s="114" t="n"/>
      <c r="C826" s="114" t="n"/>
    </row>
    <row r="827" ht="15" customHeight="1" s="68">
      <c r="A827" s="114" t="n"/>
      <c r="B827" s="114" t="n"/>
      <c r="C827" s="114" t="n"/>
    </row>
    <row r="828" ht="15" customHeight="1" s="68">
      <c r="A828" s="114" t="n"/>
      <c r="B828" s="114" t="n"/>
      <c r="C828" s="114" t="n"/>
    </row>
    <row r="829" ht="15" customHeight="1" s="68">
      <c r="A829" s="114" t="n"/>
      <c r="B829" s="114" t="n"/>
      <c r="C829" s="114" t="n"/>
    </row>
    <row r="830" ht="15" customHeight="1" s="68">
      <c r="A830" s="114" t="n"/>
      <c r="B830" s="114" t="n"/>
      <c r="C830" s="114" t="n"/>
    </row>
    <row r="831" ht="15" customHeight="1" s="68">
      <c r="A831" s="114" t="n"/>
      <c r="B831" s="114" t="n"/>
      <c r="C831" s="114" t="n"/>
    </row>
    <row r="832" ht="15" customHeight="1" s="68">
      <c r="A832" s="114" t="n"/>
      <c r="B832" s="114" t="n"/>
      <c r="C832" s="114" t="n"/>
    </row>
    <row r="833" ht="15" customHeight="1" s="68">
      <c r="A833" s="114" t="n"/>
      <c r="B833" s="114" t="n"/>
      <c r="C833" s="114" t="n"/>
    </row>
    <row r="834" ht="15" customHeight="1" s="68">
      <c r="A834" s="114" t="n"/>
      <c r="B834" s="114" t="n"/>
      <c r="C834" s="114" t="n"/>
    </row>
    <row r="835" ht="15" customHeight="1" s="68">
      <c r="A835" s="114" t="n"/>
      <c r="B835" s="114" t="n"/>
      <c r="C835" s="114" t="n"/>
    </row>
    <row r="836" ht="15" customHeight="1" s="68">
      <c r="A836" s="114" t="n"/>
      <c r="B836" s="114" t="n"/>
      <c r="C836" s="114" t="n"/>
    </row>
    <row r="837" ht="15" customHeight="1" s="68">
      <c r="A837" s="114" t="n"/>
      <c r="B837" s="114" t="n"/>
      <c r="C837" s="114" t="n"/>
    </row>
    <row r="838" ht="15" customHeight="1" s="68">
      <c r="A838" s="114" t="n"/>
      <c r="B838" s="114" t="n"/>
      <c r="C838" s="114" t="n"/>
    </row>
    <row r="839" ht="15" customHeight="1" s="68">
      <c r="A839" s="114" t="n"/>
      <c r="B839" s="114" t="n"/>
      <c r="C839" s="114" t="n"/>
    </row>
    <row r="840" ht="15" customHeight="1" s="68">
      <c r="A840" s="114" t="n"/>
      <c r="B840" s="114" t="n"/>
      <c r="C840" s="114" t="n"/>
    </row>
    <row r="841" ht="15" customHeight="1" s="68">
      <c r="A841" s="114" t="n"/>
      <c r="B841" s="114" t="n"/>
      <c r="C841" s="114" t="n"/>
    </row>
    <row r="842" ht="15" customHeight="1" s="68">
      <c r="A842" s="114" t="n"/>
      <c r="B842" s="114" t="n"/>
      <c r="C842" s="114" t="n"/>
    </row>
    <row r="843" ht="15" customHeight="1" s="68">
      <c r="A843" s="114" t="n"/>
      <c r="B843" s="114" t="n"/>
      <c r="C843" s="114" t="n"/>
    </row>
    <row r="844" ht="15" customHeight="1" s="68">
      <c r="A844" s="114" t="n"/>
      <c r="B844" s="114" t="n"/>
      <c r="C844" s="114" t="n"/>
    </row>
    <row r="845" ht="15" customHeight="1" s="68">
      <c r="A845" s="114" t="n"/>
      <c r="B845" s="114" t="n"/>
      <c r="C845" s="114" t="n"/>
    </row>
    <row r="846" ht="15" customHeight="1" s="68">
      <c r="A846" s="114" t="n"/>
      <c r="B846" s="114" t="n"/>
      <c r="C846" s="114" t="n"/>
    </row>
    <row r="847" ht="15" customHeight="1" s="68">
      <c r="A847" s="114" t="n"/>
      <c r="B847" s="114" t="n"/>
      <c r="C847" s="114" t="n"/>
    </row>
    <row r="848" ht="15" customHeight="1" s="68">
      <c r="A848" s="114" t="n"/>
      <c r="B848" s="114" t="n"/>
      <c r="C848" s="114" t="n"/>
    </row>
    <row r="849" ht="15" customHeight="1" s="68">
      <c r="A849" s="114" t="n"/>
      <c r="B849" s="114" t="n"/>
      <c r="C849" s="114" t="n"/>
    </row>
    <row r="850" ht="15" customHeight="1" s="68">
      <c r="A850" s="114" t="n"/>
      <c r="B850" s="114" t="n"/>
      <c r="C850" s="114" t="n"/>
    </row>
    <row r="851" ht="15" customHeight="1" s="68">
      <c r="A851" s="114" t="n"/>
      <c r="B851" s="114" t="n"/>
      <c r="C851" s="114" t="n"/>
    </row>
    <row r="852" ht="15" customHeight="1" s="68">
      <c r="A852" s="114" t="n"/>
      <c r="B852" s="114" t="n"/>
      <c r="C852" s="114" t="n"/>
    </row>
    <row r="853" ht="15" customHeight="1" s="68">
      <c r="A853" s="114" t="n"/>
      <c r="B853" s="114" t="n"/>
      <c r="C853" s="114" t="n"/>
    </row>
    <row r="854" ht="15" customHeight="1" s="68">
      <c r="A854" s="114" t="n"/>
      <c r="B854" s="114" t="n"/>
      <c r="C854" s="114" t="n"/>
    </row>
    <row r="855" ht="15" customHeight="1" s="68">
      <c r="A855" s="114" t="n"/>
      <c r="B855" s="114" t="n"/>
      <c r="C855" s="114" t="n"/>
    </row>
    <row r="856" ht="15" customHeight="1" s="68">
      <c r="A856" s="114" t="n"/>
      <c r="B856" s="114" t="n"/>
      <c r="C856" s="114" t="n"/>
    </row>
    <row r="857" ht="15" customHeight="1" s="68">
      <c r="A857" s="114" t="n"/>
      <c r="B857" s="114" t="n"/>
      <c r="C857" s="114" t="n"/>
    </row>
    <row r="858" ht="15" customHeight="1" s="68">
      <c r="A858" s="114" t="n"/>
      <c r="B858" s="114" t="n"/>
      <c r="C858" s="114" t="n"/>
    </row>
    <row r="859" ht="15" customHeight="1" s="68">
      <c r="A859" s="114" t="n"/>
      <c r="B859" s="114" t="n"/>
      <c r="C859" s="114" t="n"/>
    </row>
    <row r="860" ht="15" customHeight="1" s="68">
      <c r="A860" s="114" t="n"/>
      <c r="B860" s="114" t="n"/>
      <c r="C860" s="114" t="n"/>
    </row>
    <row r="861" ht="15" customHeight="1" s="68">
      <c r="A861" s="114" t="n"/>
      <c r="B861" s="114" t="n"/>
      <c r="C861" s="114" t="n"/>
    </row>
    <row r="862" ht="15" customHeight="1" s="68">
      <c r="A862" s="114" t="n"/>
      <c r="B862" s="114" t="n"/>
      <c r="C862" s="114" t="n"/>
    </row>
    <row r="863" ht="15" customHeight="1" s="68">
      <c r="A863" s="114" t="n"/>
      <c r="B863" s="114" t="n"/>
      <c r="C863" s="114" t="n"/>
    </row>
    <row r="864" ht="15" customHeight="1" s="68">
      <c r="A864" s="114" t="n"/>
      <c r="B864" s="114" t="n"/>
      <c r="C864" s="114" t="n"/>
    </row>
    <row r="865" ht="15" customHeight="1" s="68">
      <c r="A865" s="114" t="n"/>
      <c r="B865" s="114" t="n"/>
      <c r="C865" s="114" t="n"/>
    </row>
    <row r="866" ht="15" customHeight="1" s="68">
      <c r="A866" s="114" t="n"/>
      <c r="B866" s="114" t="n"/>
      <c r="C866" s="114" t="n"/>
    </row>
    <row r="867" ht="15" customHeight="1" s="68">
      <c r="A867" s="114" t="n"/>
      <c r="B867" s="114" t="n"/>
      <c r="C867" s="114" t="n"/>
    </row>
    <row r="868" ht="15" customHeight="1" s="68">
      <c r="A868" s="114" t="n"/>
      <c r="B868" s="114" t="n"/>
      <c r="C868" s="114" t="n"/>
    </row>
    <row r="869" ht="15" customHeight="1" s="68">
      <c r="A869" s="114" t="n"/>
      <c r="B869" s="114" t="n"/>
      <c r="C869" s="114" t="n"/>
    </row>
    <row r="870" ht="15" customHeight="1" s="68">
      <c r="A870" s="114" t="n"/>
      <c r="B870" s="114" t="n"/>
      <c r="C870" s="114" t="n"/>
    </row>
    <row r="871" ht="15" customHeight="1" s="68">
      <c r="A871" s="114" t="n"/>
      <c r="B871" s="114" t="n"/>
      <c r="C871" s="114" t="n"/>
    </row>
    <row r="872" ht="15" customHeight="1" s="68">
      <c r="A872" s="114" t="n"/>
      <c r="B872" s="114" t="n"/>
      <c r="C872" s="114" t="n"/>
    </row>
    <row r="873" ht="15" customHeight="1" s="68">
      <c r="A873" s="114" t="n"/>
      <c r="B873" s="114" t="n"/>
      <c r="C873" s="114" t="n"/>
    </row>
    <row r="874" ht="15" customHeight="1" s="68">
      <c r="A874" s="114" t="n"/>
      <c r="B874" s="114" t="n"/>
      <c r="C874" s="114" t="n"/>
    </row>
    <row r="875" ht="15" customHeight="1" s="68">
      <c r="A875" s="114" t="n"/>
      <c r="B875" s="114" t="n"/>
      <c r="C875" s="114" t="n"/>
    </row>
    <row r="876" ht="15" customHeight="1" s="68">
      <c r="A876" s="114" t="n"/>
      <c r="B876" s="114" t="n"/>
      <c r="C876" s="114" t="n"/>
    </row>
    <row r="877" ht="15" customHeight="1" s="68">
      <c r="A877" s="114" t="n"/>
      <c r="B877" s="114" t="n"/>
      <c r="C877" s="114" t="n"/>
    </row>
    <row r="878" ht="15" customHeight="1" s="68">
      <c r="A878" s="114" t="n"/>
      <c r="B878" s="114" t="n"/>
      <c r="C878" s="114" t="n"/>
    </row>
    <row r="879" ht="15" customHeight="1" s="68">
      <c r="A879" s="114" t="n"/>
      <c r="B879" s="114" t="n"/>
      <c r="C879" s="114" t="n"/>
    </row>
    <row r="880" ht="15" customHeight="1" s="68">
      <c r="A880" s="114" t="n"/>
      <c r="B880" s="114" t="n"/>
      <c r="C880" s="114" t="n"/>
    </row>
    <row r="881" ht="15" customHeight="1" s="68">
      <c r="A881" s="114" t="n"/>
      <c r="B881" s="114" t="n"/>
      <c r="C881" s="114" t="n"/>
    </row>
    <row r="882" ht="15" customHeight="1" s="68">
      <c r="A882" s="114" t="n"/>
      <c r="B882" s="114" t="n"/>
      <c r="C882" s="114" t="n"/>
    </row>
    <row r="883" ht="15" customHeight="1" s="68">
      <c r="A883" s="114" t="n"/>
      <c r="B883" s="114" t="n"/>
      <c r="C883" s="114" t="n"/>
    </row>
    <row r="884" ht="15" customHeight="1" s="68">
      <c r="A884" s="114" t="n"/>
      <c r="B884" s="114" t="n"/>
      <c r="C884" s="114" t="n"/>
    </row>
    <row r="885" ht="15" customHeight="1" s="68">
      <c r="A885" s="114" t="n"/>
      <c r="B885" s="114" t="n"/>
      <c r="C885" s="114" t="n"/>
    </row>
    <row r="886" ht="15" customHeight="1" s="68">
      <c r="A886" s="114" t="n"/>
      <c r="B886" s="114" t="n"/>
      <c r="C886" s="114" t="n"/>
    </row>
    <row r="887" ht="15" customHeight="1" s="68">
      <c r="A887" s="114" t="n"/>
      <c r="B887" s="114" t="n"/>
      <c r="C887" s="114" t="n"/>
    </row>
    <row r="888" ht="15" customHeight="1" s="68">
      <c r="A888" s="114" t="n"/>
      <c r="B888" s="114" t="n"/>
      <c r="C888" s="114" t="n"/>
    </row>
    <row r="889" ht="15" customHeight="1" s="68">
      <c r="A889" s="114" t="n"/>
      <c r="B889" s="114" t="n"/>
      <c r="C889" s="114" t="n"/>
    </row>
    <row r="890" ht="15" customHeight="1" s="68">
      <c r="A890" s="114" t="n"/>
      <c r="B890" s="114" t="n"/>
      <c r="C890" s="114" t="n"/>
    </row>
    <row r="891" ht="15" customHeight="1" s="68">
      <c r="A891" s="114" t="n"/>
      <c r="B891" s="114" t="n"/>
      <c r="C891" s="114" t="n"/>
    </row>
    <row r="892" ht="15" customHeight="1" s="68">
      <c r="A892" s="114" t="n"/>
      <c r="B892" s="114" t="n"/>
      <c r="C892" s="114" t="n"/>
    </row>
    <row r="893" ht="15" customHeight="1" s="68">
      <c r="A893" s="114" t="n"/>
      <c r="B893" s="114" t="n"/>
      <c r="C893" s="114" t="n"/>
    </row>
    <row r="894" ht="15" customHeight="1" s="68">
      <c r="A894" s="114" t="n"/>
      <c r="B894" s="114" t="n"/>
      <c r="C894" s="114" t="n"/>
    </row>
    <row r="895" ht="15" customHeight="1" s="68">
      <c r="A895" s="114" t="n"/>
      <c r="B895" s="114" t="n"/>
      <c r="C895" s="114" t="n"/>
    </row>
    <row r="896" ht="15" customHeight="1" s="68">
      <c r="A896" s="114" t="n"/>
      <c r="B896" s="114" t="n"/>
      <c r="C896" s="114" t="n"/>
    </row>
    <row r="897" ht="15" customHeight="1" s="68">
      <c r="A897" s="114" t="n"/>
      <c r="B897" s="114" t="n"/>
      <c r="C897" s="114" t="n"/>
    </row>
    <row r="898" ht="15" customHeight="1" s="68">
      <c r="A898" s="114" t="n"/>
      <c r="B898" s="114" t="n"/>
      <c r="C898" s="114" t="n"/>
    </row>
    <row r="899" ht="15" customHeight="1" s="68">
      <c r="A899" s="114" t="n"/>
      <c r="B899" s="114" t="n"/>
      <c r="C899" s="114" t="n"/>
    </row>
    <row r="900" ht="15" customHeight="1" s="68">
      <c r="A900" s="114" t="n"/>
      <c r="B900" s="114" t="n"/>
      <c r="C900" s="114" t="n"/>
    </row>
    <row r="901" ht="15" customHeight="1" s="68">
      <c r="A901" s="114" t="n"/>
      <c r="B901" s="114" t="n"/>
      <c r="C901" s="114" t="n"/>
    </row>
    <row r="902" ht="15" customHeight="1" s="68">
      <c r="A902" s="114" t="n"/>
      <c r="B902" s="114" t="n"/>
      <c r="C902" s="114" t="n"/>
    </row>
    <row r="903" ht="15" customHeight="1" s="68">
      <c r="A903" s="114" t="n"/>
      <c r="B903" s="114" t="n"/>
      <c r="C903" s="114" t="n"/>
    </row>
    <row r="904" ht="15" customHeight="1" s="68">
      <c r="A904" s="114" t="n"/>
      <c r="B904" s="114" t="n"/>
      <c r="C904" s="114" t="n"/>
    </row>
    <row r="905" ht="15" customHeight="1" s="68">
      <c r="A905" s="114" t="n"/>
      <c r="B905" s="114" t="n"/>
      <c r="C905" s="114" t="n"/>
    </row>
    <row r="906" ht="15" customHeight="1" s="68">
      <c r="A906" s="114" t="n"/>
      <c r="B906" s="114" t="n"/>
      <c r="C906" s="114" t="n"/>
    </row>
    <row r="907" ht="15" customHeight="1" s="68">
      <c r="A907" s="114" t="n"/>
      <c r="B907" s="114" t="n"/>
      <c r="C907" s="114" t="n"/>
    </row>
    <row r="908" ht="15" customHeight="1" s="68">
      <c r="A908" s="114" t="n"/>
      <c r="B908" s="114" t="n"/>
      <c r="C908" s="114" t="n"/>
    </row>
    <row r="909" ht="15" customHeight="1" s="68">
      <c r="A909" s="114" t="n"/>
      <c r="B909" s="114" t="n"/>
      <c r="C909" s="114" t="n"/>
    </row>
    <row r="910" ht="15" customHeight="1" s="68">
      <c r="A910" s="114" t="n"/>
      <c r="B910" s="114" t="n"/>
      <c r="C910" s="114" t="n"/>
    </row>
    <row r="911" ht="15" customHeight="1" s="68">
      <c r="A911" s="114" t="n"/>
      <c r="B911" s="114" t="n"/>
      <c r="C911" s="114" t="n"/>
    </row>
    <row r="912" ht="15" customHeight="1" s="68">
      <c r="A912" s="114" t="n"/>
      <c r="B912" s="114" t="n"/>
      <c r="C912" s="114" t="n"/>
    </row>
    <row r="913" ht="15" customHeight="1" s="68">
      <c r="A913" s="114" t="n"/>
      <c r="B913" s="114" t="n"/>
      <c r="C913" s="114" t="n"/>
    </row>
    <row r="914" ht="15" customHeight="1" s="68">
      <c r="A914" s="114" t="n"/>
      <c r="B914" s="114" t="n"/>
      <c r="C914" s="114" t="n"/>
    </row>
    <row r="915" ht="15" customHeight="1" s="68">
      <c r="A915" s="114" t="n"/>
      <c r="B915" s="114" t="n"/>
      <c r="C915" s="114" t="n"/>
    </row>
    <row r="916" ht="15" customHeight="1" s="68">
      <c r="A916" s="114" t="n"/>
      <c r="B916" s="114" t="n"/>
      <c r="C916" s="114" t="n"/>
    </row>
    <row r="917" ht="15" customHeight="1" s="68">
      <c r="A917" s="114" t="n"/>
      <c r="B917" s="114" t="n"/>
      <c r="C917" s="114" t="n"/>
    </row>
    <row r="918" ht="15" customHeight="1" s="68">
      <c r="A918" s="114" t="n"/>
      <c r="B918" s="114" t="n"/>
      <c r="C918" s="114" t="n"/>
    </row>
    <row r="919" ht="15" customHeight="1" s="68">
      <c r="A919" s="114" t="n"/>
      <c r="B919" s="114" t="n"/>
      <c r="C919" s="114" t="n"/>
    </row>
    <row r="920" ht="15" customHeight="1" s="68">
      <c r="A920" s="114" t="n"/>
      <c r="B920" s="114" t="n"/>
      <c r="C920" s="114" t="n"/>
    </row>
    <row r="921" ht="15" customHeight="1" s="68">
      <c r="A921" s="114" t="n"/>
      <c r="B921" s="114" t="n"/>
      <c r="C921" s="114" t="n"/>
    </row>
    <row r="922" ht="15" customHeight="1" s="68">
      <c r="A922" s="114" t="n"/>
      <c r="B922" s="114" t="n"/>
      <c r="C922" s="114" t="n"/>
    </row>
    <row r="923" ht="15" customHeight="1" s="68">
      <c r="A923" s="114" t="n"/>
      <c r="B923" s="114" t="n"/>
      <c r="C923" s="114" t="n"/>
    </row>
    <row r="924" ht="15" customHeight="1" s="68">
      <c r="A924" s="114" t="n"/>
      <c r="B924" s="114" t="n"/>
      <c r="C924" s="114" t="n"/>
    </row>
    <row r="925" ht="15" customHeight="1" s="68">
      <c r="A925" s="114" t="n"/>
      <c r="B925" s="114" t="n"/>
      <c r="C925" s="114" t="n"/>
    </row>
    <row r="926" ht="15" customHeight="1" s="68">
      <c r="A926" s="114" t="n"/>
      <c r="B926" s="114" t="n"/>
      <c r="C926" s="114" t="n"/>
    </row>
    <row r="927" ht="15" customHeight="1" s="68">
      <c r="A927" s="114" t="n"/>
      <c r="B927" s="114" t="n"/>
      <c r="C927" s="114" t="n"/>
    </row>
    <row r="928" ht="15" customHeight="1" s="68">
      <c r="A928" s="114" t="n"/>
      <c r="B928" s="114" t="n"/>
      <c r="C928" s="114" t="n"/>
    </row>
    <row r="929" ht="15" customHeight="1" s="68">
      <c r="A929" s="114" t="n"/>
      <c r="B929" s="114" t="n"/>
      <c r="C929" s="114" t="n"/>
    </row>
    <row r="930" ht="15" customHeight="1" s="68">
      <c r="A930" s="114" t="n"/>
      <c r="B930" s="114" t="n"/>
      <c r="C930" s="114" t="n"/>
    </row>
    <row r="931" ht="15" customHeight="1" s="68">
      <c r="A931" s="114" t="n"/>
      <c r="B931" s="114" t="n"/>
      <c r="C931" s="114" t="n"/>
    </row>
    <row r="932" ht="15" customHeight="1" s="68">
      <c r="A932" s="114" t="n"/>
      <c r="B932" s="114" t="n"/>
      <c r="C932" s="114" t="n"/>
    </row>
    <row r="933" ht="15" customHeight="1" s="68">
      <c r="A933" s="114" t="n"/>
      <c r="B933" s="114" t="n"/>
      <c r="C933" s="114" t="n"/>
    </row>
    <row r="934" ht="15" customHeight="1" s="68">
      <c r="A934" s="114" t="n"/>
      <c r="B934" s="114" t="n"/>
      <c r="C934" s="114" t="n"/>
    </row>
    <row r="935" ht="15" customHeight="1" s="68">
      <c r="A935" s="114" t="n"/>
      <c r="B935" s="114" t="n"/>
      <c r="C935" s="114" t="n"/>
    </row>
    <row r="936" ht="15" customHeight="1" s="68">
      <c r="A936" s="114" t="n"/>
      <c r="B936" s="114" t="n"/>
      <c r="C936" s="114" t="n"/>
    </row>
    <row r="937" ht="15" customHeight="1" s="68">
      <c r="A937" s="114" t="n"/>
      <c r="B937" s="114" t="n"/>
      <c r="C937" s="114" t="n"/>
    </row>
    <row r="938" ht="15" customHeight="1" s="68">
      <c r="A938" s="114" t="n"/>
      <c r="B938" s="114" t="n"/>
      <c r="C938" s="114" t="n"/>
    </row>
    <row r="939" ht="15" customHeight="1" s="68">
      <c r="A939" s="114" t="n"/>
      <c r="B939" s="114" t="n"/>
      <c r="C939" s="114" t="n"/>
    </row>
    <row r="940" ht="15" customHeight="1" s="68">
      <c r="A940" s="114" t="n"/>
      <c r="B940" s="114" t="n"/>
      <c r="C940" s="114" t="n"/>
    </row>
    <row r="941" ht="15" customHeight="1" s="68">
      <c r="A941" s="114" t="n"/>
      <c r="B941" s="114" t="n"/>
      <c r="C941" s="114" t="n"/>
    </row>
    <row r="942" ht="15" customHeight="1" s="68">
      <c r="A942" s="114" t="n"/>
      <c r="B942" s="114" t="n"/>
      <c r="C942" s="114" t="n"/>
    </row>
    <row r="943" ht="15" customHeight="1" s="68">
      <c r="A943" s="114" t="n"/>
      <c r="B943" s="114" t="n"/>
      <c r="C943" s="114" t="n"/>
    </row>
    <row r="944" ht="15" customHeight="1" s="68">
      <c r="A944" s="114" t="n"/>
      <c r="B944" s="114" t="n"/>
      <c r="C944" s="114" t="n"/>
    </row>
    <row r="945" ht="15" customHeight="1" s="68">
      <c r="A945" s="114" t="n"/>
      <c r="B945" s="114" t="n"/>
      <c r="C945" s="114" t="n"/>
    </row>
    <row r="946" ht="15" customHeight="1" s="68">
      <c r="A946" s="114" t="n"/>
      <c r="B946" s="114" t="n"/>
      <c r="C946" s="114" t="n"/>
    </row>
    <row r="947" ht="15" customHeight="1" s="68">
      <c r="A947" s="114" t="n"/>
      <c r="B947" s="114" t="n"/>
      <c r="C947" s="114" t="n"/>
    </row>
    <row r="948" ht="15" customHeight="1" s="68">
      <c r="A948" s="114" t="n"/>
      <c r="B948" s="114" t="n"/>
      <c r="C948" s="114" t="n"/>
    </row>
    <row r="949" ht="15" customHeight="1" s="68">
      <c r="A949" s="114" t="n"/>
      <c r="B949" s="114" t="n"/>
      <c r="C949" s="114" t="n"/>
    </row>
    <row r="950" ht="15" customHeight="1" s="68">
      <c r="A950" s="114" t="n"/>
      <c r="B950" s="114" t="n"/>
      <c r="C950" s="114" t="n"/>
    </row>
    <row r="951" ht="15" customHeight="1" s="68">
      <c r="A951" s="114" t="n"/>
      <c r="B951" s="114" t="n"/>
      <c r="C951" s="114" t="n"/>
    </row>
    <row r="952" ht="15" customHeight="1" s="68">
      <c r="A952" s="114" t="n"/>
      <c r="B952" s="114" t="n"/>
      <c r="C952" s="114" t="n"/>
    </row>
    <row r="953" ht="15" customHeight="1" s="68">
      <c r="A953" s="114" t="n"/>
      <c r="B953" s="114" t="n"/>
      <c r="C953" s="114" t="n"/>
    </row>
    <row r="954" ht="15" customHeight="1" s="68">
      <c r="A954" s="114" t="n"/>
      <c r="B954" s="114" t="n"/>
      <c r="C954" s="114" t="n"/>
    </row>
    <row r="955" ht="15" customHeight="1" s="68">
      <c r="A955" s="114" t="n"/>
      <c r="B955" s="114" t="n"/>
      <c r="C955" s="114" t="n"/>
    </row>
    <row r="956" ht="15" customHeight="1" s="68">
      <c r="A956" s="114" t="n"/>
      <c r="B956" s="114" t="n"/>
      <c r="C956" s="114" t="n"/>
    </row>
    <row r="957" ht="15" customHeight="1" s="68">
      <c r="A957" s="114" t="n"/>
      <c r="B957" s="114" t="n"/>
      <c r="C957" s="114" t="n"/>
    </row>
    <row r="958" ht="15" customHeight="1" s="68">
      <c r="A958" s="114" t="n"/>
      <c r="B958" s="114" t="n"/>
      <c r="C958" s="114" t="n"/>
    </row>
    <row r="959" ht="15" customHeight="1" s="68">
      <c r="A959" s="114" t="n"/>
      <c r="B959" s="114" t="n"/>
      <c r="C959" s="114" t="n"/>
    </row>
    <row r="960" ht="15" customHeight="1" s="68">
      <c r="A960" s="114" t="n"/>
      <c r="B960" s="114" t="n"/>
      <c r="C960" s="114" t="n"/>
    </row>
    <row r="961" ht="15" customHeight="1" s="68">
      <c r="A961" s="114" t="n"/>
      <c r="B961" s="114" t="n"/>
      <c r="C961" s="114" t="n"/>
    </row>
    <row r="962" ht="15" customHeight="1" s="68">
      <c r="A962" s="114" t="n"/>
      <c r="B962" s="114" t="n"/>
      <c r="C962" s="114" t="n"/>
    </row>
    <row r="963" ht="15" customHeight="1" s="68">
      <c r="A963" s="114" t="n"/>
      <c r="B963" s="114" t="n"/>
      <c r="C963" s="114" t="n"/>
    </row>
    <row r="964" ht="15" customHeight="1" s="68">
      <c r="A964" s="114" t="n"/>
      <c r="B964" s="114" t="n"/>
      <c r="C964" s="114" t="n"/>
    </row>
    <row r="965" ht="15" customHeight="1" s="68">
      <c r="A965" s="114" t="n"/>
      <c r="B965" s="114" t="n"/>
      <c r="C965" s="114" t="n"/>
    </row>
    <row r="966" ht="15" customHeight="1" s="68">
      <c r="A966" s="114" t="n"/>
      <c r="B966" s="114" t="n"/>
      <c r="C966" s="114" t="n"/>
    </row>
    <row r="967" ht="15" customHeight="1" s="68">
      <c r="A967" s="114" t="n"/>
      <c r="B967" s="114" t="n"/>
      <c r="C967" s="114" t="n"/>
    </row>
    <row r="968" ht="15" customHeight="1" s="68">
      <c r="A968" s="114" t="n"/>
      <c r="B968" s="114" t="n"/>
      <c r="C968" s="114" t="n"/>
    </row>
    <row r="969" ht="15" customHeight="1" s="68">
      <c r="A969" s="114" t="n"/>
      <c r="B969" s="114" t="n"/>
      <c r="C969" s="114" t="n"/>
    </row>
    <row r="970" ht="15" customHeight="1" s="68">
      <c r="A970" s="114" t="n"/>
      <c r="B970" s="114" t="n"/>
      <c r="C970" s="114" t="n"/>
    </row>
    <row r="971" ht="15" customHeight="1" s="68">
      <c r="A971" s="114" t="n"/>
      <c r="B971" s="114" t="n"/>
      <c r="C971" s="114" t="n"/>
    </row>
    <row r="972" ht="15" customHeight="1" s="68">
      <c r="A972" s="114" t="n"/>
      <c r="B972" s="114" t="n"/>
      <c r="C972" s="114" t="n"/>
    </row>
    <row r="973" ht="15" customHeight="1" s="68">
      <c r="A973" s="114" t="n"/>
      <c r="B973" s="114" t="n"/>
      <c r="C973" s="114" t="n"/>
    </row>
    <row r="974" ht="15" customHeight="1" s="68">
      <c r="A974" s="114" t="n"/>
      <c r="B974" s="114" t="n"/>
      <c r="C974" s="114" t="n"/>
    </row>
    <row r="975" ht="15" customHeight="1" s="68">
      <c r="A975" s="114" t="n"/>
      <c r="B975" s="114" t="n"/>
      <c r="C975" s="114" t="n"/>
    </row>
    <row r="976" ht="15" customHeight="1" s="68">
      <c r="A976" s="114" t="n"/>
      <c r="B976" s="114" t="n"/>
      <c r="C976" s="114" t="n"/>
    </row>
    <row r="977" ht="15" customHeight="1" s="68">
      <c r="A977" s="114" t="n"/>
      <c r="B977" s="114" t="n"/>
      <c r="C977" s="114" t="n"/>
    </row>
    <row r="978" ht="15" customHeight="1" s="68">
      <c r="A978" s="114" t="n"/>
      <c r="B978" s="114" t="n"/>
      <c r="C978" s="114" t="n"/>
    </row>
    <row r="979" ht="15" customHeight="1" s="68">
      <c r="A979" s="114" t="n"/>
      <c r="B979" s="114" t="n"/>
      <c r="C979" s="114" t="n"/>
    </row>
    <row r="980" ht="15" customHeight="1" s="68">
      <c r="A980" s="114" t="n"/>
      <c r="B980" s="114" t="n"/>
      <c r="C980" s="114" t="n"/>
    </row>
    <row r="981" ht="15" customHeight="1" s="68">
      <c r="A981" s="114" t="n"/>
      <c r="B981" s="114" t="n"/>
      <c r="C981" s="114" t="n"/>
    </row>
    <row r="982" ht="15" customHeight="1" s="68">
      <c r="A982" s="114" t="n"/>
      <c r="B982" s="114" t="n"/>
      <c r="C982" s="114" t="n"/>
    </row>
    <row r="983" ht="15" customHeight="1" s="68">
      <c r="A983" s="114" t="n"/>
      <c r="B983" s="114" t="n"/>
      <c r="C983" s="114" t="n"/>
    </row>
    <row r="984" ht="15" customHeight="1" s="68">
      <c r="A984" s="114" t="n"/>
      <c r="B984" s="114" t="n"/>
      <c r="C984" s="114" t="n"/>
    </row>
    <row r="985" ht="15" customHeight="1" s="68">
      <c r="A985" s="114" t="n"/>
      <c r="B985" s="114" t="n"/>
      <c r="C985" s="114" t="n"/>
    </row>
    <row r="986" ht="15" customHeight="1" s="68">
      <c r="A986" s="114" t="n"/>
      <c r="B986" s="114" t="n"/>
      <c r="C986" s="114" t="n"/>
    </row>
    <row r="987" ht="15" customHeight="1" s="68">
      <c r="A987" s="114" t="n"/>
      <c r="B987" s="114" t="n"/>
      <c r="C987" s="114" t="n"/>
    </row>
    <row r="988" ht="15" customHeight="1" s="68">
      <c r="A988" s="114" t="n"/>
      <c r="B988" s="114" t="n"/>
      <c r="C988" s="114" t="n"/>
    </row>
    <row r="989" ht="15" customHeight="1" s="68">
      <c r="A989" s="114" t="n"/>
      <c r="B989" s="114" t="n"/>
      <c r="C989" s="114" t="n"/>
    </row>
    <row r="990" ht="15" customHeight="1" s="68">
      <c r="A990" s="114" t="n"/>
      <c r="B990" s="114" t="n"/>
      <c r="C990" s="114" t="n"/>
    </row>
    <row r="991" ht="15" customHeight="1" s="68">
      <c r="A991" s="114" t="n"/>
      <c r="B991" s="114" t="n"/>
      <c r="C991" s="114" t="n"/>
    </row>
    <row r="992" ht="15" customHeight="1" s="68">
      <c r="A992" s="114" t="n"/>
      <c r="B992" s="114" t="n"/>
      <c r="C992" s="114" t="n"/>
    </row>
    <row r="993" ht="15" customHeight="1" s="68">
      <c r="A993" s="114" t="n"/>
      <c r="B993" s="114" t="n"/>
      <c r="C993" s="114" t="n"/>
    </row>
    <row r="994" ht="15" customHeight="1" s="68">
      <c r="A994" s="114" t="n"/>
      <c r="B994" s="114" t="n"/>
      <c r="C994" s="114" t="n"/>
    </row>
    <row r="995" ht="15" customHeight="1" s="68">
      <c r="A995" s="114" t="n"/>
      <c r="B995" s="114" t="n"/>
      <c r="C995" s="114" t="n"/>
    </row>
    <row r="996" ht="15" customHeight="1" s="68">
      <c r="A996" s="114" t="n"/>
      <c r="B996" s="114" t="n"/>
      <c r="C996" s="114" t="n"/>
    </row>
    <row r="997" ht="15" customHeight="1" s="68">
      <c r="A997" s="114" t="n"/>
      <c r="B997" s="114" t="n"/>
      <c r="C997" s="114" t="n"/>
    </row>
    <row r="998" ht="15" customHeight="1" s="68">
      <c r="A998" s="114" t="n"/>
      <c r="B998" s="114" t="n"/>
      <c r="C998" s="114" t="n"/>
    </row>
    <row r="999" ht="15" customHeight="1" s="68">
      <c r="A999" s="114" t="n"/>
      <c r="B999" s="114" t="n"/>
      <c r="C999" s="114" t="n"/>
    </row>
    <row r="1000" ht="15" customHeight="1" s="68">
      <c r="A1000" s="114" t="n"/>
      <c r="B1000" s="114" t="n"/>
      <c r="C1000" s="114" t="n"/>
    </row>
    <row r="1001" ht="15" customHeight="1" s="68">
      <c r="A1001" s="114" t="n"/>
      <c r="B1001" s="114" t="n"/>
      <c r="C1001" s="114" t="n"/>
    </row>
    <row r="1002" ht="15" customHeight="1" s="68">
      <c r="A1002" s="114" t="n"/>
      <c r="B1002" s="114" t="n"/>
      <c r="C1002" s="114" t="n"/>
    </row>
    <row r="1003" ht="15" customHeight="1" s="68">
      <c r="A1003" s="114" t="n"/>
      <c r="B1003" s="114" t="n"/>
      <c r="C1003" s="114" t="n"/>
    </row>
    <row r="1004" ht="15" customHeight="1" s="68">
      <c r="A1004" s="114" t="n"/>
      <c r="B1004" s="114" t="n"/>
      <c r="C1004" s="114" t="n"/>
    </row>
    <row r="1006" ht="19.5" customHeight="1" s="68">
      <c r="A1006" s="105" t="inlineStr">
        <is>
          <t>Masraflar TL olarak girilir; dövizle oluşan masraflar kur uygulanarak TL'ye çevrilip girilmelidir.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C4"/>
    <mergeCell ref="A1006:AN100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4" min="1" max="1"/>
    <col width="20" customWidth="1" style="94" min="2" max="2"/>
    <col width="78" customWidth="1" style="94" min="3" max="3"/>
  </cols>
  <sheetData>
    <row r="1" ht="25.5" customHeight="1" s="68">
      <c r="A1" s="106" t="inlineStr">
        <is>
          <t>MOTOR — İTHALAT DEPO TESLİM (RAFA GELEN) NET BİRİM MALİYET</t>
        </is>
      </c>
    </row>
    <row r="3" ht="15" customHeight="1" s="68">
      <c r="A3" s="107" t="inlineStr">
        <is>
          <t>Hesaplama Motoru</t>
        </is>
      </c>
    </row>
    <row r="4" ht="15" customHeight="1" s="68">
      <c r="A4" s="108" t="inlineStr">
        <is>
          <t>Tüm KPI ve modül hesapları ad tanımlı hücrelerden okunur; sabit sayı formüle gömülmez.</t>
        </is>
      </c>
    </row>
    <row r="6" ht="15" customHeight="1" s="68">
      <c r="A6" s="116" t="inlineStr">
        <is>
          <t>TEMEL HESAPLAR</t>
        </is>
      </c>
    </row>
    <row r="7" ht="15" customHeight="1" s="68">
      <c r="A7" s="117" t="inlineStr">
        <is>
          <t>Toplam Ürün Sayısı</t>
        </is>
      </c>
      <c r="B7" s="118">
        <f>IFERROR(COUNTA(tblUrun[Ürün Adı]),0)</f>
        <v/>
      </c>
    </row>
    <row r="8" ht="15" customHeight="1" s="68">
      <c r="A8" s="117" t="inlineStr">
        <is>
          <t>Toplam Adet</t>
        </is>
      </c>
      <c r="B8" s="118">
        <f>IFERROR(SUM(tblUrun[Adet]),0)</f>
        <v/>
      </c>
    </row>
    <row r="9" ht="15" customHeight="1" s="68">
      <c r="A9" s="117" t="inlineStr">
        <is>
          <t>Toplam FOB TL</t>
        </is>
      </c>
      <c r="B9" s="119">
        <f>IFERROR(SUM(tblUrun[FOB TL]),0)</f>
        <v/>
      </c>
    </row>
    <row r="10" ht="15" customHeight="1" s="68">
      <c r="A10" s="117" t="inlineStr">
        <is>
          <t>Toplam Navlun ve Sigorta TL</t>
        </is>
      </c>
      <c r="B10" s="119">
        <f>IFERROR(SUM(tblUrun[Navlun ve Sigorta TL]),0)</f>
        <v/>
      </c>
    </row>
    <row r="11" ht="15" customHeight="1" s="68">
      <c r="A11" s="117" t="inlineStr">
        <is>
          <t>Toplam CIF TL</t>
        </is>
      </c>
      <c r="B11" s="119">
        <f>IFERROR(SUM(tblUrun[CIF TL]),0)</f>
        <v/>
      </c>
    </row>
    <row r="12" ht="15" customHeight="1" s="68">
      <c r="A12" s="117" t="inlineStr">
        <is>
          <t>Toplam Gümrük Vergisi TL</t>
        </is>
      </c>
      <c r="B12" s="119">
        <f>IFERROR(SUM(tblUrun[Gümrük Vergisi TL]),0)</f>
        <v/>
      </c>
    </row>
    <row r="13" ht="15" customHeight="1" s="68">
      <c r="A13" s="117" t="inlineStr">
        <is>
          <t>Toplam ÖTV TL</t>
        </is>
      </c>
      <c r="B13" s="119">
        <f>IFERROR(SUM(tblUrun[ÖTV TL]),0)</f>
        <v/>
      </c>
    </row>
    <row r="14" ht="15" customHeight="1" s="68">
      <c r="A14" s="117" t="inlineStr">
        <is>
          <t>Toplam KDV TL</t>
        </is>
      </c>
      <c r="B14" s="119">
        <f>IFERROR(SUM(tblUrun[KDV TL]),0)</f>
        <v/>
      </c>
    </row>
    <row r="15" ht="15" customHeight="1" s="68">
      <c r="A15" s="117" t="inlineStr">
        <is>
          <t>Toplam Vergi TL</t>
        </is>
      </c>
      <c r="B15" s="119">
        <f>IFERROR(SUM(tblUrun[Vergi Toplam TL]),0)</f>
        <v/>
      </c>
    </row>
    <row r="16" ht="15" customHeight="1" s="68">
      <c r="A16" s="117" t="inlineStr">
        <is>
          <t>Toplam Yurt İçi Masraf TL</t>
        </is>
      </c>
      <c r="B16" s="119">
        <f>IFERROR(SUM(tblMasraf[Tutar TL]),0)</f>
        <v/>
      </c>
    </row>
    <row r="17" ht="15" customHeight="1" s="68">
      <c r="A17" s="117" t="inlineStr">
        <is>
          <t>Toplam Depo Teslim Maliyeti TL</t>
        </is>
      </c>
      <c r="B17" s="119">
        <f>IFERROR(SUM(tblUrun[Depo Teslim Toplam TL]),0)</f>
        <v/>
      </c>
    </row>
    <row r="18" ht="15" customHeight="1" s="68">
      <c r="A18" s="117" t="inlineStr">
        <is>
          <t>Ortalama Kur</t>
        </is>
      </c>
      <c r="B18" s="120">
        <f>IFERROR(AVERAGE(tblUrun[kur]),0)</f>
        <v/>
      </c>
    </row>
    <row r="19" ht="15" customHeight="1" s="68">
      <c r="A19" s="117" t="inlineStr">
        <is>
          <t>Ortalama Net Birim Maliyet TL</t>
        </is>
      </c>
      <c r="B19" s="119">
        <f>IFERROR(AVERAGE(tblUrun[Net Birim Maliyet TL]),0)</f>
        <v/>
      </c>
    </row>
    <row r="20" ht="15" customHeight="1" s="68">
      <c r="A20" s="117" t="inlineStr">
        <is>
          <t>Maliyet Faktörü (Ağırlıklı)</t>
        </is>
      </c>
      <c r="B20" s="120">
        <f>IFERROR(ToplamDepoTeslimMaliyeti/MAX(BolumPaydaTaban,ToplamFOB),0)</f>
        <v/>
      </c>
    </row>
    <row r="21" ht="15" customHeight="1" s="68">
      <c r="A21" s="117" t="inlineStr">
        <is>
          <t>Vergi Yükü Oranı</t>
        </is>
      </c>
      <c r="B21" s="121">
        <f>IFERROR(ToplamVergi/MAX(BolumPaydaTaban,ToplamCIF),0)</f>
        <v/>
      </c>
    </row>
    <row r="22" ht="15" customHeight="1" s="68">
      <c r="A22" s="117" t="inlineStr">
        <is>
          <t>Anomali Ürün Adedi</t>
        </is>
      </c>
      <c r="B22" s="118">
        <f>IFERROR(COUNTIF(tblUrun[Net Birim Maliyet TL],"&gt;"&amp;IFERROR(AVERAGE(tblUrun[Net Birim Maliyet TL])+AnomaliZEsik*IFERROR(_xlfn.STDEV.P(tblUrun[Net Birim Maliyet TL]),0),0)),0)</f>
        <v/>
      </c>
    </row>
    <row r="23" ht="15" customHeight="1" s="68">
      <c r="A23" s="117" t="inlineStr">
        <is>
          <t>Anomali Oranı</t>
        </is>
      </c>
      <c r="B23" s="121">
        <f>IFERROR(IF(COUNTA(tblUrun[Ürün Adı])=0,0,AnomaliUrunAdedi/COUNTA(tblUrun[Ürün Adı])),0)</f>
        <v/>
      </c>
    </row>
    <row r="25" ht="15" customHeight="1" s="68">
      <c r="A25" s="107" t="inlineStr">
        <is>
          <t>Analitik Modül Hesapları</t>
        </is>
      </c>
    </row>
    <row r="26" ht="15" customHeight="1" s="68">
      <c r="A26" s="117" t="inlineStr">
        <is>
          <t>Modül T1: Birim Maliyet Ortalaması</t>
        </is>
      </c>
      <c r="B26" s="119">
        <f>IFERROR(AVERAGE(tblUrun[Net Birim Maliyet TL]),0)</f>
        <v/>
      </c>
    </row>
    <row r="27" ht="15" customHeight="1" s="68">
      <c r="A27" s="117" t="inlineStr">
        <is>
          <t>Modül T2: Maliyet Eğimi</t>
        </is>
      </c>
      <c r="B27" s="119">
        <f>IFERROR(SLOPE(tblUrun[Depo Teslim Toplam TL],tblUrun[Adet]),0)</f>
        <v/>
      </c>
    </row>
    <row r="28" ht="15" customHeight="1" s="68">
      <c r="A28" s="117" t="inlineStr">
        <is>
          <t>Modül T3: Pareto Payı</t>
        </is>
      </c>
      <c r="B28" s="121">
        <f>IFERROR(IF(SUM(tblUrun[Depo Teslim Toplam TL])=0,0,MAX(tblUrun[Depo Teslim Toplam TL])/SUM(tblUrun[Depo Teslim Toplam TL])),0)</f>
        <v/>
      </c>
    </row>
    <row r="29" ht="15" customHeight="1" s="68">
      <c r="A29" s="117" t="inlineStr">
        <is>
          <t>Modül T4: Kur Dönem Farkı</t>
        </is>
      </c>
      <c r="B29" s="119">
        <f>IFERROR(ToplamDepoTeslimMaliyeti*(1-OncekiKur/MAX(BolumPaydaTaban,OrtalamaKur)),0)</f>
        <v/>
      </c>
    </row>
    <row r="30" ht="15" customHeight="1" s="68">
      <c r="A30" s="117" t="inlineStr">
        <is>
          <t>Modül T5: Mutabakat Farkı</t>
        </is>
      </c>
      <c r="B30" s="119">
        <f>IFERROR(ToplamYurtIciMasraf-SUM(tblUrun[Yurt İçi Masraf Payı TL]),0)</f>
        <v/>
      </c>
    </row>
    <row r="31" ht="15" customHeight="1" s="68">
      <c r="A31" s="117" t="inlineStr">
        <is>
          <t>Modül T6: Vergi Yükü Oranı</t>
        </is>
      </c>
      <c r="B31" s="121">
        <f>IFERROR(ToplamVergi/MAX(BolumPaydaTaban,ToplamCIF),0)</f>
        <v/>
      </c>
    </row>
    <row r="32" ht="15" customHeight="1" s="68">
      <c r="A32" s="117" t="inlineStr">
        <is>
          <t>Modül O1: Anomali Oranı</t>
        </is>
      </c>
      <c r="B32" s="121">
        <f>IFERROR(IF(COUNTA(tblUrun[Ürün Adı])=0,0,AnomaliUrunAdedi/COUNTA(tblUrun[Ürün Adı])),0)</f>
        <v/>
      </c>
    </row>
    <row r="33" ht="15" customHeight="1" s="68">
      <c r="A33" s="117" t="inlineStr">
        <is>
          <t>Modül O2: Tornado Zirve Etki</t>
        </is>
      </c>
      <c r="B33" s="119">
        <f>IFERROR(MAX(ABS(SenaryoMaliyetKotumser-SenaryoMaliyetIyimser),ABS(SenaryoVergiKotumser-SenaryoVergiIyimser)),0)</f>
        <v/>
      </c>
    </row>
    <row r="34" ht="15" customHeight="1" s="68">
      <c r="A34" s="117" t="inlineStr">
        <is>
          <t>Modül O3: Senaryo Baz Fark</t>
        </is>
      </c>
      <c r="B34" s="119">
        <f>IFERROR(SenaryoMaliyetKotumser-SenaryoMaliyetBaz,0)</f>
        <v/>
      </c>
    </row>
    <row r="35" ht="15" customHeight="1" s="68">
      <c r="A35" s="117" t="inlineStr">
        <is>
          <t>Modül O4: Nakit Etki Oranı</t>
        </is>
      </c>
      <c r="B35" s="120">
        <f>IFERROR(ToplamDepoTeslimMaliyeti/MAX(BolumPaydaTaban,ToplamFOB),0)</f>
        <v/>
      </c>
    </row>
    <row r="36" ht="15" customHeight="1" s="68">
      <c r="A36" s="117" t="inlineStr">
        <is>
          <t>Modül O6: Maliyet HHI</t>
        </is>
      </c>
      <c r="B36" s="118">
        <f>IFERROR(IF(SUM(tblUrun[FOB TL])=0,0,SUMPRODUCT(tblUrun[FOB TL],tblUrun[FOB TL])/MAX(BolumPaydaTaban,SUM(tblUrun[FOB TL])^2)),0)</f>
        <v/>
      </c>
    </row>
    <row r="37" ht="15" customHeight="1" s="68">
      <c r="A37" s="117" t="inlineStr">
        <is>
          <t>Modül O8: Veri Kalite Skoru</t>
        </is>
      </c>
      <c r="B37" s="118">
        <f>VeriKaliteSkoru</f>
        <v/>
      </c>
    </row>
    <row r="38" ht="15" customHeight="1" s="68">
      <c r="A38" s="117" t="inlineStr">
        <is>
          <t>Modül I1: Maliyet Tahmini</t>
        </is>
      </c>
      <c r="B38" s="119">
        <f>IFERROR(_xlfn.FORECAST.LINEAR(COUNTA(tblUrun[Adet])+1,tblUrun[Depo Teslim Toplam TL],tblUrun[Adet]),0)</f>
        <v/>
      </c>
    </row>
    <row r="39" ht="15" customHeight="1" s="68">
      <c r="A39" s="117" t="inlineStr">
        <is>
          <t>Modül I2: Birim Maliyet P90</t>
        </is>
      </c>
      <c r="B39" s="119">
        <f>IFERROR(_xlfn.PERCENTILE.INC(tblUrun[Net Birim Maliyet TL],P90Kuantil),0)</f>
        <v/>
      </c>
    </row>
    <row r="40" ht="15" customHeight="1" s="68">
      <c r="A40" s="117" t="inlineStr">
        <is>
          <t>Modül I3: Maliyet NPV</t>
        </is>
      </c>
      <c r="B40" s="119">
        <f>IFERROR(NPV(IskontoOrani,ToplamDepoTeslimMaliyeti),0)</f>
        <v/>
      </c>
    </row>
    <row r="41" ht="15" customHeight="1" s="68">
      <c r="A41" s="117" t="inlineStr">
        <is>
          <t>Modül I7: Nakit Açığı Köprüsü</t>
        </is>
      </c>
      <c r="B41" s="119">
        <f>IFERROR(MAX(0,ToplamVergi-PesinOdemeTutari),0)</f>
        <v/>
      </c>
    </row>
    <row r="42" ht="15" customHeight="1" s="68">
      <c r="A42" s="107" t="inlineStr">
        <is>
          <t>Modül Makine Yorumları</t>
        </is>
      </c>
    </row>
    <row r="43" ht="15" customHeight="1" s="68">
      <c r="A43" s="117" t="inlineStr">
        <is>
          <t>T1 Birim Maliyet Ortalaması</t>
        </is>
      </c>
      <c r="B43" s="119">
        <f>modulT1BirimMaliyetOrt</f>
        <v/>
      </c>
      <c r="C43" s="122">
        <f>_xlfn.TEXTJOIN(" | ",TRUE(),"T1: Ortalama birim maliyet "&amp;TEXT(modulT1BirimMaliyetOrt,"#,##0")&amp;" ₺",IF(modulT1BirimMaliyetOrt&gt;OrtalamaNetBirimMaliyet,"birim maliyet ortalamanın üzerinde","birim maliyet dağılımı normal"))</f>
        <v/>
      </c>
    </row>
    <row r="44" ht="15" customHeight="1" s="68">
      <c r="A44" s="117" t="inlineStr">
        <is>
          <t>T2 Maliyet Eğimi</t>
        </is>
      </c>
      <c r="B44" s="119">
        <f>modulT2MaliyetEgim</f>
        <v/>
      </c>
      <c r="C44" s="122">
        <f>_xlfn.TEXTJOIN(" | ",TRUE(),"T2: Maliyet eğimi "&amp;TEXT(modulT2MaliyetEgim,"#,##0")&amp;" ₺/adet",IF(modulT2MaliyetEgim&gt;0,"maliyet adetle artıyor","maliyet adetten bağımsız"))</f>
        <v/>
      </c>
    </row>
    <row r="45" ht="15" customHeight="1" s="68">
      <c r="A45" s="117" t="inlineStr">
        <is>
          <t>T3 Pareto Payı</t>
        </is>
      </c>
      <c r="B45" s="121">
        <f>modulT3ParetoPay</f>
        <v/>
      </c>
      <c r="C45" s="122">
        <f>_xlfn.TEXTJOIN(" | ",TRUE(),"T3: En yüksek maliyetli ürün toplamın %"&amp;TEXT(modulT3ParetoPay*100,"0")&amp;"",IF(modulT3ParetoPay&gt;ParetoEsikOran,"yoğunlaşma yüksek, tek ürüne bağımlılık var","dağılım dengeli"))</f>
        <v/>
      </c>
    </row>
    <row r="46" ht="15" customHeight="1" s="68">
      <c r="A46" s="117" t="inlineStr">
        <is>
          <t>T4 Kur Dönem Farkı</t>
        </is>
      </c>
      <c r="B46" s="119">
        <f>modulT4DonemFark</f>
        <v/>
      </c>
      <c r="C46" s="122">
        <f>_xlfn.TEXTJOIN(" | ",TRUE(),"T4: Kur dönem farkı "&amp;TEXT(modulT4DonemFark,"#,##0")&amp;" ₺",IF(ABS(modulT4DonemFark)&gt;ToplamDepoTeslimMaliyeti*MutabakatEsikOran,"kur etkisi yüksek, maliyet duyarlı","kur etkisi kabul edilebilir"))</f>
        <v/>
      </c>
    </row>
    <row r="47" ht="15" customHeight="1" s="68">
      <c r="A47" s="117" t="inlineStr">
        <is>
          <t>T5 Mutabakat Farkı</t>
        </is>
      </c>
      <c r="B47" s="119">
        <f>modulT5MutabakatFark</f>
        <v/>
      </c>
      <c r="C47" s="122">
        <f>_xlfn.TEXTJOIN(" | ",TRUE(),"T5: Masraf mutabakat farkı "&amp;TEXT(modulT5MutabakatFark,"#,##0")&amp;" ₺",IF(ABS(modulT5MutabakatFark)&gt;ToplamYurtIciMasraf*MutabakatEsikOran,"masraf dağıtımı tutarsız, kontrol edin","masraf dağıtımı tutarlı"))</f>
        <v/>
      </c>
    </row>
    <row r="48" ht="15" customHeight="1" s="68">
      <c r="A48" s="117" t="inlineStr">
        <is>
          <t>T6 Vergi Yükü Oranı</t>
        </is>
      </c>
      <c r="B48" s="121">
        <f>modulT6VergiYukOran</f>
        <v/>
      </c>
      <c r="C48" s="122">
        <f>_xlfn.TEXTJOIN(" | ",TRUE(),"T6: Vergi yükü oranı %"&amp;TEXT(modulT6VergiYukOran*100,"0.0")&amp;"",IF(modulT6VergiYukOran&gt;VergiYukEsik,"vergi yükü eşiğin üzerinde","vergi yükü kabul edilebilir"))</f>
        <v/>
      </c>
    </row>
    <row r="49" ht="15" customHeight="1" s="68">
      <c r="A49" s="117" t="inlineStr">
        <is>
          <t>O1 Anomali Oranı</t>
        </is>
      </c>
      <c r="B49" s="121">
        <f>modulO1AnomaliOran</f>
        <v/>
      </c>
      <c r="C49" s="122">
        <f>_xlfn.TEXTJOIN(" | ",TRUE(),"O1: Uç birim maliyetli ürün oranı %"&amp;TEXT(modulO1AnomaliOran*100,"0.0")&amp;"",IF(modulO1AnomaliOran&gt;0,"anomali ürünler tespit edildi, maliyetleri denetleyin","anomali yok"))</f>
        <v/>
      </c>
    </row>
    <row r="50" ht="15" customHeight="1" s="68">
      <c r="A50" s="117" t="inlineStr">
        <is>
          <t>O2 Tornado Zirve</t>
        </is>
      </c>
      <c r="B50" s="119">
        <f>modulO2TornadoZirve</f>
        <v/>
      </c>
      <c r="C50" s="122">
        <f>_xlfn.TEXTJOIN(" | ",TRUE(),"O2: Tornado zirve etki "&amp;TEXT(modulO2TornadoZirve,"#,##0")&amp;" ₺",IF(modulO2TornadoZirve&gt;ToplamDepoTeslimMaliyeti*SenaryoEtkiEsik,"maliyet duyarlılığı yüksek, kur/vergi kritik","duyarlılık düşük"))</f>
        <v/>
      </c>
    </row>
    <row r="51" ht="15" customHeight="1" s="68">
      <c r="A51" s="117" t="inlineStr">
        <is>
          <t>O3 Senaryo Baz Fark</t>
        </is>
      </c>
      <c r="B51" s="119">
        <f>modulO3SenaryoFark</f>
        <v/>
      </c>
      <c r="C51" s="122">
        <f>_xlfn.TEXTJOIN(" | ",TRUE(),"O3: Kötümser-baz fark "&amp;TEXT(modulO3SenaryoFark,"#,##0")&amp;" ₺",IF(modulO3SenaryoFark&gt;ToplamDepoTeslimMaliyeti*SenaryoEtkiEsik,"kötümser senaryoda maliyet yükseliyor","senaryo aralığı kabul edilebilir"))</f>
        <v/>
      </c>
    </row>
    <row r="52" ht="15" customHeight="1" s="68">
      <c r="A52" s="117" t="inlineStr">
        <is>
          <t>O4 Nakit Etki</t>
        </is>
      </c>
      <c r="B52" s="120">
        <f>modulO4NakitEtkiOran</f>
        <v/>
      </c>
      <c r="C52" s="122">
        <f>_xlfn.TEXTJOIN(" | ",TRUE(),"O4: Her 1 TL FOB için depo teslim maliyeti "&amp;TEXT(modulO4NakitEtkiOran,"0.00")&amp;" TL",IF(modulO4NakitEtkiOran&gt;1+VergiYukEsik,"maliyet çarpanı yüksek, nakit yükü artıyor","maliyet çarpanı kabul edilebilir"))</f>
        <v/>
      </c>
    </row>
    <row r="53" ht="15" customHeight="1" s="68">
      <c r="A53" s="117" t="inlineStr">
        <is>
          <t>O6 Maliyet HHI</t>
        </is>
      </c>
      <c r="B53" s="118">
        <f>modulO6MaliyetHhi</f>
        <v/>
      </c>
      <c r="C53" s="122">
        <f>_xlfn.TEXTJOIN(" | ",TRUE(),"O6: FOB yoğunlaşma endeksi "&amp;TEXT(modulO6MaliyetHhi,"0.00")&amp;"",IF(modulO6MaliyetHhi&gt;HhiYuksekEsik,"yoğunlaşma yüksek","dağılım dengeli"))</f>
        <v/>
      </c>
    </row>
    <row r="54" ht="15" customHeight="1" s="68">
      <c r="A54" s="117" t="inlineStr">
        <is>
          <t>O8 Kalite Skoru</t>
        </is>
      </c>
      <c r="B54" s="118">
        <f>modulO8KaliteSkoru</f>
        <v/>
      </c>
      <c r="C54" s="122">
        <f>_xlfn.TEXTJOIN(" | ",TRUE(),"O8: Veri kalite skoru "&amp;TEXT(modulO8KaliteSkoru,"0")&amp;"/100",IF(modulO8KaliteSkoru&gt;=VeriKaliteIyiEsik,"girdi kalitesi iyi","kalite düşük, girişleri tamamlayın"))</f>
        <v/>
      </c>
    </row>
    <row r="55" ht="15" customHeight="1" s="68">
      <c r="A55" s="117" t="inlineStr">
        <is>
          <t>I1 Maliyet Tahmini</t>
        </is>
      </c>
      <c r="B55" s="119">
        <f>modulI1MaliyetTahmin</f>
        <v/>
      </c>
      <c r="C55" s="122">
        <f>_xlfn.TEXTJOIN(" | ",TRUE(),"I1: Sonraki adet adımında beklenen maliyet "&amp;TEXT(modulI1MaliyetTahmin,"#,##0")&amp;" ₺",IF(modulI1MaliyetTahmin&gt;ToplamDepoTeslimMaliyeti*OrtalamaKur*0.2,"tahmin yüksek, ölçek etkisini gözden geçirin","tahmin sınır içinde"))</f>
        <v/>
      </c>
    </row>
    <row r="56" ht="15" customHeight="1" s="68">
      <c r="A56" s="117" t="inlineStr">
        <is>
          <t>I2 Birim Maliyet P90</t>
        </is>
      </c>
      <c r="B56" s="119">
        <f>modulI2MaliyetP90</f>
        <v/>
      </c>
      <c r="C56" s="122">
        <f>_xlfn.TEXTJOIN(" | ",TRUE(),"I2: Birim maliyet P90 değeri "&amp;TEXT(modulI2MaliyetP90,"#,##0")&amp;" ₺",IF(modulI2MaliyetP90&gt;OrtalamaNetBirimMaliyet*2,"P90 maliyeti ortalamanın iki katı üzerinde","P90 dağılımı kabul edilebilir"))</f>
        <v/>
      </c>
    </row>
    <row r="57" ht="15" customHeight="1" s="68">
      <c r="A57" s="117" t="inlineStr">
        <is>
          <t>I3 Maliyet NPV</t>
        </is>
      </c>
      <c r="B57" s="119">
        <f>modulI3MaliyetNpv</f>
        <v/>
      </c>
      <c r="C57" s="122">
        <f>_xlfn.TEXTJOIN(" | ",TRUE(),"I3: Depo teslim maliyetinin NPV değeri "&amp;TEXT(modulI3MaliyetNpv,"#,##0")&amp;" ₺",IF(modulI3MaliyetNpv&gt;ToplamDepoTeslimMaliyeti*NpvEsikOran,"NPV maliyeti yüksek","NPV maliyeti kabul edilebilir"))</f>
        <v/>
      </c>
    </row>
    <row r="58" ht="15" customHeight="1" s="68">
      <c r="A58" s="117" t="inlineStr">
        <is>
          <t>I7 Nakit Açığı</t>
        </is>
      </c>
      <c r="B58" s="119">
        <f>modulI7NakitAcik</f>
        <v/>
      </c>
      <c r="C58" s="122">
        <f>_xlfn.TEXTJOIN(" | ",TRUE(),"I7: Nakit açığı köprüsü "&amp;TEXT(modulI7NakitAcik,"#,##0")&amp;" ₺",IF(modulI7NakitAcik&gt;0,"peşin vergi ödemesi nakit yükü yaratıyor","nakit yükü karşılanıyor"))</f>
        <v/>
      </c>
    </row>
    <row r="59" ht="19.5" customHeight="1" s="68">
      <c r="A59" s="105" t="inlineStr">
        <is>
          <t>Tüm hesaplar AYARLAR parametrelerinden beslenir; veri yokken 0 ve VERİ YOK güvenli dönüş yapar.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4:C4"/>
    <mergeCell ref="A3:C3"/>
    <mergeCell ref="A59:AN59"/>
    <mergeCell ref="A1:AD1"/>
  </mergeCells>
  <conditionalFormatting sqref="B21">
    <cfRule type="cellIs" rank="0" priority="2" equalAverage="0" operator="greaterThan" aboveAverage="0" dxfId="7" text="" percent="0" bottom="0">
      <formula>VergiYukEsik</formula>
    </cfRule>
    <cfRule type="cellIs" rank="0" priority="3" equalAverage="0" operator="lessThanOrEqual" aboveAverage="0" dxfId="6" text="" percent="0" bottom="0">
      <formula>VergiYukEsik</formula>
    </cfRule>
  </conditionalFormatting>
  <conditionalFormatting sqref="B20">
    <cfRule type="cellIs" rank="0" priority="4" equalAverage="0" operator="greaterThan" aboveAverage="0" dxfId="7" text="" percent="0" bottom="0">
      <formula>MaliyetFaktorEsik</formula>
    </cfRule>
  </conditionalFormatting>
  <conditionalFormatting sqref="B17">
    <cfRule type="cellIs" rank="0" priority="5" equalAverage="0" operator="greaterThan" aboveAverage="0" dxfId="7" text="" percent="0" bottom="0">
      <formula>0</formula>
    </cfRule>
  </conditionalFormatting>
  <conditionalFormatting sqref="B23">
    <cfRule type="cellIs" rank="0" priority="6" equalAverage="0" operator="greaterThan" aboveAverage="0" dxfId="8" text="" percent="0" bottom="0">
      <formula>0</formula>
    </cfRule>
  </conditionalFormatting>
  <conditionalFormatting sqref="B41">
    <cfRule type="cellIs" rank="0" priority="7" equalAverage="0" operator="greaterThan" aboveAverage="0" dxfId="7" text="" percent="0" bottom="0">
      <formula>0</formula>
    </cfRule>
    <cfRule type="cellIs" rank="0" priority="8" equalAverage="0" operator="lessThanOrEqual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4" min="1" max="1"/>
    <col width="22" customWidth="1" style="94" min="2" max="2"/>
    <col width="40" customWidth="1" style="94" min="3" max="3"/>
  </cols>
  <sheetData>
    <row r="1" ht="25.5" customHeight="1" s="68">
      <c r="A1" s="106" t="inlineStr">
        <is>
          <t>KONTROL — İTHALAT DEPO TESLİM (RAFA GELEN) NET BİRİM MALİYET</t>
        </is>
      </c>
    </row>
    <row r="3" ht="15" customHeight="1" s="68">
      <c r="A3" s="107" t="inlineStr">
        <is>
          <t>Veri Kalite Kontrolleri</t>
        </is>
      </c>
    </row>
    <row r="5" ht="15" customHeight="1" s="68">
      <c r="A5" s="117" t="inlineStr">
        <is>
          <t>Ürün tablosunda dolu satır</t>
        </is>
      </c>
      <c r="B5" s="123">
        <f>IFERROR(COUNTA(tblUrun[Ürün Adı]),0)</f>
        <v/>
      </c>
    </row>
    <row r="6" ht="15" customHeight="1" s="68">
      <c r="A6" s="117" t="inlineStr">
        <is>
          <t>Masraf tablosunda dolu satır</t>
        </is>
      </c>
      <c r="B6" s="123">
        <f>IFERROR(COUNTA(tblMasraf[Masraf Kalemi]),0)</f>
        <v/>
      </c>
    </row>
    <row r="7" ht="15" customHeight="1" s="68">
      <c r="A7" s="117" t="inlineStr">
        <is>
          <t>Negatif adet kontrolü</t>
        </is>
      </c>
      <c r="B7" s="123">
        <f>IF(COUNTIF(tblUrun[Adet],"&lt;0")&gt;0,"FAIL","PASS")</f>
        <v/>
      </c>
    </row>
    <row r="8" ht="15" customHeight="1" s="68">
      <c r="A8" s="117" t="inlineStr">
        <is>
          <t>Negatif FOB kontrolü</t>
        </is>
      </c>
      <c r="B8" s="123">
        <f>IF(COUNTIF(tblUrun[FOB Birim Fiyat (Döviz)],"&lt;0")&gt;0,"FAIL","PASS")</f>
        <v/>
      </c>
    </row>
    <row r="9" ht="15" customHeight="1" s="68">
      <c r="A9" s="117" t="inlineStr">
        <is>
          <t>Sıfır kur kontrolü</t>
        </is>
      </c>
      <c r="B9" s="123">
        <f>IF(COUNTIF(tblUrun[Kur (₺)],"=0")&gt;0,"FAIL","PASS")</f>
        <v/>
      </c>
    </row>
    <row r="10" ht="15" customHeight="1" s="68">
      <c r="A10" s="117" t="inlineStr">
        <is>
          <t>Boş kur kontrolü</t>
        </is>
      </c>
      <c r="B10" s="123">
        <f>IF(COUNTIF(tblUrun[Kur (₺)],"")&gt;0,"FAIL","PASS")</f>
        <v/>
      </c>
    </row>
    <row r="11" ht="15" customHeight="1" s="68">
      <c r="A11" s="117" t="inlineStr">
        <is>
          <t>Oran aralık kontrolü</t>
        </is>
      </c>
      <c r="B11" s="123">
        <f>IF(SUMPRODUCT(--(tblUrun[Gümrük Vergisi Oranı]&gt;1))+SUMPRODUCT(--(tblUrun[Gümrük Vergisi Oranı]&lt;0))&gt;0,"FAIL","PASS")</f>
        <v/>
      </c>
    </row>
    <row r="12" ht="15" customHeight="1" s="68">
      <c r="A12" s="117" t="inlineStr">
        <is>
          <t>Negatif masraf kontrolü</t>
        </is>
      </c>
      <c r="B12" s="123">
        <f>IF(COUNTIF(tblMasraf[Tutar TL],"&lt;0")&gt;0,"FAIL","PASS")</f>
        <v/>
      </c>
    </row>
    <row r="15" ht="15" customHeight="1" s="68">
      <c r="A15" s="116" t="inlineStr">
        <is>
          <t>SKORLAMA</t>
        </is>
      </c>
    </row>
    <row r="16" ht="15" customHeight="1" s="68">
      <c r="A16" s="124" t="inlineStr">
        <is>
          <t>PASS Sayısı</t>
        </is>
      </c>
      <c r="B16" s="125">
        <f>COUNTIF(B5:B12,"PASS")</f>
        <v/>
      </c>
    </row>
    <row r="17" ht="15" customHeight="1" s="68">
      <c r="A17" s="124" t="inlineStr">
        <is>
          <t>FAIL Sayısı</t>
        </is>
      </c>
      <c r="B17" s="125">
        <f>COUNTIF(B5:B12,"FAIL")</f>
        <v/>
      </c>
    </row>
    <row r="18" ht="15" customHeight="1" s="68">
      <c r="A18" s="124" t="inlineStr">
        <is>
          <t>WARN Sayısı</t>
        </is>
      </c>
      <c r="B18" s="125">
        <f>COUNTIF(B5:B12,"WARN")</f>
        <v/>
      </c>
    </row>
    <row r="19" ht="15" customHeight="1" s="68">
      <c r="A19" s="117" t="inlineStr">
        <is>
          <t>Veri Kalite Skoru</t>
        </is>
      </c>
      <c r="B19" s="118">
        <f>IFERROR(IF(DoluGirisHucre=0,0,MAX(0,VeriKaliteTaban-FAIL_Sayisi*VeriKaliteFailCeza-WARN_Sayisi*VeriKaliteUyariCeza)),0)</f>
        <v/>
      </c>
    </row>
    <row r="20" ht="15" customHeight="1" s="68">
      <c r="A20" s="124" t="inlineStr">
        <is>
          <t>Veri Kalite Seviyesi</t>
        </is>
      </c>
      <c r="B20" s="123">
        <f>IF(VeriKaliteSkoru&gt;=VeriKaliteIyiEsik,"İYİ",IF(VeriKaliteSkoru&gt;=VeriKaliteOrtaEsik,"ORTA","DÜŞÜK"))</f>
        <v/>
      </c>
    </row>
    <row r="21" ht="15" customHeight="1" s="68">
      <c r="A21" s="124" t="inlineStr">
        <is>
          <t>Dolu Girdi Hücresi</t>
        </is>
      </c>
      <c r="B21" s="125">
        <f>IFERROR(COUNTA(tblUrun[Ürün Adı])+COUNTA(tblMasraf[Masraf Kalemi]),0)</f>
        <v/>
      </c>
    </row>
    <row r="22" ht="15" customHeight="1" s="68">
      <c r="A22" s="124" t="inlineStr">
        <is>
          <t>Toplam Girdi Kapasitesi</t>
        </is>
      </c>
      <c r="B22" s="125">
        <f>IFERROR(ROWS(tblUrun)+ROWS(tblMasraf),0)</f>
        <v/>
      </c>
    </row>
    <row r="23" ht="15" customHeight="1" s="68">
      <c r="A23" s="124" t="inlineStr">
        <is>
          <t>Doluluk Oranı</t>
        </is>
      </c>
      <c r="B23" s="126">
        <f>IFERROR(DoluGirisHucre/KayitKapasite,0)</f>
        <v/>
      </c>
    </row>
    <row r="24" ht="15" customHeight="1" s="68">
      <c r="A24" s="117" t="inlineStr">
        <is>
          <t>Durum</t>
        </is>
      </c>
      <c r="B24" s="124">
        <f>IF(FAIL_Sayisi=0,"SAĞLIKLI","İNCELE")</f>
        <v/>
      </c>
    </row>
    <row r="26" ht="19.5" customHeight="1" s="68">
      <c r="A26" s="105" t="inlineStr">
        <is>
          <t>Skor ve sağlık durumu formülle üretilir; sahte veri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6:AN26"/>
    <mergeCell ref="A3:C3"/>
    <mergeCell ref="A1:AD1"/>
  </mergeCells>
  <conditionalFormatting sqref="B5:B12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"WARN"</formula>
    </cfRule>
  </conditionalFormatting>
  <conditionalFormatting sqref="B19">
    <cfRule type="cellIs" rank="0" priority="5" equalAverage="0" operator="greaterThanOrEqual" aboveAverage="0" dxfId="6" text="" percent="0" bottom="0">
      <formula>VeriKaliteIyiEsik</formula>
    </cfRule>
    <cfRule type="cellIs" rank="0" priority="6" equalAverage="0" operator="lessThan" aboveAverage="0" dxfId="7" text="" percent="0" bottom="0">
      <formula>VeriKaliteOrtaEsik</formula>
    </cfRule>
  </conditionalFormatting>
  <conditionalFormatting sqref="B17">
    <cfRule type="cellIs" rank="0" priority="7" equalAverage="0" operator="greaterThan" aboveAverage="0" dxfId="7" text="" percent="0" bottom="0">
      <formula>0</formula>
    </cfRule>
  </conditionalFormatting>
  <conditionalFormatting sqref="B18">
    <cfRule type="cellIs" rank="0" priority="8" equalAverage="0" operator="greater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4" min="1" max="1"/>
    <col width="28" customWidth="1" style="94" min="2" max="2"/>
    <col width="22" customWidth="1" style="94" min="3" max="3"/>
  </cols>
  <sheetData>
    <row r="1" ht="25.5" customHeight="1" s="68">
      <c r="A1" s="106" t="inlineStr">
        <is>
          <t>KARAR — İTHALAT DEPO TESLİM (RAFA GELEN) NET BİRİM MALİYET</t>
        </is>
      </c>
    </row>
    <row r="3" ht="15" customHeight="1" s="68">
      <c r="A3" s="107" t="inlineStr">
        <is>
          <t>Karar Motoru</t>
        </is>
      </c>
    </row>
    <row r="5" ht="15" customHeight="1" s="68">
      <c r="A5" s="116" t="inlineStr">
        <is>
          <t>DEPO TESLİM MALİYET ÖZETİ</t>
        </is>
      </c>
    </row>
    <row r="6" ht="15" customHeight="1" s="68">
      <c r="A6" s="124" t="inlineStr">
        <is>
          <t>Toplam Depo Teslim Maliyeti</t>
        </is>
      </c>
      <c r="B6" s="119">
        <f>ToplamDepoTeslimMaliyeti</f>
        <v/>
      </c>
    </row>
    <row r="7" ht="15" customHeight="1" s="68">
      <c r="A7" s="124" t="inlineStr">
        <is>
          <t>Maliyet Faktörü (Ağırlıklı)</t>
        </is>
      </c>
      <c r="B7" s="120">
        <f>MaliyetFaktoru</f>
        <v/>
      </c>
    </row>
    <row r="8" ht="15" customHeight="1" s="68">
      <c r="A8" s="124" t="inlineStr">
        <is>
          <t>Vergi Yükü Oranı</t>
        </is>
      </c>
      <c r="B8" s="121">
        <f>VergiYukOrani</f>
        <v/>
      </c>
    </row>
    <row r="9" ht="15" customHeight="1" s="68">
      <c r="A9" s="124" t="inlineStr">
        <is>
          <t>Mutabakat Farkı</t>
        </is>
      </c>
      <c r="B9" s="119">
        <f>modulT5MutabakatFark</f>
        <v/>
      </c>
    </row>
    <row r="11" ht="18.75" customHeight="1" s="68">
      <c r="A11" s="107" t="inlineStr">
        <is>
          <t>KARAR</t>
        </is>
      </c>
      <c r="B11" s="127">
        <f>IF(VeriKaliteSkoru=0,"VERİ YOK",IF(OR(MaliyetFaktoru&lt;1,ToplamFOB&lt;0),"DURDUR",IF(OR(VergiYukOrani&gt;VergiYukEsik,MaliyetFaktoru&gt;MaliyetFaktorEsik),"DURDUR",IF(OR(ABS(modulT5MutabakatFark)&gt;ToplamYurtIciMasraf*MutabakatEsikOran,AnomaliUrunAdedi&gt;0,modulI7NakitAcik&gt;0),"İNCELE","UYGUN"))))</f>
        <v/>
      </c>
    </row>
    <row r="12" ht="41.25" customHeight="1" s="68">
      <c r="A12" s="124" t="inlineStr">
        <is>
          <t>GEREKÇE</t>
        </is>
      </c>
      <c r="B12" s="128">
        <f>IF(VeriKaliteSkoru=0,"Girdi eksik; lütfen sarı hücreleri doldurun.",IF(MaliyetFaktoru&lt;1,"Maliyet faktörü 1 altında: FOB ve kur girişlerini kontrol edin.",IF(VergiYukOrani&gt;VergiYukEsik,"Vergi yükü oranı %"&amp;TEXT(VergiYukOrani,"0.0%")&amp;" eşiği aşıyor; vergi matrahı ve oranları gözden geçirin.",IF(MaliyetFaktoru&gt;MaliyetFaktorEsik,"Maliyet faktörü "&amp;TEXT(MaliyetFaktoru,"0.00")&amp;" eşiği aşıyor; yüksek kaldıraçlı ithalat.",IF(ABS(modulT5MutabakatFark)&gt;ToplamYurtIciMasraf*MutabakatEsikOran,"Yurt içi masraf dağıtımı ile masraf tablosu farklı; dağıtımı denetleyin.","Depo teslim maliyeti eşikler içinde; maliyet ürünlere dağıtıldı.")))))</f>
        <v/>
      </c>
    </row>
    <row r="14" ht="15" customHeight="1" s="68">
      <c r="A14" s="116" t="inlineStr">
        <is>
          <t>AKSİYONLAR</t>
        </is>
      </c>
    </row>
    <row r="15" ht="15" customHeight="1" s="68">
      <c r="A15" s="128">
        <f>IF(OR(KararSonuc="VERİ YOK",KararSonuc="DURDUR"),"Ürün ve masraf girişlerini tamamlayın; vergi matrahı ve kur değerlerini gözden geçirin",IF(VergiYukOrani&gt;VergiYukEsik,"Vergi yükü eşik üstünde; tedarikçi/rota değerlendirmesi yapın","Depo teslim maliyet hedefini sürdürün"))</f>
        <v/>
      </c>
    </row>
    <row r="16" ht="15" customHeight="1" s="68">
      <c r="A16" s="128">
        <f>IF(ABS(modulT5MutabakatFark)&gt;ToplamYurtIciMasraf*MutabakatEsikOran,"Masraf dağıtımı ile tablo farkı "&amp;TEXT(modulT5MutabakatFark,"#,##0")&amp;" ₺; dağıtımı denetleyin","Masraf mutabakatı tutarlı")</f>
        <v/>
      </c>
    </row>
    <row r="17" ht="15" customHeight="1" s="68">
      <c r="A17" s="128">
        <f>IF(AnomaliUrunAdedi&gt;0,"Uç birim maliyetli ürünlerin FOB ve oran girişlerini inceleyin","Birim maliyet dağılımı tutarlı")</f>
        <v/>
      </c>
    </row>
    <row r="18" ht="15" customHeight="1" s="68">
      <c r="A18" s="128">
        <f>IF(modulI7NakitAcik&gt;0,"Peşin ödenen ithal vergileri nakit açığı "&amp;TEXT(modulI7NakitAcik,"#,##0")&amp;" ₺; kısa vadeli nakit planı yapın","İthal vergileri nakit yükü karşılanıyor")</f>
        <v/>
      </c>
    </row>
    <row r="21" ht="19.5" customHeight="1" s="68">
      <c r="A21" s="105" t="inlineStr">
        <is>
          <t>Karar, gerekçe ve aksiyonlar makine tarafından üretilir; yalnızca sarı hücreler değiştirilebilir.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1:AN21"/>
    <mergeCell ref="A17:C17"/>
    <mergeCell ref="A18:C18"/>
    <mergeCell ref="A15:C15"/>
    <mergeCell ref="A16:C16"/>
    <mergeCell ref="A1:AD1"/>
  </mergeCells>
  <conditionalFormatting sqref="B11">
    <cfRule type="cellIs" rank="0" priority="2" equalAverage="0" operator="equal" aboveAverage="0" dxfId="6" text="" percent="0" bottom="0">
      <formula>"UYGUN"</formula>
    </cfRule>
    <cfRule type="cellIs" rank="0" priority="3" equalAverage="0" operator="equal" aboveAverage="0" dxfId="8" text="" percent="0" bottom="0">
      <formula>"İNCELE"</formula>
    </cfRule>
    <cfRule type="cellIs" rank="0" priority="4" equalAverage="0" operator="equal" aboveAverage="0" dxfId="7" text="" percent="0" bottom="0">
      <formula>"DURDUR"</formula>
    </cfRule>
    <cfRule type="cellIs" rank="0" priority="5" equalAverage="0" operator="equal" aboveAverage="0" dxfId="9" text="" percent="0" bottom="0">
      <formula>"VERİ YOK"</formula>
    </cfRule>
  </conditionalFormatting>
  <conditionalFormatting sqref="B8">
    <cfRule type="cellIs" rank="0" priority="6" equalAverage="0" operator="greaterThan" aboveAverage="0" dxfId="7" text="" percent="0" bottom="0">
      <formula>VergiYukEsik</formula>
    </cfRule>
    <cfRule type="cellIs" rank="0" priority="7" equalAverage="0" operator="lessThanOrEqual" aboveAverage="0" dxfId="6" text="" percent="0" bottom="0">
      <formula>VergiYukEsik</formula>
    </cfRule>
  </conditionalFormatting>
  <conditionalFormatting sqref="B7">
    <cfRule type="cellIs" rank="0" priority="8" equalAverage="0" operator="greaterThan" aboveAverage="0" dxfId="7" text="" percent="0" bottom="0">
      <formula>MaliyetFaktorEsik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4" min="1" max="1"/>
    <col width="20" customWidth="1" style="94" min="2" max="4"/>
  </cols>
  <sheetData>
    <row r="1" ht="25.5" customHeight="1" s="68">
      <c r="A1" s="106" t="inlineStr">
        <is>
          <t>SENARYO DUYARLILIK — İTHALAT DEPO TESLİM (RAFA GELEN) NET BİRİM MALİYET</t>
        </is>
      </c>
    </row>
    <row r="3" ht="15" customHeight="1" s="68">
      <c r="A3" s="107" t="inlineStr">
        <is>
          <t>Senaryo ve Duyarlılık Analizi</t>
        </is>
      </c>
    </row>
    <row r="6" ht="30" customHeight="1" s="68">
      <c r="A6" s="109" t="inlineStr">
        <is>
          <t>Değişken</t>
        </is>
      </c>
      <c r="B6" s="109" t="inlineStr">
        <is>
          <t>Kötümser</t>
        </is>
      </c>
      <c r="C6" s="109" t="inlineStr">
        <is>
          <t>Baz</t>
        </is>
      </c>
      <c r="D6" s="109" t="inlineStr">
        <is>
          <t>İyimser</t>
        </is>
      </c>
    </row>
    <row r="7" ht="15" customHeight="1" s="68">
      <c r="A7" s="117" t="inlineStr">
        <is>
          <t>Depo Teslim Maliyeti (₺)</t>
        </is>
      </c>
      <c r="B7" s="119">
        <f>IFERROR(ToplamDepoTeslimMaliyeti*(1+SenaryoKotumserKat),0)</f>
        <v/>
      </c>
      <c r="C7" s="119">
        <f>ToplamDepoTeslimMaliyeti</f>
        <v/>
      </c>
      <c r="D7" s="119">
        <f>IFERROR(ToplamDepoTeslimMaliyeti*(1-SenaryoIyimserKat),0)</f>
        <v/>
      </c>
    </row>
    <row r="8" ht="15" customHeight="1" s="68">
      <c r="A8" s="117" t="inlineStr">
        <is>
          <t>Vergi Yükü Oranı (Kötümser Senaryo)</t>
        </is>
      </c>
      <c r="B8" s="121">
        <f>IFERROR(VergiYukOrani*(1+SenaryoKotumserKat),0)</f>
        <v/>
      </c>
      <c r="C8" s="121">
        <f>VergiYukOrani</f>
        <v/>
      </c>
      <c r="D8" s="121">
        <f>IFERROR(VergiYukOrani*(1-SenaryoIyimserKat),0)</f>
        <v/>
      </c>
    </row>
    <row r="9" ht="15" customHeight="1" s="68">
      <c r="A9" s="117" t="inlineStr">
        <is>
          <t>Maliyet Faktörü (Kötümser Senaryo)</t>
        </is>
      </c>
      <c r="B9" s="120">
        <f>IFERROR(MaliyetFaktoru*(1+SenaryoKotumserKat),0)</f>
        <v/>
      </c>
      <c r="C9" s="120">
        <f>MaliyetFaktoru</f>
        <v/>
      </c>
      <c r="D9" s="120">
        <f>IFERROR(MaliyetFaktoru*(1-SenaryoIyimserKat),0)</f>
        <v/>
      </c>
    </row>
    <row r="10" ht="15" customHeight="1" s="68">
      <c r="A10" s="117" t="inlineStr">
        <is>
          <t>Nakit Açığı (Kötümser Senaryo)</t>
        </is>
      </c>
      <c r="B10" s="119">
        <f>IFERROR(MAX(0,ToplamVergi*(1+SenaryoKotumserKat)-PesinOdemeTutari),0)</f>
        <v/>
      </c>
      <c r="C10" s="119">
        <f>IFERROR(MAX(0,ToplamVergi-PesinOdemeTutari),0)</f>
        <v/>
      </c>
      <c r="D10" s="119">
        <f>IFERROR(MAX(0,ToplamVergi*(1-SenaryoIyimserKat)-PesinOdemeTutari),0)</f>
        <v/>
      </c>
    </row>
    <row r="11" ht="15" customHeight="1" s="68">
      <c r="A11" s="117" t="inlineStr">
        <is>
          <t>Karar</t>
        </is>
      </c>
      <c r="B11" s="123">
        <f>IF(VeriKaliteSkoru=0,"VERİ YOK",IF(B8&gt;VergiYukEsik,"DURDUR",IF(OR(B10&gt;0,B9&gt;MaliyetFaktorEsik),"İNCELE","UYGUN")))</f>
        <v/>
      </c>
      <c r="C11" s="123">
        <f>IF(VeriKaliteSkoru=0,"VERİ YOK",IF(C8&gt;VergiYukEsik,"DURDUR",IF(OR(C10&gt;0,C9&gt;MaliyetFaktorEsik),"İNCELE","UYGUN")))</f>
        <v/>
      </c>
      <c r="D11" s="123">
        <f>IF(VeriKaliteSkoru=0,"VERİ YOK",IF(D8&gt;VergiYukEsik,"DURDUR",IF(OR(D10&gt;0,D9&gt;MaliyetFaktorEsik),"İNCELE","UYGUN")))</f>
        <v/>
      </c>
    </row>
    <row r="13" ht="15" customHeight="1" s="68">
      <c r="A13" s="116" t="inlineStr">
        <is>
          <t>Tornado Duyarlılık</t>
        </is>
      </c>
    </row>
    <row r="14" ht="15" customHeight="1" s="68">
      <c r="A14" s="124" t="inlineStr">
        <is>
          <t>Kur Değişimi</t>
        </is>
      </c>
      <c r="B14" s="141">
        <f>IFERROR(OrtalamaKur*(1-DuyarliDegisim),0)</f>
        <v/>
      </c>
      <c r="C14" s="141">
        <f>OrtalamaKur</f>
        <v/>
      </c>
      <c r="D14" s="141">
        <f>IFERROR(OrtalamaKur*(1+DuyarliDegisim),0)</f>
        <v/>
      </c>
    </row>
    <row r="15" ht="15" customHeight="1" s="68">
      <c r="A15" s="124" t="inlineStr">
        <is>
          <t>Maliyet Etkisi (₺)</t>
        </is>
      </c>
      <c r="B15" s="139">
        <f>IFERROR(MAX(0,ToplamFOB*(1+DuyarliDegisim)*MaliyetFaktoru-ToplamDepoTeslimMaliyeti),0)</f>
        <v/>
      </c>
      <c r="C15" s="139">
        <f>IFERROR(MAX(0,ToplamFOB*MaliyetFaktoru-ToplamDepoTeslimMaliyeti),0)</f>
        <v/>
      </c>
      <c r="D15" s="139">
        <f>IFERROR(MAX(0,ToplamFOB*(1-DuyarliDegisim)*MaliyetFaktoru-ToplamDepoTeslimMaliyeti),0)</f>
        <v/>
      </c>
    </row>
    <row r="17" ht="15" customHeight="1" s="68">
      <c r="A17" s="124" t="inlineStr">
        <is>
          <t>Karar değişimi duyarlılığı</t>
        </is>
      </c>
      <c r="B17" s="124">
        <f>IF(VeriKaliteSkoru=0,"VERİ YOK",IF(MAX(B10,C10,D10)&gt;0,"NAKİT AÇIĞI VAR","NAKİT DENGELİ"))</f>
        <v/>
      </c>
    </row>
    <row r="19" ht="19.5" customHeight="1" s="68">
      <c r="A19" s="105" t="inlineStr">
        <is>
          <t>Senaryo çarpanları AYARLAR'dan beslenir; kötümser/baz/iyimser aralıkta karar tek ekranda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9:AN19"/>
    <mergeCell ref="A1:AD1"/>
  </mergeCells>
  <conditionalFormatting sqref="B7:D10">
    <cfRule type="cellIs" rank="0" priority="2" equalAverage="0" operator="greaterThan" aboveAverage="0" dxfId="6" text="" percent="0" bottom="0">
      <formula>0</formula>
    </cfRule>
  </conditionalFormatting>
  <conditionalFormatting sqref="B10:D10">
    <cfRule type="cellIs" rank="0" priority="3" equalAverage="0" operator="greater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AD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94" min="1" max="1"/>
    <col width="26" customWidth="1" style="94" min="2" max="2"/>
    <col width="30" customWidth="1" style="94" min="3" max="3"/>
  </cols>
  <sheetData>
    <row r="1" ht="25.5" customHeight="1" s="68">
      <c r="A1" s="106" t="inlineStr">
        <is>
          <t>RAPOR — İTHALAT DEPO TESLİM (RAFA GELEN) NET BİRİM MALİYET</t>
        </is>
      </c>
    </row>
    <row r="2" ht="24.75" customHeight="1" s="68">
      <c r="A2" s="142" t="inlineStr">
        <is>
          <t>İTHALAT DEPO TESLİM (RAFA GELEN) NET BİRİM MALİYET</t>
        </is>
      </c>
    </row>
    <row r="3" ht="15" customHeight="1" s="68">
      <c r="A3" s="107" t="inlineStr">
        <is>
          <t>Yönetici Raporu</t>
        </is>
      </c>
    </row>
    <row r="4" ht="15" customHeight="1" s="68">
      <c r="A4" s="124" t="inlineStr">
        <is>
          <t xml:space="preserve">Firma: </t>
        </is>
      </c>
      <c r="B4" s="123">
        <f>firmaUnvani</f>
        <v/>
      </c>
    </row>
    <row r="5" ht="15" customHeight="1" s="68">
      <c r="A5" s="124" t="inlineStr">
        <is>
          <t xml:space="preserve">Rapor Tarihi: </t>
        </is>
      </c>
      <c r="B5" s="143">
        <f>raporTarihi</f>
        <v/>
      </c>
    </row>
    <row r="6" ht="18.75" customHeight="1" s="68">
      <c r="A6" s="144" t="inlineStr">
        <is>
          <t xml:space="preserve">KARAR: </t>
        </is>
      </c>
      <c r="B6" s="145">
        <f>KararSonuc</f>
        <v/>
      </c>
    </row>
    <row r="8" ht="15" customHeight="1" s="68">
      <c r="A8" s="116" t="inlineStr">
        <is>
          <t>ÖZET TABLOSU</t>
        </is>
      </c>
    </row>
    <row r="9" ht="15" customHeight="1" s="68">
      <c r="A9" s="117" t="inlineStr">
        <is>
          <t>Toplam Depo Teslim Maliyeti (₺)</t>
        </is>
      </c>
      <c r="B9" s="119">
        <f>ToplamDepoTeslimMaliyeti</f>
        <v/>
      </c>
    </row>
    <row r="10" ht="15" customHeight="1" s="68">
      <c r="A10" s="117" t="inlineStr">
        <is>
          <t>Maliyet Faktörü (Ağırlıklı)</t>
        </is>
      </c>
      <c r="B10" s="120">
        <f>MaliyetFaktoru</f>
        <v/>
      </c>
    </row>
    <row r="11" ht="15" customHeight="1" s="68">
      <c r="A11" s="117" t="inlineStr">
        <is>
          <t>Vergi Yükü Oranı</t>
        </is>
      </c>
      <c r="B11" s="121">
        <f>VergiYukOrani</f>
        <v/>
      </c>
    </row>
    <row r="12" ht="15" customHeight="1" s="68">
      <c r="A12" s="117" t="inlineStr">
        <is>
          <t>Toplam FOB (₺)</t>
        </is>
      </c>
      <c r="B12" s="119">
        <f>ToplamFOB</f>
        <v/>
      </c>
    </row>
    <row r="13" ht="15" customHeight="1" s="68">
      <c r="A13" s="117" t="inlineStr">
        <is>
          <t>Toplam Vergi (₺)</t>
        </is>
      </c>
      <c r="B13" s="119">
        <f>ToplamVergi</f>
        <v/>
      </c>
    </row>
    <row r="14" ht="15" customHeight="1" s="68">
      <c r="A14" s="117" t="inlineStr">
        <is>
          <t>Yurt İçi Masraflar (₺)</t>
        </is>
      </c>
      <c r="B14" s="119">
        <f>ToplamYurtIciMasraf</f>
        <v/>
      </c>
    </row>
    <row r="15" ht="15" customHeight="1" s="68">
      <c r="A15" s="117" t="inlineStr">
        <is>
          <t>Veri Kalite Skoru</t>
        </is>
      </c>
      <c r="B15" s="118">
        <f>VeriKaliteSkoru</f>
        <v/>
      </c>
    </row>
    <row r="16" ht="15" customHeight="1" s="68">
      <c r="A16" s="117" t="inlineStr">
        <is>
          <t>Toplam Adet</t>
        </is>
      </c>
      <c r="B16" s="118">
        <f>ToplamAdet</f>
        <v/>
      </c>
    </row>
    <row r="18" ht="15" customHeight="1" s="68">
      <c r="A18" s="146">
        <f>KararGerekce</f>
        <v/>
      </c>
    </row>
    <row r="19" ht="15" customHeight="1" s="68"/>
    <row r="20" ht="15" customHeight="1" s="68">
      <c r="A20" s="116" t="inlineStr">
        <is>
          <t>VARSAYIMLAR</t>
        </is>
      </c>
    </row>
    <row r="21" ht="15" customHeight="1" s="68">
      <c r="A21" s="108" t="inlineStr">
        <is>
          <t>Gümrük vergisi, ÖTV ve KDV oranları AYARLAR'dan okunur; GTİP ve mevzuat değişikliğinde güncellenmelidir.</t>
        </is>
      </c>
    </row>
    <row r="22" ht="15" customHeight="1" s="68">
      <c r="A22" s="108" t="inlineStr">
        <is>
          <t>Döviz kurları AYARLAR'dan okunur; kullanıcı güncel kuru girmelidir.</t>
        </is>
      </c>
    </row>
    <row r="23" ht="15" customHeight="1" s="68">
      <c r="A23" s="108" t="inlineStr">
        <is>
          <t>Yurt içi masraflar FOB payıyla ürünlere dağıtılır; dağıtım anahtarı değiştirilebilir.</t>
        </is>
      </c>
    </row>
    <row r="25" ht="15" customHeight="1" s="68">
      <c r="A25" s="116" t="inlineStr">
        <is>
          <t>UYARILAR</t>
        </is>
      </c>
    </row>
    <row r="26" ht="15" customHeight="1" s="68">
      <c r="A26" s="99" t="inlineStr">
        <is>
          <t>Vergi yükü eşiği aşılırsa depo teslim maliyeti rekabetçi olmayabilir.</t>
        </is>
      </c>
    </row>
    <row r="27" ht="15" customHeight="1" s="68">
      <c r="A27" s="99" t="inlineStr">
        <is>
          <t>Kur yüksekliği maliyet faktörünü artırır; tedarikçi/rota değerlendirmesi gerekebilir.</t>
        </is>
      </c>
    </row>
    <row r="28" ht="15" customHeight="1" s="68">
      <c r="A28" s="99" t="inlineStr">
        <is>
          <t>Masraf mutabakat farkı varsa dağıtım anahtarı veya masraf girişleri yanlış olabilir.</t>
        </is>
      </c>
    </row>
    <row r="30" ht="15" customHeight="1" s="68">
      <c r="A30" s="116" t="inlineStr">
        <is>
          <t>ÖNERİLEN AKSİYONLAR</t>
        </is>
      </c>
    </row>
    <row r="31" ht="15" customHeight="1" s="68">
      <c r="A31" s="128" t="inlineStr">
        <is>
          <t>Vergi yükü eşik üstünde ise tedarikçi, teslim şekli ve gümrük rejimini değerlendirin.</t>
        </is>
      </c>
    </row>
    <row r="32" ht="15" customHeight="1" s="68">
      <c r="A32" s="128" t="inlineStr">
        <is>
          <t>Nakit açığı varsa ithal vergilerinin ödeme zamanlamasını ve finansmanını planlayın.</t>
        </is>
      </c>
    </row>
    <row r="33" ht="15" customHeight="1" s="68">
      <c r="A33" s="128" t="inlineStr">
        <is>
          <t>Veri kalite skoru düşükse ürün ve masraf girişlerini tamamlayıp raporu yeniden oluşturun.</t>
        </is>
      </c>
    </row>
    <row r="36" ht="15" customHeight="1" s="68">
      <c r="A36" s="101" t="inlineStr">
        <is>
          <t>Bu rapor ExcelArşiv aracıyla üretilmiştir; karar destek amaçlıdır, danışmanlık yerine geçmez.</t>
        </is>
      </c>
    </row>
    <row r="37" ht="15" customHeight="1" s="68">
      <c r="A37" s="101" t="inlineStr">
        <is>
          <t>Verileriniz cihazınızdan çıkmaz; dosya tamamen çevrimdışı çalışır.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28:C28"/>
    <mergeCell ref="A2:F2"/>
    <mergeCell ref="A33:C33"/>
    <mergeCell ref="A18:C19"/>
    <mergeCell ref="A36:F36"/>
    <mergeCell ref="A23:C23"/>
    <mergeCell ref="A32:C32"/>
    <mergeCell ref="A31:C31"/>
    <mergeCell ref="A37:F37"/>
    <mergeCell ref="A22:C22"/>
    <mergeCell ref="A27:C27"/>
    <mergeCell ref="A21:C21"/>
    <mergeCell ref="A26:C26"/>
    <mergeCell ref="A1:AD1"/>
  </mergeCells>
  <conditionalFormatting sqref="B6">
    <cfRule type="cellIs" rank="0" priority="2" equalAverage="0" operator="equal" aboveAverage="0" dxfId="6" text="" percent="0" bottom="0">
      <formula>"UYGUN"</formula>
    </cfRule>
    <cfRule type="cellIs" rank="0" priority="3" equalAverage="0" operator="equal" aboveAverage="0" dxfId="8" text="" percent="0" bottom="0">
      <formula>"İNCELE"</formula>
    </cfRule>
    <cfRule type="cellIs" rank="0" priority="4" equalAverage="0" operator="equal" aboveAverage="0" dxfId="7" text="" percent="0" bottom="0">
      <formula>"DURDUR"</formula>
    </cfRule>
  </conditionalFormatting>
  <conditionalFormatting sqref="B11">
    <cfRule type="cellIs" rank="0" priority="5" equalAverage="0" operator="greaterThan" aboveAverage="0" dxfId="7" text="" percent="0" bottom="0">
      <formula>VergiYukEsik</formula>
    </cfRule>
    <cfRule type="cellIs" rank="0" priority="6" equalAverage="0" operator="lessThanOrEqual" aboveAverage="0" dxfId="6" text="" percent="0" bottom="0">
      <formula>VergiYukEsik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&amp;LİTHALAT DEPO TESLİM (RAFA GELEN) NET BİRİM MALİYET&amp;CExcelArşiv&amp;RSayfa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94" min="1" max="1"/>
    <col width="12" customWidth="1" style="94" min="2" max="3"/>
    <col width="16" customWidth="1" style="94" min="4" max="4"/>
    <col width="12" customWidth="1" style="94" min="5" max="6"/>
    <col width="16" customWidth="1" style="94" min="7" max="10"/>
  </cols>
  <sheetData>
    <row r="1" ht="25.5" customHeight="1" s="68">
      <c r="A1" s="106" t="inlineStr">
        <is>
          <t>ORNEK VERI — İTHALAT DEPO TESLİM (RAFA GELEN) NET BİRİM MALİYET</t>
        </is>
      </c>
    </row>
    <row r="3" ht="15" customHeight="1" s="68">
      <c r="A3" s="107" t="inlineStr">
        <is>
          <t>Örnek Veri (URUNLER)</t>
        </is>
      </c>
    </row>
    <row r="5" ht="30" customHeight="1" s="68">
      <c r="A5" s="109" t="inlineStr">
        <is>
          <t>Ürün Adı</t>
        </is>
      </c>
      <c r="B5" s="109" t="inlineStr">
        <is>
          <t>Birim</t>
        </is>
      </c>
      <c r="C5" s="109" t="inlineStr">
        <is>
          <t>Adet</t>
        </is>
      </c>
      <c r="D5" s="109" t="inlineStr">
        <is>
          <t>FOB Birim Fiyat (Döviz)</t>
        </is>
      </c>
      <c r="E5" s="109" t="inlineStr">
        <is>
          <t>Döviz Cinsi</t>
        </is>
      </c>
      <c r="F5" s="109" t="inlineStr">
        <is>
          <t>Kur (₺)</t>
        </is>
      </c>
      <c r="G5" s="109" t="inlineStr">
        <is>
          <t>Navlun/Sigorta Oranı</t>
        </is>
      </c>
      <c r="H5" s="109" t="inlineStr">
        <is>
          <t>Gümrük Vergisi Oranı</t>
        </is>
      </c>
      <c r="I5" s="109" t="inlineStr">
        <is>
          <t>ÖTV Oranı</t>
        </is>
      </c>
      <c r="J5" s="109" t="inlineStr">
        <is>
          <t>KDV Oranı</t>
        </is>
      </c>
    </row>
    <row r="6" ht="15" customHeight="1" s="68">
      <c r="A6" s="147" t="inlineStr">
        <is>
          <t>Hidrolik Pompa</t>
        </is>
      </c>
      <c r="B6" s="147" t="inlineStr">
        <is>
          <t>Adet</t>
        </is>
      </c>
      <c r="C6" s="125" t="n">
        <v>50</v>
      </c>
      <c r="D6" s="141" t="n">
        <v>120</v>
      </c>
      <c r="E6" s="147" t="inlineStr">
        <is>
          <t>USD</t>
        </is>
      </c>
      <c r="F6" s="141" t="n">
        <v>38.5</v>
      </c>
      <c r="G6" s="126" t="n">
        <v>0.05</v>
      </c>
      <c r="H6" s="126" t="n">
        <v>0.05</v>
      </c>
      <c r="I6" s="126" t="n">
        <v>0.1</v>
      </c>
      <c r="J6" s="126" t="n">
        <v>0.2</v>
      </c>
    </row>
    <row r="7" ht="15" customHeight="1" s="68">
      <c r="A7" s="147" t="inlineStr">
        <is>
          <t>Vana Seti</t>
        </is>
      </c>
      <c r="B7" s="147" t="inlineStr">
        <is>
          <t>Adet</t>
        </is>
      </c>
      <c r="C7" s="125" t="n">
        <v>200</v>
      </c>
      <c r="D7" s="141" t="n">
        <v>15</v>
      </c>
      <c r="E7" s="147" t="inlineStr">
        <is>
          <t>USD</t>
        </is>
      </c>
      <c r="F7" s="141" t="n">
        <v>38.5</v>
      </c>
      <c r="G7" s="126" t="n">
        <v>0.05</v>
      </c>
      <c r="H7" s="126" t="n">
        <v>0.05</v>
      </c>
      <c r="I7" s="126" t="n">
        <v>0.1</v>
      </c>
      <c r="J7" s="126" t="n">
        <v>0.2</v>
      </c>
    </row>
    <row r="8" ht="15" customHeight="1" s="68">
      <c r="A8" s="147" t="inlineStr">
        <is>
          <t>Boru Bağlantı Elemanı</t>
        </is>
      </c>
      <c r="B8" s="147" t="inlineStr">
        <is>
          <t>Kg</t>
        </is>
      </c>
      <c r="C8" s="125" t="n">
        <v>3000</v>
      </c>
      <c r="D8" s="141" t="n">
        <v>4</v>
      </c>
      <c r="E8" s="147" t="inlineStr">
        <is>
          <t>EUR</t>
        </is>
      </c>
      <c r="F8" s="141" t="n">
        <v>42</v>
      </c>
      <c r="G8" s="126" t="n">
        <v>0.05</v>
      </c>
      <c r="H8" s="126" t="n">
        <v>0.05</v>
      </c>
      <c r="I8" s="126" t="n">
        <v>0.1</v>
      </c>
      <c r="J8" s="126" t="n">
        <v>0.2</v>
      </c>
    </row>
    <row r="9" ht="15" customHeight="1" s="68">
      <c r="A9" s="147" t="inlineStr">
        <is>
          <t>Endüstriyel Motor</t>
        </is>
      </c>
      <c r="B9" s="147" t="inlineStr">
        <is>
          <t>Adet</t>
        </is>
      </c>
      <c r="C9" s="125" t="n">
        <v>25</v>
      </c>
      <c r="D9" s="141" t="n">
        <v>850</v>
      </c>
      <c r="E9" s="147" t="inlineStr">
        <is>
          <t>EUR</t>
        </is>
      </c>
      <c r="F9" s="141" t="n">
        <v>42</v>
      </c>
      <c r="G9" s="126" t="n">
        <v>0.05</v>
      </c>
      <c r="H9" s="126" t="n">
        <v>0.05</v>
      </c>
      <c r="I9" s="126" t="n">
        <v>0.1</v>
      </c>
      <c r="J9" s="126" t="n">
        <v>0.2</v>
      </c>
    </row>
    <row r="13" ht="15" customHeight="1" s="68">
      <c r="A13" s="107" t="inlineStr">
        <is>
          <t>Örnek Veri (MASRAFLAR)</t>
        </is>
      </c>
    </row>
    <row r="15" ht="30" customHeight="1" s="68">
      <c r="A15" s="109" t="inlineStr">
        <is>
          <t>Masraf Kalemi</t>
        </is>
      </c>
      <c r="B15" s="109" t="inlineStr">
        <is>
          <t>Tutar TL</t>
        </is>
      </c>
      <c r="C15" s="109" t="inlineStr">
        <is>
          <t>Açıklama</t>
        </is>
      </c>
    </row>
    <row r="16" ht="15" customHeight="1" s="68">
      <c r="A16" s="147" t="inlineStr">
        <is>
          <t>Liman ve Antrepo</t>
        </is>
      </c>
      <c r="B16" s="139" t="n">
        <v>25000</v>
      </c>
      <c r="C16" s="147" t="inlineStr">
        <is>
          <t>Sevkiyat başı</t>
        </is>
      </c>
    </row>
    <row r="17" ht="15" customHeight="1" s="68">
      <c r="A17" s="147" t="inlineStr">
        <is>
          <t>Gümrük Müşavirliği</t>
        </is>
      </c>
      <c r="B17" s="139" t="n">
        <v>8000</v>
      </c>
      <c r="C17" s="147" t="inlineStr">
        <is>
          <t>Beyan ve refakat</t>
        </is>
      </c>
    </row>
    <row r="18" ht="15" customHeight="1" s="68">
      <c r="A18" s="147" t="inlineStr">
        <is>
          <t>Yurt İçi Nakliye</t>
        </is>
      </c>
      <c r="B18" s="139" t="n">
        <v>15000</v>
      </c>
      <c r="C18" s="147" t="inlineStr">
        <is>
          <t>Liman → depo</t>
        </is>
      </c>
    </row>
    <row r="19" ht="15" customHeight="1" s="68">
      <c r="A19" s="147" t="inlineStr">
        <is>
          <t>Belgelendirme</t>
        </is>
      </c>
      <c r="B19" s="139" t="n">
        <v>3000</v>
      </c>
      <c r="C19" s="147" t="inlineStr">
        <is>
          <t>Menşe ve uygunluk</t>
        </is>
      </c>
    </row>
    <row r="21" ht="19.5" customHeight="1" s="68">
      <c r="A21" s="105" t="inlineStr">
        <is>
          <t>Örnek veri yalnızca gösterim içindir; üretim dosyasına kopyalanabilir.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94" min="1" max="1"/>
    <col width="28" customWidth="1" style="94" min="2" max="2"/>
    <col width="16" customWidth="1" style="94" min="3" max="3"/>
    <col width="28" customWidth="1" style="94" min="4" max="4"/>
  </cols>
  <sheetData>
    <row r="1" ht="15" customHeight="1" s="68">
      <c r="A1" s="94" t="inlineStr">
        <is>
          <t>ANAHTAR — IthalatDepoTeslimNetBirimMaliyet</t>
        </is>
      </c>
    </row>
    <row r="3" ht="15" customHeight="1" s="68">
      <c r="A3" s="94" t="inlineStr">
        <is>
          <t>ham_anahtar</t>
        </is>
      </c>
      <c r="B3" s="94" t="inlineStr">
        <is>
          <t>norm_anahtar</t>
        </is>
      </c>
      <c r="C3" s="94" t="inlineStr">
        <is>
          <t>duplike_sayisi</t>
        </is>
      </c>
      <c r="D3" s="94" t="inlineStr">
        <is>
          <t>not</t>
        </is>
      </c>
    </row>
    <row r="4" ht="15" customHeight="1" s="68">
      <c r="A4" s="94" t="inlineStr">
        <is>
          <t>ORNEK-001</t>
        </is>
      </c>
      <c r="B4" s="94">
        <f>UPPER(SUBSTITUTE(A4," ",""))</f>
        <v/>
      </c>
      <c r="C4" s="94">
        <f>COUNTIF($A$4:$A$1000,A4)</f>
        <v/>
      </c>
      <c r="D4" s="94" t="inlineStr">
        <is>
          <t>normalize + duplike izi</t>
        </is>
      </c>
    </row>
    <row r="5" ht="15" customHeight="1" s="68">
      <c r="A5" s="94" t="inlineStr">
        <is>
          <t>ORNEK-002</t>
        </is>
      </c>
      <c r="B5" s="94">
        <f>UPPER(SUBSTITUTE(A5," ",""))</f>
        <v/>
      </c>
      <c r="C5" s="94">
        <f>COUNTIF($A$4:$A$1000,A5)</f>
        <v/>
      </c>
      <c r="D5" s="94" t="inlineStr">
        <is>
          <t>kisa/uzun numara senaryosu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4" min="1" max="1"/>
    <col width="28" customWidth="1" style="94" min="2" max="2"/>
    <col width="12" customWidth="1" style="94" min="3" max="4"/>
  </cols>
  <sheetData>
    <row r="1" ht="15" customHeight="1" s="68">
      <c r="A1" s="94" t="inlineStr">
        <is>
          <t>ESLESTIRME — IthalatDepoTeslimNetBirimMaliyet</t>
        </is>
      </c>
    </row>
    <row r="3" ht="15" customHeight="1" s="68">
      <c r="A3" s="94" t="inlineStr">
        <is>
          <t>kova</t>
        </is>
      </c>
      <c r="B3" s="94" t="inlineStr">
        <is>
          <t>aciklama</t>
        </is>
      </c>
      <c r="C3" s="94" t="inlineStr">
        <is>
          <t>tutar</t>
        </is>
      </c>
      <c r="D3" s="94" t="inlineStr">
        <is>
          <t>tolerans</t>
        </is>
      </c>
    </row>
    <row r="4" ht="15" customHeight="1" s="68">
      <c r="A4" s="94" t="inlineStr">
        <is>
          <t>ESLESEN</t>
        </is>
      </c>
      <c r="B4" s="94" t="inlineStr">
        <is>
          <t>Tam eşleşen kayıtlar</t>
        </is>
      </c>
      <c r="C4" s="148" t="n">
        <v>0</v>
      </c>
      <c r="D4" s="148" t="n">
        <v>0</v>
      </c>
    </row>
    <row r="5" ht="15" customHeight="1" s="68">
      <c r="A5" s="94" t="inlineStr">
        <is>
          <t>TOLERANS</t>
        </is>
      </c>
      <c r="B5" s="94" t="inlineStr">
        <is>
          <t>Tolerans içi fark</t>
        </is>
      </c>
      <c r="C5" s="148" t="n">
        <v>0</v>
      </c>
      <c r="D5" s="148" t="n">
        <v>0.01</v>
      </c>
    </row>
    <row r="6" ht="15" customHeight="1" s="68">
      <c r="A6" s="94" t="inlineStr">
        <is>
          <t>TUTARSIZ</t>
        </is>
      </c>
      <c r="B6" s="94" t="inlineStr">
        <is>
          <t>Tutar uyuşmazlığı</t>
        </is>
      </c>
      <c r="C6" s="148" t="n">
        <v>0</v>
      </c>
      <c r="D6" s="148" t="n">
        <v>0</v>
      </c>
    </row>
    <row r="7" ht="15" customHeight="1" s="68">
      <c r="A7" s="94" t="inlineStr">
        <is>
          <t>ESLESMEYEN</t>
        </is>
      </c>
      <c r="B7" s="94" t="inlineStr">
        <is>
          <t>Eşleşmeyen kayıtlar</t>
        </is>
      </c>
      <c r="C7" s="148" t="n">
        <v>0</v>
      </c>
      <c r="D7" s="148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4" min="1" max="1"/>
    <col width="42" customWidth="1" style="94" min="2" max="2"/>
    <col width="18" customWidth="1" style="94" min="3" max="3"/>
  </cols>
  <sheetData>
    <row r="1" ht="15" customHeight="1" s="68">
      <c r="A1" s="94" t="inlineStr">
        <is>
          <t>KOK_NEDEN — IthalatDepoTeslimNetBirimMaliyet</t>
        </is>
      </c>
    </row>
    <row r="3" ht="15" customHeight="1" s="68">
      <c r="A3" s="94" t="inlineStr">
        <is>
          <t>kova</t>
        </is>
      </c>
      <c r="B3" s="94" t="inlineStr">
        <is>
          <t>kok_neden</t>
        </is>
      </c>
      <c r="C3" s="94" t="inlineStr">
        <is>
          <t>aksiyon</t>
        </is>
      </c>
    </row>
    <row r="4" ht="15" customHeight="1" s="68">
      <c r="A4" s="94" t="inlineStr">
        <is>
          <t>TANIMSIZ</t>
        </is>
      </c>
      <c r="B4" s="94" t="inlineStr">
        <is>
          <t>Sınıflandırılamayan kayıt — elle incele</t>
        </is>
      </c>
      <c r="C4" s="94" t="inlineStr">
        <is>
          <t>Manuel inceleme</t>
        </is>
      </c>
    </row>
    <row r="5" ht="15" customHeight="1" s="68">
      <c r="A5" s="94" t="inlineStr">
        <is>
          <t>ESLESMEYEN</t>
        </is>
      </c>
      <c r="B5" s="94" t="inlineStr">
        <is>
          <t>Karşı tarafta yok</t>
        </is>
      </c>
      <c r="C5" s="94" t="inlineStr">
        <is>
          <t>Veri tamamlama</t>
        </is>
      </c>
    </row>
    <row r="6" ht="15" customHeight="1" s="68">
      <c r="A6" s="94" t="inlineStr">
        <is>
          <t>TUTARSIZ</t>
        </is>
      </c>
      <c r="B6" s="94" t="inlineStr">
        <is>
          <t>Tutar farkı</t>
        </is>
      </c>
      <c r="C6" s="94" t="inlineStr">
        <is>
          <t>Mutabakat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94" min="1" max="1"/>
    <col width="20" customWidth="1" style="94" min="2" max="2"/>
    <col width="50" customWidth="1" style="94" min="3" max="3"/>
  </cols>
  <sheetData>
    <row r="1" ht="25.5" customHeight="1" s="68">
      <c r="A1" s="106" t="inlineStr">
        <is>
          <t>DEGISIKLIK KAYDI — İTHALAT DEPO TESLİM (RAFA GELEN) NET BİRİM MALİYET</t>
        </is>
      </c>
    </row>
    <row r="3" ht="15" customHeight="1" s="68">
      <c r="A3" s="107" t="inlineStr">
        <is>
          <t>Değişiklik Kaydı</t>
        </is>
      </c>
    </row>
    <row r="5" ht="30" customHeight="1" s="68">
      <c r="A5" s="109" t="inlineStr">
        <is>
          <t>Sürüm</t>
        </is>
      </c>
      <c r="B5" s="109" t="inlineStr">
        <is>
          <t>Tarih</t>
        </is>
      </c>
      <c r="C5" s="109" t="inlineStr">
        <is>
          <t>Açıklama</t>
        </is>
      </c>
    </row>
    <row r="6" ht="27.75" customHeight="1" s="68">
      <c r="A6" s="147" t="inlineStr">
        <is>
          <t>1.0.0</t>
        </is>
      </c>
      <c r="B6" s="147" t="inlineStr">
        <is>
          <t>09.08.2026</t>
        </is>
      </c>
      <c r="C6" s="128" t="inlineStr">
        <is>
          <t>İlk sürüm: FOB→CIF→vergi zinciri, depo teslim net birim maliyet, karar motoru ve 16 analitik modül.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N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4" min="1" max="3"/>
  </cols>
  <sheetData>
    <row r="1" ht="25.5" customHeight="1" s="68">
      <c r="A1" s="106" t="inlineStr">
        <is>
          <t>LISTELER — İTHALAT DEPO TESLİM (RAFA GELEN) NET BİRİM MALİYET</t>
        </is>
      </c>
    </row>
    <row r="3" ht="15" customHeight="1" s="68">
      <c r="A3" s="107" t="inlineStr">
        <is>
          <t>Açılır Liste Kaynakları</t>
        </is>
      </c>
    </row>
    <row r="4" ht="15" customHeight="1" s="68">
      <c r="A4" s="117" t="inlineStr">
        <is>
          <t>Döviz Cinsleri</t>
        </is>
      </c>
      <c r="B4" s="117" t="inlineStr">
        <is>
          <t>Birimler</t>
        </is>
      </c>
    </row>
    <row r="6" ht="15" customHeight="1" s="68">
      <c r="A6" s="149" t="inlineStr">
        <is>
          <t>USD</t>
        </is>
      </c>
      <c r="B6" s="149" t="inlineStr">
        <is>
          <t>Adet</t>
        </is>
      </c>
    </row>
    <row r="7" ht="15" customHeight="1" s="68">
      <c r="A7" s="149" t="inlineStr">
        <is>
          <t>EUR</t>
        </is>
      </c>
      <c r="B7" s="149" t="inlineStr">
        <is>
          <t>Kg</t>
        </is>
      </c>
    </row>
    <row r="8" ht="15" customHeight="1" s="68">
      <c r="A8" s="149" t="inlineStr">
        <is>
          <t>GBP</t>
        </is>
      </c>
      <c r="B8" s="149" t="inlineStr">
        <is>
          <t>Ton</t>
        </is>
      </c>
    </row>
    <row r="9" ht="15" customHeight="1" s="68">
      <c r="B9" s="149" t="inlineStr">
        <is>
          <t>Palet</t>
        </is>
      </c>
    </row>
    <row r="10" ht="15" customHeight="1" s="68">
      <c r="B10" s="149" t="inlineStr">
        <is>
          <t>Metre</t>
        </is>
      </c>
    </row>
    <row r="13" ht="19.5" customHeight="1" s="68">
      <c r="A13" s="105" t="inlineStr">
        <is>
          <t>Listeler AYARLAR sayfasındaki ayarlarla birlikte doğrulama aralıklarını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3:AN1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N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4" min="1" max="1"/>
    <col width="26" customWidth="1" style="94" min="2" max="2"/>
    <col width="16" customWidth="1" style="94" min="3" max="3"/>
    <col width="10" customWidth="1" style="94" min="4" max="4"/>
    <col width="62" customWidth="1" style="94" min="5" max="5"/>
    <col width="28" customWidth="1" style="94" min="6" max="6"/>
    <col width="14" customWidth="1" style="94" min="7" max="8"/>
  </cols>
  <sheetData>
    <row r="1" ht="25.5" customHeight="1" s="68">
      <c r="A1" s="106" t="inlineStr">
        <is>
          <t>AYARLAR — İTHALAT DEPO TESLİM (RAFA GELEN) NET BİRİM MALİYET</t>
        </is>
      </c>
    </row>
    <row r="3" ht="15" customHeight="1" s="68">
      <c r="A3" s="107" t="inlineStr">
        <is>
          <t>Ayarlar ve Eşikler (Formüle Sabit Sayı Girilmez)</t>
        </is>
      </c>
    </row>
    <row r="4" ht="15" customHeight="1" s="68">
      <c r="A4" s="108" t="inlineStr">
        <is>
          <t>Tüm katsayı ve eşikler bu sayfadadır. Mevzuat değişikliklerinde AYARLAR'dan güncellenir; formüller değişmez. Kaynağı Varsayım işaretli değerler kullanıcı tarafından doğrulanmalıdır.</t>
        </is>
      </c>
    </row>
    <row r="5" ht="30" customHeight="1" s="68">
      <c r="A5" s="109" t="inlineStr">
        <is>
          <t>Grup</t>
        </is>
      </c>
      <c r="B5" s="109" t="inlineStr">
        <is>
          <t>Anahtar</t>
        </is>
      </c>
      <c r="C5" s="109" t="inlineStr">
        <is>
          <t>Değer</t>
        </is>
      </c>
      <c r="D5" s="109" t="inlineStr">
        <is>
          <t>Birim</t>
        </is>
      </c>
      <c r="E5" s="109" t="inlineStr">
        <is>
          <t>Açıklama</t>
        </is>
      </c>
      <c r="F5" s="109" t="inlineStr">
        <is>
          <t>kaynak</t>
        </is>
      </c>
      <c r="G5" s="109" t="inlineStr">
        <is>
          <t>yururluk_tarihi</t>
        </is>
      </c>
      <c r="H5" s="109" t="inlineStr">
        <is>
          <t>dogrulama_tarihi</t>
        </is>
      </c>
    </row>
    <row r="6" ht="15" customHeight="1" s="68">
      <c r="A6" s="150" t="inlineStr">
        <is>
          <t>Genel</t>
        </is>
      </c>
      <c r="B6" s="150" t="inlineStr">
        <is>
          <t>firmaUnvani</t>
        </is>
      </c>
      <c r="C6" s="151" t="inlineStr">
        <is>
          <t>Örnek Şirket A.Ş.</t>
        </is>
      </c>
      <c r="D6" s="150" t="inlineStr">
        <is>
          <t>metin</t>
        </is>
      </c>
      <c r="E6" s="152" t="inlineStr">
        <is>
          <t>Rapor başlığında görünen firma adı</t>
        </is>
      </c>
      <c r="F6" s="152" t="inlineStr">
        <is>
          <t>Kullanıcı</t>
        </is>
      </c>
      <c r="G6" s="153" t="inlineStr">
        <is>
          <t>09.08.2026</t>
        </is>
      </c>
      <c r="H6" s="153" t="inlineStr">
        <is>
          <t>09.08.2026</t>
        </is>
      </c>
    </row>
    <row r="7" ht="15" customHeight="1" s="68">
      <c r="A7" s="150" t="inlineStr">
        <is>
          <t>Genel</t>
        </is>
      </c>
      <c r="B7" s="150" t="inlineStr">
        <is>
          <t>raporTarihi</t>
        </is>
      </c>
      <c r="C7" s="154">
        <f>TODAY()</f>
        <v/>
      </c>
      <c r="D7" s="150" t="inlineStr">
        <is>
          <t>tarih</t>
        </is>
      </c>
      <c r="E7" s="152" t="inlineStr">
        <is>
          <t>Dosyadaki tek tarih kaynağı; tüm rapor tarihleri buradan okunur.</t>
        </is>
      </c>
      <c r="F7" s="152" t="inlineStr">
        <is>
          <t>Kullanıcı</t>
        </is>
      </c>
      <c r="G7" s="153" t="inlineStr">
        <is>
          <t>09.08.2026</t>
        </is>
      </c>
      <c r="H7" s="153" t="inlineStr">
        <is>
          <t>09.08.2026</t>
        </is>
      </c>
    </row>
    <row r="8" ht="24.75" customHeight="1" s="68">
      <c r="A8" s="150" t="inlineStr">
        <is>
          <t>Kur</t>
        </is>
      </c>
      <c r="B8" s="150" t="inlineStr">
        <is>
          <t>VarsayilanKur</t>
        </is>
      </c>
      <c r="C8" s="155" t="n">
        <v>38.5</v>
      </c>
      <c r="D8" s="150" t="inlineStr">
        <is>
          <t>₺/USD</t>
        </is>
      </c>
      <c r="E8" s="152" t="inlineStr">
        <is>
          <t>Döviz cinsi dolu ama kur boş bırakılırsa kullanılan varsayılan kur.</t>
        </is>
      </c>
      <c r="F8" s="152" t="inlineStr">
        <is>
          <t>TCMB gösterge kuru; kullanıcı doğrulamalı</t>
        </is>
      </c>
      <c r="G8" s="153" t="inlineStr">
        <is>
          <t>09.08.2026</t>
        </is>
      </c>
      <c r="H8" s="153" t="inlineStr">
        <is>
          <t>09.08.2026</t>
        </is>
      </c>
    </row>
    <row r="9" ht="24.75" customHeight="1" s="68">
      <c r="A9" s="150" t="inlineStr">
        <is>
          <t>Kur</t>
        </is>
      </c>
      <c r="B9" s="150" t="inlineStr">
        <is>
          <t>OncekiKur</t>
        </is>
      </c>
      <c r="C9" s="155" t="n">
        <v>35</v>
      </c>
      <c r="D9" s="150" t="inlineStr">
        <is>
          <t>₺/USD</t>
        </is>
      </c>
      <c r="E9" s="152" t="inlineStr">
        <is>
          <t>Önceki dönem kuru; kur dönem farkı analizinin tabanı.</t>
        </is>
      </c>
      <c r="F9" s="152" t="inlineStr">
        <is>
          <t>TCMB gösterge kuru; kullanıcı doğrulamalı</t>
        </is>
      </c>
      <c r="G9" s="153" t="inlineStr">
        <is>
          <t>09.08.2026</t>
        </is>
      </c>
      <c r="H9" s="153" t="inlineStr">
        <is>
          <t>09.08.2026</t>
        </is>
      </c>
    </row>
    <row r="10" ht="15" customHeight="1" s="68">
      <c r="A10" s="150" t="inlineStr">
        <is>
          <t>Vergi</t>
        </is>
      </c>
      <c r="B10" s="150" t="inlineStr">
        <is>
          <t>GumrukOranVarsayilan</t>
        </is>
      </c>
      <c r="C10" s="156" t="n">
        <v>0.05</v>
      </c>
      <c r="D10" s="150" t="inlineStr">
        <is>
          <t>oran</t>
        </is>
      </c>
      <c r="E10" s="152" t="inlineStr">
        <is>
          <t>Ürün satırında oran boşsa kullanılan varsayılan gümrük vergisi oranı.</t>
        </is>
      </c>
      <c r="F10" s="152" t="inlineStr">
        <is>
          <t>İthalat Rejimi Kararı; GTİP bazlı</t>
        </is>
      </c>
      <c r="G10" s="153" t="inlineStr">
        <is>
          <t>09.08.2026</t>
        </is>
      </c>
      <c r="H10" s="153" t="inlineStr">
        <is>
          <t>09.08.2026</t>
        </is>
      </c>
    </row>
    <row r="11" ht="24.75" customHeight="1" s="68">
      <c r="A11" s="150" t="inlineStr">
        <is>
          <t>Vergi</t>
        </is>
      </c>
      <c r="B11" s="150" t="inlineStr">
        <is>
          <t>OtvOranVarsayilan</t>
        </is>
      </c>
      <c r="C11" s="156" t="n">
        <v>0.1</v>
      </c>
      <c r="D11" s="150" t="inlineStr">
        <is>
          <t>oran</t>
        </is>
      </c>
      <c r="E11" s="152" t="inlineStr">
        <is>
          <t>Ürün satırında oran boşsa kullanılan varsayılan ÖTV oranı.</t>
        </is>
      </c>
      <c r="F11" s="152" t="inlineStr">
        <is>
          <t>4760 s. ÖTV Kanunu Liste; GTİP bazlı</t>
        </is>
      </c>
      <c r="G11" s="153" t="inlineStr">
        <is>
          <t>09.08.2026</t>
        </is>
      </c>
      <c r="H11" s="153" t="inlineStr">
        <is>
          <t>09.08.2026</t>
        </is>
      </c>
    </row>
    <row r="12" ht="15" customHeight="1" s="68">
      <c r="A12" s="150" t="inlineStr">
        <is>
          <t>Vergi</t>
        </is>
      </c>
      <c r="B12" s="150" t="inlineStr">
        <is>
          <t>KdvOranVarsayilan</t>
        </is>
      </c>
      <c r="C12" s="156" t="n">
        <v>0.2</v>
      </c>
      <c r="D12" s="150" t="inlineStr">
        <is>
          <t>oran</t>
        </is>
      </c>
      <c r="E12" s="152" t="inlineStr">
        <is>
          <t>Ürün satırında oran boşsa kullanılan varsayılan KDV oranı (genel oran).</t>
        </is>
      </c>
      <c r="F12" s="152" t="inlineStr">
        <is>
          <t>3065 s. KDV Kanunu md.21</t>
        </is>
      </c>
      <c r="G12" s="153" t="inlineStr">
        <is>
          <t>09.08.2026</t>
        </is>
      </c>
      <c r="H12" s="153" t="inlineStr">
        <is>
          <t>09.08.2026</t>
        </is>
      </c>
    </row>
    <row r="13" ht="24.75" customHeight="1" s="68">
      <c r="A13" s="150" t="inlineStr">
        <is>
          <t>Vergi</t>
        </is>
      </c>
      <c r="B13" s="150" t="inlineStr">
        <is>
          <t>NavlunSigortaOranVarsayilan</t>
        </is>
      </c>
      <c r="C13" s="156" t="n">
        <v>0.05</v>
      </c>
      <c r="D13" s="150" t="inlineStr">
        <is>
          <t>oran</t>
        </is>
      </c>
      <c r="E13" s="152" t="inlineStr">
        <is>
          <t>Ürün satırında oran boşsa kullanılan varsayılan navlun/sigorta oranı.</t>
        </is>
      </c>
      <c r="F13" s="152" t="inlineStr">
        <is>
          <t>İthalat Rejimi; götürü sigorta uygulaması</t>
        </is>
      </c>
      <c r="G13" s="153" t="inlineStr">
        <is>
          <t>09.08.2026</t>
        </is>
      </c>
      <c r="H13" s="153" t="inlineStr">
        <is>
          <t>09.08.2026</t>
        </is>
      </c>
    </row>
    <row r="14" ht="15" customHeight="1" s="68">
      <c r="A14" s="150" t="inlineStr">
        <is>
          <t>Genel</t>
        </is>
      </c>
      <c r="B14" s="150" t="inlineStr">
        <is>
          <t>BolumPaydaTaban</t>
        </is>
      </c>
      <c r="C14" s="156" t="n">
        <v>1e-07</v>
      </c>
      <c r="D14" s="150" t="inlineStr">
        <is>
          <t>katsayı</t>
        </is>
      </c>
      <c r="E14" s="152" t="inlineStr">
        <is>
          <t>Bölme işlemlerinde sıfır payda koruması için kullanılan taban değer.</t>
        </is>
      </c>
      <c r="F14" s="152" t="inlineStr">
        <is>
          <t>Varsayım</t>
        </is>
      </c>
      <c r="G14" s="153" t="inlineStr">
        <is>
          <t>09.08.2026</t>
        </is>
      </c>
      <c r="H14" s="153" t="inlineStr">
        <is>
          <t>09.08.2026</t>
        </is>
      </c>
    </row>
    <row r="15" ht="15" customHeight="1" s="68">
      <c r="A15" s="150" t="inlineStr">
        <is>
          <t>Risk</t>
        </is>
      </c>
      <c r="B15" s="150" t="inlineStr">
        <is>
          <t>VergiYukEsik</t>
        </is>
      </c>
      <c r="C15" s="156" t="n">
        <v>0.25</v>
      </c>
      <c r="D15" s="150" t="inlineStr">
        <is>
          <t>oran</t>
        </is>
      </c>
      <c r="E15" s="152" t="inlineStr">
        <is>
          <t>Toplam verginin CIF'e oranı uyarı eşiği.</t>
        </is>
      </c>
      <c r="F15" s="152" t="inlineStr">
        <is>
          <t>Varsayım</t>
        </is>
      </c>
      <c r="G15" s="153" t="inlineStr">
        <is>
          <t>09.08.2026</t>
        </is>
      </c>
      <c r="H15" s="153" t="inlineStr">
        <is>
          <t>09.08.2026</t>
        </is>
      </c>
    </row>
    <row r="16" ht="15" customHeight="1" s="68">
      <c r="A16" s="150" t="inlineStr">
        <is>
          <t>Risk</t>
        </is>
      </c>
      <c r="B16" s="150" t="inlineStr">
        <is>
          <t>MaliyetFaktorEsik</t>
        </is>
      </c>
      <c r="C16" s="155" t="n">
        <v>1.8</v>
      </c>
      <c r="D16" s="150" t="inlineStr">
        <is>
          <t>katsayı</t>
        </is>
      </c>
      <c r="E16" s="152" t="inlineStr">
        <is>
          <t>Depo teslim maliyetin FOB'a oranı yüksek kabul eşiği.</t>
        </is>
      </c>
      <c r="F16" s="152" t="inlineStr">
        <is>
          <t>Varsayım</t>
        </is>
      </c>
      <c r="G16" s="153" t="inlineStr">
        <is>
          <t>09.08.2026</t>
        </is>
      </c>
      <c r="H16" s="153" t="inlineStr">
        <is>
          <t>09.08.2026</t>
        </is>
      </c>
    </row>
    <row r="17" ht="15" customHeight="1" s="68">
      <c r="A17" s="150" t="inlineStr">
        <is>
          <t>Risk</t>
        </is>
      </c>
      <c r="B17" s="150" t="inlineStr">
        <is>
          <t>AnomaliZEsik</t>
        </is>
      </c>
      <c r="C17" s="155" t="n">
        <v>2</v>
      </c>
      <c r="D17" s="150" t="inlineStr">
        <is>
          <t>oran</t>
        </is>
      </c>
      <c r="E17" s="152" t="inlineStr">
        <is>
          <t>Birim maliyet anomali |Z| eşiği.</t>
        </is>
      </c>
      <c r="F17" s="152" t="inlineStr">
        <is>
          <t>Varsayım</t>
        </is>
      </c>
      <c r="G17" s="153" t="inlineStr">
        <is>
          <t>09.08.2026</t>
        </is>
      </c>
      <c r="H17" s="153" t="inlineStr">
        <is>
          <t>09.08.2026</t>
        </is>
      </c>
    </row>
    <row r="18" ht="15" customHeight="1" s="68">
      <c r="A18" s="150" t="inlineStr">
        <is>
          <t>Risk</t>
        </is>
      </c>
      <c r="B18" s="150" t="inlineStr">
        <is>
          <t>MutabakatEsikOran</t>
        </is>
      </c>
      <c r="C18" s="156" t="n">
        <v>0.05</v>
      </c>
      <c r="D18" s="150" t="inlineStr">
        <is>
          <t>oran</t>
        </is>
      </c>
      <c r="E18" s="152" t="inlineStr">
        <is>
          <t>Masraf mutabakat farkı kabul eşiği (masraf tablosuna oranla).</t>
        </is>
      </c>
      <c r="F18" s="152" t="inlineStr">
        <is>
          <t>Varsayım</t>
        </is>
      </c>
      <c r="G18" s="153" t="inlineStr">
        <is>
          <t>09.08.2026</t>
        </is>
      </c>
      <c r="H18" s="153" t="inlineStr">
        <is>
          <t>09.08.2026</t>
        </is>
      </c>
    </row>
    <row r="19" ht="15" customHeight="1" s="68">
      <c r="A19" s="150" t="inlineStr">
        <is>
          <t>Eşik</t>
        </is>
      </c>
      <c r="B19" s="150" t="inlineStr">
        <is>
          <t>VeriKaliteIyiEsik</t>
        </is>
      </c>
      <c r="C19" s="155" t="n">
        <v>90</v>
      </c>
      <c r="D19" s="150" t="inlineStr">
        <is>
          <t>puan</t>
        </is>
      </c>
      <c r="E19" s="152" t="inlineStr">
        <is>
          <t>Kalite skoru iyi eşiği.</t>
        </is>
      </c>
      <c r="F19" s="152" t="inlineStr">
        <is>
          <t>Varsayım</t>
        </is>
      </c>
      <c r="G19" s="153" t="inlineStr">
        <is>
          <t>09.08.2026</t>
        </is>
      </c>
      <c r="H19" s="153" t="inlineStr">
        <is>
          <t>09.08.2026</t>
        </is>
      </c>
    </row>
    <row r="20" ht="15" customHeight="1" s="68">
      <c r="A20" s="150" t="inlineStr">
        <is>
          <t>Eşik</t>
        </is>
      </c>
      <c r="B20" s="150" t="inlineStr">
        <is>
          <t>VeriKaliteOrtaEsik</t>
        </is>
      </c>
      <c r="C20" s="155" t="n">
        <v>70</v>
      </c>
      <c r="D20" s="150" t="inlineStr">
        <is>
          <t>puan</t>
        </is>
      </c>
      <c r="E20" s="152" t="inlineStr">
        <is>
          <t>Kalite skoru orta eşiği.</t>
        </is>
      </c>
      <c r="F20" s="152" t="inlineStr">
        <is>
          <t>Varsayım</t>
        </is>
      </c>
      <c r="G20" s="153" t="inlineStr">
        <is>
          <t>09.08.2026</t>
        </is>
      </c>
      <c r="H20" s="153" t="inlineStr">
        <is>
          <t>09.08.2026</t>
        </is>
      </c>
    </row>
    <row r="21" ht="15" customHeight="1" s="68">
      <c r="A21" s="150" t="inlineStr">
        <is>
          <t>Eşik</t>
        </is>
      </c>
      <c r="B21" s="150" t="inlineStr">
        <is>
          <t>VeriKaliteTaban</t>
        </is>
      </c>
      <c r="C21" s="155" t="n">
        <v>100</v>
      </c>
      <c r="D21" s="150" t="inlineStr">
        <is>
          <t>puan</t>
        </is>
      </c>
      <c r="E21" s="152" t="inlineStr">
        <is>
          <t>Veri kalite skoru başlangıç puanı.</t>
        </is>
      </c>
      <c r="F21" s="152" t="inlineStr">
        <is>
          <t>Varsayım</t>
        </is>
      </c>
      <c r="G21" s="153" t="inlineStr">
        <is>
          <t>09.08.2026</t>
        </is>
      </c>
      <c r="H21" s="153" t="inlineStr">
        <is>
          <t>09.08.2026</t>
        </is>
      </c>
    </row>
    <row r="22" ht="15" customHeight="1" s="68">
      <c r="A22" s="150" t="inlineStr">
        <is>
          <t>Eşik</t>
        </is>
      </c>
      <c r="B22" s="150" t="inlineStr">
        <is>
          <t>VeriKaliteFailCeza</t>
        </is>
      </c>
      <c r="C22" s="155" t="n">
        <v>20</v>
      </c>
      <c r="D22" s="150" t="inlineStr">
        <is>
          <t>puan</t>
        </is>
      </c>
      <c r="E22" s="152" t="inlineStr">
        <is>
          <t>Her FAIL için skor cezası.</t>
        </is>
      </c>
      <c r="F22" s="152" t="inlineStr">
        <is>
          <t>Varsayım</t>
        </is>
      </c>
      <c r="G22" s="153" t="inlineStr">
        <is>
          <t>09.08.2026</t>
        </is>
      </c>
      <c r="H22" s="153" t="inlineStr">
        <is>
          <t>09.08.2026</t>
        </is>
      </c>
    </row>
    <row r="23" ht="15" customHeight="1" s="68">
      <c r="A23" s="150" t="inlineStr">
        <is>
          <t>Eşik</t>
        </is>
      </c>
      <c r="B23" s="150" t="inlineStr">
        <is>
          <t>VeriKaliteUyariCeza</t>
        </is>
      </c>
      <c r="C23" s="155" t="n">
        <v>10</v>
      </c>
      <c r="D23" s="150" t="inlineStr">
        <is>
          <t>puan</t>
        </is>
      </c>
      <c r="E23" s="152" t="inlineStr">
        <is>
          <t>Her WARN için skor cezası.</t>
        </is>
      </c>
      <c r="F23" s="152" t="inlineStr">
        <is>
          <t>Varsayım</t>
        </is>
      </c>
      <c r="G23" s="153" t="inlineStr">
        <is>
          <t>09.08.2026</t>
        </is>
      </c>
      <c r="H23" s="153" t="inlineStr">
        <is>
          <t>09.08.2026</t>
        </is>
      </c>
    </row>
    <row r="24" ht="15" customHeight="1" s="68">
      <c r="A24" s="150" t="inlineStr">
        <is>
          <t>Eşik</t>
        </is>
      </c>
      <c r="B24" s="150" t="inlineStr">
        <is>
          <t>KayitKapasite</t>
        </is>
      </c>
      <c r="C24" s="155" t="n">
        <v>3008</v>
      </c>
      <c r="D24" s="150" t="inlineStr">
        <is>
          <t>adet</t>
        </is>
      </c>
      <c r="E24" s="152" t="inlineStr">
        <is>
          <t>Ürün ve masraf tablolarının toplam giriş kapasitesi.</t>
        </is>
      </c>
      <c r="F24" s="152" t="inlineStr">
        <is>
          <t>Tasarım</t>
        </is>
      </c>
      <c r="G24" s="153" t="inlineStr">
        <is>
          <t>09.08.2026</t>
        </is>
      </c>
      <c r="H24" s="153" t="inlineStr">
        <is>
          <t>09.08.2026</t>
        </is>
      </c>
    </row>
    <row r="25" ht="15" customHeight="1" s="68">
      <c r="A25" s="150" t="inlineStr">
        <is>
          <t>Senaryo</t>
        </is>
      </c>
      <c r="B25" s="150" t="inlineStr">
        <is>
          <t>SenaryoKotumserKat</t>
        </is>
      </c>
      <c r="C25" s="156" t="n">
        <v>0.1</v>
      </c>
      <c r="D25" s="150" t="inlineStr">
        <is>
          <t>oran</t>
        </is>
      </c>
      <c r="E25" s="152" t="inlineStr">
        <is>
          <t>Kötümser senaryo çarpanı.</t>
        </is>
      </c>
      <c r="F25" s="152" t="inlineStr">
        <is>
          <t>Varsayım</t>
        </is>
      </c>
      <c r="G25" s="153" t="inlineStr">
        <is>
          <t>09.08.2026</t>
        </is>
      </c>
      <c r="H25" s="153" t="inlineStr">
        <is>
          <t>09.08.2026</t>
        </is>
      </c>
    </row>
    <row r="26" ht="15" customHeight="1" s="68">
      <c r="A26" s="150" t="inlineStr">
        <is>
          <t>Senaryo</t>
        </is>
      </c>
      <c r="B26" s="150" t="inlineStr">
        <is>
          <t>SenaryoIyimserKat</t>
        </is>
      </c>
      <c r="C26" s="156" t="n">
        <v>0.1</v>
      </c>
      <c r="D26" s="150" t="inlineStr">
        <is>
          <t>oran</t>
        </is>
      </c>
      <c r="E26" s="152" t="inlineStr">
        <is>
          <t>İyimser senaryo çarpanı.</t>
        </is>
      </c>
      <c r="F26" s="152" t="inlineStr">
        <is>
          <t>Varsayım</t>
        </is>
      </c>
      <c r="G26" s="153" t="inlineStr">
        <is>
          <t>09.08.2026</t>
        </is>
      </c>
      <c r="H26" s="153" t="inlineStr">
        <is>
          <t>09.08.2026</t>
        </is>
      </c>
    </row>
    <row r="27" ht="15" customHeight="1" s="68">
      <c r="A27" s="150" t="inlineStr">
        <is>
          <t>Duyarlılık</t>
        </is>
      </c>
      <c r="B27" s="150" t="inlineStr">
        <is>
          <t>DuyarliDegisim</t>
        </is>
      </c>
      <c r="C27" s="156" t="n">
        <v>0.05</v>
      </c>
      <c r="D27" s="150" t="inlineStr">
        <is>
          <t>oran</t>
        </is>
      </c>
      <c r="E27" s="152" t="inlineStr">
        <is>
          <t>Tornado analizinde değişim oranı.</t>
        </is>
      </c>
      <c r="F27" s="152" t="inlineStr">
        <is>
          <t>Varsayım</t>
        </is>
      </c>
      <c r="G27" s="153" t="inlineStr">
        <is>
          <t>09.08.2026</t>
        </is>
      </c>
      <c r="H27" s="153" t="inlineStr">
        <is>
          <t>09.08.2026</t>
        </is>
      </c>
    </row>
    <row r="28" ht="15" customHeight="1" s="68">
      <c r="A28" s="150" t="inlineStr">
        <is>
          <t>Duyarlılık</t>
        </is>
      </c>
      <c r="B28" s="150" t="inlineStr">
        <is>
          <t>ParetoEsikOran</t>
        </is>
      </c>
      <c r="C28" s="156" t="n">
        <v>0.3</v>
      </c>
      <c r="D28" s="150" t="inlineStr">
        <is>
          <t>oran</t>
        </is>
      </c>
      <c r="E28" s="152" t="inlineStr">
        <is>
          <t>Ürün maliyet yoğunlaşması yüksek kabul eşiği.</t>
        </is>
      </c>
      <c r="F28" s="152" t="inlineStr">
        <is>
          <t>Varsayım</t>
        </is>
      </c>
      <c r="G28" s="153" t="inlineStr">
        <is>
          <t>09.08.2026</t>
        </is>
      </c>
      <c r="H28" s="153" t="inlineStr">
        <is>
          <t>09.08.2026</t>
        </is>
      </c>
    </row>
    <row r="29" ht="15" customHeight="1" s="68">
      <c r="A29" s="150" t="inlineStr">
        <is>
          <t>Duyarlılık</t>
        </is>
      </c>
      <c r="B29" s="150" t="inlineStr">
        <is>
          <t>SenaryoEtkiEsik</t>
        </is>
      </c>
      <c r="C29" s="156" t="n">
        <v>0.15</v>
      </c>
      <c r="D29" s="150" t="inlineStr">
        <is>
          <t>oran</t>
        </is>
      </c>
      <c r="E29" s="152" t="inlineStr">
        <is>
          <t>Tornado zirve etkisinin toplam maliyete oranı uyarı eşiği.</t>
        </is>
      </c>
      <c r="F29" s="152" t="inlineStr">
        <is>
          <t>Varsayım</t>
        </is>
      </c>
      <c r="G29" s="153" t="inlineStr">
        <is>
          <t>09.08.2026</t>
        </is>
      </c>
      <c r="H29" s="153" t="inlineStr">
        <is>
          <t>09.08.2026</t>
        </is>
      </c>
    </row>
    <row r="30" ht="15" customHeight="1" s="68">
      <c r="A30" s="150" t="inlineStr">
        <is>
          <t>Tahmin</t>
        </is>
      </c>
      <c r="B30" s="150" t="inlineStr">
        <is>
          <t>P90Kuantil</t>
        </is>
      </c>
      <c r="C30" s="156" t="n">
        <v>0.9</v>
      </c>
      <c r="D30" s="150" t="inlineStr">
        <is>
          <t>oran</t>
        </is>
      </c>
      <c r="E30" s="152" t="inlineStr">
        <is>
          <t>Yüzdelik dağılım analizinde P90 kuantil değeri.</t>
        </is>
      </c>
      <c r="F30" s="152" t="inlineStr">
        <is>
          <t>Varsayım</t>
        </is>
      </c>
      <c r="G30" s="153" t="inlineStr">
        <is>
          <t>09.08.2026</t>
        </is>
      </c>
      <c r="H30" s="153" t="inlineStr">
        <is>
          <t>09.08.2026</t>
        </is>
      </c>
    </row>
    <row r="31" ht="15" customHeight="1" s="68">
      <c r="A31" s="150" t="inlineStr">
        <is>
          <t>Nakit</t>
        </is>
      </c>
      <c r="B31" s="150" t="inlineStr">
        <is>
          <t>IskontoOrani</t>
        </is>
      </c>
      <c r="C31" s="156" t="n">
        <v>0.1</v>
      </c>
      <c r="D31" s="150" t="inlineStr">
        <is>
          <t>oran</t>
        </is>
      </c>
      <c r="E31" s="152" t="inlineStr">
        <is>
          <t>Maliyet NPV hesabında iskonto oranı.</t>
        </is>
      </c>
      <c r="F31" s="152" t="inlineStr">
        <is>
          <t>Varsayım</t>
        </is>
      </c>
      <c r="G31" s="153" t="inlineStr">
        <is>
          <t>09.08.2026</t>
        </is>
      </c>
      <c r="H31" s="153" t="inlineStr">
        <is>
          <t>09.08.2026</t>
        </is>
      </c>
    </row>
    <row r="32" ht="15" customHeight="1" s="68">
      <c r="A32" s="150" t="inlineStr">
        <is>
          <t>Nakit</t>
        </is>
      </c>
      <c r="B32" s="150" t="inlineStr">
        <is>
          <t>PesinOdemeTutari</t>
        </is>
      </c>
      <c r="C32" s="157" t="n">
        <v>0</v>
      </c>
      <c r="D32" s="150" t="inlineStr">
        <is>
          <t>₺</t>
        </is>
      </c>
      <c r="E32" s="152" t="inlineStr">
        <is>
          <t>İthal vergilerine karşı peşin ödenen tutar (avans).</t>
        </is>
      </c>
      <c r="F32" s="152" t="inlineStr">
        <is>
          <t>Varsayım</t>
        </is>
      </c>
      <c r="G32" s="153" t="inlineStr">
        <is>
          <t>09.08.2026</t>
        </is>
      </c>
      <c r="H32" s="153" t="inlineStr">
        <is>
          <t>09.08.2026</t>
        </is>
      </c>
    </row>
    <row r="33" ht="15" customHeight="1" s="68">
      <c r="A33" s="150" t="inlineStr">
        <is>
          <t>Risk</t>
        </is>
      </c>
      <c r="B33" s="150" t="inlineStr">
        <is>
          <t>HhiYuksekEsik</t>
        </is>
      </c>
      <c r="C33" s="156" t="n">
        <v>0.5</v>
      </c>
      <c r="D33" s="150" t="inlineStr">
        <is>
          <t>oran</t>
        </is>
      </c>
      <c r="E33" s="152" t="inlineStr">
        <is>
          <t>FOB yoğunlaşma endeksi yüksek kabul eşiği.</t>
        </is>
      </c>
      <c r="F33" s="152" t="inlineStr">
        <is>
          <t>Varsayım</t>
        </is>
      </c>
      <c r="G33" s="153" t="inlineStr">
        <is>
          <t>09.08.2026</t>
        </is>
      </c>
      <c r="H33" s="153" t="inlineStr">
        <is>
          <t>09.08.2026</t>
        </is>
      </c>
    </row>
    <row r="34" ht="15" customHeight="1" s="68">
      <c r="A34" s="150" t="inlineStr">
        <is>
          <t>Risk</t>
        </is>
      </c>
      <c r="B34" s="150" t="inlineStr">
        <is>
          <t>NpvEsikOran</t>
        </is>
      </c>
      <c r="C34" s="156" t="n">
        <v>0.5</v>
      </c>
      <c r="D34" s="150" t="inlineStr">
        <is>
          <t>oran</t>
        </is>
      </c>
      <c r="E34" s="152" t="inlineStr">
        <is>
          <t>Maliyet NPV değerinin toplam maliyete oranı yüksek kabul eşiği.</t>
        </is>
      </c>
      <c r="F34" s="152" t="inlineStr">
        <is>
          <t>Varsayım</t>
        </is>
      </c>
      <c r="G34" s="153" t="inlineStr">
        <is>
          <t>09.08.2026</t>
        </is>
      </c>
      <c r="H34" s="153" t="inlineStr">
        <is>
          <t>09.08.2026</t>
        </is>
      </c>
    </row>
    <row r="36" ht="19.5" customHeight="1" s="68">
      <c r="A36" s="105" t="inlineStr">
        <is>
          <t>Sarı değer hücreleri kullanıcı tarafından değiştirilebilir; formül hücreleri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36:AN36"/>
    <mergeCell ref="A4:H4"/>
    <mergeCell ref="A3:H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BH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0" customWidth="1" style="94" min="1" max="1"/>
  </cols>
  <sheetData>
    <row r="1" ht="25.5" customHeight="1" s="68">
      <c r="A1" s="106" t="inlineStr">
        <is>
          <t>KILAVUZ — İTHALAT DEPO TESLİM (RAFA GELEN) NET BİRİM MALİYET</t>
        </is>
      </c>
    </row>
    <row r="3" ht="15.75" customHeight="1" s="68">
      <c r="A3" s="102" t="inlineStr">
        <is>
          <t>Kullanım Kılavuzu</t>
        </is>
      </c>
    </row>
    <row r="5" ht="15" customHeight="1" s="68">
      <c r="A5" s="103" t="inlineStr">
        <is>
          <t>Bu dosya, ithal ürünlerin depo teslim (rafa gelen) net birim maliyetini hesaplayan bir karar destek aracıdır.</t>
        </is>
      </c>
    </row>
    <row r="6" ht="15" customHeight="1" s="68">
      <c r="A6" s="103" t="inlineStr">
        <is>
          <t>1. AYARLAR: Varsayılan kur, vergi oranları, eşikler ve rapor tarihi bu sayfadadır.</t>
        </is>
      </c>
    </row>
    <row r="7" ht="15" customHeight="1" s="68">
      <c r="A7" s="103" t="inlineStr">
        <is>
          <t>2. URUNLER: İthal ürünlerin FOB birim fiyatı, adedi, döviz cinsi ve kuru girin; CIF ve vergiler otomatik hesaplanır.</t>
        </is>
      </c>
    </row>
    <row r="8" ht="15" customHeight="1" s="68">
      <c r="A8" s="103" t="inlineStr">
        <is>
          <t>3. MASRAFLAR: Liman, müşavirlik, iç nakliye gibi yurt içi masrafları TL girin; FOB payıyla ürünlere dağıtılır.</t>
        </is>
      </c>
    </row>
    <row r="9" ht="15" customHeight="1" s="68">
      <c r="A9" s="103" t="inlineStr">
        <is>
          <t>4. MOTOR: Tüm hesaplar ad tanımlı hücrelerde; denetlenebilir ve değiştirilebilir.</t>
        </is>
      </c>
    </row>
    <row r="10" ht="15" customHeight="1" s="68">
      <c r="A10" s="103" t="inlineStr">
        <is>
          <t>5. KARAR: UYGUN / İNCELE / DURDUR kararı, gerekçe ve aksiyonlar makine tarafından üretilir.</t>
        </is>
      </c>
    </row>
    <row r="11" ht="15" customHeight="1" s="68">
      <c r="A11" s="103" t="inlineStr">
        <is>
          <t>6. PANO ve RAPOR: Yönetici özeti ve yazdırılabilir rapor.</t>
        </is>
      </c>
    </row>
    <row r="12" ht="15" customHeight="1" s="68">
      <c r="A12" s="103" t="inlineStr">
        <is>
          <t>7. SENARYO_DUYARLILIK: Kur ve oran değişiminde maliyet, vergi ve karar değişimi görülür.</t>
        </is>
      </c>
    </row>
    <row r="13" ht="15" customHeight="1" s="68">
      <c r="A13" s="103" t="inlineStr">
        <is>
          <t>Veri girişi yalnızca sarı hücreleredir. Beyaz/yeşil formül hücreleri 1234 şifresiyle korumalıdır.</t>
        </is>
      </c>
    </row>
    <row r="14" ht="15" customHeight="1" s="68">
      <c r="A14" s="103" t="inlineStr">
        <is>
          <t>Güvenlik: Dosyada makro, dış bağlantı ve telemetri yoktur. Verileriniz cihazınızdan çıkmaz.</t>
        </is>
      </c>
    </row>
    <row r="15" ht="15" customHeight="1" s="68">
      <c r="A15" s="103" t="inlineStr">
        <is>
          <t>Ortam: Excel 2016–365 (Windows/Mac), LibreOffice 7+, Google Sheets ile uyumlu üretilmiştir.</t>
        </is>
      </c>
    </row>
    <row r="18" ht="19.5" customHeight="1" s="68">
      <c r="A18" s="105" t="inlineStr">
        <is>
          <t>Hata görürseniz önce AYARLAR'ı, sonra veri girişlerini kontrol edin; KONTROL sayfası kaliteyi gösterir.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12:BH12"/>
    <mergeCell ref="A7:BH7"/>
    <mergeCell ref="A15:BH15"/>
    <mergeCell ref="A10:BH10"/>
    <mergeCell ref="A13:BH13"/>
    <mergeCell ref="A11:BH11"/>
    <mergeCell ref="A14:BH14"/>
    <mergeCell ref="A5:BH5"/>
    <mergeCell ref="A8:BH8"/>
    <mergeCell ref="A6:BH6"/>
    <mergeCell ref="A9:BH9"/>
    <mergeCell ref="A1:AD1"/>
    <mergeCell ref="A18:AN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2026-08-09T21:01:24Z</dcterms:created>
  <dcterms:modified xmlns:dcterms="http://purl.org/dc/terms/" xmlns:xsi="http://www.w3.org/2001/XMLSchema-instance" xsi:type="dcterms:W3CDTF">2026-09-25T15:13:57Z</dcterms:modified>
  <cp:revision>0</cp:revision>
</cp:coreProperties>
</file>