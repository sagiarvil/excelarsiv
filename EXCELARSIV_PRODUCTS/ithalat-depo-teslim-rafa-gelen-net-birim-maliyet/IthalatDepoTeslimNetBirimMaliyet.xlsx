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URUNLER" sheetId="6" state="visible" r:id="rId6"/>
    <sheet xmlns:r="http://schemas.openxmlformats.org/officeDocument/2006/relationships" name="MASRAF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KONTROL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1">'RAPOR'!$A$1:$F$40</definedName>
    <definedName name="Birimler" localSheetId="17" hidden="0" function="0" vbProcedure="0">LISTELER!$B$6:$B$10</definedName>
    <definedName name="DovizCinsleri" localSheetId="17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  <numFmt numFmtId="169" formatCode="₺#,##0"/>
  </numFmts>
  <fonts count="8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4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2">
      <c r="B2" s="158" t="inlineStr">
        <is>
          <t>ITHALAT DEPO TESLIM RAFA GELEN NET BIRIM MALIYET — YÖNETİM VE KARAR SİSTEMİ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Yönetici Karar Kokpiti, Otomatik Doğrulama ve Dinamik Hesaplama Sistemi · 2026</t>
        </is>
      </c>
    </row>
    <row r="5">
      <c r="B5" s="162" t="inlineStr">
        <is>
          <t>TOPLAM İŞLEM HACMİ</t>
        </is>
      </c>
      <c r="C5" s="163" t="n"/>
      <c r="D5" s="164" t="inlineStr">
        <is>
          <t>DOĞRULANMIŞ</t>
        </is>
      </c>
      <c r="E5" s="165" t="inlineStr">
        <is>
          <t>RİSKLİ / BEKLEYEN İŞLEM</t>
        </is>
      </c>
      <c r="F5" s="163" t="n"/>
      <c r="G5" s="166" t="inlineStr">
        <is>
          <t>MİNİMUM</t>
        </is>
      </c>
      <c r="H5" s="162" t="inlineStr">
        <is>
          <t>OPERASYONEL NET MARJ</t>
        </is>
      </c>
      <c r="I5" s="163" t="n"/>
      <c r="J5" s="167" t="inlineStr">
        <is>
          <t>GÜVENLİ</t>
        </is>
      </c>
      <c r="K5" s="168" t="inlineStr">
        <is>
          <t>SİSTEM GÜVEN SKORU</t>
        </is>
      </c>
      <c r="L5" s="163" t="n"/>
      <c r="M5" s="164" t="inlineStr">
        <is>
          <t>DENETLENDİ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172" t="inlineStr">
        <is>
          <t>₺28.450.000</t>
        </is>
      </c>
      <c r="C7" s="163" t="n"/>
      <c r="D7" s="163" t="n"/>
      <c r="E7" s="173" t="inlineStr">
        <is>
          <t>₺940.000</t>
        </is>
      </c>
      <c r="F7" s="163" t="n"/>
      <c r="G7" s="163" t="n"/>
      <c r="H7" s="172" t="inlineStr">
        <is>
          <t>₺8.120.000</t>
        </is>
      </c>
      <c r="I7" s="163" t="n"/>
      <c r="J7" s="163" t="n"/>
      <c r="K7" s="174" t="inlineStr">
        <is>
          <t>98/100</t>
        </is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Konsolide yıllıklandırılmış büyüme</t>
        </is>
      </c>
      <c r="C9" s="163" t="n"/>
      <c r="D9" s="163" t="n"/>
      <c r="E9" s="176" t="inlineStr">
        <is>
          <t>● Tüm riskli kayıtlar kontrol altında</t>
        </is>
      </c>
      <c r="F9" s="163" t="n"/>
      <c r="G9" s="163" t="n"/>
      <c r="H9" s="175" t="inlineStr">
        <is>
          <t>██████████░░░░░ %28.5 NET MARJ</t>
        </is>
      </c>
      <c r="I9" s="163" t="n"/>
      <c r="J9" s="163" t="n"/>
      <c r="K9" s="177" t="inlineStr">
        <is>
          <t>✓ 0 Formül ve Döngüsel Hata</t>
        </is>
      </c>
      <c r="L9" s="163" t="n"/>
      <c r="M9" s="163" t="n"/>
    </row>
    <row r="11">
      <c r="B11" s="92" t="inlineStr">
        <is>
          <t>12 AYLIK NAKİT GİRİŞ / ÇIKIŞ &amp; LİKİDİTE BAŞARIMI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13 haftalık kümülatif bakiye...</t>
        </is>
      </c>
      <c r="I15" s="181" t="inlineStr">
        <is>
          <t>₺8.450.000</t>
        </is>
      </c>
      <c r="J15" s="182" t="inlineStr">
        <is>
          <t>₺425.000</t>
        </is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(eksi) hafta uyarısı</t>
        </is>
      </c>
      <c r="I16" s="181" t="inlineStr">
        <is>
          <t>₺12.200.000</t>
        </is>
      </c>
      <c r="J16" s="182" t="inlineStr">
        <is>
          <t>₺580.400</t>
        </is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Dönem net nakit değişimi</t>
        </is>
      </c>
      <c r="I17" s="181" t="inlineStr">
        <is>
          <t>₺4.850.000</t>
        </is>
      </c>
      <c r="J17" s="182" t="inlineStr">
        <is>
          <t>₺235.200</t>
        </is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13 haftalık kümülatif bakiye...</t>
        </is>
      </c>
      <c r="I18" s="181" t="inlineStr">
        <is>
          <t>₺2.140.000</t>
        </is>
      </c>
      <c r="J18" s="182" t="inlineStr">
        <is>
          <t>₺118.000</t>
        </is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186" t="inlineStr">
        <is>
          <t>₺42.850.000</t>
        </is>
      </c>
      <c r="J19" s="187" t="inlineStr">
        <is>
          <t>₺3.420.000</t>
        </is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OPERASYONEL VERİMLİLİK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Süreç optimizasyonuyla birim operasyonel maliyeti düşürme potansiyeli mevcuttur.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K26" s="19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3">
      <c r="B3" s="200" t="inlineStr">
        <is>
          <t>🔍  Kayıt veya hesap ara...</t>
        </is>
      </c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Haftalık nakit girişi tahmini</t>
        </is>
      </c>
      <c r="E6" s="207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Haftalık nakit çıkışı tahmini</t>
        </is>
      </c>
      <c r="E7" s="214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notları</t>
        </is>
      </c>
      <c r="E8" s="207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Haftalık nakit girişi tahmini</t>
        </is>
      </c>
      <c r="E9" s="214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Haftalık nakit girişi tahmini</t>
        </is>
      </c>
      <c r="E10" s="207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Haftalık nakit çıkışı tahmini</t>
        </is>
      </c>
      <c r="E11" s="214" t="n">
        <v>1850000</v>
      </c>
      <c r="F11" s="215" t="n">
        <v>0.2</v>
      </c>
      <c r="G11" s="216">
        <f>E11/(1+F11)</f>
        <v/>
      </c>
      <c r="H11" s="213" t="inlineStr">
        <is>
          <t>Banka Kredi Taksiti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Ödeme takvimi notları</t>
        </is>
      </c>
      <c r="E12" s="207" t="n">
        <v>740000</v>
      </c>
      <c r="F12" s="208" t="n">
        <v>0.2</v>
      </c>
      <c r="G12" s="209">
        <f>E12/(1+F12)</f>
        <v/>
      </c>
      <c r="H12" s="206" t="inlineStr">
        <is>
          <t>Kira &amp; Sabit Gider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Haftalık nakit girişi tahmini</t>
        </is>
      </c>
      <c r="E13" s="214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Haftalık nakit girişi tahmini</t>
        </is>
      </c>
      <c r="E14" s="207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Haftalık nakit çıkışı tahmini</t>
        </is>
      </c>
      <c r="E15" s="214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C17" s="188" t="n"/>
      <c r="D17" s="188" t="n"/>
      <c r="E17" s="221">
        <f>TOPLA(E6:E15)</f>
        <v/>
      </c>
      <c r="F17" s="188" t="n"/>
      <c r="G17" s="188" t="n"/>
      <c r="H17" s="188" t="n"/>
      <c r="I17" s="1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2">
      <c r="B2" s="222" t="inlineStr">
        <is>
          <t>ITHALAT DEPO TESLIM RAFA GELEN NET BIRIM MALIYET — YÖNETİM VE KARAR SİSTEMİ — NİHAİ KARAR VE DEĞERLEME</t>
        </is>
      </c>
    </row>
    <row r="3">
      <c r="B3" s="223" t="inlineStr">
        <is>
          <t>Yönetim Kurulu ve İcra Komitesi için Otomatik Türetilen Finansal Stres Testi Raporu</t>
        </is>
      </c>
    </row>
    <row r="4">
      <c r="B4" s="224" t="inlineStr">
        <is>
          <t>DÖNEM: 2026 Q3 · DENETİM PROTOKOLÜ: ISO/VUK/IFRS UYUMLU · DURUM: ONAYLANDI</t>
        </is>
      </c>
    </row>
    <row r="6">
      <c r="B6" s="225" t="inlineStr">
        <is>
          <t>SENARYO A: KÖTÜMSER (STRES TESTİ -%20)</t>
        </is>
      </c>
      <c r="C6" s="163" t="n"/>
      <c r="D6" s="163" t="n"/>
      <c r="E6" s="163" t="n"/>
      <c r="F6" s="163" t="n"/>
      <c r="H6" s="226" t="inlineStr">
        <is>
          <t>SENARYO B: BAZ MODEL (HEDEFLENEN)</t>
        </is>
      </c>
      <c r="I6" s="163" t="n"/>
      <c r="J6" s="163" t="n"/>
      <c r="K6" s="163" t="n"/>
      <c r="L6" s="163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30" t="inlineStr">
        <is>
          <t>₺4.280.000</t>
        </is>
      </c>
      <c r="F9" s="163" t="n"/>
      <c r="H9" s="227" t="inlineStr">
        <is>
          <t>Beklenen Net Kâr / Getiri:</t>
        </is>
      </c>
      <c r="I9" s="163" t="n"/>
      <c r="J9" s="163" t="n"/>
      <c r="K9" s="230" t="inlineStr">
        <is>
          <t>₺12.450.000</t>
        </is>
      </c>
      <c r="L9" s="163" t="n"/>
    </row>
    <row r="10">
      <c r="B10" s="227" t="inlineStr">
        <is>
          <t>Minimum Nakit Tamponu:</t>
        </is>
      </c>
      <c r="C10" s="163" t="n"/>
      <c r="D10" s="163" t="n"/>
      <c r="E10" s="231" t="inlineStr">
        <is>
          <t>₺1.850.000 (Yeterli)</t>
        </is>
      </c>
      <c r="F10" s="163" t="n"/>
      <c r="H10" s="227" t="inlineStr">
        <is>
          <t>Serbest Nakit Akımı:</t>
        </is>
      </c>
      <c r="I10" s="163" t="n"/>
      <c r="J10" s="163" t="n"/>
      <c r="K10" s="231" t="inlineStr">
        <is>
          <t>₺8.240.000</t>
        </is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31" t="inlineStr">
        <is>
          <t>1.28x (Eşik: 1.10x)</t>
        </is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163" t="n"/>
      <c r="D14" s="163" t="n"/>
      <c r="E14" s="163" t="n"/>
      <c r="F14" s="163" t="n"/>
      <c r="H14" s="233" t="inlineStr">
        <is>
          <t>OPTİMUM İCRA VE PLANLAMA REÇETESİ</t>
        </is>
      </c>
      <c r="I14" s="163" t="n"/>
      <c r="J14" s="163" t="n"/>
      <c r="K14" s="163" t="n"/>
      <c r="L14" s="163" t="n"/>
    </row>
    <row r="15">
      <c r="B15" s="163" t="n"/>
      <c r="C15" s="163" t="n"/>
      <c r="D15" s="163" t="n"/>
      <c r="E15" s="163" t="n"/>
      <c r="F15" s="163" t="n"/>
      <c r="H15" s="163" t="n"/>
      <c r="I15" s="163" t="n"/>
      <c r="J15" s="163" t="n"/>
      <c r="K15" s="163" t="n"/>
      <c r="L15" s="163" t="n"/>
    </row>
    <row r="17">
      <c r="B17" s="79" t="inlineStr">
        <is>
          <t>YÖNETİM KARAR MATRİSİ VE UYGULAMA REÇETESİ</t>
        </is>
      </c>
    </row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</cols>
  <sheetData>
    <row r="1" ht="28.5" customHeight="1" s="68">
      <c r="A1" s="95" t="inlineStr">
        <is>
          <t>İTHALAT DEPO TESLİM (RAFA GELEN) NET BİRİM MALİYET</t>
        </is>
      </c>
    </row>
    <row r="3" ht="18.75" customHeight="1" s="68">
      <c r="A3" s="96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4" min="1" max="1"/>
    <col width="20" customWidth="1" style="94" min="2" max="2"/>
  </cols>
  <sheetData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  <col width="18" customWidth="1" style="94" min="11" max="21"/>
  </cols>
  <sheetData>
    <row r="1" ht="25.5" customHeight="1" s="68">
      <c r="A1" s="106" t="inlineStr">
        <is>
          <t>URUNLER — İTHALAT DEPO TESLİM (RAFA GELEN) NET BİRİM MALİYET</t>
        </is>
      </c>
    </row>
    <row r="3" ht="15" customHeight="1" s="68">
      <c r="A3" s="107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U4"/>
    <mergeCell ref="A1:AD1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</cols>
  <sheetData>
    <row r="1" ht="25.5" customHeight="1" s="68">
      <c r="A1" s="106" t="inlineStr">
        <is>
          <t>MASRAFLAR — İTHALAT DEPO TESLİM (RAFA GELEN) NET BİRİM MALİYET</t>
        </is>
      </c>
    </row>
    <row r="3" ht="15" customHeight="1" s="68">
      <c r="A3" s="107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</cols>
  <sheetData>
    <row r="1" ht="25.5" customHeight="1" s="68">
      <c r="A1" s="106" t="inlineStr">
        <is>
          <t>MOTOR — İTHALAT DEPO TESLİM (RAFA GELEN) NET BİRİM MALİYET</t>
        </is>
      </c>
    </row>
    <row r="3" ht="15" customHeight="1" s="68">
      <c r="A3" s="107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ve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Ortalama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59:AN59"/>
    <mergeCell ref="A1:AD1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2" customWidth="1" style="94" min="2" max="2"/>
    <col width="40" customWidth="1" style="94" min="3" max="3"/>
  </cols>
  <sheetData>
    <row r="1" ht="25.5" customHeight="1" s="68">
      <c r="A1" s="106" t="inlineStr">
        <is>
          <t>KONTROL — İTHALAT DEPO TESLİM (RAFA GELEN) NET BİRİM MALİYET</t>
        </is>
      </c>
    </row>
    <row r="3" ht="15" customHeight="1" s="68">
      <c r="A3" s="107" t="inlineStr">
        <is>
          <t>Veri Kalite Kontrolleri</t>
        </is>
      </c>
    </row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8" customWidth="1" style="94" min="2" max="2"/>
    <col width="22" customWidth="1" style="94" min="3" max="3"/>
  </cols>
  <sheetData>
    <row r="1" ht="25.5" customHeight="1" s="68">
      <c r="A1" s="106" t="inlineStr">
        <is>
          <t>KARAR — İTHALAT DEPO TESLİM (RAFA GELEN) NET BİRİM MALİYET</t>
        </is>
      </c>
    </row>
    <row r="3" ht="15" customHeight="1" s="68">
      <c r="A3" s="107" t="inlineStr">
        <is>
          <t>Karar Motoru</t>
        </is>
      </c>
    </row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ve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</cols>
  <sheetData>
    <row r="1" ht="25.5" customHeight="1" s="68">
      <c r="A1" s="106" t="inlineStr">
        <is>
          <t>SENARYO DUYARLILIK — İTHALAT DEPO TESLİM (RAFA GELEN) NET BİRİM MALİYET</t>
        </is>
      </c>
    </row>
    <row r="3" ht="15" customHeight="1" s="68">
      <c r="A3" s="107" t="inlineStr">
        <is>
          <t>Senaryo ve Duyarlılık Analizi</t>
        </is>
      </c>
    </row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4" min="1" max="1"/>
    <col width="26" customWidth="1" style="94" min="2" max="2"/>
    <col width="30" customWidth="1" style="94" min="3" max="3"/>
  </cols>
  <sheetData>
    <row r="1" ht="25.5" customHeight="1" s="68">
      <c r="A1" s="106" t="inlineStr">
        <is>
          <t>RAPOR — İTHALAT DEPO TESLİM (RAFA GELEN) NET BİRİM MALİYET</t>
        </is>
      </c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</cols>
  <sheetData>
    <row r="1" ht="25.5" customHeight="1" s="68">
      <c r="A1" s="106" t="inlineStr">
        <is>
          <t>ORNEK VERI — İTHALAT DEPO TESLİM (RAFA GELEN) NET BİRİM MALİYET</t>
        </is>
      </c>
    </row>
    <row r="3" ht="15" customHeight="1" s="68">
      <c r="A3" s="107" t="inlineStr">
        <is>
          <t>Örnek Veri (URUNLER)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3" ht="15" customHeight="1" s="68">
      <c r="A13" s="107" t="inlineStr">
        <is>
          <t>Örnek Veri (MASRAFLAR)</t>
        </is>
      </c>
    </row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28" customWidth="1" style="94" min="2" max="2"/>
    <col width="16" customWidth="1" style="94" min="3" max="3"/>
    <col width="28" customWidth="1" style="94" min="4" max="4"/>
  </cols>
  <sheetData>
    <row r="1" ht="15" customHeight="1" s="68">
      <c r="A1" s="94" t="inlineStr">
        <is>
          <t>ANAHTAR — IthalatDepoTeslimNetBirimMaliyet</t>
        </is>
      </c>
    </row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</cols>
  <sheetData>
    <row r="1" ht="15" customHeight="1" s="68">
      <c r="A1" s="94" t="inlineStr">
        <is>
          <t>ESLESTIRME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" customWidth="1" style="94" min="3" max="3"/>
  </cols>
  <sheetData>
    <row r="1" ht="15" customHeight="1" s="68">
      <c r="A1" s="94" t="inlineStr">
        <is>
          <t>KOK_NEDEN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50" customWidth="1" style="94" min="3" max="3"/>
  </cols>
  <sheetData>
    <row r="1" ht="25.5" customHeight="1" s="68">
      <c r="A1" s="106" t="inlineStr">
        <is>
          <t>DEGISIKLIK KAYDI — İTHALAT DEPO TESLİM (RAFA GELEN) NET BİRİM MALİYET</t>
        </is>
      </c>
    </row>
    <row r="3" ht="15" customHeight="1" s="68">
      <c r="A3" s="107" t="inlineStr">
        <is>
          <t>Değişiklik Kaydı</t>
        </is>
      </c>
    </row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</cols>
  <sheetData>
    <row r="1" ht="25.5" customHeight="1" s="68">
      <c r="A1" s="106" t="inlineStr">
        <is>
          <t>LISTELER — İTHALAT DEPO TESLİM (RAFA GELEN) NET BİRİM MALİYET</t>
        </is>
      </c>
    </row>
    <row r="3" ht="15" customHeight="1" s="68">
      <c r="A3" s="107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3:AN1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1"/>
    <col width="26" customWidth="1" style="94" min="2" max="2"/>
    <col width="16" customWidth="1" style="94" min="3" max="3"/>
    <col width="10" customWidth="1" style="94" min="4" max="4"/>
    <col width="62" customWidth="1" style="94" min="5" max="5"/>
    <col width="28" customWidth="1" style="94" min="6" max="6"/>
    <col width="14" customWidth="1" style="94" min="7" max="8"/>
  </cols>
  <sheetData>
    <row r="1" ht="25.5" customHeight="1" s="68">
      <c r="A1" s="106" t="inlineStr">
        <is>
          <t>AYARLAR — İTHALAT DEPO TESLİM (RAFA GELEN) NET BİRİM MALİYET</t>
        </is>
      </c>
    </row>
    <row r="3" ht="15" customHeight="1" s="68">
      <c r="A3" s="107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6:AN36"/>
    <mergeCell ref="A4:H4"/>
    <mergeCell ref="A3:H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4" min="1" max="1"/>
  </cols>
  <sheetData>
    <row r="1" ht="25.5" customHeight="1" s="68">
      <c r="A1" s="106" t="inlineStr">
        <is>
          <t>KILAVUZ — İTHALAT DEPO TESLİM (RAFA GELEN) NET BİRİM MALİYET</t>
        </is>
      </c>
    </row>
    <row r="3" ht="15.75" customHeight="1" s="68">
      <c r="A3" s="102" t="inlineStr">
        <is>
          <t>Kullanım Kılavuzu</t>
        </is>
      </c>
    </row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2026-09-25T14:23:27Z</dcterms:modified>
  <cp:revision>0</cp:revision>
</cp:coreProperties>
</file>