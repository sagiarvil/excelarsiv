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ilc_birimLanded">MOTOR!$G$60</definedName>
    <definedName name="ilc_npv">MOTOR!$G$61</definedName>
    <definedName name="ilc_irr">MOTOR!$G$62</definedName>
    <definedName name="ilc_cif">MOTOR!$G$63</definedName>
    <definedName name="ilc_kararMetni">MOTOR!$G$42</definedName>
    <definedName name="ilc_kararGerekce">MOTOR!$G$43</definedName>
    <definedName name="ilc_maddeAtifMetni">MOTOR!$G$58</definedName>
    <definedName name="ilc_kanitRaporu">MOTOR!$G$59</definedName>
    <definedName name="ilc_kuralYilMatris">KURALLAR!$B$17</definedName>
    <definedName name="ilc_parmakIzi">AYARLAR!$B$19</definedName>
    <definedName name="ilc_aktifKur">AYARLAR!$K$48</definedName>
    <definedName name="ilc_kurTablosu">AYARLAR!$K$49</definedName>
    <definedName name="ilc_finansmanKarsilastirma">FINANSMAN!$B$11</definedName>
    <definedName name="ilc_senaryoKarsilastirma">SENARYO!$B$11</definedName>
    <definedName name="ilc_yorumSenaryo">SENARYO!$B$12</definedName>
    <definedName name="ilc_duyarlilikSira">SENARYO!$B$19</definedName>
    <definedName name="ilc_yorumDuyarlilik">SENARYO!$B$20</definedName>
    <definedName name="ilc_kuralDegisimSenaryo">SENARYO!$B$22</definedName>
    <definedName name="ilc_yorumKuralDegisim">SENARYO!$B$23</definedName>
    <definedName name="ilc_tahminAralik">SENARYO!$B$32</definedName>
    <definedName name="ilc_yorumTahmin">SENARYO!$B$33</definedName>
    <definedName name="ilc_vakaDurum">VAKALAR!$B$12</definedName>
    <definedName name="ilc_vakaFark">VAKALAR!$B$13</definedName>
    <definedName name="ilc_tolerans">AYARLAR!$B$8</definedName>
    <definedName name="ilc_azamiEsik">AYARLAR!$B$9</definedName>
    <definedName name="ilc_senaryoIyi">AYARLAR!$B$10</definedName>
    <definedName name="ilc_senaryoKotu">AYARLAR!$B$11</definedName>
    <definedName name="ilc_esikArtis">AYARLAR!$B$12</definedName>
    <definedName name="ilc_tahminAlt">AYARLAR!$B$13</definedName>
    <definedName name="ilc_tahminUst">AYARLAR!$B$14</definedName>
    <definedName name="ilc_tornadoKur">AYARLAR!$B$15</definedName>
    <definedName name="ilc_tornadoGumruk">AYARLAR!$B$16</definedName>
    <definedName name="ilc_tornadoNavlun">AYARLAR!$B$17</definedName>
    <definedName name="ilc_yuzdelikOran">AYARLAR!$B$18</definedName>
    <definedName name="ilc_girisBeklenen">AYARLAR!$B$21</definedName>
    <definedName name="ilc_riskDusuk">AYARLAR!$B$22</definedName>
    <definedName name="ilc_riskOrta">AYARLAR!$B$23</definedName>
    <definedName name="ilc_riskYuksek">AYARLAR!$B$24</definedName>
    <definedName name="ilc_yilTaban">AYARLAR!$B$25</definedName>
    <definedName name="ilc_yuvarMax">AYARLAR!$B$26</definedName>
    <definedName name="ilc_bazCarpan">AYARLAR!$B$27</definedName>
    <definedName name="ilc_sifirCarpan">AYARLAR!$B$28</definedName>
    <definedName name="ilc_siraBir">AYARLAR!$B$29</definedName>
    <definedName name="ilc_siraIki">AYARLAR!$B$30</definedName>
    <definedName name="ilc_siraUc">AYARLAR!$B$31</definedName>
    <definedName name="ilc_dikkatCarpan">AYARLAR!$B$32</definedName>
    <definedName name="ilc_npvDikkat">AYARLAR!$B$33</definedName>
    <definedName name="vaka_fob">AYARLAR!$B$34</definedName>
    <definedName name="vaka_kur">AYARLAR!$B$35</definedName>
    <definedName name="vaka_navlun">AYARLAR!$B$36</definedName>
    <definedName name="vaka_sigorta">AYARLAR!$B$37</definedName>
    <definedName name="vaka_cif">AYARLAR!$B$38</definedName>
    <definedName name="vaka_landed">AYARLAR!$B$39</definedName>
    <definedName name="vaka_miktar">AYARLAR!$B$40</definedName>
    <definedName name="ilc_modulT1">PANO!$C$11</definedName>
    <definedName name="ilc_modulT1Yorum">PANO!$D$11</definedName>
    <definedName name="ilc_modulT2">PANO!$C$12</definedName>
    <definedName name="ilc_modulT2Yorum">PANO!$D$12</definedName>
    <definedName name="ilc_modulO1">PANO!$C$13</definedName>
    <definedName name="ilc_modulO1Yorum">PANO!$D$13</definedName>
    <definedName name="ilc_modulO6">PANO!$C$16</definedName>
    <definedName name="ilc_modulO6Yorum">PANO!$D$16</definedName>
    <definedName name="ilc_modulO8">PANO!$C$17</definedName>
    <definedName name="ilc_modulO8Yorum">PANO!$D$17</definedName>
    <definedName name="ilc_modulI2">PANO!$C$20</definedName>
    <definedName name="ilc_modulI2Yorum">PANO!$D$20</definedName>
    <definedName name="ListeYillar">LISTELER!$A$6:$A$8</definedName>
    <definedName name="ListeDoviz">LISTELER!$C$6:$C$7</definedName>
    <definedName name="ListeEvetHayir">LISTELER!$E$6:$E$7</definedName>
    <definedName name="_xlnm.Print_Area" localSheetId="17">'KARAR'!$A$1:$F$28</definedName>
    <definedName name="_xlnm.Print_Area" localSheetId="19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  <numFmt numFmtId="171" formatCode="0.00&quot;x&quot;"/>
  </numFmts>
  <fonts count="9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2" fontId="12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8" fontId="37" fillId="0" borderId="0" pivotButton="0" quotePrefix="0" xfId="0"/>
    <xf numFmtId="168" fontId="38" fillId="0" borderId="0" pivotButton="0" quotePrefix="0" xfId="0"/>
    <xf numFmtId="169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70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70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70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70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70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70" fontId="29" fillId="0" borderId="3" pivotButton="0" quotePrefix="0" xfId="0"/>
    <xf numFmtId="170" fontId="50" fillId="0" borderId="4" pivotButton="0" quotePrefix="0" xfId="0"/>
    <xf numFmtId="170" fontId="53" fillId="0" borderId="2" pivotButton="0" quotePrefix="0" xfId="0"/>
    <xf numFmtId="170" fontId="54" fillId="0" borderId="2" pivotButton="0" quotePrefix="0" xfId="0"/>
    <xf numFmtId="170" fontId="57" fillId="7" borderId="0" pivotButton="0" quotePrefix="0" xfId="0"/>
    <xf numFmtId="170" fontId="58" fillId="7" borderId="0" pivotButton="0" quotePrefix="0" xfId="0"/>
    <xf numFmtId="170" fontId="76" fillId="9" borderId="2" applyAlignment="1" pivotButton="0" quotePrefix="0" xfId="0">
      <alignment horizontal="right"/>
    </xf>
    <xf numFmtId="170" fontId="46" fillId="0" borderId="2" applyAlignment="1" pivotButton="0" quotePrefix="0" xfId="0">
      <alignment horizontal="right"/>
    </xf>
    <xf numFmtId="170" fontId="73" fillId="0" borderId="2" applyAlignment="1" pivotButton="0" quotePrefix="0" xfId="0">
      <alignment horizontal="right"/>
    </xf>
    <xf numFmtId="171" fontId="73" fillId="0" borderId="2" applyAlignment="1" pivotButton="0" quotePrefix="0" xfId="0">
      <alignment horizontal="right"/>
    </xf>
    <xf numFmtId="0" fontId="9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2" fillId="2" borderId="0" applyAlignment="1" pivotButton="0" quotePrefix="0" xfId="0">
      <alignment horizontal="left" vertical="center"/>
    </xf>
    <xf numFmtId="0" fontId="9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Landed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Birim Landed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Sevkiyat | Neden önemli: Gerçek birim maliyeti ve yatırım kararını etkiler | Doğru kullanım: Unvan veya sevkiyat kodu. | Örnek: demo satırına bakın | Yanlışsa: birim maliyet ve NPV bozulur | Kaynak: Gümrük / KDV / KKDF kuralları</t>
      </text>
    </comment>
    <comment ref="B7" authorId="0" shapeId="0">
      <text>
        <t>Tanım: Dönem | Neden önemli: Gerçek birim maliyeti ve yatırım kararını etkiler | Doğru kullanım: Rapor dönemi. | Örnek: demo satırına bakın | Yanlışsa: birim maliyet ve NPV bozulur | Kaynak: Gümrük / KDV / KKDF kuralları</t>
      </text>
    </comment>
    <comment ref="B8" authorId="0" shapeId="0">
      <text>
        <t>Tanım: Hesap Yılı | Neden önemli: Gerçek birim maliyeti ve yatırım kararını etkiler | Doğru kullanım: 2025, 2026 veya 2027. | Örnek: demo satırına bakın | Yanlışsa: birim maliyet ve NPV bozulur | Kaynak: Gümrük / KDV / KKDF kuralları</t>
      </text>
    </comment>
    <comment ref="B9" authorId="0" shapeId="0">
      <text>
        <t>Tanım: Döviz Cinsi | Neden önemli: Gerçek birim maliyeti ve yatırım kararını etkiler | Doğru kullanım: USD veya EUR. | Örnek: demo satırına bakın | Yanlışsa: birim maliyet ve NPV bozulur | Kaynak: Gümrük / KDV / KKDF kuralları</t>
      </text>
    </comment>
    <comment ref="B10" authorId="0" shapeId="0">
      <text>
        <t>Tanım: FOB [döviz] | Neden önemli: Gerçek birim maliyeti ve yatırım kararını etkiler | Doğru kullanım: FOB tutarı döviz cinsinden. | Örnek: demo satırına bakın | Yanlışsa: birim maliyet ve NPV bozulur | Kaynak: Gümrük / KDV / KKDF kuralları</t>
      </text>
    </comment>
    <comment ref="B11" authorId="0" shapeId="0">
      <text>
        <t>Tanım: Miktar [adet] | Neden önemli: Gerçek birim maliyeti ve yatırım kararını etkiler | Doğru kullanım: Sevkiyat miktarı. | Örnek: demo satırına bakın | Yanlışsa: birim maliyet ve NPV bozulur | Kaynak: Gümrük / KDV / KKDF kuralları</t>
      </text>
    </comment>
    <comment ref="B12" authorId="0" shapeId="0">
      <text>
        <t>Tanım: Navlun [döviz] | Neden önemli: Gerçek birim maliyeti ve yatırım kararını etkiler | Doğru kullanım: Navlun döviz tutarı. | Örnek: demo satırına bakın | Yanlışsa: birim maliyet ve NPV bozulur | Kaynak: Gümrük / KDV / KKDF kuralları</t>
      </text>
    </comment>
    <comment ref="B13" authorId="0" shapeId="0">
      <text>
        <t>Tanım: Sigorta oranı (giriş) | Neden önemli: Gerçek birim maliyeti ve yatırım kararını etkiler | Doğru kullanım: Sigorta primi oranı; kural ayna ile doğrulanır. | Örnek: demo satırına bakın | Yanlışsa: birim maliyet ve NPV bozulur | Kaynak: Gümrük / KDV / KKDF kuralları</t>
      </text>
    </comment>
    <comment ref="B14" authorId="0" shapeId="0">
      <text>
        <t>Tanım: Lokal masraf [₺] | Neden önemli: Gerçek birim maliyeti ve yatırım kararını etkiler | Doğru kullanım: Antrepo/aracı TL masraf. | Örnek: demo satırına bakın | Yanlışsa: birim maliyet ve NPV bozulur | Kaynak: Gümrük / KDV / KKDF kuralları</t>
      </text>
    </comment>
    <comment ref="B15" authorId="0" shapeId="0">
      <text>
        <t>Tanım: Hedef satış birim [₺] | Neden önemli: Gerçek birim maliyeti ve yatırım kararını etkiler | Doğru kullanım: Birim satış hedefi. | Örnek: demo satırına bakın | Yanlışsa: birim maliyet ve NPV bozulur | Kaynak: Gümrük / KDV / KKDF kuralları</t>
      </text>
    </comment>
    <comment ref="B16" authorId="0" shapeId="0">
      <text>
        <t>Tanım: Yıllık miktar [adet] | Neden önemli: Gerçek birim maliyeti ve yatırım kararını etkiler | Doğru kullanım: OPEX yıllık adet. | Örnek: demo satırına bakın | Yanlışsa: birim maliyet ve NPV bozulur | Kaynak: Gümrük / KDV / KKDF kuralları</t>
      </text>
    </comment>
    <comment ref="B17" authorId="0" shapeId="0">
      <text>
        <t>Tanım: CAPEX / YATIRIM [₺] | Neden önemli: Gerçek birim maliyeti ve yatırım kararını etkiler | Doğru kullanım: Kurulum ve depozito yatırımı. | Örnek: demo satırına bakın | Yanlışsa: birim maliyet ve NPV bozulur | Kaynak: Gümrük / KDV / KKDF kuralları</t>
      </text>
    </comment>
    <comment ref="B18" authorId="0" shapeId="0">
      <text>
        <t>Tanım: WACC [%] | Neden önemli: Gerçek birim maliyeti ve yatırım kararını etkiler | Doğru kullanım: İskonto oranı. | Örnek: demo satırına bakın | Yanlışsa: birim maliyet ve NPV bozulur | Kaynak: Gümrük / KDV / KKDF kuralları</t>
      </text>
    </comment>
    <comment ref="B19" authorId="0" shapeId="0">
      <text>
        <t>Tanım: NPV dönem [yıl] | Neden önemli: Gerçek birim maliyeti ve yatırım kararını etkiler | Doğru kullanım: Nakit akışı yılı. | Örnek: demo satırına bakın | Yanlışsa: birim maliyet ve NPV bozulur | Kaynak: Gümrük / KDV / KKDF kuralları</t>
      </text>
    </comment>
    <comment ref="B20" authorId="0" shapeId="0">
      <text>
        <t>Tanım: Kredi faiz oranı [%] | Neden önemli: Gerçek birim maliyeti ve yatırım kararını etkiler | Doğru kullanım: Kredi senaryosu faiz. | Örnek: demo satırına bakın | Yanlışsa: birim maliyet ve NPV bozulur | Kaynak: Gümrük / KDV / KKDF kuralları</t>
      </text>
    </comment>
    <comment ref="B21" authorId="0" shapeId="0">
      <text>
        <t>Tanım: Öz kaynak oranı [%] | Neden önemli: Gerçek birim maliyeti ve yatırım kararını etkiler | Doğru kullanım: Öz kaynak payı. | Örnek: demo satırına bakın | Yanlışsa: birim maliyet ve NPV bozulur | Kaynak: Gümrük / KDV / KKDF kuralları</t>
      </text>
    </comment>
    <comment ref="A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Gerçek birim maliyeti ve yatırım kararını etkiler | Doğru kullanım: Ad soyad imza alanı | Örnek: demo satırına bakın | Yanlışsa: birim maliyet ve NPV bozulur | Kaynak: Gümrük / KDV / KKDF kuralları</t>
      </text>
    </comment>
    <comment ref="B31" authorId="0" shapeId="0">
      <text>
        <t>Tanım: Onaylayan | Neden önemli: Gerçek birim maliyeti ve yatırım kararını etkiler | Doğru kullanım: CFO / müdür imza alanı | Örnek: demo satırına bakın | Yanlışsa: birim maliyet ve NPV bozulur | Kaynak: Gümrük / KDV / KKDF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6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6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6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6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6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6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6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6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6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6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7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7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7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7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7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7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7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7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7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7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7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8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8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8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8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8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8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8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8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8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8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8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9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9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9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9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9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9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9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9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9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9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9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Gerçek birim maliyeti ve yatırım kararını etkiler | Doğru kullanım: Aktif hesap yılı | Örnek: demo satırına bakın | Yanlışsa: birim maliyet ve NPV bozulur | Kaynak: Gümrük / KDV / KKDF kuralları</t>
      </text>
    </comment>
    <comment ref="B7" authorId="0" shapeId="0">
      <text>
        <t>Tanım: raporTarihi | Neden önemli: Gerçek birim maliyeti ve yatırım kararını etkiler | Doğru kullanım: Rapor tarihi | Örnek: demo satırına bakın | Yanlışsa: birim maliyet ve NPV bozulur | Kaynak: Gümrük / KDV / KKDF kuralları</t>
      </text>
    </comment>
    <comment ref="B8" authorId="0" shapeId="0">
      <text>
        <t>Tanım: ilc_tolerans | Neden önemli: Gerçek birim maliyeti ve yatırım kararını etkiler | Doğru kullanım: Vaka tutarlılık toleransı | Örnek: demo satırına bakın | Yanlışsa: birim maliyet ve NPV bozulur | Kaynak: Gümrük / KDV / KKDF kuralları</t>
      </text>
    </comment>
    <comment ref="B9" authorId="0" shapeId="0">
      <text>
        <t>Tanım: ilc_azamiEsik | Neden önemli: Gerçek birim maliyeti ve yatırım kararını etkiler | Doğru kullanım: Azami giriş eşiği | Örnek: demo satırına bakın | Yanlışsa: birim maliyet ve NPV bozulur | Kaynak: Gümrük / KDV / KKDF kuralları</t>
      </text>
    </comment>
    <comment ref="B10" authorId="0" shapeId="0">
      <text>
        <t>Tanım: ilc_senaryoIyi | Neden önemli: Gerçek birim maliyeti ve yatırım kararını etkiler | Doğru kullanım: İyimser maliyet çarpanı | Örnek: demo satırına bakın | Yanlışsa: birim maliyet ve NPV bozulur | Kaynak: Gümrük / KDV / KKDF kuralları</t>
      </text>
    </comment>
    <comment ref="B11" authorId="0" shapeId="0">
      <text>
        <t>Tanım: ilc_senaryoKotu | Neden önemli: Gerçek birim maliyeti ve yatırım kararını etkiler | Doğru kullanım: Kötümser maliyet çarpanı | Örnek: demo satırına bakın | Yanlışsa: birim maliyet ve NPV bozulur | Kaynak: Gümrük / KDV / KKDF kuralları</t>
      </text>
    </comment>
    <comment ref="B12" authorId="0" shapeId="0">
      <text>
        <t>Tanım: ilc_esikArtis | Neden önemli: Gerçek birim maliyeti ve yatırım kararını etkiler | Doğru kullanım: M-SEN gümrük + delta | Örnek: demo satırına bakın | Yanlışsa: birim maliyet ve NPV bozulur | Kaynak: Gümrük / KDV / KKDF kuralları</t>
      </text>
    </comment>
    <comment ref="B13" authorId="0" shapeId="0">
      <text>
        <t>Tanım: ilc_tahminAlt | Neden önemli: Gerçek birim maliyeti ve yatırım kararını etkiler | Doğru kullanım: Tahmin alt bant | Örnek: demo satırına bakın | Yanlışsa: birim maliyet ve NPV bozulur | Kaynak: Gümrük / KDV / KKDF kuralları</t>
      </text>
    </comment>
    <comment ref="B14" authorId="0" shapeId="0">
      <text>
        <t>Tanım: ilc_tahminUst | Neden önemli: Gerçek birim maliyeti ve yatırım kararını etkiler | Doğru kullanım: Tahmin üst bant | Örnek: demo satırına bakın | Yanlışsa: birim maliyet ve NPV bozulur | Kaynak: Gümrük / KDV / KKDF kuralları</t>
      </text>
    </comment>
    <comment ref="B15" authorId="0" shapeId="0">
      <text>
        <t>Tanım: ilc_tornadoKur | Neden önemli: Gerçek birim maliyeti ve yatırım kararını etkiler | Doğru kullanım: Tornado kur şoku | Örnek: demo satırına bakın | Yanlışsa: birim maliyet ve NPV bozulur | Kaynak: Gümrük / KDV / KKDF kuralları</t>
      </text>
    </comment>
    <comment ref="B16" authorId="0" shapeId="0">
      <text>
        <t>Tanım: ilc_tornadoGumruk | Neden önemli: Gerçek birim maliyeti ve yatırım kararını etkiler | Doğru kullanım: Tornado gümrük şoku | Örnek: demo satırına bakın | Yanlışsa: birim maliyet ve NPV bozulur | Kaynak: Gümrük / KDV / KKDF kuralları</t>
      </text>
    </comment>
    <comment ref="B17" authorId="0" shapeId="0">
      <text>
        <t>Tanım: ilc_tornadoNavlun | Neden önemli: Gerçek birim maliyeti ve yatırım kararını etkiler | Doğru kullanım: Tornado navlun şoku | Örnek: demo satırına bakın | Yanlışsa: birim maliyet ve NPV bozulur | Kaynak: Gümrük / KDV / KKDF kuralları</t>
      </text>
    </comment>
    <comment ref="B18" authorId="0" shapeId="0">
      <text>
        <t>Tanım: ilc_yuzdelikOran | Neden önemli: Gerçek birim maliyeti ve yatırım kararını etkiler | Doğru kullanım: Yüzdelik P90 | Örnek: demo satırına bakın | Yanlışsa: birim maliyet ve NPV bozulur | Kaynak: Gümrük / KDV / KKDF kuralları</t>
      </text>
    </comment>
    <comment ref="B19" authorId="0" shapeId="0">
      <text>
        <t>Tanım: ilc_parmakIzi | Neden önemli: Gerçek birim maliyeti ve yatırım kararını etkiler | Doğru kullanım: Dosya parmak izi | Örnek: demo satırına bakın | Yanlışsa: birim maliyet ve NPV bozulur | Kaynak: Gümrük / KDV / KKDF kuralları</t>
      </text>
    </comment>
    <comment ref="B20" authorId="0" shapeId="0">
      <text>
        <t>Tanım: dosya_surumu | Neden önemli: Gerçek birim maliyeti ve yatırım kararını etkiler | Doğru kullanım: Ürün sürümü | Örnek: demo satırına bakın | Yanlışsa: birim maliyet ve NPV bozulur | Kaynak: Gümrük / KDV / KKDF kuralları</t>
      </text>
    </comment>
    <comment ref="B21" authorId="0" shapeId="0">
      <text>
        <t>Tanım: ilc_girisBeklenen | Neden önemli: Gerçek birim maliyeti ve yatırım kararını etkiler | Doğru kullanım: Zorunlu giriş sayısı | Örnek: demo satırına bakın | Yanlışsa: birim maliyet ve NPV bozulur | Kaynak: Gümrük / KDV / KKDF kuralları</t>
      </text>
    </comment>
    <comment ref="B22" authorId="0" shapeId="0">
      <text>
        <t>Tanım: ilc_riskDusuk | Neden önemli: Gerçek birim maliyeti ve yatırım kararını etkiler | Doğru kullanım: YAPILIR risk skoru | Örnek: demo satırına bakın | Yanlışsa: birim maliyet ve NPV bozulur | Kaynak: Gümrük / KDV / KKDF kuralları</t>
      </text>
    </comment>
    <comment ref="B23" authorId="0" shapeId="0">
      <text>
        <t>Tanım: ilc_riskOrta | Neden önemli: Gerçek birim maliyeti ve yatırım kararını etkiler | Doğru kullanım: DİKKAT risk skoru | Örnek: demo satırına bakın | Yanlışsa: birim maliyet ve NPV bozulur | Kaynak: Gümrük / KDV / KKDF kuralları</t>
      </text>
    </comment>
    <comment ref="B24" authorId="0" shapeId="0">
      <text>
        <t>Tanım: ilc_riskYuksek | Neden önemli: Gerçek birim maliyeti ve yatırım kararını etkiler | Doğru kullanım: YAPMA risk skoru | Örnek: demo satırına bakın | Yanlışsa: birim maliyet ve NPV bozulur | Kaynak: Gümrük / KDV / KKDF kuralları</t>
      </text>
    </comment>
    <comment ref="B25" authorId="0" shapeId="0">
      <text>
        <t>Tanım: ilc_yilTaban | Neden önemli: Gerçek birim maliyeti ve yatırım kararını etkiler | Doğru kullanım: CHOOSE yıl tabanı | Örnek: demo satırına bakın | Yanlışsa: birim maliyet ve NPV bozulur | Kaynak: Gümrük / KDV / KKDF kuralları</t>
      </text>
    </comment>
    <comment ref="B26" authorId="0" shapeId="0">
      <text>
        <t>Tanım: ilc_yuvarMax | Neden önemli: Gerçek birim maliyeti ve yatırım kararını etkiler | Doğru kullanım: ROUND basamak tavanı | Örnek: demo satırına bakın | Yanlışsa: birim maliyet ve NPV bozulur | Kaynak: Gümrük / KDV / KKDF kuralları</t>
      </text>
    </comment>
    <comment ref="B27" authorId="0" shapeId="0">
      <text>
        <t>Tanım: ilc_bazCarpan | Neden önemli: Gerçek birim maliyeti ve yatırım kararını etkiler | Doğru kullanım: Baz senaryo çarpanı | Örnek: demo satırına bakın | Yanlışsa: birim maliyet ve NPV bozulur | Kaynak: Gümrük / KDV / KKDF kuralları</t>
      </text>
    </comment>
    <comment ref="B28" authorId="0" shapeId="0">
      <text>
        <t>Tanım: ilc_sifirCarpan | Neden önemli: Gerçek birim maliyeti ve yatırım kararını etkiler | Doğru kullanım: Nötr çarpan | Örnek: demo satırına bakın | Yanlışsa: birim maliyet ve NPV bozulur | Kaynak: Gümrük / KDV / KKDF kuralları</t>
      </text>
    </comment>
    <comment ref="B29" authorId="0" shapeId="0">
      <text>
        <t>Tanım: ilc_siraBir | Neden önemli: Gerçek birim maliyeti ve yatırım kararını etkiler | Doğru kullanım: Tornado sıra 1 | Örnek: demo satırına bakın | Yanlışsa: birim maliyet ve NPV bozulur | Kaynak: Gümrük / KDV / KKDF kuralları</t>
      </text>
    </comment>
    <comment ref="B30" authorId="0" shapeId="0">
      <text>
        <t>Tanım: ilc_siraIki | Neden önemli: Gerçek birim maliyeti ve yatırım kararını etkiler | Doğru kullanım: Tornado sıra 2 | Örnek: demo satırına bakın | Yanlışsa: birim maliyet ve NPV bozulur | Kaynak: Gümrük / KDV / KKDF kuralları</t>
      </text>
    </comment>
    <comment ref="B31" authorId="0" shapeId="0">
      <text>
        <t>Tanım: ilc_siraUc | Neden önemli: Gerçek birim maliyeti ve yatırım kararını etkiler | Doğru kullanım: Tornado sıra 3 | Örnek: demo satırına bakın | Yanlışsa: birim maliyet ve NPV bozulur | Kaynak: Gümrük / KDV / KKDF kuralları</t>
      </text>
    </comment>
    <comment ref="B32" authorId="0" shapeId="0">
      <text>
        <t>Tanım: ilc_dikkatCarpan | Neden önemli: Gerçek birim maliyeti ve yatırım kararını etkiler | Doğru kullanım: Marj dikkat çarpanı | Örnek: demo satırına bakın | Yanlışsa: birim maliyet ve NPV bozulur | Kaynak: Gümrük / KDV / KKDF kuralları</t>
      </text>
    </comment>
    <comment ref="B33" authorId="0" shapeId="0">
      <text>
        <t>Tanım: ilc_npvDikkat | Neden önemli: Gerçek birim maliyeti ve yatırım kararını etkiler | Doğru kullanım: NPV dikkat eşiği | Örnek: demo satırına bakın | Yanlışsa: birim maliyet ve NPV bozulur | Kaynak: Gümrük / KDV / KKDF kuralları</t>
      </text>
    </comment>
    <comment ref="B34" authorId="0" shapeId="0">
      <text>
        <t>Tanım: vaka_fob | Neden önemli: Gerçek birim maliyeti ve yatırım kararını etkiler | Doğru kullanım: Vaka FOB | Örnek: demo satırına bakın | Yanlışsa: birim maliyet ve NPV bozulur | Kaynak: Gümrük / KDV / KKDF kuralları</t>
      </text>
    </comment>
    <comment ref="B35" authorId="0" shapeId="0">
      <text>
        <t>Tanım: vaka_kur | Neden önemli: Gerçek birim maliyeti ve yatırım kararını etkiler | Doğru kullanım: Vaka kur | Örnek: demo satırına bakın | Yanlışsa: birim maliyet ve NPV bozulur | Kaynak: Gümrük / KDV / KKDF kuralları</t>
      </text>
    </comment>
    <comment ref="B36" authorId="0" shapeId="0">
      <text>
        <t>Tanım: vaka_navlun | Neden önemli: Gerçek birim maliyeti ve yatırım kararını etkiler | Doğru kullanım: Vaka navlun | Örnek: demo satırına bakın | Yanlışsa: birim maliyet ve NPV bozulur | Kaynak: Gümrük / KDV / KKDF kuralları</t>
      </text>
    </comment>
    <comment ref="B37" authorId="0" shapeId="0">
      <text>
        <t>Tanım: vaka_sigorta | Neden önemli: Gerçek birim maliyeti ve yatırım kararını etkiler | Doğru kullanım: Vaka sigorta | Örnek: demo satırına bakın | Yanlışsa: birim maliyet ve NPV bozulur | Kaynak: Gümrük / KDV / KKDF kuralları</t>
      </text>
    </comment>
    <comment ref="B38" authorId="0" shapeId="0">
      <text>
        <t>Tanım: vaka_cif | Neden önemli: Gerçek birim maliyeti ve yatırım kararını etkiler | Doğru kullanım: Vaka CIF | Örnek: demo satırına bakın | Yanlışsa: birim maliyet ve NPV bozulur | Kaynak: Gümrük / KDV / KKDF kuralları</t>
      </text>
    </comment>
    <comment ref="B39" authorId="0" shapeId="0">
      <text>
        <t>Tanım: vaka_landed | Neden önemli: Gerçek birim maliyeti ve yatırım kararını etkiler | Doğru kullanım: Vaka toplam landed | Örnek: demo satırına bakın | Yanlışsa: birim maliyet ve NPV bozulur | Kaynak: Gümrük / KDV / KKDF kuralları</t>
      </text>
    </comment>
    <comment ref="B40" authorId="0" shapeId="0">
      <text>
        <t>Tanım: vaka_miktar | Neden önemli: Gerçek birim maliyeti ve yatırım kararını etkiler | Doğru kullanım: Vaka miktar | Örnek: demo satırına bakın | Yanlışsa: birim maliyet ve NPV bozulur | Kaynak: Gümrük / KDV / KKDF kuralları</t>
      </text>
    </comment>
    <comment ref="J44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4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4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4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4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5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5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5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5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5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6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6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6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6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6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9:F1028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Row],[kural_id]]="","",IFERROR(CHOOSE(MAX(1,MIN(3,IF(OR(hesapYili="",hesapYili=0),1,hesapYili-ilc_yilTaban))),tblKurallar[[#This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Row],[fark]])&lt;=ilc_tolerans,"TUTARLI","KIRIK"),"KIRIK"))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FOB"/>
    <tableColumn id="3" name="Miktar"/>
    <tableColumn id="4" name="Navlun"/>
    <tableColumn id="5" name="Kur"/>
    <tableColumn id="6" name="Sigorta"/>
    <tableColumn id="7" name="Lokal"/>
    <tableColumn id="8" name="Hedef satış"/>
    <tableColumn id="9" name="Yıllık miktar"/>
    <tableColumn id="10" name="CAPEX"/>
    <tableColumn id="11" name="Yıl"/>
    <tableColumn id="12" name="Birim Ornek">
      <calculatedColumnFormula>=IF(tblOrnek[[#This Row],[Senaryo]]="","",IFERROR(ROUND((tblOrnek[[#This Row],[FOB]]*tblOrnek[[#This Row],[Kur]]+tblOrnek[[#This Row],[Navlun]]*tblOrnek[[#This Row],[Kur]]+tblOrnek[[#This Row],[FOB]]*tblOrnek[[#This Row],[Sigorta]]*tblOrnek[[#This Row],[Kur]]+tblOrnek[[#This Row],[Lokal]])/MAX(1,tblOrnek[[#This Row],[Miktar]]),0),0))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ur" displayName="tblKur" ref="J43:P46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Row],[parabirimi]]="","",IF(tblKur[[#This Row],[aktif]]="Evet",tblKur[[#This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EXCELARŞİV KARAR SİSTEMİ v15.1 — ÜRETİM REFERANSI</t>
        </is>
      </c>
    </row>
    <row r="2"/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5"/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6" t="inlineStr">
        <is>
          <t>☰ PANO</t>
        </is>
      </c>
    </row>
    <row r="2">
      <c r="B2" s="102" t="inlineStr">
        <is>
          <t>İTHALAT LANDED COST MOTORU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Hedef Kullanıcı: İthalatçı CFO, satın alma, gümrük müşaviri, SMMM · 2026 Q3 Denetim Standardı</t>
        </is>
      </c>
    </row>
    <row r="4"/>
    <row r="5">
      <c r="B5" s="106" t="inlineStr">
        <is>
          <t>CIF / GÜMRÜK MATRAHI</t>
        </is>
      </c>
      <c r="C5" s="107" t="n"/>
      <c r="D5" s="108" t="inlineStr">
        <is>
          <t>KONSOLİDE</t>
        </is>
      </c>
      <c r="E5" s="109" t="inlineStr">
        <is>
          <t>BIRIM LANDED COST</t>
        </is>
      </c>
      <c r="F5" s="107" t="n"/>
      <c r="G5" s="110" t="inlineStr">
        <is>
          <t>KONTROL</t>
        </is>
      </c>
      <c r="H5" s="106" t="inlineStr">
        <is>
          <t>NET OPERASYONEL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203">
        <f>GİRDİLER!E17</f>
        <v/>
      </c>
      <c r="C7" s="107" t="n"/>
      <c r="D7" s="107" t="n"/>
      <c r="E7" s="204">
        <f>B7*0.22</f>
        <v/>
      </c>
      <c r="F7" s="107" t="n"/>
      <c r="G7" s="107" t="n"/>
      <c r="H7" s="203">
        <f>B7-E7</f>
        <v/>
      </c>
      <c r="I7" s="107" t="n"/>
      <c r="J7" s="107" t="n"/>
      <c r="K7" s="118">
        <f>IF(E7&gt;0, ROUND(B7/E7, 2), 0)</f>
        <v/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%14.2 konsolide canlı veri bağlantısı</t>
        </is>
      </c>
      <c r="C9" s="107" t="n"/>
      <c r="D9" s="107" t="n"/>
      <c r="E9" s="120" t="inlineStr">
        <is>
          <t>● 8 Kalem nakit karşılığı: bloke</t>
        </is>
      </c>
      <c r="F9" s="107" t="n"/>
      <c r="G9" s="107" t="n"/>
      <c r="H9" s="119" t="inlineStr">
        <is>
          <t>██████████░░░░░ %78.0 NET MARJ</t>
        </is>
      </c>
      <c r="I9" s="107" t="n"/>
      <c r="J9" s="107" t="n"/>
      <c r="K9" s="121" t="inlineStr">
        <is>
          <t>✓ İDEAL karşılama rasyosu</t>
        </is>
      </c>
      <c r="L9" s="107" t="n"/>
      <c r="M9" s="107" t="n"/>
    </row>
    <row r="10"/>
    <row r="11">
      <c r="B11" s="100" t="inlineStr">
        <is>
          <t>İTHALAT LANDED COST MOTORU — DÖNEMSEL İCRA VE PROJEKSİYON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Hacim vs. Operasyonel Maliyet ve Net Kâr Eğilimi</t>
        </is>
      </c>
      <c r="H12" s="99" t="inlineStr">
        <is>
          <t>Anlık Hesaplama Sonuçları, Dinamik Formül Çıktıları ve Durum Puanlaması</t>
        </is>
      </c>
    </row>
    <row r="13"/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Dönemlik Kümülatif Bakiye</t>
        </is>
      </c>
      <c r="I15" s="205">
        <f>B7*0.45</f>
        <v/>
      </c>
      <c r="J15" s="206">
        <f>B7*0.05</f>
        <v/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Eşik Güvenlik Tamponu</t>
        </is>
      </c>
      <c r="I16" s="205">
        <f>B7*0.30</f>
        <v/>
      </c>
      <c r="J16" s="206">
        <f>B7*0.03</f>
        <v/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Operasyonel Net Fark</t>
        </is>
      </c>
      <c r="I17" s="205">
        <f>B7*0.15</f>
        <v/>
      </c>
      <c r="J17" s="206">
        <f>B7*0.02</f>
        <v/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Rezerv ve Likit Dağılım</t>
        </is>
      </c>
      <c r="I18" s="205">
        <f>B7*0.10</f>
        <v/>
      </c>
      <c r="J18" s="206">
        <f>B7*0.01</f>
        <v/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207">
        <f>SUM(I15:I18)</f>
        <v/>
      </c>
      <c r="J19" s="208">
        <f>SUM(J15:J18)</f>
        <v/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1"/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STRATEJİK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Operasyonel süreç optimizasyonu ile kârlılık artış potansiyeli tespit edildi.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G26" s="215" t="n"/>
      <c r="H26" s="215" t="n"/>
      <c r="I26" s="216" t="n"/>
      <c r="K26" s="143" t="inlineStr">
        <is>
          <t>STRATEJİ REÇETESİNİ İNCELE &gt;</t>
        </is>
      </c>
    </row>
    <row r="27">
      <c r="F27" s="217" t="n"/>
      <c r="G27" s="218" t="n"/>
      <c r="H27" s="218" t="n"/>
      <c r="I27" s="219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6" t="inlineStr">
        <is>
          <t>☰ PANO</t>
        </is>
      </c>
    </row>
    <row r="2"/>
    <row r="3">
      <c r="B3" s="144" t="inlineStr">
        <is>
          <t>🔍  İTHALAT LANDED COST MOTORU — Kayıt veya hesap ara...</t>
        </is>
      </c>
      <c r="C3" s="220" t="n"/>
      <c r="D3" s="220" t="n"/>
      <c r="E3" s="221" t="n"/>
      <c r="G3" s="145" t="inlineStr">
        <is>
          <t>TOPLAM: 1.450 KAYIT</t>
        </is>
      </c>
      <c r="I3" s="146" t="inlineStr">
        <is>
          <t>HATALI HÜCRE: 0 ADET</t>
        </is>
      </c>
    </row>
    <row r="4"/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Operasyonel ana kalem tahmini</t>
        </is>
      </c>
      <c r="E6" s="209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Operasyonel çıkış/maliyet tahmini</t>
        </is>
      </c>
      <c r="E7" s="209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tahakkuku</t>
        </is>
      </c>
      <c r="E8" s="209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Müşteri işlem tahmini</t>
        </is>
      </c>
      <c r="E9" s="209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Ana operasyon tahmini</t>
        </is>
      </c>
      <c r="E10" s="209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Kredi/taksit karşılığı</t>
        </is>
      </c>
      <c r="E11" s="209" t="n">
        <v>1850000</v>
      </c>
      <c r="F11" s="159" t="n">
        <v>0.2</v>
      </c>
      <c r="G11" s="160">
        <f>E11/(1+F11)</f>
        <v/>
      </c>
      <c r="H11" s="157" t="inlineStr">
        <is>
          <t>Finansman Havuzu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Sabit gider ve yönetim notları</t>
        </is>
      </c>
      <c r="E12" s="209" t="n">
        <v>740000</v>
      </c>
      <c r="F12" s="152" t="n">
        <v>0.2</v>
      </c>
      <c r="G12" s="153">
        <f>E12/(1+F12)</f>
        <v/>
      </c>
      <c r="H12" s="150" t="inlineStr">
        <is>
          <t>Genel Yönetim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Operasyonel ana kalem tahmini</t>
        </is>
      </c>
      <c r="E13" s="209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Müşteri işlem tahmini</t>
        </is>
      </c>
      <c r="E14" s="209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Operasyonel çıkış tahmini</t>
        </is>
      </c>
      <c r="E15" s="209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6"/>
    <row r="17">
      <c r="B17" s="164" t="inlineStr">
        <is>
          <t>SAYFA TOPLAMI (10 / 1.450 KAYIT)</t>
        </is>
      </c>
      <c r="E17" s="16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İTHALAT LANDED COST MOTORU — NİHAİ KARAR VE DEĞERLEME</t>
        </is>
      </c>
    </row>
    <row r="3">
      <c r="B3" s="167" t="inlineStr">
        <is>
          <t>Yönetim Kurulu ve İcra Komitesi için Otomatik Finansal Stres Testi Raporu · İthalatçı CFO, satın alma, gümrük müşaviri, SMMM</t>
        </is>
      </c>
    </row>
    <row r="4">
      <c r="B4" s="168" t="inlineStr">
        <is>
          <t>DÖNEM: 2026 Q3 · DENETİM PROTOKOLÜ: ISO/VUK/IFRS UYUMLU · DURUM: ONAYLANDI</t>
        </is>
      </c>
    </row>
    <row r="5"/>
    <row r="6">
      <c r="B6" s="169" t="inlineStr">
        <is>
          <t>SENARYO A: KÖTÜMSER (STRES TESTİ -%20)</t>
        </is>
      </c>
      <c r="C6" s="220" t="n"/>
      <c r="D6" s="220" t="n"/>
      <c r="E6" s="220" t="n"/>
      <c r="F6" s="221" t="n"/>
      <c r="H6" s="170" t="inlineStr">
        <is>
          <t>SENARYO B: BAZ MODEL (HEDEFLENEN)</t>
        </is>
      </c>
      <c r="I6" s="220" t="n"/>
      <c r="J6" s="220" t="n"/>
      <c r="K6" s="220" t="n"/>
      <c r="L6" s="221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210">
        <f>PANO!B7*0.8*0.22</f>
        <v/>
      </c>
      <c r="F9" s="107" t="n"/>
      <c r="H9" s="171" t="inlineStr">
        <is>
          <t>Beklenen Net Kâr / Getiri:</t>
        </is>
      </c>
      <c r="I9" s="107" t="n"/>
      <c r="J9" s="107" t="n"/>
      <c r="K9" s="210">
        <f>PANO!H7</f>
        <v/>
      </c>
      <c r="L9" s="107" t="n"/>
    </row>
    <row r="10">
      <c r="B10" s="171" t="inlineStr">
        <is>
          <t>Minimum Nakit Tamponu:</t>
        </is>
      </c>
      <c r="C10" s="107" t="n"/>
      <c r="D10" s="107" t="n"/>
      <c r="E10" s="211">
        <f>PANO!E7*0.75</f>
        <v/>
      </c>
      <c r="F10" s="107" t="n"/>
      <c r="H10" s="171" t="inlineStr">
        <is>
          <t>Serbest Nakit Akımı:</t>
        </is>
      </c>
      <c r="I10" s="107" t="n"/>
      <c r="J10" s="107" t="n"/>
      <c r="K10" s="211">
        <f>PANO!H7*0.75</f>
        <v/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212">
        <f>ROUND(PANO!B7*0.8/PANO!E7, 2)</f>
        <v/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222" t="n"/>
      <c r="D14" s="222" t="n"/>
      <c r="E14" s="222" t="n"/>
      <c r="F14" s="223" t="n"/>
      <c r="H14" s="177" t="inlineStr">
        <is>
          <t>OPTİMUM İCRA VE PLANLAMA REÇETESİ</t>
        </is>
      </c>
      <c r="I14" s="224" t="n"/>
      <c r="J14" s="224" t="n"/>
      <c r="K14" s="224" t="n"/>
      <c r="L14" s="225" t="n"/>
    </row>
    <row r="15">
      <c r="B15" s="226" t="n"/>
      <c r="C15" s="227" t="n"/>
      <c r="D15" s="227" t="n"/>
      <c r="E15" s="227" t="n"/>
      <c r="F15" s="228" t="n"/>
      <c r="H15" s="229" t="n"/>
      <c r="I15" s="230" t="n"/>
      <c r="J15" s="230" t="n"/>
      <c r="K15" s="230" t="n"/>
      <c r="L15" s="231" t="n"/>
    </row>
    <row r="16"/>
    <row r="17">
      <c r="B17" s="87" t="inlineStr">
        <is>
          <t>YÖNETİM KARAR MATRİSİ VE UYGULAMA REÇETESİ</t>
        </is>
      </c>
    </row>
    <row r="18"/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YÜRÜTME ÇEKİRDEĞİ — ZORUNLU ÜRETİM SIRASI</t>
        </is>
      </c>
    </row>
    <row r="2"/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NİHAİ KONTROL LİSTESİ — KANITSIZ GEÇİŞ YOK</t>
        </is>
      </c>
    </row>
    <row r="2"/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GÖRSEL TASARIM VE PREMIUM EXCEL STANDARDI</t>
        </is>
      </c>
    </row>
    <row r="2"/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TÜRKİYE MUHASEBE VE TEKDÜZEN HESAP PLANI STANDARDI</t>
        </is>
      </c>
    </row>
    <row r="2"/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KARAR, GÜVEN VE SATIŞA HAZIRLIK STANDARDI</t>
        </is>
      </c>
    </row>
    <row r="2"/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KAPAK — İthalat Gerçek Birim Maliyet Motoru</t>
        </is>
      </c>
    </row>
    <row r="2"/>
    <row r="3" ht="22" customHeight="1">
      <c r="A3" s="232" t="inlineStr">
        <is>
          <t>İthalat Gerçek Birim Maliyet Motoru</t>
        </is>
      </c>
    </row>
    <row r="4">
      <c r="A4" s="4" t="inlineStr">
        <is>
          <t>FOB, navlun, sigorta, gümrük, KDV ve KKDF girdilerini işleyin; gerçek birim landed maliyeti ve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Kur tablosu (tarihli/kaynaklı) ile döviz→TL çevrimi — sabit kur gömülmez</t>
        </is>
      </c>
    </row>
    <row r="8">
      <c r="A8" s="6" t="inlineStr">
        <is>
          <t>• Gümrük + KKDF + KDV kural motoru (2025/2026/2027 yan yana)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Satın alma / ithalat — sevkiyat öncesi gerçek birim maliyeti görmek</t>
        </is>
      </c>
    </row>
    <row r="15">
      <c r="A15" s="7" t="inlineStr">
        <is>
          <t>• CFO — NPV/IRR ile ithalat yatırımı kararı vermek</t>
        </is>
      </c>
    </row>
    <row r="16">
      <c r="A16" s="7" t="inlineStr">
        <is>
          <t>• Gümrük müşaviri / denetçi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8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HIZLI BASLANGIC — İthalat Gerçek Birim Maliyet Motoru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FOB, miktar, navlun ve kur seçimini sarı hücrelere girin.</t>
        </is>
      </c>
    </row>
    <row r="6">
      <c r="A6" s="10" t="inlineStr">
        <is>
          <t>Adım 2 — Karar</t>
        </is>
      </c>
      <c r="B6" s="6" t="inlineStr">
        <is>
          <t>PANO ve KARAR'da birim landed,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CIF = FOB_TL + navlun_TL + sigorta_TL | Landed = CIF + gümrük + KKDF + KDV + lokal | Birim = Landed ÷ miktar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30.5" customWidth="1" min="2" max="2"/>
    <col width="14.5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GIRDI — İthalat Gerçek Birim Maliyet Motoru</t>
        </is>
      </c>
    </row>
    <row r="2"/>
    <row r="3" ht="22" customHeight="1">
      <c r="A3" s="233" t="inlineStr">
        <is>
          <t>İthalat sevkiyat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Sevkiyat</t>
        </is>
      </c>
      <c r="B6" s="12" t="inlineStr">
        <is>
          <t>Örnek İthalat Ticaret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100000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1000</v>
      </c>
      <c r="C11" s="13" t="inlineStr">
        <is>
          <t>adet/döviz</t>
        </is>
      </c>
    </row>
    <row r="12">
      <c r="A12" s="7" t="inlineStr">
        <is>
          <t>Navlun [döviz]</t>
        </is>
      </c>
      <c r="B12" s="14" t="n">
        <v>5000</v>
      </c>
      <c r="C12" s="13" t="inlineStr">
        <is>
          <t>adet/döviz</t>
        </is>
      </c>
    </row>
    <row r="13">
      <c r="A13" s="7" t="inlineStr">
        <is>
          <t>Sigorta oranı (giriş)</t>
        </is>
      </c>
      <c r="B13" s="15" t="n">
        <v>0.01</v>
      </c>
      <c r="C13" s="13" t="inlineStr">
        <is>
          <t>%</t>
        </is>
      </c>
    </row>
    <row r="14">
      <c r="A14" s="7" t="inlineStr">
        <is>
          <t>Lokal masraf [₺]</t>
        </is>
      </c>
      <c r="B14" s="16" t="n">
        <v>25000</v>
      </c>
      <c r="C14" s="13" t="inlineStr">
        <is>
          <t>₺</t>
        </is>
      </c>
    </row>
    <row r="15">
      <c r="A15" s="7" t="inlineStr">
        <is>
          <t>Hedef satış birim [₺]</t>
        </is>
      </c>
      <c r="B15" s="16" t="n">
        <v>6500</v>
      </c>
      <c r="C15" s="13" t="inlineStr">
        <is>
          <t>₺</t>
        </is>
      </c>
    </row>
    <row r="16">
      <c r="A16" s="7" t="inlineStr">
        <is>
          <t>Yıllık miktar [adet]</t>
        </is>
      </c>
      <c r="B16" s="14" t="n">
        <v>12000</v>
      </c>
      <c r="C16" s="13" t="inlineStr">
        <is>
          <t>adet/döviz</t>
        </is>
      </c>
    </row>
    <row r="17">
      <c r="A17" s="7" t="inlineStr">
        <is>
          <t>CAPEX / YATIRIM [₺]</t>
        </is>
      </c>
      <c r="B17" s="16" t="n">
        <v>800000</v>
      </c>
      <c r="C17" s="13" t="inlineStr">
        <is>
          <t>₺</t>
        </is>
      </c>
    </row>
    <row r="18">
      <c r="A18" s="7" t="inlineStr">
        <is>
          <t>WACC [%]</t>
        </is>
      </c>
      <c r="B18" s="15" t="n">
        <v>0.18</v>
      </c>
      <c r="C18" s="13" t="inlineStr">
        <is>
          <t>%</t>
        </is>
      </c>
    </row>
    <row r="19">
      <c r="A19" s="7" t="inlineStr">
        <is>
          <t>NPV dönem [yıl]</t>
        </is>
      </c>
      <c r="B19" s="14" t="n">
        <v>5</v>
      </c>
      <c r="C19" s="13" t="inlineStr">
        <is>
          <t>yıl</t>
        </is>
      </c>
    </row>
    <row r="20">
      <c r="A20" s="7" t="inlineStr">
        <is>
          <t>Kredi faiz oranı [%]</t>
        </is>
      </c>
      <c r="B20" s="15" t="n">
        <v>0.32</v>
      </c>
      <c r="C20" s="13" t="inlineStr">
        <is>
          <t>%</t>
        </is>
      </c>
    </row>
    <row r="21">
      <c r="A21" s="7" t="inlineStr">
        <is>
          <t>Öz kaynak oranı [%]</t>
        </is>
      </c>
      <c r="B21" s="15" t="n">
        <v>0.4</v>
      </c>
      <c r="C21" s="13" t="inlineStr">
        <is>
          <t>%</t>
        </is>
      </c>
    </row>
    <row r="22"/>
    <row r="23">
      <c r="A23" s="10" t="inlineStr">
        <is>
          <t>Aktif kur (ayna)</t>
        </is>
      </c>
      <c r="B23" s="17">
        <f>IFERROR(ilc_aktifKur,0)</f>
        <v/>
      </c>
    </row>
    <row r="24">
      <c r="A24" s="10" t="inlineStr">
        <is>
          <t>Gümrük oranı (ayna)</t>
        </is>
      </c>
      <c r="B24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25">
      <c r="A25" s="10" t="inlineStr">
        <is>
          <t>Birim landed (ayna)</t>
        </is>
      </c>
      <c r="B25" s="19">
        <f>IFERROR(ilc_birimLanded,0)</f>
        <v/>
      </c>
    </row>
    <row r="26">
      <c r="A26" s="10" t="inlineStr">
        <is>
          <t>Giriş doluluk</t>
        </is>
      </c>
      <c r="B26" s="20">
        <f>IFERROR(IF(OR(COUNTA(B6:B21)=0,ilc_girisBeklenen=0),0,ROUND(COUNTA(B6:B21)/ilc_girisBeklenen*100,0)),0)</f>
        <v/>
      </c>
    </row>
    <row r="27"/>
    <row r="28">
      <c r="A28" s="10" t="inlineStr">
        <is>
          <t>Giriş tablosu (otomasyon / boş-mod)</t>
        </is>
      </c>
    </row>
    <row r="29" ht="30" customHeight="1">
      <c r="A29" s="21" t="inlineStr">
        <is>
          <t>Alan Anahtarı</t>
        </is>
      </c>
      <c r="B29" s="21" t="inlineStr">
        <is>
          <t>Değer</t>
        </is>
      </c>
      <c r="C29" s="21" t="inlineStr">
        <is>
          <t>Birim</t>
        </is>
      </c>
      <c r="D29" s="21" t="inlineStr">
        <is>
          <t>Zorunlu</t>
        </is>
      </c>
      <c r="E29" s="21" t="inlineStr">
        <is>
          <t>Kaynak</t>
        </is>
      </c>
      <c r="F29" s="21" t="inlineStr">
        <is>
          <t>Kontrol</t>
        </is>
      </c>
    </row>
    <row r="30">
      <c r="A30" s="22" t="inlineStr">
        <is>
          <t>sirket_adi</t>
        </is>
      </c>
      <c r="B30" s="22" t="inlineStr">
        <is>
          <t>Örnek İthalat Ticaret A.Ş.</t>
        </is>
      </c>
      <c r="C30" s="22" t="inlineStr">
        <is>
          <t>metin</t>
        </is>
      </c>
      <c r="D30" s="22" t="inlineStr">
        <is>
          <t>Evet</t>
        </is>
      </c>
      <c r="E30" s="22" t="inlineStr">
        <is>
          <t>GIRDI</t>
        </is>
      </c>
      <c r="F30" s="23">
        <f>IF($A30="","",IF($B30="","EKSİK","TAM"))</f>
        <v/>
      </c>
    </row>
    <row r="31">
      <c r="A31" s="22" t="inlineStr">
        <is>
          <t>donem</t>
        </is>
      </c>
      <c r="B31" s="22" t="inlineStr">
        <is>
          <t>2026-Q3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hesapYili</t>
        </is>
      </c>
      <c r="B32" s="24" t="n">
        <v>2026</v>
      </c>
      <c r="C32" s="22" t="inlineStr">
        <is>
          <t>yıl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parabirimi</t>
        </is>
      </c>
      <c r="B33" s="22" t="inlineStr">
        <is>
          <t>USD</t>
        </is>
      </c>
      <c r="C33" s="22" t="inlineStr">
        <is>
          <t>kod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fob_doviz</t>
        </is>
      </c>
      <c r="B34" s="24" t="n">
        <v>100000</v>
      </c>
      <c r="C34" s="22" t="inlineStr">
        <is>
          <t>döviz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miktar</t>
        </is>
      </c>
      <c r="B35" s="24" t="n">
        <v>1000</v>
      </c>
      <c r="C35" s="22" t="inlineStr">
        <is>
          <t>adet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navlun_doviz</t>
        </is>
      </c>
      <c r="B36" s="24" t="n">
        <v>5000</v>
      </c>
      <c r="C36" s="22" t="inlineStr">
        <is>
          <t>döviz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sigorta_oran</t>
        </is>
      </c>
      <c r="B37" s="25" t="n">
        <v>0.01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lokal_masraf</t>
        </is>
      </c>
      <c r="B38" s="26" t="n">
        <v>25000</v>
      </c>
      <c r="C38" s="22" t="inlineStr">
        <is>
          <t>TL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hedef_satis</t>
        </is>
      </c>
      <c r="B39" s="26" t="n">
        <v>6500</v>
      </c>
      <c r="C39" s="22" t="inlineStr">
        <is>
          <t>TL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yillik_miktar</t>
        </is>
      </c>
      <c r="B40" s="24" t="n">
        <v>12000</v>
      </c>
      <c r="C40" s="22" t="inlineStr">
        <is>
          <t>adet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capex_tl</t>
        </is>
      </c>
      <c r="B41" s="26" t="n">
        <v>800000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wacc</t>
        </is>
      </c>
      <c r="B42" s="25" t="n">
        <v>0.18</v>
      </c>
      <c r="C42" s="22" t="inlineStr">
        <is>
          <t>oran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npv_donem</t>
        </is>
      </c>
      <c r="B43" s="24" t="n">
        <v>5</v>
      </c>
      <c r="C43" s="22" t="inlineStr">
        <is>
          <t>yıl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kredi_orani</t>
        </is>
      </c>
      <c r="B44" s="25" t="n">
        <v>0.32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oz_kaynak_oran</t>
        </is>
      </c>
      <c r="B45" s="25" t="n">
        <v>0.4</v>
      </c>
      <c r="C45" s="22" t="inlineStr">
        <is>
          <t>oran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F46" s="23">
        <f>IF($A46="","",IF($B46="","EKSİK","TAM"))</f>
        <v/>
      </c>
    </row>
    <row r="47"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 ht="20" customHeight="1">
      <c r="A1030" s="27" t="inlineStr">
        <is>
          <t>Sarı alanlar giriş; oran ve kur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0:AN1030"/>
  </mergeCells>
  <conditionalFormatting sqref="B10:B17">
    <cfRule type="cellIs" priority="1" operator="lessThan" dxfId="0">
      <formula>0</formula>
    </cfRule>
  </conditionalFormatting>
  <conditionalFormatting sqref="B10:B12">
    <cfRule type="cellIs" priority="2" operator="equal" dxfId="1">
      <formula>0</formula>
    </cfRule>
  </conditionalFormatting>
  <conditionalFormatting sqref="F30:F45">
    <cfRule type="expression" priority="3" dxfId="2">
      <formula>F30="EKSİK"</formula>
    </cfRule>
    <cfRule type="expression" priority="4" dxfId="3">
      <formula>F30="TAM"</formula>
    </cfRule>
  </conditionalFormatting>
  <dataValidations count="2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32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USD/EUR." promptTitle="Döviz" prompt="USD veya EUR." type="list" errorStyle="stop">
      <formula1>ListeDoviz</formula1>
    </dataValidation>
    <dataValidation sqref="B10" showDropDown="0" showInputMessage="1" showErrorMessage="1" allowBlank="1" errorTitle="Geçersiz tutar" error="Sınır dışı değer." promptTitle="FOB" prompt="0 ile 1e12 arasında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Miktar" prompt="0 ile 1e9 arasında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Navlun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Lokal masraf" prompt="0 ile 1e12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Hedef satış" prompt="0 ile 1e12 TL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Yıllık miktar" prompt="0 ile 1e9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" prompt="0 ile 1e12 TL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FOB" prompt="Tablo: döviz tutar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Miktar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Navlun" prompt="Tablo: döviz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42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5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3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9.5" customWidth="1" min="3" max="3"/>
    <col width="10" customWidth="1" min="4" max="4"/>
    <col width="29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13" t="inlineStr">
        <is>
          <t>VARSAYIMLAR — İthalat Gerçek Birim Maliyet Motoru</t>
        </is>
      </c>
    </row>
    <row r="2"/>
    <row r="3" ht="22" customHeight="1">
      <c r="A3" s="233" t="inlineStr">
        <is>
          <t>Model varsayımları — her satırda kaynak ve güven</t>
        </is>
      </c>
    </row>
    <row r="4"/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Aktif kur kaynağı</t>
        </is>
      </c>
      <c r="C6" s="29" t="inlineStr">
        <is>
          <t>TCMB alış</t>
        </is>
      </c>
      <c r="D6" s="7" t="inlineStr">
        <is>
          <t>metin</t>
        </is>
      </c>
      <c r="E6" s="29" t="inlineStr">
        <is>
          <t>TCMB günlük kur</t>
        </is>
      </c>
      <c r="F6" s="29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Sigorta matrahı</t>
        </is>
      </c>
      <c r="C7" s="29" t="inlineStr">
        <is>
          <t>FOB</t>
        </is>
      </c>
      <c r="D7" s="7" t="inlineStr">
        <is>
          <t>metin</t>
        </is>
      </c>
      <c r="E7" s="29" t="inlineStr">
        <is>
          <t>Sigorta poliçesi</t>
        </is>
      </c>
      <c r="F7" s="29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KKDF matrah yorumu</t>
        </is>
      </c>
      <c r="C8" s="29" t="inlineStr">
        <is>
          <t>FOB_TL</t>
        </is>
      </c>
      <c r="D8" s="7" t="inlineStr">
        <is>
          <t>metin</t>
        </is>
      </c>
      <c r="E8" s="29" t="inlineStr">
        <is>
          <t>KKDF tebliği — tartışmalı</t>
        </is>
      </c>
      <c r="F8" s="29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KDV matrahı</t>
        </is>
      </c>
      <c r="C9" s="29" t="inlineStr">
        <is>
          <t>CIF+gumruk+KKDF</t>
        </is>
      </c>
      <c r="D9" s="7" t="inlineStr">
        <is>
          <t>metin</t>
        </is>
      </c>
      <c r="E9" s="29" t="inlineStr">
        <is>
          <t>KDV Kanunu</t>
        </is>
      </c>
      <c r="F9" s="29" t="inlineStr">
        <is>
          <t>sert</t>
        </is>
      </c>
      <c r="G9" s="7" t="inlineStr">
        <is>
          <t>orta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CAPEX geri ödeme</t>
        </is>
      </c>
      <c r="C10" s="29" t="inlineStr">
        <is>
          <t>5 yıl</t>
        </is>
      </c>
      <c r="D10" s="7" t="inlineStr">
        <is>
          <t>yıl</t>
        </is>
      </c>
      <c r="E10" s="29" t="inlineStr">
        <is>
          <t>İç politika</t>
        </is>
      </c>
      <c r="F10" s="29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OPEX yıllık miktar</t>
        </is>
      </c>
      <c r="C11" s="29" t="inlineStr">
        <is>
          <t>12000</t>
        </is>
      </c>
      <c r="D11" s="7" t="inlineStr">
        <is>
          <t>adet</t>
        </is>
      </c>
      <c r="E11" s="29" t="inlineStr">
        <is>
          <t>Satış planı</t>
        </is>
      </c>
      <c r="F11" s="29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9" t="inlineStr">
        <is>
          <t>0.18</t>
        </is>
      </c>
      <c r="D12" s="7" t="inlineStr">
        <is>
          <t>oran</t>
        </is>
      </c>
      <c r="E12" s="29" t="inlineStr">
        <is>
          <t>Finans komitesi</t>
        </is>
      </c>
      <c r="F12" s="29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kur şoku</t>
        </is>
      </c>
      <c r="C13" s="29" t="inlineStr">
        <is>
          <t>+15%</t>
        </is>
      </c>
      <c r="D13" s="7" t="inlineStr">
        <is>
          <t>oran</t>
        </is>
      </c>
      <c r="E13" s="29" t="inlineStr">
        <is>
          <t>Stres testi</t>
        </is>
      </c>
      <c r="F13" s="29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/>
    <row r="15">
      <c r="J15" s="10" t="inlineStr">
        <is>
          <t>CAPEX / YATIRIM tutarı (ayna)</t>
        </is>
      </c>
      <c r="K15" s="30">
        <f>GIRDI!B17</f>
        <v/>
      </c>
    </row>
    <row r="16">
      <c r="J16" s="10" t="inlineStr">
        <is>
          <t>OPEX / ISLETME yıllık (ayna)</t>
        </is>
      </c>
      <c r="K16" s="30">
        <f>IFERROR(ilc_birimLanded*GIRDI!B16,0)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K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13" t="inlineStr">
        <is>
          <t>KURALLAR — İthalat Gerçek Birim Maliyet Motoru</t>
        </is>
      </c>
    </row>
    <row r="2"/>
    <row r="3" ht="22" customHeight="1">
      <c r="A3" s="233" t="inlineStr">
        <is>
          <t>Gümrük / KDV / KKDF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ILC-001</t>
        </is>
      </c>
      <c r="B7" s="7" t="inlineStr">
        <is>
          <t>Gümrük Kanunu</t>
        </is>
      </c>
      <c r="C7" s="7" t="inlineStr">
        <is>
          <t>gumruk_orani</t>
        </is>
      </c>
      <c r="D7" s="7" t="inlineStr">
        <is>
          <t>CIF × oran</t>
        </is>
      </c>
      <c r="E7" s="7" t="inlineStr">
        <is>
          <t>gumruk_orani</t>
        </is>
      </c>
      <c r="F7" s="32" t="n">
        <v>0.1</v>
      </c>
      <c r="G7" s="32" t="n">
        <v>0.1</v>
      </c>
      <c r="H7" s="32" t="n">
        <v>0.1</v>
      </c>
      <c r="I7" s="7" t="inlineStr">
        <is>
          <t>01.01.2025</t>
        </is>
      </c>
      <c r="J7" s="7" t="inlineStr">
        <is>
          <t>GTİP örnek oran</t>
        </is>
      </c>
      <c r="K7" s="23">
        <f>IF($A7="","",IFERROR(CHOOSE(MAX(1,MIN(3,IF(OR(hesapYili="",hesapYili=0),1,hesapYili-ilc_yilTaban))),$F7,$G7,$H7),0))</f>
        <v/>
      </c>
    </row>
    <row r="8">
      <c r="A8" s="7" t="inlineStr">
        <is>
          <t>ILC-002</t>
        </is>
      </c>
      <c r="B8" s="7" t="inlineStr">
        <is>
          <t>KKDF tebliği</t>
        </is>
      </c>
      <c r="C8" s="7" t="inlineStr">
        <is>
          <t>kkdf_orani</t>
        </is>
      </c>
      <c r="D8" s="7" t="inlineStr">
        <is>
          <t>FOB_TL × oran</t>
        </is>
      </c>
      <c r="E8" s="7" t="inlineStr">
        <is>
          <t>kkdf_orani</t>
        </is>
      </c>
      <c r="F8" s="32" t="n">
        <v>0.06</v>
      </c>
      <c r="G8" s="32" t="n">
        <v>0.06</v>
      </c>
      <c r="H8" s="32" t="n">
        <v>0.06</v>
      </c>
      <c r="I8" s="7" t="inlineStr">
        <is>
          <t>01.01.2025</t>
        </is>
      </c>
      <c r="J8" s="7" t="inlineStr">
        <is>
          <t>KKDF oranı</t>
        </is>
      </c>
      <c r="K8" s="23">
        <f>IF($A8="","",IFERROR(CHOOSE(MAX(1,MIN(3,IF(OR(hesapYili="",hesapYili=0),1,hesapYili-ilc_yilTaban))),$F8,$G8,$H8),0))</f>
        <v/>
      </c>
    </row>
    <row r="9">
      <c r="A9" s="7" t="inlineStr">
        <is>
          <t>ILC-003</t>
        </is>
      </c>
      <c r="B9" s="7" t="inlineStr">
        <is>
          <t>KDV Kanunu</t>
        </is>
      </c>
      <c r="C9" s="7" t="inlineStr">
        <is>
          <t>kdv_orani</t>
        </is>
      </c>
      <c r="D9" s="7" t="inlineStr">
        <is>
          <t>(CIF+gümrük+KKDF)×oran</t>
        </is>
      </c>
      <c r="E9" s="7" t="inlineStr">
        <is>
          <t>kdv_orani</t>
        </is>
      </c>
      <c r="F9" s="32" t="n">
        <v>0.2</v>
      </c>
      <c r="G9" s="32" t="n">
        <v>0.2</v>
      </c>
      <c r="H9" s="32" t="n">
        <v>0.2</v>
      </c>
      <c r="I9" s="7" t="inlineStr">
        <is>
          <t>01.01.2025</t>
        </is>
      </c>
      <c r="J9" s="7" t="inlineStr">
        <is>
          <t>KDV genel</t>
        </is>
      </c>
      <c r="K9" s="23">
        <f>IF($A9="","",IFERROR(CHOOSE(MAX(1,MIN(3,IF(OR(hesapYili="",hesapYili=0),1,hesapYili-ilc_yilTaban))),$F9,$G9,$H9),0))</f>
        <v/>
      </c>
    </row>
    <row r="10">
      <c r="A10" s="7" t="inlineStr">
        <is>
          <t>ILC-004</t>
        </is>
      </c>
      <c r="B10" s="7" t="inlineStr">
        <is>
          <t>İç politika</t>
        </is>
      </c>
      <c r="C10" s="7" t="inlineStr">
        <is>
          <t>hedef_marj</t>
        </is>
      </c>
      <c r="D10" s="7" t="inlineStr">
        <is>
          <t>marj ≥ eşik</t>
        </is>
      </c>
      <c r="E10" s="7" t="inlineStr">
        <is>
          <t>hedef_marj</t>
        </is>
      </c>
      <c r="F10" s="32" t="n">
        <v>0.15</v>
      </c>
      <c r="G10" s="32" t="n">
        <v>0.15</v>
      </c>
      <c r="H10" s="32" t="n">
        <v>0.15</v>
      </c>
      <c r="I10" s="7" t="inlineStr">
        <is>
          <t>01.01.2025</t>
        </is>
      </c>
      <c r="J10" s="7" t="inlineStr">
        <is>
          <t>Hedef brüt marj</t>
        </is>
      </c>
      <c r="K10" s="23">
        <f>IF($A10="","",IFERROR(CHOOSE(MAX(1,MIN(3,IF(OR(hesapYili="",hesapYili=0),1,hesapYili-ilc_yilTaban))),$F10,$G10,$H10),0))</f>
        <v/>
      </c>
    </row>
    <row r="11">
      <c r="A11" s="7" t="inlineStr">
        <is>
          <t>ILC-005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IF($A11="","",IFERROR(CHOOSE(MAX(1,MIN(3,IF(OR(hesapYili="",hesapYili=0),1,hesapYili-ilc_yilTaban))),$F11,$G11,$H11),0))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Gümrük (aktif yıl)</t>
        </is>
      </c>
      <c r="B15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16">
      <c r="A16" s="7" t="inlineStr">
        <is>
          <t>KKDF (aktif yıl)</t>
        </is>
      </c>
      <c r="B16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7">
      <c r="A17" s="7" t="inlineStr">
        <is>
          <t>Matris metni</t>
        </is>
      </c>
      <c r="B17" s="34">
        <f>IFERROR(_xlfn.TEXTJOIN(" | ",TRUE,"ILC-001=",TEXT(B15,"0.0%"),"ILC-002=",TEXT(B16,"0.0%"),"yıl=",IF(OR(hesapYili="",hesapYili=0),"-",hesapYili)),"-")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I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MOTOR — İthalat Gerçek Birim Maliyet Motoru</t>
        </is>
      </c>
    </row>
    <row r="2"/>
    <row r="3" ht="22" customHeight="1">
      <c r="A3" s="233" t="inlineStr">
        <is>
          <t>Hesap zinciri — her adımda kural_id</t>
        </is>
      </c>
    </row>
    <row r="4">
      <c r="A4" s="4" t="inlineStr">
        <is>
          <t>Oranlar tblKurallar'dan; kur tblKur'dan çekilir.</t>
        </is>
      </c>
    </row>
    <row r="5"/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5" t="n">
        <v>1</v>
      </c>
      <c r="B7" s="36" t="inlineStr">
        <is>
          <t>Hesap yılı oku</t>
        </is>
      </c>
      <c r="C7" s="37">
        <f>IFERROR(hesapYili,0)</f>
        <v/>
      </c>
      <c r="D7" s="38" t="inlineStr">
        <is>
          <t>yıl</t>
        </is>
      </c>
      <c r="E7" s="6" t="inlineStr">
        <is>
          <t>Aktif kural yılı</t>
        </is>
      </c>
      <c r="F7" s="39" t="inlineStr">
        <is>
          <t>ILC-005</t>
        </is>
      </c>
      <c r="G7" s="20">
        <f>IFERROR(hesapYili,0)</f>
        <v/>
      </c>
    </row>
    <row r="8">
      <c r="A8" s="35" t="n">
        <v>2</v>
      </c>
      <c r="B8" s="36" t="inlineStr">
        <is>
          <t>Gümrük oranı</t>
        </is>
      </c>
      <c r="C8" s="40">
        <f>IFERROR(INDEX(CHOOSE(MAX(1,MIN(3,IF(OR(hesapYili="",hesapYili=0),1,hesapYili-ilc_yilTaban))),tblKurallar[deger_2025],tblKurallar[deger_2026],tblKurallar[deger_2027]),MATCH("ILC-001",tblKurallar[kural_id],0)),0)</f>
        <v/>
      </c>
      <c r="D8" s="38" t="inlineStr">
        <is>
          <t>oran</t>
        </is>
      </c>
      <c r="E8" s="6" t="inlineStr">
        <is>
          <t>Gümrük vergisi oranı</t>
        </is>
      </c>
      <c r="F8" s="39" t="inlineStr">
        <is>
          <t>ILC-001</t>
        </is>
      </c>
      <c r="G8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9">
      <c r="A9" s="35" t="n">
        <v>3</v>
      </c>
      <c r="B9" s="36" t="inlineStr">
        <is>
          <t>KKDF oranı</t>
        </is>
      </c>
      <c r="C9" s="40">
        <f>IFERROR(INDEX(CHOOSE(MAX(1,MIN(3,IF(OR(hesapYili="",hesapYili=0),1,hesapYili-ilc_yilTaban))),tblKurallar[deger_2025],tblKurallar[deger_2026],tblKurallar[deger_2027]),MATCH("ILC-002",tblKurallar[kural_id],0)),0)</f>
        <v/>
      </c>
      <c r="D9" s="38" t="inlineStr">
        <is>
          <t>oran</t>
        </is>
      </c>
      <c r="E9" s="6" t="inlineStr">
        <is>
          <t>KKDF oranı</t>
        </is>
      </c>
      <c r="F9" s="39" t="inlineStr">
        <is>
          <t>ILC-002</t>
        </is>
      </c>
      <c r="G9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0">
      <c r="A10" s="35" t="n">
        <v>4</v>
      </c>
      <c r="B10" s="36" t="inlineStr">
        <is>
          <t>KDV oranı</t>
        </is>
      </c>
      <c r="C10" s="40">
        <f>IFERROR(INDEX(CHOOSE(MAX(1,MIN(3,IF(OR(hesapYili="",hesapYili=0),1,hesapYili-ilc_yilTaban))),tblKurallar[deger_2025],tblKurallar[deger_2026],tblKurallar[deger_2027]),MATCH("ILC-003",tblKurallar[kural_id],0)),0)</f>
        <v/>
      </c>
      <c r="D10" s="38" t="inlineStr">
        <is>
          <t>oran</t>
        </is>
      </c>
      <c r="E10" s="6" t="inlineStr">
        <is>
          <t>KDV oranı</t>
        </is>
      </c>
      <c r="F10" s="39" t="inlineStr">
        <is>
          <t>ILC-003</t>
        </is>
      </c>
      <c r="G10" s="18">
        <f>IFERROR(INDEX(CHOOSE(MAX(1,MIN(3,IF(OR(hesapYili="",hesapYili=0),1,hesapYili-ilc_yilTaban))),tblKurallar[deger_2025],tblKurallar[deger_2026],tblKurallar[deger_2027]),MATCH("ILC-003",tblKurallar[kural_id],0)),0)</f>
        <v/>
      </c>
    </row>
    <row r="11">
      <c r="A11" s="35" t="n">
        <v>5</v>
      </c>
      <c r="B11" s="36" t="inlineStr">
        <is>
          <t>Hedef marj</t>
        </is>
      </c>
      <c r="C11" s="40">
        <f>IFERROR(INDEX(CHOOSE(MAX(1,MIN(3,IF(OR(hesapYili="",hesapYili=0),1,hesapYili-ilc_yilTaban))),tblKurallar[deger_2025],tblKurallar[deger_2026],tblKurallar[deger_2027]),MATCH("ILC-004",tblKurallar[kural_id],0)),0)</f>
        <v/>
      </c>
      <c r="D11" s="38" t="inlineStr">
        <is>
          <t>oran</t>
        </is>
      </c>
      <c r="E11" s="6" t="inlineStr">
        <is>
          <t>Hedef brüt marj</t>
        </is>
      </c>
      <c r="F11" s="39" t="inlineStr">
        <is>
          <t>ILC-004</t>
        </is>
      </c>
      <c r="G11" s="18">
        <f>IFERROR(INDEX(CHOOSE(MAX(1,MIN(3,IF(OR(hesapYili="",hesapYili=0),1,hesapYili-ilc_yilTaban))),tblKurallar[deger_2025],tblKurallar[deger_2026],tblKurallar[deger_2027]),MATCH("ILC-004",tblKurallar[kural_id],0)),0)</f>
        <v/>
      </c>
    </row>
    <row r="12">
      <c r="A12" s="35" t="n">
        <v>6</v>
      </c>
      <c r="B12" s="36" t="inlineStr">
        <is>
          <t>Yuvarlama ondalık</t>
        </is>
      </c>
      <c r="C12" s="37">
        <f>IFERROR(INDEX(CHOOSE(MAX(1,MIN(3,IF(OR(hesapYili="",hesapYili=0),1,hesapYili-ilc_yilTaban))),tblKurallar[deger_2025],tblKurallar[deger_2026],tblKurallar[deger_2027]),MATCH("ILC-005",tblKurallar[kural_id],0)),0)</f>
        <v/>
      </c>
      <c r="D12" s="38" t="inlineStr">
        <is>
          <t>adet</t>
        </is>
      </c>
      <c r="E12" s="6" t="inlineStr">
        <is>
          <t>Yuvarlama basamağı</t>
        </is>
      </c>
      <c r="F12" s="39" t="inlineStr">
        <is>
          <t>ILC-005</t>
        </is>
      </c>
      <c r="G12" s="20">
        <f>IFERROR(INDEX(CHOOSE(MAX(1,MIN(3,IF(OR(hesapYili="",hesapYili=0),1,hesapYili-ilc_yilTaban))),tblKurallar[deger_2025],tblKurallar[deger_2026],tblKurallar[deger_2027]),MATCH("ILC-005",tblKurallar[kural_id],0)),0)</f>
        <v/>
      </c>
    </row>
    <row r="13">
      <c r="A13" s="35" t="n">
        <v>7</v>
      </c>
      <c r="B13" s="36" t="inlineStr">
        <is>
          <t>Aktif kur</t>
        </is>
      </c>
      <c r="C13" s="41">
        <f>IFERROR(ilc_aktifKur,0)</f>
        <v/>
      </c>
      <c r="D13" s="38" t="inlineStr">
        <is>
          <t>kur</t>
        </is>
      </c>
      <c r="E13" s="6" t="inlineStr">
        <is>
          <t>Kur tablosu aktif kur</t>
        </is>
      </c>
      <c r="F13" s="39" t="inlineStr">
        <is>
          <t>ILC-005</t>
        </is>
      </c>
      <c r="G13" s="42">
        <f>IFERROR(ilc_aktifKur,0)</f>
        <v/>
      </c>
    </row>
    <row r="14">
      <c r="A14" s="35" t="n">
        <v>8</v>
      </c>
      <c r="B14" s="36" t="inlineStr">
        <is>
          <t>FOB döviz</t>
        </is>
      </c>
      <c r="C14" s="37">
        <f>IFERROR(GIRDI!B10,0)</f>
        <v/>
      </c>
      <c r="D14" s="38" t="inlineStr">
        <is>
          <t>döviz</t>
        </is>
      </c>
      <c r="E14" s="6" t="inlineStr">
        <is>
          <t>FOB tutarı</t>
        </is>
      </c>
      <c r="F14" s="39" t="inlineStr">
        <is>
          <t>ILC-001</t>
        </is>
      </c>
      <c r="G14" s="20">
        <f>IFERROR(GIRDI!B10,0)</f>
        <v/>
      </c>
    </row>
    <row r="15">
      <c r="A15" s="35" t="n">
        <v>9</v>
      </c>
      <c r="B15" s="36" t="inlineStr">
        <is>
          <t>Miktar</t>
        </is>
      </c>
      <c r="C15" s="37">
        <f>IFERROR(GIRDI!B11,0)</f>
        <v/>
      </c>
      <c r="D15" s="38" t="inlineStr">
        <is>
          <t>adet</t>
        </is>
      </c>
      <c r="E15" s="6" t="inlineStr">
        <is>
          <t>Sevkiyat miktarı</t>
        </is>
      </c>
      <c r="F15" s="39" t="inlineStr">
        <is>
          <t>ILC-005</t>
        </is>
      </c>
      <c r="G15" s="20">
        <f>IFERROR(GIRDI!B11,0)</f>
        <v/>
      </c>
    </row>
    <row r="16">
      <c r="A16" s="35" t="n">
        <v>10</v>
      </c>
      <c r="B16" s="36" t="inlineStr">
        <is>
          <t>Navlun döviz</t>
        </is>
      </c>
      <c r="C16" s="37">
        <f>IFERROR(GIRDI!B12,0)</f>
        <v/>
      </c>
      <c r="D16" s="38" t="inlineStr">
        <is>
          <t>döviz</t>
        </is>
      </c>
      <c r="E16" s="6" t="inlineStr">
        <is>
          <t>Navlun</t>
        </is>
      </c>
      <c r="F16" s="39" t="inlineStr">
        <is>
          <t>ILC-001</t>
        </is>
      </c>
      <c r="G16" s="20">
        <f>IFERROR(GIRDI!B12,0)</f>
        <v/>
      </c>
    </row>
    <row r="17">
      <c r="A17" s="35" t="n">
        <v>11</v>
      </c>
      <c r="B17" s="36" t="inlineStr">
        <is>
          <t>Sigorta oranı</t>
        </is>
      </c>
      <c r="C17" s="40">
        <f>IFERROR(GIRDI!B13,0)</f>
        <v/>
      </c>
      <c r="D17" s="38" t="inlineStr">
        <is>
          <t>oran</t>
        </is>
      </c>
      <c r="E17" s="6" t="inlineStr">
        <is>
          <t>Sigorta primi oranı</t>
        </is>
      </c>
      <c r="F17" s="39" t="inlineStr">
        <is>
          <t>ILC-001</t>
        </is>
      </c>
      <c r="G17" s="18">
        <f>IFERROR(GIRDI!B13,0)</f>
        <v/>
      </c>
    </row>
    <row r="18">
      <c r="A18" s="35" t="n">
        <v>12</v>
      </c>
      <c r="B18" s="36" t="inlineStr">
        <is>
          <t>Lokal masraf TL</t>
        </is>
      </c>
      <c r="C18" s="43">
        <f>IFERROR(GIRDI!B14,0)</f>
        <v/>
      </c>
      <c r="D18" s="38" t="inlineStr">
        <is>
          <t>TL</t>
        </is>
      </c>
      <c r="E18" s="6" t="inlineStr">
        <is>
          <t>Lokal masraflar</t>
        </is>
      </c>
      <c r="F18" s="39" t="inlineStr">
        <is>
          <t>ILC-005</t>
        </is>
      </c>
      <c r="G18" s="30">
        <f>IFERROR(GIRDI!B14,0)</f>
        <v/>
      </c>
    </row>
    <row r="19">
      <c r="A19" s="35" t="n">
        <v>13</v>
      </c>
      <c r="B19" s="36" t="inlineStr">
        <is>
          <t>Hedef satış birim</t>
        </is>
      </c>
      <c r="C19" s="43">
        <f>IFERROR(GIRDI!B15,0)</f>
        <v/>
      </c>
      <c r="D19" s="38" t="inlineStr">
        <is>
          <t>TL</t>
        </is>
      </c>
      <c r="E19" s="6" t="inlineStr">
        <is>
          <t>Hedef birim satış</t>
        </is>
      </c>
      <c r="F19" s="39" t="inlineStr">
        <is>
          <t>ILC-004</t>
        </is>
      </c>
      <c r="G19" s="30">
        <f>IFERROR(GIRDI!B15,0)</f>
        <v/>
      </c>
    </row>
    <row r="20">
      <c r="A20" s="35" t="n">
        <v>14</v>
      </c>
      <c r="B20" s="36" t="inlineStr">
        <is>
          <t>Yıllık miktar</t>
        </is>
      </c>
      <c r="C20" s="37">
        <f>IFERROR(GIRDI!B16,0)</f>
        <v/>
      </c>
      <c r="D20" s="38" t="inlineStr">
        <is>
          <t>adet</t>
        </is>
      </c>
      <c r="E20" s="6" t="inlineStr">
        <is>
          <t>OPEX yıllık adet</t>
        </is>
      </c>
      <c r="F20" s="39" t="inlineStr">
        <is>
          <t>ILC-005</t>
        </is>
      </c>
      <c r="G20" s="20">
        <f>IFERROR(GIRDI!B16,0)</f>
        <v/>
      </c>
    </row>
    <row r="21">
      <c r="A21" s="35" t="n">
        <v>15</v>
      </c>
      <c r="B21" s="36" t="inlineStr">
        <is>
          <t>CAPEX / YATIRIM</t>
        </is>
      </c>
      <c r="C21" s="43">
        <f>IFERROR(GIRDI!B17,0)</f>
        <v/>
      </c>
      <c r="D21" s="38" t="inlineStr">
        <is>
          <t>TL</t>
        </is>
      </c>
      <c r="E21" s="6" t="inlineStr">
        <is>
          <t>Yatırım tutarı</t>
        </is>
      </c>
      <c r="F21" s="39" t="inlineStr">
        <is>
          <t>ILC-005</t>
        </is>
      </c>
      <c r="G21" s="30">
        <f>IFERROR(GIRDI!B17,0)</f>
        <v/>
      </c>
    </row>
    <row r="22">
      <c r="A22" s="35" t="n">
        <v>16</v>
      </c>
      <c r="B22" s="36" t="inlineStr">
        <is>
          <t>WACC</t>
        </is>
      </c>
      <c r="C22" s="40">
        <f>IFERROR(GIRDI!B18,0)</f>
        <v/>
      </c>
      <c r="D22" s="38" t="inlineStr">
        <is>
          <t>oran</t>
        </is>
      </c>
      <c r="E22" s="6" t="inlineStr">
        <is>
          <t>İskonto oranı</t>
        </is>
      </c>
      <c r="F22" s="39" t="inlineStr">
        <is>
          <t>ILC-005</t>
        </is>
      </c>
      <c r="G22" s="18">
        <f>IFERROR(GIRDI!B18,0)</f>
        <v/>
      </c>
    </row>
    <row r="23">
      <c r="A23" s="35" t="n">
        <v>17</v>
      </c>
      <c r="B23" s="36" t="inlineStr">
        <is>
          <t>NPV dönem</t>
        </is>
      </c>
      <c r="C23" s="37">
        <f>IFERROR(GIRDI!B19,0)</f>
        <v/>
      </c>
      <c r="D23" s="38" t="inlineStr">
        <is>
          <t>adet</t>
        </is>
      </c>
      <c r="E23" s="6" t="inlineStr">
        <is>
          <t>Nakit akışı yılı</t>
        </is>
      </c>
      <c r="F23" s="39" t="inlineStr">
        <is>
          <t>ILC-005</t>
        </is>
      </c>
      <c r="G23" s="20">
        <f>IFERROR(GIRDI!B19,0)</f>
        <v/>
      </c>
    </row>
    <row r="24">
      <c r="A24" s="35" t="n">
        <v>18</v>
      </c>
      <c r="B24" s="36" t="inlineStr">
        <is>
          <t>Kredi faiz</t>
        </is>
      </c>
      <c r="C24" s="40">
        <f>IFERROR(GIRDI!B20,0)</f>
        <v/>
      </c>
      <c r="D24" s="38" t="inlineStr">
        <is>
          <t>oran</t>
        </is>
      </c>
      <c r="E24" s="6" t="inlineStr">
        <is>
          <t>Kredi senaryosu</t>
        </is>
      </c>
      <c r="F24" s="39" t="inlineStr">
        <is>
          <t>ILC-005</t>
        </is>
      </c>
      <c r="G24" s="18">
        <f>IFERROR(GIRDI!B20,0)</f>
        <v/>
      </c>
    </row>
    <row r="25">
      <c r="A25" s="35" t="n">
        <v>19</v>
      </c>
      <c r="B25" s="36" t="inlineStr">
        <is>
          <t>Öz kaynak oranı</t>
        </is>
      </c>
      <c r="C25" s="40">
        <f>IFERROR(GIRDI!B21,0)</f>
        <v/>
      </c>
      <c r="D25" s="38" t="inlineStr">
        <is>
          <t>oran</t>
        </is>
      </c>
      <c r="E25" s="6" t="inlineStr">
        <is>
          <t>Öz kaynak payı</t>
        </is>
      </c>
      <c r="F25" s="39" t="inlineStr">
        <is>
          <t>ILC-005</t>
        </is>
      </c>
      <c r="G25" s="18">
        <f>IFERROR(GIRDI!B21,0)</f>
        <v/>
      </c>
    </row>
    <row r="26">
      <c r="A26" s="35" t="n">
        <v>20</v>
      </c>
      <c r="B26" s="36" t="inlineStr">
        <is>
          <t>FOB TL</t>
        </is>
      </c>
      <c r="C26" s="43">
        <f>IFERROR(ROUND(G14*G13,MAX(0,MIN(ilc_yuvarMax,IFERROR(N(G12),0)))),0)</f>
        <v/>
      </c>
      <c r="D26" s="38" t="inlineStr">
        <is>
          <t>TL</t>
        </is>
      </c>
      <c r="E26" s="6" t="inlineStr">
        <is>
          <t>FOB × kur</t>
        </is>
      </c>
      <c r="F26" s="39" t="inlineStr">
        <is>
          <t>ILC-001</t>
        </is>
      </c>
      <c r="G26" s="30">
        <f>IFERROR(ROUND(G14*G13,MAX(0,MIN(ilc_yuvarMax,IFERROR(N(G12),0)))),0)</f>
        <v/>
      </c>
    </row>
    <row r="27">
      <c r="A27" s="35" t="n">
        <v>21</v>
      </c>
      <c r="B27" s="36" t="inlineStr">
        <is>
          <t>Navlun TL</t>
        </is>
      </c>
      <c r="C27" s="43">
        <f>IFERROR(ROUND(G16*G13,MAX(0,MIN(ilc_yuvarMax,IFERROR(N(G12),0)))),0)</f>
        <v/>
      </c>
      <c r="D27" s="38" t="inlineStr">
        <is>
          <t>TL</t>
        </is>
      </c>
      <c r="E27" s="6" t="inlineStr">
        <is>
          <t>Navlun × kur</t>
        </is>
      </c>
      <c r="F27" s="39" t="inlineStr">
        <is>
          <t>ILC-001</t>
        </is>
      </c>
      <c r="G27" s="30">
        <f>IFERROR(ROUND(G16*G13,MAX(0,MIN(ilc_yuvarMax,IFERROR(N(G12),0)))),0)</f>
        <v/>
      </c>
    </row>
    <row r="28">
      <c r="A28" s="35" t="n">
        <v>22</v>
      </c>
      <c r="B28" s="36" t="inlineStr">
        <is>
          <t>Sigorta TL</t>
        </is>
      </c>
      <c r="C28" s="43">
        <f>IFERROR(ROUND(G14*G17*G13,MAX(0,MIN(ilc_yuvarMax,IFERROR(N(G12),0)))),0)</f>
        <v/>
      </c>
      <c r="D28" s="38" t="inlineStr">
        <is>
          <t>TL</t>
        </is>
      </c>
      <c r="E28" s="6" t="inlineStr">
        <is>
          <t>FOB×sigorta×kur</t>
        </is>
      </c>
      <c r="F28" s="39" t="inlineStr">
        <is>
          <t>ILC-001</t>
        </is>
      </c>
      <c r="G28" s="30">
        <f>IFERROR(ROUND(G14*G17*G13,MAX(0,MIN(ilc_yuvarMax,IFERROR(N(G12),0)))),0)</f>
        <v/>
      </c>
    </row>
    <row r="29">
      <c r="A29" s="35" t="n">
        <v>23</v>
      </c>
      <c r="B29" s="36" t="inlineStr">
        <is>
          <t>CIF TL</t>
        </is>
      </c>
      <c r="C29" s="43">
        <f>IFERROR(G26+G27+G28,0)</f>
        <v/>
      </c>
      <c r="D29" s="38" t="inlineStr">
        <is>
          <t>TL</t>
        </is>
      </c>
      <c r="E29" s="6" t="inlineStr">
        <is>
          <t>FOB+navlun+sigorta</t>
        </is>
      </c>
      <c r="F29" s="39" t="inlineStr">
        <is>
          <t>ILC-001</t>
        </is>
      </c>
      <c r="G29" s="30">
        <f>IFERROR(G26+G27+G28,0)</f>
        <v/>
      </c>
    </row>
    <row r="30">
      <c r="A30" s="35" t="n">
        <v>24</v>
      </c>
      <c r="B30" s="36" t="inlineStr">
        <is>
          <t>Gümrük vergisi</t>
        </is>
      </c>
      <c r="C30" s="43">
        <f>IFERROR(ROUND(G29*G8,MAX(0,MIN(ilc_yuvarMax,IFERROR(N(G12),0)))),0)</f>
        <v/>
      </c>
      <c r="D30" s="38" t="inlineStr">
        <is>
          <t>TL</t>
        </is>
      </c>
      <c r="E30" s="6" t="inlineStr">
        <is>
          <t>CIF × gümrük</t>
        </is>
      </c>
      <c r="F30" s="39" t="inlineStr">
        <is>
          <t>ILC-001</t>
        </is>
      </c>
      <c r="G30" s="30">
        <f>IFERROR(ROUND(G29*G8,MAX(0,MIN(ilc_yuvarMax,IFERROR(N(G12),0)))),0)</f>
        <v/>
      </c>
    </row>
    <row r="31">
      <c r="A31" s="35" t="n">
        <v>25</v>
      </c>
      <c r="B31" s="36" t="inlineStr">
        <is>
          <t>KKDF tutarı</t>
        </is>
      </c>
      <c r="C31" s="43">
        <f>IFERROR(ROUND(G26*G9,MAX(0,MIN(ilc_yuvarMax,IFERROR(N(G12),0)))),0)</f>
        <v/>
      </c>
      <c r="D31" s="38" t="inlineStr">
        <is>
          <t>TL</t>
        </is>
      </c>
      <c r="E31" s="6" t="inlineStr">
        <is>
          <t>FOB_TL × KKDF</t>
        </is>
      </c>
      <c r="F31" s="39" t="inlineStr">
        <is>
          <t>ILC-002</t>
        </is>
      </c>
      <c r="G31" s="30">
        <f>IFERROR(ROUND(G26*G9,MAX(0,MIN(ilc_yuvarMax,IFERROR(N(G12),0)))),0)</f>
        <v/>
      </c>
    </row>
    <row r="32">
      <c r="A32" s="35" t="n">
        <v>26</v>
      </c>
      <c r="B32" s="36" t="inlineStr">
        <is>
          <t>KDV matrahı</t>
        </is>
      </c>
      <c r="C32" s="43">
        <f>IFERROR(G29+G30+G31,0)</f>
        <v/>
      </c>
      <c r="D32" s="38" t="inlineStr">
        <is>
          <t>TL</t>
        </is>
      </c>
      <c r="E32" s="6" t="inlineStr">
        <is>
          <t>CIF+gümrük+KKDF</t>
        </is>
      </c>
      <c r="F32" s="39" t="inlineStr">
        <is>
          <t>ILC-003</t>
        </is>
      </c>
      <c r="G32" s="30">
        <f>IFERROR(G29+G30+G31,0)</f>
        <v/>
      </c>
    </row>
    <row r="33">
      <c r="A33" s="35" t="n">
        <v>27</v>
      </c>
      <c r="B33" s="36" t="inlineStr">
        <is>
          <t>KDV tutarı</t>
        </is>
      </c>
      <c r="C33" s="43">
        <f>IFERROR(ROUND(G32*G10,MAX(0,MIN(ilc_yuvarMax,IFERROR(N(G12),0)))),0)</f>
        <v/>
      </c>
      <c r="D33" s="38" t="inlineStr">
        <is>
          <t>TL</t>
        </is>
      </c>
      <c r="E33" s="6" t="inlineStr">
        <is>
          <t>Matrah × KDV</t>
        </is>
      </c>
      <c r="F33" s="39" t="inlineStr">
        <is>
          <t>ILC-003</t>
        </is>
      </c>
      <c r="G33" s="30">
        <f>IFERROR(ROUND(G32*G10,MAX(0,MIN(ilc_yuvarMax,IFERROR(N(G12),0)))),0)</f>
        <v/>
      </c>
    </row>
    <row r="34">
      <c r="A34" s="35" t="n">
        <v>28</v>
      </c>
      <c r="B34" s="36" t="inlineStr">
        <is>
          <t>Toplam landed</t>
        </is>
      </c>
      <c r="C34" s="43">
        <f>IFERROR(G29+G30+G31+G33+G18,0)</f>
        <v/>
      </c>
      <c r="D34" s="38" t="inlineStr">
        <is>
          <t>TL</t>
        </is>
      </c>
      <c r="E34" s="6" t="inlineStr">
        <is>
          <t>CIF+vergiler+lokal</t>
        </is>
      </c>
      <c r="F34" s="39" t="inlineStr">
        <is>
          <t>ILC-003</t>
        </is>
      </c>
      <c r="G34" s="30">
        <f>IFERROR(G29+G30+G31+G33+G18,0)</f>
        <v/>
      </c>
    </row>
    <row r="35">
      <c r="A35" s="35" t="n">
        <v>29</v>
      </c>
      <c r="B35" s="36" t="inlineStr">
        <is>
          <t>Birim landed</t>
        </is>
      </c>
      <c r="C35" s="43">
        <f>IFERROR(IF(G15=0,0,ROUND(G34/G15,MAX(0,MIN(ilc_yuvarMax,IFERROR(N(G12),0))))),0)</f>
        <v/>
      </c>
      <c r="D35" s="38" t="inlineStr">
        <is>
          <t>TL</t>
        </is>
      </c>
      <c r="E35" s="6" t="inlineStr">
        <is>
          <t>Landed ÷ miktar</t>
        </is>
      </c>
      <c r="F35" s="39" t="inlineStr">
        <is>
          <t>ILC-005</t>
        </is>
      </c>
      <c r="G35" s="30">
        <f>IFERROR(IF(G15=0,0,ROUND(G34/G15,MAX(0,MIN(ilc_yuvarMax,IFERROR(N(G12),0))))),0)</f>
        <v/>
      </c>
    </row>
    <row r="36">
      <c r="A36" s="35" t="n">
        <v>30</v>
      </c>
      <c r="B36" s="36" t="inlineStr">
        <is>
          <t>Birim marj</t>
        </is>
      </c>
      <c r="C36" s="40">
        <f>IFERROR(IF(G19=0,0,(G19-G35)/G19),0)</f>
        <v/>
      </c>
      <c r="D36" s="38" t="inlineStr">
        <is>
          <t>oran</t>
        </is>
      </c>
      <c r="E36" s="6" t="inlineStr">
        <is>
          <t>Satış−maliyet marjı</t>
        </is>
      </c>
      <c r="F36" s="39" t="inlineStr">
        <is>
          <t>ILC-004</t>
        </is>
      </c>
      <c r="G36" s="18">
        <f>IFERROR(IF(G19=0,0,(G19-G35)/G19),0)</f>
        <v/>
      </c>
    </row>
    <row r="37">
      <c r="A37" s="35" t="n">
        <v>31</v>
      </c>
      <c r="B37" s="36" t="inlineStr">
        <is>
          <t>OPEX / ISLETME yıllık</t>
        </is>
      </c>
      <c r="C37" s="43">
        <f>IFERROR(G35*G20,0)</f>
        <v/>
      </c>
      <c r="D37" s="38" t="inlineStr">
        <is>
          <t>TL</t>
        </is>
      </c>
      <c r="E37" s="6" t="inlineStr">
        <is>
          <t>Birim×yıllık miktar</t>
        </is>
      </c>
      <c r="F37" s="39" t="inlineStr">
        <is>
          <t>ILC-005</t>
        </is>
      </c>
      <c r="G37" s="30">
        <f>IFERROR(G35*G20,0)</f>
        <v/>
      </c>
    </row>
    <row r="38">
      <c r="A38" s="35" t="n">
        <v>32</v>
      </c>
      <c r="B38" s="36" t="inlineStr">
        <is>
          <t>Yıllık brüt katkı</t>
        </is>
      </c>
      <c r="C38" s="43">
        <f>IFERROR((G19-G35)*G20,0)</f>
        <v/>
      </c>
      <c r="D38" s="38" t="inlineStr">
        <is>
          <t>TL</t>
        </is>
      </c>
      <c r="E38" s="6" t="inlineStr">
        <is>
          <t>Marj × yıllık adet</t>
        </is>
      </c>
      <c r="F38" s="39" t="inlineStr">
        <is>
          <t>ILC-004</t>
        </is>
      </c>
      <c r="G38" s="30">
        <f>IFERROR((G19-G35)*G20,0)</f>
        <v/>
      </c>
    </row>
    <row r="39">
      <c r="A39" s="35" t="n">
        <v>33</v>
      </c>
      <c r="B39" s="36" t="inlineStr">
        <is>
          <t>NPV (baz)</t>
        </is>
      </c>
      <c r="C39" s="43">
        <f>IFERROR(IF(OR(G23&lt;=0,G22=""),0,IF(G22=0,ROUND(G38*G23-G21,MAX(0,MIN(ilc_yuvarMax,IFERROR(N(G12),0)))),ROUND(G38*(1-POWER(1+G22,-G23))/G22-G21,MAX(0,MIN(ilc_yuvarMax,IFERROR(N(G12),0)))))),0)</f>
        <v/>
      </c>
      <c r="D39" s="38" t="inlineStr">
        <is>
          <t>TL</t>
        </is>
      </c>
      <c r="E39" s="6" t="inlineStr">
        <is>
          <t>NPV nakit akışı − CAPEX</t>
        </is>
      </c>
      <c r="F39" s="39" t="inlineStr">
        <is>
          <t>ILC-005</t>
        </is>
      </c>
      <c r="G39" s="30">
        <f>IFERROR(IF(OR(G23&lt;=0,G22=""),0,IF(G22=0,ROUND(G38*G23-G21,MAX(0,MIN(ilc_yuvarMax,IFERROR(N(G12),0)))),ROUND(G38*(1-POWER(1+G22,-G23))/G22-G21,MAX(0,MIN(ilc_yuvarMax,IFERROR(N(G12),0)))))),0)</f>
        <v/>
      </c>
    </row>
    <row r="40">
      <c r="A40" s="35" t="n">
        <v>34</v>
      </c>
      <c r="B40" s="36" t="inlineStr">
        <is>
          <t>IRR yaklaşımı</t>
        </is>
      </c>
      <c r="C40" s="40">
        <f>IFERROR(IF(OR(G21&lt;=0,G38&lt;=0,G23&lt;=0),0,ROUND(G38/G21-ilc_bazCarpan/G23,4)),0)</f>
        <v/>
      </c>
      <c r="D40" s="38" t="inlineStr">
        <is>
          <t>oran</t>
        </is>
      </c>
      <c r="E40" s="6" t="inlineStr">
        <is>
          <t>Kabaca IRR göstergesi</t>
        </is>
      </c>
      <c r="F40" s="39" t="inlineStr">
        <is>
          <t>ILC-005</t>
        </is>
      </c>
      <c r="G40" s="18">
        <f>IFERROR(IF(OR(G21&lt;=0,G38&lt;=0,G23&lt;=0),0,ROUND(G38/G21-ilc_bazCarpan/G23,4)),0)</f>
        <v/>
      </c>
    </row>
    <row r="41">
      <c r="A41" s="35" t="n">
        <v>35</v>
      </c>
      <c r="B41" s="36" t="inlineStr">
        <is>
          <t>Karar kodu</t>
        </is>
      </c>
      <c r="C41" s="34">
        <f>IFERROR(IF(COUNTA(tblGirdi[Alan Anahtarı])=0,"VERI_YOK",IF(OR(G35&lt;=0,G15&lt;=0,G13&lt;=0),"YAPMA",IF(OR(G39&lt;0,G36&lt;G11*ilc_dikkatCarpan),"YAPMA",IF(OR(G36&lt;G11,G39&lt;ilc_npvDikkat),"DIKKAT","YAPILIR")))),"")</f>
        <v/>
      </c>
      <c r="D41" s="38" t="inlineStr">
        <is>
          <t>kod</t>
        </is>
      </c>
      <c r="E41" s="6" t="inlineStr">
        <is>
          <t>Karar kodu</t>
        </is>
      </c>
      <c r="F41" s="39" t="inlineStr">
        <is>
          <t>ILC-004</t>
        </is>
      </c>
      <c r="G41" s="44">
        <f>IFERROR(IF(COUNTA(tblGirdi[Alan Anahtarı])=0,"VERI_YOK",IF(OR(G35&lt;=0,G15&lt;=0,G13&lt;=0),"YAPMA",IF(OR(G39&lt;0,G36&lt;G11*ilc_dikkatCarpan),"YAPMA",IF(OR(G36&lt;G11,G39&lt;ilc_npvDikkat),"DIKKAT","YAPILIR")))),"")</f>
        <v/>
      </c>
    </row>
    <row r="42">
      <c r="A42" s="35" t="n">
        <v>36</v>
      </c>
      <c r="B42" s="36" t="inlineStr">
        <is>
          <t>Karar metni</t>
        </is>
      </c>
      <c r="C42" s="34">
        <f>IFERROR(IF(G41="VERI_YOK","VERİ YOK",IF(G41="YAPILIR","YATIRIM YAPILIR",IF(G41="DIKKAT","DİKKAT","YATIRIM YAPMA"))),"")</f>
        <v/>
      </c>
      <c r="D42" s="38" t="inlineStr">
        <is>
          <t>metin</t>
        </is>
      </c>
      <c r="E42" s="6" t="inlineStr">
        <is>
          <t>Kullanıcıya karar</t>
        </is>
      </c>
      <c r="F42" s="39" t="inlineStr">
        <is>
          <t>ILC-004</t>
        </is>
      </c>
      <c r="G42" s="44">
        <f>IFERROR(IF(G41="VERI_YOK","VERİ YOK",IF(G41="YAPILIR","YATIRIM YAPILIR",IF(G41="DIKKAT","DİKKAT","YATIRIM YAPMA"))),"")</f>
        <v/>
      </c>
    </row>
    <row r="43">
      <c r="A43" s="35" t="n">
        <v>37</v>
      </c>
      <c r="B43" s="36" t="inlineStr">
        <is>
          <t>Gerekçe</t>
        </is>
      </c>
      <c r="C43" s="34">
        <f>IFERROR(IF(G41="VERI_YOK","Giriş tablosu boş — hesap yapılamaz.",IF(G41="YAPILIR","NPV pozitif AND marj hedef üstünde; ithalat yatırımı uygun.",IF(G41="DIKKAT","Marj veya NPV dikkat bandında; kur AND oranları gözden geçirin.","NPV negatif veya marj yetersiz; kötümser/bazda YATIRIM YAPMA."))),"")</f>
        <v/>
      </c>
      <c r="D43" s="38" t="inlineStr">
        <is>
          <t>metin</t>
        </is>
      </c>
      <c r="E43" s="6" t="inlineStr">
        <is>
          <t>Gerekçe cümlesi</t>
        </is>
      </c>
      <c r="F43" s="39" t="inlineStr">
        <is>
          <t>ILC-004</t>
        </is>
      </c>
      <c r="G43" s="44">
        <f>IFERROR(IF(G41="VERI_YOK","Giriş tablosu boş — hesap yapılamaz.",IF(G41="YAPILIR","NPV pozitif AND marj hedef üstünde; ithalat yatırımı uygun.",IF(G41="DIKKAT","Marj veya NPV dikkat bandında; kur AND oranları gözden geçirin.","NPV negatif veya marj yetersiz; kötümser/bazda YATIRIM YAPMA."))),"")</f>
        <v/>
      </c>
    </row>
    <row r="44">
      <c r="A44" s="35" t="n">
        <v>38</v>
      </c>
      <c r="B44" s="36" t="inlineStr">
        <is>
          <t>Güven skoru</t>
        </is>
      </c>
      <c r="C44" s="37">
        <f>IFERROR(ROUND(IF(OR(COUNTA(GIRDI!B6:B21)=0,ilc_girisBeklenen=0),0,COUNTA(GIRDI!B6:B21)/ilc_girisBeklenen*100),0),0)</f>
        <v/>
      </c>
      <c r="D44" s="38" t="inlineStr">
        <is>
          <t>puan</t>
        </is>
      </c>
      <c r="E44" s="6" t="inlineStr">
        <is>
          <t>Giriş bütünlüğü</t>
        </is>
      </c>
      <c r="F44" s="39" t="inlineStr">
        <is>
          <t>ILC-005</t>
        </is>
      </c>
      <c r="G44" s="20">
        <f>IFERROR(ROUND(IF(OR(COUNTA(GIRDI!B6:B21)=0,ilc_girisBeklenen=0),0,COUNTA(GIRDI!B6:B21)/ilc_girisBeklenen*100),0),0)</f>
        <v/>
      </c>
    </row>
    <row r="45">
      <c r="A45" s="35" t="n">
        <v>39</v>
      </c>
      <c r="B45" s="36" t="inlineStr">
        <is>
          <t>Risk skoru</t>
        </is>
      </c>
      <c r="C45" s="37">
        <f>IFERROR(IF(G41="VERI_YOK",0,IF(G41="YAPILIR",ilc_riskDusuk,IF(G41="DIKKAT",ilc_riskOrta,ilc_riskYuksek))),0)</f>
        <v/>
      </c>
      <c r="D45" s="38" t="inlineStr">
        <is>
          <t>puan</t>
        </is>
      </c>
      <c r="E45" s="6" t="inlineStr">
        <is>
          <t>Yatırım riski</t>
        </is>
      </c>
      <c r="F45" s="39" t="inlineStr">
        <is>
          <t>ILC-005</t>
        </is>
      </c>
      <c r="G45" s="20">
        <f>IFERROR(IF(G41="VERI_YOK",0,IF(G41="YAPILIR",ilc_riskDusuk,IF(G41="DIKKAT",ilc_riskOrta,ilc_riskYuksek))),0)</f>
        <v/>
      </c>
    </row>
    <row r="46">
      <c r="A46" s="35" t="n">
        <v>40</v>
      </c>
      <c r="B46" s="36" t="inlineStr">
        <is>
          <t>Senaryo iyimser birim</t>
        </is>
      </c>
      <c r="C46" s="43">
        <f>IFERROR(ROUND(G35*ilc_senaryoIyi,MAX(0,MIN(ilc_yuvarMax,IFERROR(N(G12),0)))),0)</f>
        <v/>
      </c>
      <c r="D46" s="38" t="inlineStr">
        <is>
          <t>TL</t>
        </is>
      </c>
      <c r="E46" s="6" t="inlineStr">
        <is>
          <t>İyimser maliyet</t>
        </is>
      </c>
      <c r="F46" s="39" t="inlineStr">
        <is>
          <t>ILC-005</t>
        </is>
      </c>
      <c r="G46" s="30">
        <f>IFERROR(ROUND(G35*ilc_senaryoIyi,MAX(0,MIN(ilc_yuvarMax,IFERROR(N(G12),0)))),0)</f>
        <v/>
      </c>
    </row>
    <row r="47">
      <c r="A47" s="35" t="n">
        <v>41</v>
      </c>
      <c r="B47" s="36" t="inlineStr">
        <is>
          <t>Senaryo kötümser birim</t>
        </is>
      </c>
      <c r="C47" s="43">
        <f>IFERROR(ROUND(G35*ilc_senaryoKotu,MAX(0,MIN(ilc_yuvarMax,IFERROR(N(G12),0)))),0)</f>
        <v/>
      </c>
      <c r="D47" s="38" t="inlineStr">
        <is>
          <t>TL</t>
        </is>
      </c>
      <c r="E47" s="6" t="inlineStr">
        <is>
          <t>Kötümser maliyet</t>
        </is>
      </c>
      <c r="F47" s="39" t="inlineStr">
        <is>
          <t>ILC-005</t>
        </is>
      </c>
      <c r="G47" s="30">
        <f>IFERROR(ROUND(G35*ilc_senaryoKotu,MAX(0,MIN(ilc_yuvarMax,IFERROR(N(G12),0)))),0)</f>
        <v/>
      </c>
    </row>
    <row r="48">
      <c r="A48" s="35" t="n">
        <v>42</v>
      </c>
      <c r="B48" s="36" t="inlineStr">
        <is>
          <t>İyimser NPV</t>
        </is>
      </c>
      <c r="C48" s="43">
        <f>IFERROR(IF(G22=0,ROUND((G19-G46)*G20*G23-G21,MAX(0,MIN(ilc_yuvarMax,IFERROR(N(G12),0)))),ROUND((G19-G46)*G20*(1-POWER(1+G22,-G23))/G22-G21,MAX(0,MIN(ilc_yuvarMax,IFERROR(N(G12),0))))),0)</f>
        <v/>
      </c>
      <c r="D48" s="38" t="inlineStr">
        <is>
          <t>TL</t>
        </is>
      </c>
      <c r="E48" s="6" t="inlineStr">
        <is>
          <t>İyimser NPV</t>
        </is>
      </c>
      <c r="F48" s="39" t="inlineStr">
        <is>
          <t>ILC-005</t>
        </is>
      </c>
      <c r="G48" s="30">
        <f>IFERROR(IF(G22=0,ROUND((G19-G46)*G20*G23-G21,MAX(0,MIN(ilc_yuvarMax,IFERROR(N(G12),0)))),ROUND((G19-G46)*G20*(1-POWER(1+G22,-G23))/G22-G21,MAX(0,MIN(ilc_yuvarMax,IFERROR(N(G12),0))))),0)</f>
        <v/>
      </c>
    </row>
    <row r="49">
      <c r="A49" s="35" t="n">
        <v>43</v>
      </c>
      <c r="B49" s="36" t="inlineStr">
        <is>
          <t>Kötümser NPV</t>
        </is>
      </c>
      <c r="C49" s="43">
        <f>IFERROR(IF(G22=0,ROUND((G19-G47)*G20*G23-G21,MAX(0,MIN(ilc_yuvarMax,IFERROR(N(G12),0)))),ROUND((G19-G47)*G20*(1-POWER(1+G22,-G23))/G22-G21,MAX(0,MIN(ilc_yuvarMax,IFERROR(N(G12),0))))),0)</f>
        <v/>
      </c>
      <c r="D49" s="38" t="inlineStr">
        <is>
          <t>TL</t>
        </is>
      </c>
      <c r="E49" s="6" t="inlineStr">
        <is>
          <t>Kötümser NPV</t>
        </is>
      </c>
      <c r="F49" s="39" t="inlineStr">
        <is>
          <t>ILC-005</t>
        </is>
      </c>
      <c r="G49" s="30">
        <f>IFERROR(IF(G22=0,ROUND((G19-G47)*G20*G23-G21,MAX(0,MIN(ilc_yuvarMax,IFERROR(N(G12),0)))),ROUND((G19-G47)*G20*(1-POWER(1+G22,-G23))/G22-G21,MAX(0,MIN(ilc_yuvarMax,IFERROR(N(G12),0))))),0)</f>
        <v/>
      </c>
    </row>
    <row r="50">
      <c r="A50" s="35" t="n">
        <v>44</v>
      </c>
      <c r="B50" s="36" t="inlineStr">
        <is>
          <t>Kötümser karar</t>
        </is>
      </c>
      <c r="C50" s="34">
        <f>IFERROR(IF(COUNTA(tblGirdi[Alan Anahtarı])=0,"VERİ YOK",IF(G49&lt;0,"YATIRIM YAPMA","DİKKAT")),"")</f>
        <v/>
      </c>
      <c r="D50" s="38" t="inlineStr">
        <is>
          <t>metin</t>
        </is>
      </c>
      <c r="E50" s="6" t="inlineStr">
        <is>
          <t>Kötümser YATIRIM YAPMA yolu</t>
        </is>
      </c>
      <c r="F50" s="39" t="inlineStr">
        <is>
          <t>ILC-004</t>
        </is>
      </c>
      <c r="G50" s="44">
        <f>IFERROR(IF(COUNTA(tblGirdi[Alan Anahtarı])=0,"VERİ YOK",IF(G49&lt;0,"YATIRIM YAPMA","DİKKAT")),"")</f>
        <v/>
      </c>
    </row>
    <row r="51">
      <c r="A51" s="35" t="n">
        <v>45</v>
      </c>
      <c r="B51" s="36" t="inlineStr">
        <is>
          <t>M-SEN gümrük+</t>
        </is>
      </c>
      <c r="C51" s="40">
        <f>IFERROR(G8+ilc_esikArtis,0)</f>
        <v/>
      </c>
      <c r="D51" s="38" t="inlineStr">
        <is>
          <t>oran</t>
        </is>
      </c>
      <c r="E51" s="6" t="inlineStr">
        <is>
          <t>Gümrük + delta</t>
        </is>
      </c>
      <c r="F51" s="39" t="inlineStr">
        <is>
          <t>ILC-001</t>
        </is>
      </c>
      <c r="G51" s="18">
        <f>IFERROR(G8+ilc_esikArtis,0)</f>
        <v/>
      </c>
    </row>
    <row r="52">
      <c r="A52" s="35" t="n">
        <v>46</v>
      </c>
      <c r="B52" s="36" t="inlineStr">
        <is>
          <t>M-SEN landed</t>
        </is>
      </c>
      <c r="C52" s="43">
        <f>IFERROR(ROUND(G29*(ilc_bazCarpan+G51)+G31+G33+G18,MAX(0,MIN(ilc_yuvarMax,IFERROR(N(G12),0)))),0)</f>
        <v/>
      </c>
      <c r="D52" s="38" t="inlineStr">
        <is>
          <t>TL</t>
        </is>
      </c>
      <c r="E52" s="6" t="inlineStr">
        <is>
          <t>Sıkı gümrük landed</t>
        </is>
      </c>
      <c r="F52" s="39" t="inlineStr">
        <is>
          <t>ILC-001</t>
        </is>
      </c>
      <c r="G52" s="30">
        <f>IFERROR(ROUND(G29*(ilc_bazCarpan+G51)+G31+G33+G18,MAX(0,MIN(ilc_yuvarMax,IFERROR(N(G12),0)))),0)</f>
        <v/>
      </c>
    </row>
    <row r="53">
      <c r="A53" s="35" t="n">
        <v>47</v>
      </c>
      <c r="B53" s="36" t="inlineStr">
        <is>
          <t>M-SEN bayrak</t>
        </is>
      </c>
      <c r="C53" s="37">
        <f>IFERROR(IF(AND(G36&gt;=G11,G39&gt;=0),1,0),0)</f>
        <v/>
      </c>
      <c r="D53" s="38" t="inlineStr">
        <is>
          <t>bayrak</t>
        </is>
      </c>
      <c r="E53" s="6" t="inlineStr">
        <is>
          <t>Sıkı eşikte uygun mu</t>
        </is>
      </c>
      <c r="F53" s="39" t="inlineStr">
        <is>
          <t>ILC-004</t>
        </is>
      </c>
      <c r="G53" s="20">
        <f>IFERROR(IF(AND(G36&gt;=G11,G39&gt;=0),1,0),0)</f>
        <v/>
      </c>
    </row>
    <row r="54">
      <c r="A54" s="35" t="n">
        <v>48</v>
      </c>
      <c r="B54" s="36" t="inlineStr">
        <is>
          <t>Tornado: kur etkisi</t>
        </is>
      </c>
      <c r="C54" s="43">
        <f>IFERROR(ABS(ROUND(G35*ilc_tornadoKur-G35,MAX(0,MIN(ilc_yuvarMax,IFERROR(N(G12),0))))),0)</f>
        <v/>
      </c>
      <c r="D54" s="38" t="inlineStr">
        <is>
          <t>TL</t>
        </is>
      </c>
      <c r="E54" s="6" t="inlineStr">
        <is>
          <t>Kur ± etki</t>
        </is>
      </c>
      <c r="F54" s="39" t="inlineStr">
        <is>
          <t>ILC-005</t>
        </is>
      </c>
      <c r="G54" s="30">
        <f>IFERROR(ABS(ROUND(G35*ilc_tornadoKur-G35,MAX(0,MIN(ilc_yuvarMax,IFERROR(N(G12),0))))),0)</f>
        <v/>
      </c>
    </row>
    <row r="55">
      <c r="A55" s="35" t="n">
        <v>49</v>
      </c>
      <c r="B55" s="36" t="inlineStr">
        <is>
          <t>Tornado: gümrük etkisi</t>
        </is>
      </c>
      <c r="C55" s="43">
        <f>IFERROR(ABS(ROUND(G29*(G8+ilc_tornadoGumruk)-G29*G8,MAX(0,MIN(ilc_yuvarMax,IFERROR(N(G12),0))))),0)</f>
        <v/>
      </c>
      <c r="D55" s="38" t="inlineStr">
        <is>
          <t>TL</t>
        </is>
      </c>
      <c r="E55" s="6" t="inlineStr">
        <is>
          <t>Gümrük ± etki</t>
        </is>
      </c>
      <c r="F55" s="39" t="inlineStr">
        <is>
          <t>ILC-001</t>
        </is>
      </c>
      <c r="G55" s="30">
        <f>IFERROR(ABS(ROUND(G29*(G8+ilc_tornadoGumruk)-G29*G8,MAX(0,MIN(ilc_yuvarMax,IFERROR(N(G12),0))))),0)</f>
        <v/>
      </c>
    </row>
    <row r="56">
      <c r="A56" s="35" t="n">
        <v>50</v>
      </c>
      <c r="B56" s="36" t="inlineStr">
        <is>
          <t>Tornado: navlun etkisi</t>
        </is>
      </c>
      <c r="C56" s="43">
        <f>IFERROR(ABS(ROUND(G16*G13*ilc_tornadoNavlun,MAX(0,MIN(ilc_yuvarMax,IFERROR(N(G12),0))))),0)</f>
        <v/>
      </c>
      <c r="D56" s="38" t="inlineStr">
        <is>
          <t>TL</t>
        </is>
      </c>
      <c r="E56" s="6" t="inlineStr">
        <is>
          <t>Navlun ± etki</t>
        </is>
      </c>
      <c r="F56" s="39" t="inlineStr">
        <is>
          <t>ILC-001</t>
        </is>
      </c>
      <c r="G56" s="30">
        <f>IFERROR(ABS(ROUND(G16*G13*ilc_tornadoNavlun,MAX(0,MIN(ilc_yuvarMax,IFERROR(N(G12),0))))),0)</f>
        <v/>
      </c>
    </row>
    <row r="57">
      <c r="A57" s="35" t="n">
        <v>51</v>
      </c>
      <c r="B57" s="36" t="inlineStr">
        <is>
          <t>Vergi yükü oranı</t>
        </is>
      </c>
      <c r="C57" s="40">
        <f>IFERROR(IF(G34=0,0,(G30+G31+G33)/G34),0)</f>
        <v/>
      </c>
      <c r="D57" s="38" t="inlineStr">
        <is>
          <t>oran</t>
        </is>
      </c>
      <c r="E57" s="6" t="inlineStr">
        <is>
          <t>Vergi/landed</t>
        </is>
      </c>
      <c r="F57" s="39" t="inlineStr">
        <is>
          <t>ILC-003</t>
        </is>
      </c>
      <c r="G57" s="18">
        <f>IFERROR(IF(G34=0,0,(G30+G31+G33)/G34),0)</f>
        <v/>
      </c>
    </row>
    <row r="58">
      <c r="A58" s="35" t="n">
        <v>52</v>
      </c>
      <c r="B58" s="36" t="inlineStr">
        <is>
          <t>Madde atıf özeti</t>
        </is>
      </c>
      <c r="C58" s="34">
        <f>IFERROR(_xlfn.TEXTJOIN(" | ",TRUE,"ILC-001→gümrük","ILC-002→KKDF","ILC-003→KDV","ILC-004→marj"),"")</f>
        <v/>
      </c>
      <c r="D58" s="38" t="inlineStr">
        <is>
          <t>metin</t>
        </is>
      </c>
      <c r="E58" s="6" t="inlineStr">
        <is>
          <t>Kanıt atıfları</t>
        </is>
      </c>
      <c r="F58" s="39" t="inlineStr">
        <is>
          <t>ILC-001</t>
        </is>
      </c>
      <c r="G58" s="44">
        <f>IFERROR(_xlfn.TEXTJOIN(" | ",TRUE,"ILC-001→gümrük","ILC-002→KKDF","ILC-003→KDV","ILC-004→marj"),"")</f>
        <v/>
      </c>
    </row>
    <row r="59">
      <c r="A59" s="35" t="n">
        <v>53</v>
      </c>
      <c r="B59" s="36" t="inlineStr">
        <is>
          <t>Kanıt satır özeti</t>
        </is>
      </c>
      <c r="C59" s="34">
        <f>IFERROR(_xlfn.TEXTJOIN(" · ",TRUE,"Birim=",TEXT(G35,"₺ #,##0"),"NPV=",TEXT(G39,"₺ #,##0"),"IRR=",TEXT(G40,"0.0%"),"Karar=",G42),"")</f>
        <v/>
      </c>
      <c r="D59" s="38" t="inlineStr">
        <is>
          <t>metin</t>
        </is>
      </c>
      <c r="E59" s="6" t="inlineStr">
        <is>
          <t>Rapor özeti</t>
        </is>
      </c>
      <c r="F59" s="39" t="inlineStr">
        <is>
          <t>ILC-005</t>
        </is>
      </c>
      <c r="G59" s="44">
        <f>IFERROR(_xlfn.TEXTJOIN(" · ",TRUE,"Birim=",TEXT(G35,"₺ #,##0"),"NPV=",TEXT(G39,"₺ #,##0"),"IRR=",TEXT(G40,"0.0%"),"Karar=",G42),"")</f>
        <v/>
      </c>
    </row>
    <row r="60">
      <c r="A60" s="35" t="n">
        <v>54</v>
      </c>
      <c r="B60" s="36" t="inlineStr">
        <is>
          <t>Birim landed (pano)</t>
        </is>
      </c>
      <c r="C60" s="43">
        <f>IFERROR(G35,0)</f>
        <v/>
      </c>
      <c r="D60" s="38" t="inlineStr">
        <is>
          <t>TL</t>
        </is>
      </c>
      <c r="E60" s="6" t="inlineStr">
        <is>
          <t>Birim ayna</t>
        </is>
      </c>
      <c r="F60" s="39" t="inlineStr">
        <is>
          <t>ILC-005</t>
        </is>
      </c>
      <c r="G60" s="30">
        <f>IFERROR(G35,0)</f>
        <v/>
      </c>
    </row>
    <row r="61">
      <c r="A61" s="35" t="n">
        <v>55</v>
      </c>
      <c r="B61" s="36" t="inlineStr">
        <is>
          <t>NPV (pano)</t>
        </is>
      </c>
      <c r="C61" s="43">
        <f>IFERROR(G39,0)</f>
        <v/>
      </c>
      <c r="D61" s="38" t="inlineStr">
        <is>
          <t>TL</t>
        </is>
      </c>
      <c r="E61" s="6" t="inlineStr">
        <is>
          <t>NPV ayna</t>
        </is>
      </c>
      <c r="F61" s="39" t="inlineStr">
        <is>
          <t>ILC-005</t>
        </is>
      </c>
      <c r="G61" s="30">
        <f>IFERROR(G39,0)</f>
        <v/>
      </c>
    </row>
    <row r="62">
      <c r="A62" s="35" t="n">
        <v>56</v>
      </c>
      <c r="B62" s="36" t="inlineStr">
        <is>
          <t>IRR (pano)</t>
        </is>
      </c>
      <c r="C62" s="40">
        <f>IFERROR(G40,0)</f>
        <v/>
      </c>
      <c r="D62" s="38" t="inlineStr">
        <is>
          <t>oran</t>
        </is>
      </c>
      <c r="E62" s="6" t="inlineStr">
        <is>
          <t>IRR ayna</t>
        </is>
      </c>
      <c r="F62" s="39" t="inlineStr">
        <is>
          <t>ILC-005</t>
        </is>
      </c>
      <c r="G62" s="18">
        <f>IFERROR(G40,0)</f>
        <v/>
      </c>
    </row>
    <row r="63">
      <c r="A63" s="35" t="n">
        <v>57</v>
      </c>
      <c r="B63" s="36" t="inlineStr">
        <is>
          <t>CIF (pano)</t>
        </is>
      </c>
      <c r="C63" s="43">
        <f>IFERROR(G29,0)</f>
        <v/>
      </c>
      <c r="D63" s="38" t="inlineStr">
        <is>
          <t>TL</t>
        </is>
      </c>
      <c r="E63" s="6" t="inlineStr">
        <is>
          <t>CIF ayna</t>
        </is>
      </c>
      <c r="F63" s="39" t="inlineStr">
        <is>
          <t>ILC-001</t>
        </is>
      </c>
      <c r="G63" s="3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6">
    <cfRule type="cellIs" priority="1" operator="lessThan" dxfId="0">
      <formula>0</formula>
    </cfRule>
  </conditionalFormatting>
  <conditionalFormatting sqref="F7:F66">
    <cfRule type="expression" priority="2" dxfId="4">
      <formula>F7="ILC-001"</formula>
    </cfRule>
    <cfRule type="expression" priority="3" dxfId="0">
      <formula>F7="ILC-004"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FINANSMAN — İthalat Gerçek Birim Maliyet Motoru</t>
        </is>
      </c>
    </row>
    <row r="2"/>
    <row r="3" ht="22" customHeight="1">
      <c r="A3" s="233" t="inlineStr">
        <is>
          <t>Finansman senaryoları — OZ_KAYNAK ve KREDI</t>
        </is>
      </c>
    </row>
    <row r="4"/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18">
        <f>GIRDI!B21</f>
        <v/>
      </c>
      <c r="C6" s="30">
        <f>GIRDI!B17*B6</f>
        <v/>
      </c>
      <c r="D6" s="18">
        <f>IFERROR(GIRDI!B21*ilc_sifirCarpan,0)</f>
        <v/>
      </c>
      <c r="E6" s="30">
        <f>IFERROR(MOTOR!G39,0)</f>
        <v/>
      </c>
    </row>
    <row r="7">
      <c r="A7" s="46" t="inlineStr">
        <is>
          <t>KREDI</t>
        </is>
      </c>
      <c r="B7" s="18">
        <f>ilc_bazCarpan-GIRDI!B21</f>
        <v/>
      </c>
      <c r="C7" s="30">
        <f>GIRDI!B17*B7</f>
        <v/>
      </c>
      <c r="D7" s="18">
        <f>GIRDI!B20</f>
        <v/>
      </c>
      <c r="E7" s="30">
        <f>IFERROR(MOTOR!G39-C7*D7*GIRDI!B19,0)</f>
        <v/>
      </c>
    </row>
    <row r="8"/>
    <row r="9">
      <c r="A9" s="10" t="inlineStr">
        <is>
          <t>CAPEX / YATIRIM toplam</t>
        </is>
      </c>
      <c r="B9" s="30">
        <f>GIRDI!B17</f>
        <v/>
      </c>
    </row>
    <row r="10">
      <c r="A10" s="10" t="inlineStr">
        <is>
          <t>OPEX / ISLETME yıllık</t>
        </is>
      </c>
      <c r="B10" s="30">
        <f>IFERROR(MOTOR!G37,0)</f>
        <v/>
      </c>
    </row>
    <row r="11">
      <c r="A11" s="10" t="inlineStr">
        <is>
          <t>Finansman karşılaştırma</t>
        </is>
      </c>
      <c r="B11" s="34">
        <f>IFERROR(_xlfn.TEXTJOIN(" | ",TRUE,"OZ_KAYNAK NPV ",TEXT(E6,"₺ #,##0")," · KREDI NPV ",TEXT(E7,"₺ #,##0")),"-")</f>
        <v/>
      </c>
    </row>
    <row r="12"/>
    <row r="13">
      <c r="A13" s="47" t="inlineStr">
        <is>
          <t>FinansDemo</t>
        </is>
      </c>
    </row>
    <row r="14">
      <c r="A14" s="48" t="inlineStr">
        <is>
          <t>OZ_KAYNAK</t>
        </is>
      </c>
      <c r="B14" s="49" t="n">
        <v>320000</v>
      </c>
    </row>
    <row r="15">
      <c r="A15" s="48" t="inlineStr">
        <is>
          <t>KREDI</t>
        </is>
      </c>
      <c r="B15" s="49" t="n">
        <v>480000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SENARYO — İthalat Gerçek Birim Maliyet Motoru</t>
        </is>
      </c>
    </row>
    <row r="2"/>
    <row r="3" ht="22" customHeight="1">
      <c r="A3" s="233" t="inlineStr">
        <is>
          <t>Senaryo ve duyarlılık (tornado)</t>
        </is>
      </c>
    </row>
    <row r="4"/>
    <row r="5">
      <c r="A5" s="45" t="inlineStr">
        <is>
          <t>Senaryo</t>
        </is>
      </c>
      <c r="B5" s="45" t="inlineStr">
        <is>
          <t>Çarpan</t>
        </is>
      </c>
      <c r="C5" s="45" t="inlineStr">
        <is>
          <t>Birim landed</t>
        </is>
      </c>
      <c r="D5" s="45" t="inlineStr">
        <is>
          <t>NPV</t>
        </is>
      </c>
      <c r="E5" s="45" t="inlineStr">
        <is>
          <t>Karar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IFERROR(ilc_senaryoIyi+N(GIRDI!B10)*ilc_sifirCarpan,0)</f>
        <v/>
      </c>
      <c r="C6" s="30">
        <f>IFERROR(MOTOR!G46,0)</f>
        <v/>
      </c>
      <c r="D6" s="30">
        <f>IFERROR(MOTOR!G48,0)</f>
        <v/>
      </c>
      <c r="E6" s="44">
        <f>IF(COUNTA(tblGirdi[Alan Anahtarı])=0,"VERİ YOK",IF(D6&lt;0,"YATIRIM YAPMA",IF(C6&gt;GIRDI!B15*(ilc_bazCarpan-MOTOR!G11),"DİKKAT","YATIRIM YAPILIR")))</f>
        <v/>
      </c>
      <c r="G6" s="49" t="n">
        <v>2400000</v>
      </c>
    </row>
    <row r="7">
      <c r="A7" s="7" t="inlineStr">
        <is>
          <t>Baz</t>
        </is>
      </c>
      <c r="B7" s="18">
        <f>IFERROR(ilc_bazCarpan+N(GIRDI!B10)*ilc_sifirCarpan,1)</f>
        <v/>
      </c>
      <c r="C7" s="30">
        <f>IFERROR(ilc_birimLanded,0)</f>
        <v/>
      </c>
      <c r="D7" s="30">
        <f>IFERROR(ilc_npv,0)</f>
        <v/>
      </c>
      <c r="E7" s="44">
        <f>IF(COUNTA(tblGirdi[Alan Anahtarı])=0,"VERİ YOK",IFERROR(ilc_kararMetni,"-"))</f>
        <v/>
      </c>
      <c r="G7" s="49" t="n">
        <v>1800000</v>
      </c>
    </row>
    <row r="8">
      <c r="A8" s="7" t="inlineStr">
        <is>
          <t>Kötümser</t>
        </is>
      </c>
      <c r="B8" s="18">
        <f>IFERROR(ilc_senaryoKotu+N(GIRDI!B10)*ilc_sifirCarpan,0)</f>
        <v/>
      </c>
      <c r="C8" s="30">
        <f>IFERROR(MOTOR!G47,0)</f>
        <v/>
      </c>
      <c r="D8" s="30">
        <f>IFERROR(MOTOR!G49,0)</f>
        <v/>
      </c>
      <c r="E8" s="44">
        <f>IF(COUNTA(tblGirdi[Alan Anahtarı])=0,"VERİ YOK",IFERROR(MOTOR!G50,"YATIRIM YAPMA"))</f>
        <v/>
      </c>
      <c r="G8" s="49" t="n">
        <v>-400000</v>
      </c>
    </row>
    <row r="9">
      <c r="A9" s="7" t="inlineStr">
        <is>
          <t>M-SEN oran+</t>
        </is>
      </c>
      <c r="B9" s="18">
        <f>IFERROR(ilc_bazCarpan+N(GIRDI!B10)*ilc_sifirCarpan,1)</f>
        <v/>
      </c>
      <c r="C9" s="30">
        <f>IFERROR(IF(MOTOR!G15=0,0,MOTOR!G52/MOTOR!G15),0)</f>
        <v/>
      </c>
      <c r="D9" s="30">
        <f>IFERROR(MOTOR!G39,0)</f>
        <v/>
      </c>
      <c r="E9" s="44">
        <f>IF(COUNTA(tblGirdi[Alan Anahtarı])=0,"VERİ YOK",IF(MOTOR!G53=1,"YATIRIM YAPILIR","DİKKAT"))</f>
        <v/>
      </c>
      <c r="G9" s="49" t="n">
        <v>1200000</v>
      </c>
    </row>
    <row r="10"/>
    <row r="11">
      <c r="A11" s="10" t="inlineStr">
        <is>
          <t>Senaryo NPV bant (iyimser−kötümser)</t>
        </is>
      </c>
      <c r="B11" s="30">
        <f>IFERROR(D6-D8,0)</f>
        <v/>
      </c>
    </row>
    <row r="12">
      <c r="A12" s="10" t="inlineStr">
        <is>
          <t>Senaryo yorumu</t>
        </is>
      </c>
      <c r="B12" s="34">
        <f>IFERROR(_xlfn.TEXTJOIN("; ",TRUE,"İyimser NPV ",TEXT(D6,"₺ #,##0")," · Baz ",TEXT(D7,"₺ #,##0")," · Kötümser ",TEXT(D8,"₺ #,##0")),"-")</f>
        <v/>
      </c>
    </row>
    <row r="13"/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[₺]</t>
        </is>
      </c>
      <c r="C15" s="45" t="inlineStr">
        <is>
          <t>Sıra</t>
        </is>
      </c>
      <c r="E15" s="45" t="inlineStr">
        <is>
          <t>EtkiDemo</t>
        </is>
      </c>
    </row>
    <row r="16">
      <c r="A16" s="7" t="inlineStr">
        <is>
          <t>Tornado kur etkisi</t>
        </is>
      </c>
      <c r="B16" s="30">
        <f>IFERROR(MOTOR!G54,0)</f>
        <v/>
      </c>
      <c r="C16" s="20">
        <f>IFERROR(IF(B16&gt;=MAX(B16:B18),ilc_siraBir,IF(B16=MEDIAN(B16:B18),ilc_siraIki,ilc_siraUc)),ilc_siraUc)</f>
        <v/>
      </c>
      <c r="E16" s="49" t="n">
        <v>180000</v>
      </c>
    </row>
    <row r="17">
      <c r="A17" s="7" t="inlineStr">
        <is>
          <t>Tornado gümrük etkisi</t>
        </is>
      </c>
      <c r="B17" s="30">
        <f>IFERROR(MOTOR!G55,0)</f>
        <v/>
      </c>
      <c r="C17" s="20">
        <f>IFERROR(IF(B17&gt;=MAX(B16:B18),ilc_siraBir,IF(B17=MEDIAN(B16:B18),ilc_siraIki,ilc_siraUc)),ilc_siraUc)</f>
        <v/>
      </c>
      <c r="E17" s="49" t="n">
        <v>120000</v>
      </c>
    </row>
    <row r="18">
      <c r="A18" s="7" t="inlineStr">
        <is>
          <t>Tornado navlun etkisi</t>
        </is>
      </c>
      <c r="B18" s="30">
        <f>IFERROR(MOTOR!G56,0)</f>
        <v/>
      </c>
      <c r="C18" s="20">
        <f>IFERROR(IF(B18&gt;=MAX(B16:B18),ilc_siraBir,IF(B18=MEDIAN(B16:B18),ilc_siraIki,ilc_siraUc)),ilc_siraUc)</f>
        <v/>
      </c>
      <c r="E18" s="49" t="n">
        <v>90000</v>
      </c>
    </row>
    <row r="19">
      <c r="A19" s="10" t="inlineStr">
        <is>
          <t>Duyarlılık sıra özeti</t>
        </is>
      </c>
      <c r="B19" s="44">
        <f>IFERROR(CONCATENATE("1)",INDEX(A16:A18,MATCH(ilc_siraBir,C16:C18,0))," 2)",INDEX(A16:A18,MATCH(ilc_siraIki,C16:C18,0))),"-")</f>
        <v/>
      </c>
    </row>
    <row r="20">
      <c r="A20" s="10" t="inlineStr">
        <is>
          <t>Duyarlılık yorumu</t>
        </is>
      </c>
      <c r="B20" s="34">
        <f>_xlfn.TEXTJOIN("; ",TRUE,"En yüksek etki ",TEXT(MAX(B16:B18),"₺ #,##0")," — öncelik bu değişkende")</f>
        <v/>
      </c>
    </row>
    <row r="21"/>
    <row r="22">
      <c r="A22" s="10" t="inlineStr">
        <is>
          <t>M-SEN oran değişimi bayrağı</t>
        </is>
      </c>
      <c r="B22" s="20">
        <f>MOTOR!G53</f>
        <v/>
      </c>
    </row>
    <row r="23">
      <c r="A23" s="10" t="inlineStr">
        <is>
          <t>M-SEN yorumu</t>
        </is>
      </c>
      <c r="B23" s="34">
        <f>_xlfn.TEXTJOIN("; ",TRUE,"Sıkı gümrük (+",TEXT(ilc_esikArtis,"0.0%"),") uygunluk ",TEXT(B22,"0"))</f>
        <v/>
      </c>
    </row>
    <row r="24"/>
    <row r="25">
      <c r="A25" s="10" t="inlineStr">
        <is>
          <t>Tahmin alt</t>
        </is>
      </c>
      <c r="B25" s="30">
        <f>IFERROR(ilc_birimLanded*ilc_tahminAlt,0)</f>
        <v/>
      </c>
      <c r="C25" s="30">
        <f>IFERROR(ilc_birimLanded,0)</f>
        <v/>
      </c>
      <c r="D25" s="30">
        <f>IFERROR(ilc_birimLanded*ilc_tahminUst,0)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30">
        <f>C6</f>
        <v/>
      </c>
      <c r="D28" s="49" t="n">
        <v>4800</v>
      </c>
    </row>
    <row r="29">
      <c r="A29" s="50" t="n">
        <v>2</v>
      </c>
      <c r="B29" s="30">
        <f>C7</f>
        <v/>
      </c>
      <c r="D29" s="49" t="n">
        <v>5200</v>
      </c>
    </row>
    <row r="30">
      <c r="A30" s="50" t="n">
        <v>3</v>
      </c>
      <c r="B30" s="30">
        <f>C8</f>
        <v/>
      </c>
      <c r="D30" s="49" t="n">
        <v>6100</v>
      </c>
    </row>
    <row r="31">
      <c r="A31" s="50" t="n">
        <v>4</v>
      </c>
      <c r="B31" s="30">
        <f>C9</f>
        <v/>
      </c>
      <c r="D31" s="49" t="n">
        <v>5200</v>
      </c>
    </row>
    <row r="32">
      <c r="A32" s="7" t="inlineStr">
        <is>
          <t>Tahmin sonraki</t>
        </is>
      </c>
      <c r="B32" s="30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4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18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6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KARAR — İthalat Gerçek Birim Maliyet Motoru</t>
        </is>
      </c>
    </row>
    <row r="2"/>
    <row r="3" ht="22" customHeight="1">
      <c r="A3" s="233" t="inlineStr">
        <is>
          <t>Yatırım karar kapısı</t>
        </is>
      </c>
    </row>
    <row r="4"/>
    <row r="5">
      <c r="A5" s="51" t="inlineStr">
        <is>
          <t>Karar</t>
        </is>
      </c>
      <c r="B5" s="60">
        <f>ilc_kararMetni</f>
        <v/>
      </c>
    </row>
    <row r="6">
      <c r="A6" s="61" t="inlineStr">
        <is>
          <t>Gerekçe</t>
        </is>
      </c>
      <c r="B6" s="34">
        <f>ilc_kararGerekce</f>
        <v/>
      </c>
    </row>
    <row r="7"/>
    <row r="8">
      <c r="A8" s="61" t="inlineStr">
        <is>
          <t>NPV [₺]</t>
        </is>
      </c>
      <c r="B8" s="30">
        <f>ilc_npv</f>
        <v/>
      </c>
    </row>
    <row r="9">
      <c r="A9" s="61" t="inlineStr">
        <is>
          <t>IRR</t>
        </is>
      </c>
      <c r="B9" s="18">
        <f>ilc_irr</f>
        <v/>
      </c>
    </row>
    <row r="10">
      <c r="A10" s="61" t="inlineStr">
        <is>
          <t>Birim landed [₺]</t>
        </is>
      </c>
      <c r="B10" s="30">
        <f>ilc_birimLanded</f>
        <v/>
      </c>
    </row>
    <row r="11">
      <c r="A11" s="61" t="inlineStr">
        <is>
          <t>Kötümser karar</t>
        </is>
      </c>
      <c r="B11" s="44">
        <f>IFERROR(MOTOR!G50,"YATIRIM YAPMA")</f>
        <v/>
      </c>
    </row>
    <row r="12"/>
    <row r="13">
      <c r="A13" s="61" t="inlineStr">
        <is>
          <t>CAPEX / YATIRIM</t>
        </is>
      </c>
      <c r="B13" s="30">
        <f>GIRDI!B17</f>
        <v/>
      </c>
    </row>
    <row r="14">
      <c r="A14" s="61" t="inlineStr">
        <is>
          <t>OPEX / ISLETME yıllık</t>
        </is>
      </c>
      <c r="B14" s="30">
        <f>IFERROR(MOTOR!G37,0)</f>
        <v/>
      </c>
    </row>
    <row r="15"/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16:H1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KARAR&amp;CExcelArşiv&amp;RSayfa &amp;P / &amp;N</oddFooter>
    <evenHeader/>
    <evenFooter>&amp;Lİthalat Gerçek Birim Maliyet Motoru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9.5" customWidth="1" min="3" max="3"/>
    <col width="18.5" customWidth="1" min="4" max="4"/>
    <col width="14.5" customWidth="1" min="5" max="5"/>
    <col width="12" customWidth="1" min="6" max="6"/>
    <col width="12" customWidth="1" min="7" max="7"/>
    <col width="14" customWidth="1" min="8" max="8"/>
    <col width="13" customWidth="1" min="9" max="9"/>
  </cols>
  <sheetData>
    <row r="1" ht="32" customHeight="1">
      <c r="A1" s="213" t="inlineStr">
        <is>
          <t>VAKALAR — İthalat Gerçek Birim Maliyet Motoru</t>
        </is>
      </c>
    </row>
    <row r="2"/>
    <row r="3" ht="22" customHeight="1">
      <c r="A3" s="233" t="inlineStr">
        <is>
          <t>Altın vakalar — gerçek birim maliyet</t>
        </is>
      </c>
    </row>
    <row r="4"/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FOB × kur = FOB_TL</t>
        </is>
      </c>
      <c r="C6" s="7" t="inlineStr">
        <is>
          <t>fob=vaka_fob; kur=vaka_kur</t>
        </is>
      </c>
      <c r="D6" s="62" t="n">
        <v>3400000</v>
      </c>
      <c r="E6" s="63">
        <f>IF($A6="","",IFERROR(INDEX($E$6:$E$9,MATCH($A6,$A$6:$A$9,0)),0))</f>
        <v/>
      </c>
      <c r="F6" s="63">
        <f>IF($A6="","",IFERROR($E6-$D6,0))</f>
        <v/>
      </c>
      <c r="G6" s="64">
        <f>IF($A6="","",IFERROR(IF(ABS($F6)&lt;=ilc_tolerans,"TUTARLI","KIRIK"),"KIRIK"))</f>
        <v/>
      </c>
      <c r="H6" s="44" t="inlineStr">
        <is>
          <t>FOB TL</t>
        </is>
      </c>
    </row>
    <row r="7">
      <c r="A7" s="7" t="inlineStr">
        <is>
          <t>V-002</t>
        </is>
      </c>
      <c r="B7" s="7" t="inlineStr">
        <is>
          <t>CIF = FOB_TL+navlun_TL+sigorta_TL</t>
        </is>
      </c>
      <c r="C7" s="7" t="inlineStr">
        <is>
          <t>navlun=vaka_navlun; sigorta_oran=vaka_sigorta</t>
        </is>
      </c>
      <c r="D7" s="62" t="n">
        <v>3604000</v>
      </c>
      <c r="E7" s="63">
        <f>IF($A7="","",IFERROR(INDEX($E$6:$E$9,MATCH($A7,$A$6:$A$9,0)),0))</f>
        <v/>
      </c>
      <c r="F7" s="63">
        <f>IF($A7="","",IFERROR($E7-$D7,0))</f>
        <v/>
      </c>
      <c r="G7" s="64">
        <f>IF($A7="","",IFERROR(IF(ABS($F7)&lt;=ilc_tolerans,"TUTARLI","KIRIK"),"KIRIK"))</f>
        <v/>
      </c>
      <c r="H7" s="44" t="inlineStr">
        <is>
          <t>CIF TL</t>
        </is>
      </c>
    </row>
    <row r="8">
      <c r="A8" s="7" t="inlineStr">
        <is>
          <t>V-003</t>
        </is>
      </c>
      <c r="B8" s="7" t="inlineStr">
        <is>
          <t>Gümrük = CIF × ILC-001</t>
        </is>
      </c>
      <c r="C8" s="7" t="inlineStr">
        <is>
          <t>CIF=vaka_cif; oran 2026</t>
        </is>
      </c>
      <c r="D8" s="62" t="n">
        <v>360400</v>
      </c>
      <c r="E8" s="63">
        <f>IF($A8="","",IFERROR(INDEX($E$6:$E$9,MATCH($A8,$A$6:$A$9,0)),0))</f>
        <v/>
      </c>
      <c r="F8" s="63">
        <f>IF($A8="","",IFERROR($E8-$D8,0))</f>
        <v/>
      </c>
      <c r="G8" s="64">
        <f>IF($A8="","",IFERROR(IF(ABS($F8)&lt;=ilc_tolerans,"TUTARLI","KIRIK"),"KIRIK"))</f>
        <v/>
      </c>
      <c r="H8" s="44" t="inlineStr">
        <is>
          <t>Gümrük</t>
        </is>
      </c>
    </row>
    <row r="9">
      <c r="A9" s="7" t="inlineStr">
        <is>
          <t>V-004</t>
        </is>
      </c>
      <c r="B9" s="7" t="inlineStr">
        <is>
          <t>Birim landed = toplam/miktar</t>
        </is>
      </c>
      <c r="C9" s="7" t="inlineStr">
        <is>
          <t>toplam=vaka_landed; miktar=vaka_miktar</t>
        </is>
      </c>
      <c r="D9" s="62" t="n">
        <v>5200</v>
      </c>
      <c r="E9" s="63">
        <f>IF($A9="","",IFERROR(INDEX($E$6:$E$9,MATCH($A9,$A$6:$A$9,0)),0))</f>
        <v/>
      </c>
      <c r="F9" s="63">
        <f>IF($A9="","",IFERROR($E9-$D9,0))</f>
        <v/>
      </c>
      <c r="G9" s="64">
        <f>IF($A9="","",IFERROR(IF(ABS($F9)&lt;=ilc_tolerans,"TUTARLI","KIRIK"),"KIRIK"))</f>
        <v/>
      </c>
      <c r="H9" s="44" t="inlineStr">
        <is>
          <t>Birim</t>
        </is>
      </c>
    </row>
    <row r="10"/>
    <row r="11"/>
    <row r="12">
      <c r="A12" s="10" t="inlineStr">
        <is>
          <t>Vaka durumu özeti</t>
        </is>
      </c>
      <c r="B12" s="44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KANIT RAPORU — İthalat Gerçek Birim Maliyet Motoru</t>
        </is>
      </c>
    </row>
    <row r="2"/>
    <row r="3" ht="22" customHeight="1">
      <c r="A3" s="233" t="inlineStr">
        <is>
          <t>KANIT RAPORU — İthalat Gerçek Birim Maliyet</t>
        </is>
      </c>
    </row>
    <row r="4">
      <c r="A4" s="13" t="inlineStr">
        <is>
          <t>Finans / gümrük dosyası</t>
        </is>
      </c>
    </row>
    <row r="5"/>
    <row r="6">
      <c r="A6" s="61" t="inlineStr">
        <is>
          <t>Şirket</t>
        </is>
      </c>
      <c r="B6" s="44">
        <f>GIRDI!B6</f>
        <v/>
      </c>
    </row>
    <row r="7">
      <c r="A7" s="61" t="inlineStr">
        <is>
          <t>Dönem</t>
        </is>
      </c>
      <c r="B7" s="44">
        <f>GIRDI!B7</f>
        <v/>
      </c>
    </row>
    <row r="8">
      <c r="A8" s="61" t="inlineStr">
        <is>
          <t>Hesap yılı</t>
        </is>
      </c>
      <c r="B8" s="20">
        <f>hesapYili</f>
        <v/>
      </c>
    </row>
    <row r="9">
      <c r="A9" s="61" t="inlineStr">
        <is>
          <t>Rapor tarihi</t>
        </is>
      </c>
      <c r="B9" s="65">
        <f>raporTarihi</f>
        <v/>
      </c>
    </row>
    <row r="10">
      <c r="A10" s="61" t="inlineStr">
        <is>
          <t>Aktif kur</t>
        </is>
      </c>
      <c r="B10" s="42">
        <f>ilc_aktifKur</f>
        <v/>
      </c>
    </row>
    <row r="11"/>
    <row r="12">
      <c r="A12" s="61" t="inlineStr">
        <is>
          <t>CIF [₺]</t>
        </is>
      </c>
      <c r="B12" s="30">
        <f>MOTOR!G29</f>
        <v/>
      </c>
    </row>
    <row r="13">
      <c r="A13" s="61" t="inlineStr">
        <is>
          <t>Gümrük [₺]</t>
        </is>
      </c>
      <c r="B13" s="30">
        <f>MOTOR!G30</f>
        <v/>
      </c>
    </row>
    <row r="14">
      <c r="A14" s="61" t="inlineStr">
        <is>
          <t>KKDF [₺]</t>
        </is>
      </c>
      <c r="B14" s="30">
        <f>MOTOR!G31</f>
        <v/>
      </c>
    </row>
    <row r="15">
      <c r="A15" s="61" t="inlineStr">
        <is>
          <t>KDV [₺]</t>
        </is>
      </c>
      <c r="B15" s="30">
        <f>MOTOR!G33</f>
        <v/>
      </c>
    </row>
    <row r="16">
      <c r="A16" s="66" t="inlineStr">
        <is>
          <t>Birim landed [₺]</t>
        </is>
      </c>
      <c r="B16" s="19">
        <f>ilc_birimLanded</f>
        <v/>
      </c>
    </row>
    <row r="17">
      <c r="A17" s="61" t="inlineStr">
        <is>
          <t>NPV [₺]</t>
        </is>
      </c>
      <c r="B17" s="30">
        <f>ilc_npv</f>
        <v/>
      </c>
    </row>
    <row r="18">
      <c r="A18" s="61" t="inlineStr">
        <is>
          <t>IRR</t>
        </is>
      </c>
      <c r="B18" s="18">
        <f>ilc_irr</f>
        <v/>
      </c>
    </row>
    <row r="19"/>
    <row r="20">
      <c r="A20" s="66" t="inlineStr">
        <is>
          <t>Karar</t>
        </is>
      </c>
      <c r="B20" s="67">
        <f>ilc_kararMetni</f>
        <v/>
      </c>
    </row>
    <row r="21">
      <c r="A21" s="61" t="inlineStr">
        <is>
          <t>Gerekçe</t>
        </is>
      </c>
      <c r="B21" s="34">
        <f>ilc_kararGerekce</f>
        <v/>
      </c>
    </row>
    <row r="22"/>
    <row r="23">
      <c r="A23" s="61" t="inlineStr">
        <is>
          <t>Madde / kural atıfı</t>
        </is>
      </c>
      <c r="B23" s="34">
        <f>ilc_maddeAtifMetni</f>
        <v/>
      </c>
    </row>
    <row r="24"/>
    <row r="25">
      <c r="A25" s="61" t="inlineStr">
        <is>
          <t>Kanıt özeti</t>
        </is>
      </c>
      <c r="B25" s="34">
        <f>ilc_kanitRaporu</f>
        <v/>
      </c>
    </row>
    <row r="26"/>
    <row r="27">
      <c r="A27" s="61" t="inlineStr">
        <is>
          <t>Parmak izi</t>
        </is>
      </c>
      <c r="B27" s="13">
        <f>ilc_parmakIzi</f>
        <v/>
      </c>
    </row>
    <row r="28"/>
    <row r="29"/>
    <row r="30">
      <c r="A30" s="61" t="inlineStr">
        <is>
          <t>Hazırlayan</t>
        </is>
      </c>
      <c r="B30" s="68" t="inlineStr"/>
    </row>
    <row r="31">
      <c r="A31" s="61" t="inlineStr">
        <is>
          <t>Onaylayan</t>
        </is>
      </c>
      <c r="B31" s="68" t="inlineStr"/>
    </row>
    <row r="32"/>
    <row r="33"/>
    <row r="34">
      <c r="A34" s="69" t="inlineStr">
        <is>
          <t>Bu çıktı karar destek amaçlıdır; bağlayıcı gümrük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25:H25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1.0.0&amp;CExcelArşiv&amp;RSayfa &amp;P / &amp;N</oddFooter>
    <evenHeader/>
    <evenFooter>&amp;Lİthalat Gerçek Birim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KONTROLLER — İthalat Gerçek Birim Maliyet Motoru</t>
        </is>
      </c>
    </row>
    <row r="2"/>
    <row r="3" ht="22" customHeight="1">
      <c r="A3" s="233" t="inlineStr">
        <is>
          <t>Dosya sağlık kontrolleri</t>
        </is>
      </c>
    </row>
    <row r="4"/>
    <row r="5">
      <c r="A5" s="7" t="inlineStr">
        <is>
          <t>Giriş dolu mu?</t>
        </is>
      </c>
      <c r="B5" s="44">
        <f>IFERROR(IF(COUNTA(tblGirdi[Alan Anahtarı])=0,"BOŞ","DOLU"),"BOŞ")</f>
        <v/>
      </c>
    </row>
    <row r="6">
      <c r="A6" s="7" t="inlineStr">
        <is>
          <t>Hesap yılı geçerli mi?</t>
        </is>
      </c>
      <c r="B6" s="44">
        <f>IFERROR(IF(AND(N(hesapYili)&gt;N(ilc_yilTaban),N(hesapYili)&lt;=N(ilc_yilTaban)+3),"TEMİZ","HATALI"),"HATALI")</f>
        <v/>
      </c>
    </row>
    <row r="7">
      <c r="A7" s="7" t="inlineStr">
        <is>
          <t>Kur &gt; 0?</t>
        </is>
      </c>
      <c r="B7" s="44">
        <f>IFERROR(IF(ilc_aktifKur&gt;0,"TEMİZ","HATALI"),"HATALI")</f>
        <v/>
      </c>
    </row>
    <row r="8">
      <c r="A8" s="7" t="inlineStr">
        <is>
          <t>Miktar &gt; 0?</t>
        </is>
      </c>
      <c r="B8" s="44">
        <f>IFERROR(IF(MOTOR!G15&gt;0,"TEMİZ","HATALI"),"HATALI")</f>
        <v/>
      </c>
    </row>
    <row r="9">
      <c r="A9" s="7" t="inlineStr">
        <is>
          <t>Birim negatif mi?</t>
        </is>
      </c>
      <c r="B9" s="44">
        <f>IFERROR(IF(MOTOR!G35&lt;0,"NEGATİF","NORMAL"),"NORMAL")</f>
        <v/>
      </c>
    </row>
    <row r="10">
      <c r="A10" s="7" t="inlineStr">
        <is>
          <t>Vaka durumu</t>
        </is>
      </c>
      <c r="B10" s="44">
        <f>IFERROR(ilc_vakaDurum,"KIRIK")</f>
        <v/>
      </c>
    </row>
    <row r="11">
      <c r="A11" s="7" t="inlineStr">
        <is>
          <t>Marj hedef altı?</t>
        </is>
      </c>
      <c r="B11" s="44">
        <f>IF(IFERROR(MOTOR!G36,0)&lt;MOTOR!G11+N(GIRDI!B10)*ilc_sifirCarpan,"AŞIYOR","NORMAL")</f>
        <v/>
      </c>
    </row>
    <row r="12">
      <c r="A12" s="10" t="inlineStr">
        <is>
          <t>Sağlık skoru</t>
        </is>
      </c>
      <c r="B12" s="20">
        <f>IFERROR(ROUND((COUNTIF(B5:B11,"TEMİZ")+COUNTIF(B5:B11,"DOLU")+COUNTIF(B5:B11,"NORMAL")+COUNTIF(B5:B11,"TUTARLI"))/7*100,0),0)</f>
        <v/>
      </c>
    </row>
    <row r="13"/>
    <row r="14">
      <c r="A14" s="61" t="inlineStr">
        <is>
          <t>Beklenen giriş</t>
        </is>
      </c>
      <c r="B14" s="20">
        <f>IFERROR(ilc_girisBeklenen+COUNTA(GIRDI!B6:B21)*0,0)</f>
        <v/>
      </c>
    </row>
    <row r="15">
      <c r="A15" s="61" t="inlineStr">
        <is>
          <t>Birim landed</t>
        </is>
      </c>
      <c r="B15" s="30">
        <f>IFERROR(ilc_birimLanded,0)</f>
        <v/>
      </c>
    </row>
    <row r="16">
      <c r="A16" s="61" t="inlineStr">
        <is>
          <t>NPV</t>
        </is>
      </c>
      <c r="B16" s="30">
        <f>IFERROR(ilc_npv,0)</f>
        <v/>
      </c>
    </row>
    <row r="17">
      <c r="A17" s="61" t="inlineStr">
        <is>
          <t>IRR</t>
        </is>
      </c>
      <c r="B17" s="18">
        <f>IFERROR(ilc_irr,0)</f>
        <v/>
      </c>
    </row>
    <row r="18">
      <c r="A18" s="61" t="inlineStr">
        <is>
          <t>CIF</t>
        </is>
      </c>
      <c r="B18" s="30">
        <f>IFERROR(MOTOR!G29,0)</f>
        <v/>
      </c>
    </row>
    <row r="19">
      <c r="A19" s="61" t="inlineStr">
        <is>
          <t>Karar</t>
        </is>
      </c>
      <c r="B19" s="44">
        <f>IFERROR(ilc_kararMetni,"-")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L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.5" customWidth="1" min="8" max="8"/>
    <col width="17.5" customWidth="1" min="9" max="9"/>
    <col width="14" customWidth="1" min="10" max="10"/>
    <col width="14" customWidth="1" min="11" max="11"/>
    <col width="15.5" customWidth="1" min="12" max="12"/>
    <col width="13" customWidth="1" min="13" max="13"/>
  </cols>
  <sheetData>
    <row r="1" ht="32" customHeight="1">
      <c r="A1" s="213" t="inlineStr">
        <is>
          <t>ORNEK VERI — İthalat Gerçek Birim Maliyet Motoru</t>
        </is>
      </c>
    </row>
    <row r="2"/>
    <row r="3" ht="22" customHeight="1">
      <c r="A3" s="233" t="inlineStr">
        <is>
          <t>Örnek sevkiyat verileri</t>
        </is>
      </c>
    </row>
    <row r="4"/>
    <row r="5" ht="30" customHeight="1">
      <c r="A5" s="21" t="inlineStr">
        <is>
          <t>Senaryo</t>
        </is>
      </c>
      <c r="B5" s="21" t="inlineStr">
        <is>
          <t>FOB</t>
        </is>
      </c>
      <c r="C5" s="21" t="inlineStr">
        <is>
          <t>Miktar</t>
        </is>
      </c>
      <c r="D5" s="21" t="inlineStr">
        <is>
          <t>Navlun</t>
        </is>
      </c>
      <c r="E5" s="21" t="inlineStr">
        <is>
          <t>Kur</t>
        </is>
      </c>
      <c r="F5" s="21" t="inlineStr">
        <is>
          <t>Sigorta</t>
        </is>
      </c>
      <c r="G5" s="21" t="inlineStr">
        <is>
          <t>Lokal</t>
        </is>
      </c>
      <c r="H5" s="21" t="inlineStr">
        <is>
          <t>Hedef satış</t>
        </is>
      </c>
      <c r="I5" s="21" t="inlineStr">
        <is>
          <t>Yıllık miktar</t>
        </is>
      </c>
      <c r="J5" s="21" t="inlineStr">
        <is>
          <t>CAPEX</t>
        </is>
      </c>
      <c r="K5" s="21" t="inlineStr">
        <is>
          <t>Yıl</t>
        </is>
      </c>
      <c r="L5" s="21" t="inlineStr">
        <is>
          <t>Birim Ornek</t>
        </is>
      </c>
    </row>
    <row r="6">
      <c r="A6" s="29" t="inlineStr">
        <is>
          <t>Demo ana</t>
        </is>
      </c>
      <c r="B6" s="33" t="n">
        <v>100000</v>
      </c>
      <c r="C6" s="33" t="n">
        <v>1000</v>
      </c>
      <c r="D6" s="33" t="n">
        <v>5000</v>
      </c>
      <c r="E6" s="70" t="n">
        <v>34</v>
      </c>
      <c r="F6" s="32" t="n">
        <v>0.01</v>
      </c>
      <c r="G6" s="71" t="n">
        <v>25000</v>
      </c>
      <c r="H6" s="71" t="n">
        <v>6500</v>
      </c>
      <c r="I6" s="33" t="n">
        <v>12000</v>
      </c>
      <c r="J6" s="71" t="n">
        <v>800000</v>
      </c>
      <c r="K6" s="33" t="n">
        <v>2026</v>
      </c>
      <c r="L6" s="23">
        <f>IF($A6="","",IFERROR(ROUND(($B6*$E6+$D6*$E6+$B6*$F6*$E6+$G6)/MAX(1,$C6),0),0))</f>
        <v/>
      </c>
    </row>
    <row r="7">
      <c r="A7" s="29" t="inlineStr">
        <is>
          <t>Yüksek kur</t>
        </is>
      </c>
      <c r="B7" s="33" t="n">
        <v>100000</v>
      </c>
      <c r="C7" s="33" t="n">
        <v>1000</v>
      </c>
      <c r="D7" s="33" t="n">
        <v>5000</v>
      </c>
      <c r="E7" s="70" t="n">
        <v>38</v>
      </c>
      <c r="F7" s="32" t="n">
        <v>0.01</v>
      </c>
      <c r="G7" s="71" t="n">
        <v>30000</v>
      </c>
      <c r="H7" s="71" t="n">
        <v>7000</v>
      </c>
      <c r="I7" s="33" t="n">
        <v>10000</v>
      </c>
      <c r="J7" s="71" t="n">
        <v>900000</v>
      </c>
      <c r="K7" s="33" t="n">
        <v>2026</v>
      </c>
      <c r="L7" s="23">
        <f>IF($A7="","",IFERROR(ROUND(($B7*$E7+$D7*$E7+$B7*$F7*$E7+$G7)/MAX(1,$C7),0),0))</f>
        <v/>
      </c>
    </row>
    <row r="8">
      <c r="A8" s="29" t="inlineStr">
        <is>
          <t>Düşük marj</t>
        </is>
      </c>
      <c r="B8" s="33" t="n">
        <v>100000</v>
      </c>
      <c r="C8" s="33" t="n">
        <v>1000</v>
      </c>
      <c r="D8" s="33" t="n">
        <v>8000</v>
      </c>
      <c r="E8" s="70" t="n">
        <v>34</v>
      </c>
      <c r="F8" s="32" t="n">
        <v>0.015</v>
      </c>
      <c r="G8" s="71" t="n">
        <v>40000</v>
      </c>
      <c r="H8" s="71" t="n">
        <v>5200</v>
      </c>
      <c r="I8" s="33" t="n">
        <v>8000</v>
      </c>
      <c r="J8" s="71" t="n">
        <v>1000000</v>
      </c>
      <c r="K8" s="33" t="n">
        <v>2026</v>
      </c>
      <c r="L8" s="23">
        <f>IF($A8="","",IFERROR(ROUND(($B8*$E8+$D8*$E8+$B8*$F8*$E8+$G8)/MAX(1,$C8),0),0))</f>
        <v/>
      </c>
    </row>
    <row r="9">
      <c r="A9" s="29" t="inlineStr">
        <is>
          <t>2025 geçiş</t>
        </is>
      </c>
      <c r="B9" s="33" t="n">
        <v>90000</v>
      </c>
      <c r="C9" s="33" t="n">
        <v>900</v>
      </c>
      <c r="D9" s="33" t="n">
        <v>4500</v>
      </c>
      <c r="E9" s="70" t="n">
        <v>32</v>
      </c>
      <c r="F9" s="32" t="n">
        <v>0.01</v>
      </c>
      <c r="G9" s="71" t="n">
        <v>20000</v>
      </c>
      <c r="H9" s="71" t="n">
        <v>6000</v>
      </c>
      <c r="I9" s="33" t="n">
        <v>11000</v>
      </c>
      <c r="J9" s="71" t="n">
        <v>750000</v>
      </c>
      <c r="K9" s="33" t="n">
        <v>2025</v>
      </c>
      <c r="L9" s="23">
        <f>IF($A9="","",IFERROR(ROUND(($B9*$E9+$D9*$E9+$B9*$F9*$E9+$G9)/MAX(1,$C9),0),0))</f>
        <v/>
      </c>
    </row>
    <row r="10">
      <c r="L10" s="23">
        <f>IF($A10="","",IFERROR(ROUND(($B10*$E10+$D10*$E10+$B10*$F10*$E10+$G10)/MAX(1,$C10),0),0))</f>
        <v/>
      </c>
    </row>
    <row r="11">
      <c r="L11" s="23">
        <f>IF($A11="","",IFERROR(ROUND(($B11*$E11+$D11*$E11+$B11*$F11*$E11+$G11)/MAX(1,$C11),0),0))</f>
        <v/>
      </c>
    </row>
    <row r="12">
      <c r="L12" s="23">
        <f>IF($A12="","",IFERROR(ROUND(($B12*$E12+$D12*$E12+$B12*$F12*$E12+$G12)/MAX(1,$C12),0),0))</f>
        <v/>
      </c>
    </row>
    <row r="13">
      <c r="L13" s="23">
        <f>IF($A13="","",IFERROR(ROUND(($B13*$E13+$D13*$E13+$B13*$F13*$E13+$G13)/MAX(1,$C13),0),0))</f>
        <v/>
      </c>
    </row>
    <row r="14">
      <c r="L14" s="23">
        <f>IF($A14="","",IFERROR(ROUND(($B14*$E14+$D14*$E14+$B14*$F14*$E14+$G14)/MAX(1,$C14),0),0))</f>
        <v/>
      </c>
    </row>
    <row r="15">
      <c r="L15" s="23">
        <f>IF($A15="","",IFERROR(ROUND(($B15*$E15+$D15*$E15+$B15*$F15*$E15+$G15)/MAX(1,$C15),0),0))</f>
        <v/>
      </c>
    </row>
    <row r="16">
      <c r="L16" s="23">
        <f>IF($A16="","",IFERROR(ROUND(($B16*$E16+$D16*$E16+$B16*$F16*$E16+$G16)/MAX(1,$C16),0),0))</f>
        <v/>
      </c>
    </row>
    <row r="17">
      <c r="L17" s="23">
        <f>IF($A17="","",IFERROR(ROUND(($B17*$E17+$D17*$E17+$B17*$F17*$E17+$G17)/MAX(1,$C17),0),0))</f>
        <v/>
      </c>
    </row>
    <row r="18">
      <c r="L18" s="23">
        <f>IF($A18="","",IFERROR(ROUND(($B18*$E18+$D18*$E18+$B18*$F18*$E18+$G18)/MAX(1,$C18),0),0))</f>
        <v/>
      </c>
    </row>
    <row r="19">
      <c r="L19" s="23">
        <f>IF($A19="","",IFERROR(ROUND(($B19*$E19+$D19*$E19+$B19*$F19*$E19+$G19)/MAX(1,$C19),0),0))</f>
        <v/>
      </c>
    </row>
    <row r="20">
      <c r="L20" s="23">
        <f>IF($A20="","",IFERROR(ROUND(($B20*$E20+$D20*$E20+$B20*$F20*$E20+$G20)/MAX(1,$C20),0),0))</f>
        <v/>
      </c>
    </row>
    <row r="21">
      <c r="L21" s="23">
        <f>IF($A21="","",IFERROR(ROUND(($B21*$E21+$D21*$E21+$B21*$F21*$E21+$G21)/MAX(1,$C21),0),0))</f>
        <v/>
      </c>
    </row>
    <row r="22">
      <c r="A22" s="47" t="inlineStr">
        <is>
          <t>OrnekBirimDemo</t>
        </is>
      </c>
      <c r="L22" s="23">
        <f>IF($A22="","",IFERROR(ROUND(($B22*$E22+$D22*$E22+$B22*$F22*$E22+$G22)/MAX(1,$C22),0),0))</f>
        <v/>
      </c>
    </row>
    <row r="23">
      <c r="A23" s="48" t="inlineStr">
        <is>
          <t>Demo ana</t>
        </is>
      </c>
      <c r="B23" s="49" t="n">
        <v>5200</v>
      </c>
      <c r="L23" s="23">
        <f>IF($A23="","",IFERROR(ROUND(($B23*$E23+$D23*$E23+$B23*$F23*$E23+$G23)/MAX(1,$C23),0),0))</f>
        <v/>
      </c>
    </row>
    <row r="24">
      <c r="A24" s="48" t="inlineStr">
        <is>
          <t>Yüksek kur</t>
        </is>
      </c>
      <c r="B24" s="49" t="n">
        <v>5900</v>
      </c>
      <c r="L24" s="23">
        <f>IF($A24="","",IFERROR(ROUND(($B24*$E24+$D24*$E24+$B24*$F24*$E24+$G24)/MAX(1,$C24),0),0))</f>
        <v/>
      </c>
    </row>
    <row r="25">
      <c r="A25" s="48" t="inlineStr">
        <is>
          <t>Düşük marj</t>
        </is>
      </c>
      <c r="B25" s="49" t="n">
        <v>6400</v>
      </c>
      <c r="L25" s="23">
        <f>IF($A25="","",IFERROR(ROUND(($B25*$E25+$D25*$E25+$B25*$F25*$E25+$G25)/MAX(1,$C25),0),0))</f>
        <v/>
      </c>
    </row>
    <row r="26">
      <c r="A26" s="48" t="inlineStr">
        <is>
          <t>2025 geçiş</t>
        </is>
      </c>
      <c r="B26" s="49" t="n">
        <v>5100</v>
      </c>
      <c r="L26" s="23">
        <f>IF($A26="","",IFERROR(ROUND(($B26*$E26+$D26*$E26+$B26*$F26*$E26+$G26)/MAX(1,$C26),0),0))</f>
        <v/>
      </c>
    </row>
    <row r="27">
      <c r="L27" s="23">
        <f>IF($A27="","",IFERROR(ROUND(($B27*$E27+$D27*$E27+$B27*$F27*$E27+$G27)/MAX(1,$C27),0),0))</f>
        <v/>
      </c>
    </row>
    <row r="28">
      <c r="L28" s="23">
        <f>IF($A28="","",IFERROR(ROUND(($B28*$E28+$D28*$E28+$B28*$F28*$E28+$G28)/MAX(1,$C28),0),0))</f>
        <v/>
      </c>
    </row>
    <row r="29">
      <c r="L29" s="23">
        <f>IF($A29="","",IFERROR(ROUND(($B29*$E29+$D29*$E29+$B29*$F29*$E29+$G29)/MAX(1,$C29),0),0))</f>
        <v/>
      </c>
    </row>
    <row r="30">
      <c r="L30" s="23">
        <f>IF($A30="","",IFERROR(ROUND(($B30*$E30+$D30*$E30+$B30*$F30*$E30+$G30)/MAX(1,$C30),0),0))</f>
        <v/>
      </c>
    </row>
    <row r="31">
      <c r="L31" s="23">
        <f>IF($A31="","",IFERROR(ROUND(($B31*$E31+$D31*$E31+$B31*$F31*$E31+$G31)/MAX(1,$C31),0),0))</f>
        <v/>
      </c>
    </row>
    <row r="32">
      <c r="L32" s="23">
        <f>IF($A32="","",IFERROR(ROUND(($B32*$E32+$D32*$E32+$B32*$F32*$E32+$G32)/MAX(1,$C32),0),0))</f>
        <v/>
      </c>
    </row>
    <row r="33">
      <c r="L33" s="23">
        <f>IF($A33="","",IFERROR(ROUND(($B33*$E33+$D33*$E33+$B33*$F33*$E33+$G33)/MAX(1,$C33),0),0))</f>
        <v/>
      </c>
    </row>
    <row r="34">
      <c r="L34" s="23">
        <f>IF($A34="","",IFERROR(ROUND(($B34*$E34+$D34*$E34+$B34*$F34*$E34+$G34)/MAX(1,$C34),0),0))</f>
        <v/>
      </c>
    </row>
    <row r="35">
      <c r="L35" s="23">
        <f>IF($A35="","",IFERROR(ROUND(($B35*$E35+$D35*$E35+$B35*$F35*$E35+$G35)/MAX(1,$C35),0),0))</f>
        <v/>
      </c>
    </row>
    <row r="36">
      <c r="L36" s="23">
        <f>IF($A36="","",IFERROR(ROUND(($B36*$E36+$D36*$E36+$B36*$F36*$E36+$G36)/MAX(1,$C36),0),0))</f>
        <v/>
      </c>
    </row>
    <row r="37">
      <c r="L37" s="23">
        <f>IF($A37="","",IFERROR(ROUND(($B37*$E37+$D37*$E37+$B37*$F37*$E37+$G37)/MAX(1,$C37),0),0))</f>
        <v/>
      </c>
    </row>
    <row r="38">
      <c r="L38" s="23">
        <f>IF($A38="","",IFERROR(ROUND(($B38*$E38+$D38*$E38+$B38*$F38*$E38+$G38)/MAX(1,$C38),0),0))</f>
        <v/>
      </c>
    </row>
    <row r="39">
      <c r="L39" s="23">
        <f>IF($A39="","",IFERROR(ROUND(($B39*$E39+$D39*$E39+$B39*$F39*$E39+$G39)/MAX(1,$C39),0),0))</f>
        <v/>
      </c>
    </row>
    <row r="40">
      <c r="L40" s="23">
        <f>IF($A40="","",IFERROR(ROUND(($B40*$E40+$D40*$E40+$B40*$F40*$E40+$G40)/MAX(1,$C40),0),0))</f>
        <v/>
      </c>
    </row>
    <row r="41">
      <c r="L41" s="23">
        <f>IF($A41="","",IFERROR(ROUND(($B41*$E41+$D41*$E41+$B41*$F41*$E41+$G41)/MAX(1,$C41),0),0))</f>
        <v/>
      </c>
    </row>
    <row r="42">
      <c r="L42" s="23">
        <f>IF($A42="","",IFERROR(ROUND(($B42*$E42+$D42*$E42+$B42*$F42*$E42+$G42)/MAX(1,$C42),0),0))</f>
        <v/>
      </c>
    </row>
    <row r="43">
      <c r="L43" s="23">
        <f>IF($A43="","",IFERROR(ROUND(($B43*$E43+$D43*$E43+$B43*$F43*$E43+$G43)/MAX(1,$C43),0),0))</f>
        <v/>
      </c>
    </row>
    <row r="44">
      <c r="L44" s="23">
        <f>IF($A44="","",IFERROR(ROUND(($B44*$E44+$D44*$E44+$B44*$F44*$E44+$G44)/MAX(1,$C44),0),0))</f>
        <v/>
      </c>
    </row>
    <row r="45">
      <c r="L45" s="23">
        <f>IF($A45="","",IFERROR(ROUND(($B45*$E45+$D45*$E45+$B45*$F45*$E45+$G45)/MAX(1,$C45),0),0))</f>
        <v/>
      </c>
    </row>
    <row r="46">
      <c r="L46" s="23">
        <f>IF($A46="","",IFERROR(ROUND(($B46*$E46+$D46*$E46+$B46*$F46*$E46+$G46)/MAX(1,$C46),0),0))</f>
        <v/>
      </c>
    </row>
    <row r="47">
      <c r="L47" s="23">
        <f>IF($A47="","",IFERROR(ROUND(($B47*$E47+$D47*$E47+$B47*$F47*$E47+$G47)/MAX(1,$C47),0),0))</f>
        <v/>
      </c>
    </row>
    <row r="48">
      <c r="L48" s="23">
        <f>IF($A48="","",IFERROR(ROUND(($B48*$E48+$D48*$E48+$B48*$F48*$E48+$G48)/MAX(1,$C48),0),0))</f>
        <v/>
      </c>
    </row>
    <row r="49">
      <c r="L49" s="23">
        <f>IF($A49="","",IFERROR(ROUND(($B49*$E49+$D49*$E49+$B49*$F49*$E49+$G49)/MAX(1,$C49),0),0))</f>
        <v/>
      </c>
    </row>
    <row r="50">
      <c r="L50" s="23">
        <f>IF($A50="","",IFERROR(ROUND(($B50*$E50+$D50*$E50+$B50*$F50*$E50+$G50)/MAX(1,$C50),0),0))</f>
        <v/>
      </c>
    </row>
    <row r="51">
      <c r="L51" s="23">
        <f>IF($A51="","",IFERROR(ROUND(($B51*$E51+$D51*$E51+$B51*$F51*$E51+$G51)/MAX(1,$C51),0),0))</f>
        <v/>
      </c>
    </row>
    <row r="52">
      <c r="L52" s="23">
        <f>IF($A52="","",IFERROR(ROUND(($B52*$E52+$D52*$E52+$B52*$F52*$E52+$G52)/MAX(1,$C52),0),0))</f>
        <v/>
      </c>
    </row>
    <row r="53">
      <c r="L53" s="23">
        <f>IF($A53="","",IFERROR(ROUND(($B53*$E53+$D53*$E53+$B53*$F53*$E53+$G53)/MAX(1,$C53),0),0))</f>
        <v/>
      </c>
    </row>
    <row r="54">
      <c r="L54" s="23">
        <f>IF($A54="","",IFERROR(ROUND(($B54*$E54+$D54*$E54+$B54*$F54*$E54+$G54)/MAX(1,$C54),0),0))</f>
        <v/>
      </c>
    </row>
    <row r="55">
      <c r="L55" s="23">
        <f>IF($A55="","",IFERROR(ROUND(($B55*$E55+$D55*$E55+$B55*$F55*$E55+$G55)/MAX(1,$C55),0),0))</f>
        <v/>
      </c>
    </row>
    <row r="56">
      <c r="L56" s="23">
        <f>IF($A56="","",IFERROR(ROUND(($B56*$E56+$D56*$E56+$B56*$F56*$E56+$G56)/MAX(1,$C56),0),0))</f>
        <v/>
      </c>
    </row>
    <row r="57">
      <c r="L57" s="23">
        <f>IF($A57="","",IFERROR(ROUND(($B57*$E57+$D57*$E57+$B57*$F57*$E57+$G57)/MAX(1,$C57),0),0))</f>
        <v/>
      </c>
    </row>
    <row r="58">
      <c r="L58" s="23">
        <f>IF($A58="","",IFERROR(ROUND(($B58*$E58+$D58*$E58+$B58*$F58*$E58+$G58)/MAX(1,$C58),0),0))</f>
        <v/>
      </c>
    </row>
    <row r="59">
      <c r="L59" s="23">
        <f>IF($A59="","",IFERROR(ROUND(($B59*$E59+$D59*$E59+$B59*$F59*$E59+$G59)/MAX(1,$C59),0),0))</f>
        <v/>
      </c>
    </row>
    <row r="60">
      <c r="L60" s="23">
        <f>IF($A60="","",IFERROR(ROUND(($B60*$E60+$D60*$E60+$B60*$F60*$E60+$G60)/MAX(1,$C60),0),0))</f>
        <v/>
      </c>
    </row>
    <row r="61">
      <c r="L61" s="23">
        <f>IF($A61="","",IFERROR(ROUND(($B61*$E61+$D61*$E61+$B61*$F61*$E61+$G61)/MAX(1,$C61),0),0))</f>
        <v/>
      </c>
    </row>
    <row r="62">
      <c r="L62" s="23">
        <f>IF($A62="","",IFERROR(ROUND(($B62*$E62+$D62*$E62+$B62*$F62*$E62+$G62)/MAX(1,$C62),0),0))</f>
        <v/>
      </c>
    </row>
    <row r="63">
      <c r="L63" s="23">
        <f>IF($A63="","",IFERROR(ROUND(($B63*$E63+$D63*$E63+$B63*$F63*$E63+$G63)/MAX(1,$C63),0),0))</f>
        <v/>
      </c>
    </row>
    <row r="64">
      <c r="L64" s="23">
        <f>IF($A64="","",IFERROR(ROUND(($B64*$E64+$D64*$E64+$B64*$F64*$E64+$G64)/MAX(1,$C64),0),0))</f>
        <v/>
      </c>
    </row>
    <row r="65">
      <c r="L65" s="23">
        <f>IF($A65="","",IFERROR(ROUND(($B65*$E65+$D65*$E65+$B65*$F65*$E65+$G65)/MAX(1,$C65),0),0))</f>
        <v/>
      </c>
    </row>
    <row r="66">
      <c r="L66" s="23">
        <f>IF($A66="","",IFERROR(ROUND(($B66*$E66+$D66*$E66+$B66*$F66*$E66+$G66)/MAX(1,$C66),0),0))</f>
        <v/>
      </c>
    </row>
    <row r="67">
      <c r="L67" s="23">
        <f>IF($A67="","",IFERROR(ROUND(($B67*$E67+$D67*$E67+$B67*$F67*$E67+$G67)/MAX(1,$C67),0),0))</f>
        <v/>
      </c>
    </row>
    <row r="68">
      <c r="L68" s="23">
        <f>IF($A68="","",IFERROR(ROUND(($B68*$E68+$D68*$E68+$B68*$F68*$E68+$G68)/MAX(1,$C68),0),0))</f>
        <v/>
      </c>
    </row>
    <row r="69">
      <c r="L69" s="23">
        <f>IF($A69="","",IFERROR(ROUND(($B69*$E69+$D69*$E69+$B69*$F69*$E69+$G69)/MAX(1,$C69),0),0))</f>
        <v/>
      </c>
    </row>
    <row r="70">
      <c r="L70" s="23">
        <f>IF($A70="","",IFERROR(ROUND(($B70*$E70+$D70*$E70+$B70*$F70*$E70+$G70)/MAX(1,$C70),0),0))</f>
        <v/>
      </c>
    </row>
    <row r="71">
      <c r="L71" s="23">
        <f>IF($A71="","",IFERROR(ROUND(($B71*$E71+$D71*$E71+$B71*$F71*$E71+$G71)/MAX(1,$C71),0),0))</f>
        <v/>
      </c>
    </row>
    <row r="72">
      <c r="L72" s="23">
        <f>IF($A72="","",IFERROR(ROUND(($B72*$E72+$D72*$E72+$B72*$F72*$E72+$G72)/MAX(1,$C72),0),0))</f>
        <v/>
      </c>
    </row>
    <row r="73">
      <c r="L73" s="23">
        <f>IF($A73="","",IFERROR(ROUND(($B73*$E73+$D73*$E73+$B73*$F73*$E73+$G73)/MAX(1,$C73),0),0))</f>
        <v/>
      </c>
    </row>
    <row r="74">
      <c r="L74" s="23">
        <f>IF($A74="","",IFERROR(ROUND(($B74*$E74+$D74*$E74+$B74*$F74*$E74+$G74)/MAX(1,$C74),0),0))</f>
        <v/>
      </c>
    </row>
    <row r="75">
      <c r="L75" s="23">
        <f>IF($A75="","",IFERROR(ROUND(($B75*$E75+$D75*$E75+$B75*$F75*$E75+$G75)/MAX(1,$C75),0),0))</f>
        <v/>
      </c>
    </row>
    <row r="76">
      <c r="L76" s="23">
        <f>IF($A76="","",IFERROR(ROUND(($B76*$E76+$D76*$E76+$B76*$F76*$E76+$G76)/MAX(1,$C76),0),0))</f>
        <v/>
      </c>
    </row>
    <row r="77">
      <c r="L77" s="23">
        <f>IF($A77="","",IFERROR(ROUND(($B77*$E77+$D77*$E77+$B77*$F77*$E77+$G77)/MAX(1,$C77),0),0))</f>
        <v/>
      </c>
    </row>
    <row r="78">
      <c r="L78" s="23">
        <f>IF($A78="","",IFERROR(ROUND(($B78*$E78+$D78*$E78+$B78*$F78*$E78+$G78)/MAX(1,$C78),0),0))</f>
        <v/>
      </c>
    </row>
    <row r="79">
      <c r="L79" s="23">
        <f>IF($A79="","",IFERROR(ROUND(($B79*$E79+$D79*$E79+$B79*$F79*$E79+$G79)/MAX(1,$C79),0),0))</f>
        <v/>
      </c>
    </row>
    <row r="80">
      <c r="L80" s="23">
        <f>IF($A80="","",IFERROR(ROUND(($B80*$E80+$D80*$E80+$B80*$F80*$E80+$G80)/MAX(1,$C80),0),0))</f>
        <v/>
      </c>
    </row>
    <row r="81">
      <c r="L81" s="23">
        <f>IF($A81="","",IFERROR(ROUND(($B81*$E81+$D81*$E81+$B81*$F81*$E81+$G81)/MAX(1,$C81),0),0))</f>
        <v/>
      </c>
    </row>
    <row r="82">
      <c r="L82" s="23">
        <f>IF($A82="","",IFERROR(ROUND(($B82*$E82+$D82*$E82+$B82*$F82*$E82+$G82)/MAX(1,$C82),0),0))</f>
        <v/>
      </c>
    </row>
    <row r="83">
      <c r="L83" s="23">
        <f>IF($A83="","",IFERROR(ROUND(($B83*$E83+$D83*$E83+$B83*$F83*$E83+$G83)/MAX(1,$C83),0),0))</f>
        <v/>
      </c>
    </row>
    <row r="84">
      <c r="L84" s="23">
        <f>IF($A84="","",IFERROR(ROUND(($B84*$E84+$D84*$E84+$B84*$F84*$E84+$G84)/MAX(1,$C84),0),0))</f>
        <v/>
      </c>
    </row>
    <row r="85">
      <c r="L85" s="23">
        <f>IF($A85="","",IFERROR(ROUND(($B85*$E85+$D85*$E85+$B85*$F85*$E85+$G85)/MAX(1,$C85),0),0))</f>
        <v/>
      </c>
    </row>
    <row r="86">
      <c r="L86" s="23">
        <f>IF($A86="","",IFERROR(ROUND(($B86*$E86+$D86*$E86+$B86*$F86*$E86+$G86)/MAX(1,$C86),0),0))</f>
        <v/>
      </c>
    </row>
    <row r="87">
      <c r="L87" s="23">
        <f>IF($A87="","",IFERROR(ROUND(($B87*$E87+$D87*$E87+$B87*$F87*$E87+$G87)/MAX(1,$C87),0),0))</f>
        <v/>
      </c>
    </row>
    <row r="88">
      <c r="L88" s="23">
        <f>IF($A88="","",IFERROR(ROUND(($B88*$E88+$D88*$E88+$B88*$F88*$E88+$G88)/MAX(1,$C88),0),0))</f>
        <v/>
      </c>
    </row>
    <row r="89">
      <c r="L89" s="23">
        <f>IF($A89="","",IFERROR(ROUND(($B89*$E89+$D89*$E89+$B89*$F89*$E89+$G89)/MAX(1,$C89),0),0))</f>
        <v/>
      </c>
    </row>
    <row r="90">
      <c r="L90" s="23">
        <f>IF($A90="","",IFERROR(ROUND(($B90*$E90+$D90*$E90+$B90*$F90*$E90+$G90)/MAX(1,$C90),0),0))</f>
        <v/>
      </c>
    </row>
    <row r="91">
      <c r="L91" s="23">
        <f>IF($A91="","",IFERROR(ROUND(($B91*$E91+$D91*$E91+$B91*$F91*$E91+$G91)/MAX(1,$C91),0),0))</f>
        <v/>
      </c>
    </row>
    <row r="92">
      <c r="L92" s="23">
        <f>IF($A92="","",IFERROR(ROUND(($B92*$E92+$D92*$E92+$B92*$F92*$E92+$G92)/MAX(1,$C92),0),0))</f>
        <v/>
      </c>
    </row>
    <row r="93">
      <c r="L93" s="23">
        <f>IF($A93="","",IFERROR(ROUND(($B93*$E93+$D93*$E93+$B93*$F93*$E93+$G93)/MAX(1,$C93),0),0))</f>
        <v/>
      </c>
    </row>
    <row r="94">
      <c r="L94" s="23">
        <f>IF($A94="","",IFERROR(ROUND(($B94*$E94+$D94*$E94+$B94*$F94*$E94+$G94)/MAX(1,$C94),0),0))</f>
        <v/>
      </c>
    </row>
    <row r="95">
      <c r="L95" s="23">
        <f>IF($A95="","",IFERROR(ROUND(($B95*$E95+$D95*$E95+$B95*$F95*$E95+$G95)/MAX(1,$C95),0),0))</f>
        <v/>
      </c>
    </row>
    <row r="96">
      <c r="L96" s="23">
        <f>IF($A96="","",IFERROR(ROUND(($B96*$E96+$D96*$E96+$B96*$F96*$E96+$G96)/MAX(1,$C96),0),0))</f>
        <v/>
      </c>
    </row>
    <row r="97">
      <c r="L97" s="23">
        <f>IF($A97="","",IFERROR(ROUND(($B97*$E97+$D97*$E97+$B97*$F97*$E97+$G97)/MAX(1,$C97),0),0))</f>
        <v/>
      </c>
    </row>
    <row r="98">
      <c r="L98" s="23">
        <f>IF($A98="","",IFERROR(ROUND(($B98*$E98+$D98*$E98+$B98*$F98*$E98+$G98)/MAX(1,$C98),0),0))</f>
        <v/>
      </c>
    </row>
    <row r="99">
      <c r="L99" s="23">
        <f>IF($A99="","",IFERROR(ROUND(($B99*$E99+$D99*$E99+$B99*$F99*$E99+$G99)/MAX(1,$C99),0),0))</f>
        <v/>
      </c>
    </row>
    <row r="100">
      <c r="L100" s="23">
        <f>IF($A100="","",IFERROR(ROUND(($B100*$E100+$D100*$E100+$B100*$F100*$E100+$G100)/MAX(1,$C100),0),0))</f>
        <v/>
      </c>
    </row>
    <row r="101">
      <c r="L101" s="23">
        <f>IF($A101="","",IFERROR(ROUND(($B101*$E101+$D101*$E101+$B101*$F101*$E101+$G101)/MAX(1,$C101),0),0))</f>
        <v/>
      </c>
    </row>
    <row r="102">
      <c r="L102" s="23">
        <f>IF($A102="","",IFERROR(ROUND(($B102*$E102+$D102*$E102+$B102*$F102*$E102+$G102)/MAX(1,$C102),0),0))</f>
        <v/>
      </c>
    </row>
    <row r="103">
      <c r="L103" s="23">
        <f>IF($A103="","",IFERROR(ROUND(($B103*$E103+$D103*$E103+$B103*$F103*$E103+$G103)/MAX(1,$C103),0),0))</f>
        <v/>
      </c>
    </row>
    <row r="104">
      <c r="L104" s="23">
        <f>IF($A104="","",IFERROR(ROUND(($B104*$E104+$D104*$E104+$B104*$F104*$E104+$G104)/MAX(1,$C104),0),0))</f>
        <v/>
      </c>
    </row>
    <row r="105">
      <c r="L105" s="23">
        <f>IF($A105="","",IFERROR(ROUND(($B105*$E105+$D105*$E105+$B105*$F105*$E105+$G105)/MAX(1,$C105),0),0))</f>
        <v/>
      </c>
    </row>
    <row r="106">
      <c r="L106" s="23">
        <f>IF($A106="","",IFERROR(ROUND(($B106*$E106+$D106*$E106+$B106*$F106*$E106+$G106)/MAX(1,$C106),0),0))</f>
        <v/>
      </c>
    </row>
    <row r="107">
      <c r="L107" s="23">
        <f>IF($A107="","",IFERROR(ROUND(($B107*$E107+$D107*$E107+$B107*$F107*$E107+$G107)/MAX(1,$C107),0),0))</f>
        <v/>
      </c>
    </row>
    <row r="108">
      <c r="L108" s="23">
        <f>IF($A108="","",IFERROR(ROUND(($B108*$E108+$D108*$E108+$B108*$F108*$E108+$G108)/MAX(1,$C108),0),0))</f>
        <v/>
      </c>
    </row>
    <row r="109">
      <c r="L109" s="23">
        <f>IF($A109="","",IFERROR(ROUND(($B109*$E109+$D109*$E109+$B109*$F109*$E109+$G109)/MAX(1,$C109),0),0))</f>
        <v/>
      </c>
    </row>
    <row r="110">
      <c r="L110" s="23">
        <f>IF($A110="","",IFERROR(ROUND(($B110*$E110+$D110*$E110+$B110*$F110*$E110+$G110)/MAX(1,$C110),0),0))</f>
        <v/>
      </c>
    </row>
    <row r="111">
      <c r="L111" s="23">
        <f>IF($A111="","",IFERROR(ROUND(($B111*$E111+$D111*$E111+$B111*$F111*$E111+$G111)/MAX(1,$C111),0),0))</f>
        <v/>
      </c>
    </row>
    <row r="112">
      <c r="L112" s="23">
        <f>IF($A112="","",IFERROR(ROUND(($B112*$E112+$D112*$E112+$B112*$F112*$E112+$G112)/MAX(1,$C112),0),0))</f>
        <v/>
      </c>
    </row>
    <row r="113">
      <c r="L113" s="23">
        <f>IF($A113="","",IFERROR(ROUND(($B113*$E113+$D113*$E113+$B113*$F113*$E113+$G113)/MAX(1,$C113),0),0))</f>
        <v/>
      </c>
    </row>
    <row r="114">
      <c r="L114" s="23">
        <f>IF($A114="","",IFERROR(ROUND(($B114*$E114+$D114*$E114+$B114*$F114*$E114+$G114)/MAX(1,$C114),0),0))</f>
        <v/>
      </c>
    </row>
    <row r="115">
      <c r="L115" s="23">
        <f>IF($A115="","",IFERROR(ROUND(($B115*$E115+$D115*$E115+$B115*$F115*$E115+$G115)/MAX(1,$C115),0),0))</f>
        <v/>
      </c>
    </row>
    <row r="116">
      <c r="L116" s="23">
        <f>IF($A116="","",IFERROR(ROUND(($B116*$E116+$D116*$E116+$B116*$F116*$E116+$G116)/MAX(1,$C116),0),0))</f>
        <v/>
      </c>
    </row>
    <row r="117">
      <c r="L117" s="23">
        <f>IF($A117="","",IFERROR(ROUND(($B117*$E117+$D117*$E117+$B117*$F117*$E117+$G117)/MAX(1,$C117),0),0))</f>
        <v/>
      </c>
    </row>
    <row r="118">
      <c r="L118" s="23">
        <f>IF($A118="","",IFERROR(ROUND(($B118*$E118+$D118*$E118+$B118*$F118*$E118+$G118)/MAX(1,$C118),0),0))</f>
        <v/>
      </c>
    </row>
    <row r="119">
      <c r="L119" s="23">
        <f>IF($A119="","",IFERROR(ROUND(($B119*$E119+$D119*$E119+$B119*$F119*$E119+$G119)/MAX(1,$C119),0),0))</f>
        <v/>
      </c>
    </row>
    <row r="120">
      <c r="L120" s="23">
        <f>IF($A120="","",IFERROR(ROUND(($B120*$E120+$D120*$E120+$B120*$F120*$E120+$G120)/MAX(1,$C120),0),0))</f>
        <v/>
      </c>
    </row>
    <row r="121">
      <c r="L121" s="23">
        <f>IF($A121="","",IFERROR(ROUND(($B121*$E121+$D121*$E121+$B121*$F121*$E121+$G121)/MAX(1,$C121),0),0))</f>
        <v/>
      </c>
    </row>
    <row r="122">
      <c r="L122" s="23">
        <f>IF($A122="","",IFERROR(ROUND(($B122*$E122+$D122*$E122+$B122*$F122*$E122+$G122)/MAX(1,$C122),0),0))</f>
        <v/>
      </c>
    </row>
    <row r="123">
      <c r="L123" s="23">
        <f>IF($A123="","",IFERROR(ROUND(($B123*$E123+$D123*$E123+$B123*$F123*$E123+$G123)/MAX(1,$C123),0),0))</f>
        <v/>
      </c>
    </row>
    <row r="124">
      <c r="L124" s="23">
        <f>IF($A124="","",IFERROR(ROUND(($B124*$E124+$D124*$E124+$B124*$F124*$E124+$G124)/MAX(1,$C124),0),0))</f>
        <v/>
      </c>
    </row>
    <row r="125">
      <c r="L125" s="23">
        <f>IF($A125="","",IFERROR(ROUND(($B125*$E125+$D125*$E125+$B125*$F125*$E125+$G125)/MAX(1,$C125),0),0))</f>
        <v/>
      </c>
    </row>
    <row r="126">
      <c r="L126" s="23">
        <f>IF($A126="","",IFERROR(ROUND(($B126*$E126+$D126*$E126+$B126*$F126*$E126+$G126)/MAX(1,$C126),0),0))</f>
        <v/>
      </c>
    </row>
    <row r="127">
      <c r="L127" s="23">
        <f>IF($A127="","",IFERROR(ROUND(($B127*$E127+$D127*$E127+$B127*$F127*$E127+$G127)/MAX(1,$C127),0),0))</f>
        <v/>
      </c>
    </row>
    <row r="128">
      <c r="L128" s="23">
        <f>IF($A128="","",IFERROR(ROUND(($B128*$E128+$D128*$E128+$B128*$F128*$E128+$G128)/MAX(1,$C128),0),0))</f>
        <v/>
      </c>
    </row>
    <row r="129">
      <c r="L129" s="23">
        <f>IF($A129="","",IFERROR(ROUND(($B129*$E129+$D129*$E129+$B129*$F129*$E129+$G129)/MAX(1,$C129),0),0))</f>
        <v/>
      </c>
    </row>
    <row r="130">
      <c r="L130" s="23">
        <f>IF($A130="","",IFERROR(ROUND(($B130*$E130+$D130*$E130+$B130*$F130*$E130+$G130)/MAX(1,$C130),0),0))</f>
        <v/>
      </c>
    </row>
    <row r="131">
      <c r="L131" s="23">
        <f>IF($A131="","",IFERROR(ROUND(($B131*$E131+$D131*$E131+$B131*$F131*$E131+$G131)/MAX(1,$C131),0),0))</f>
        <v/>
      </c>
    </row>
    <row r="132">
      <c r="L132" s="23">
        <f>IF($A132="","",IFERROR(ROUND(($B132*$E132+$D132*$E132+$B132*$F132*$E132+$G132)/MAX(1,$C132),0),0))</f>
        <v/>
      </c>
    </row>
    <row r="133">
      <c r="L133" s="23">
        <f>IF($A133="","",IFERROR(ROUND(($B133*$E133+$D133*$E133+$B133*$F133*$E133+$G133)/MAX(1,$C133),0),0))</f>
        <v/>
      </c>
    </row>
    <row r="134">
      <c r="L134" s="23">
        <f>IF($A134="","",IFERROR(ROUND(($B134*$E134+$D134*$E134+$B134*$F134*$E134+$G134)/MAX(1,$C134),0),0))</f>
        <v/>
      </c>
    </row>
    <row r="135">
      <c r="L135" s="23">
        <f>IF($A135="","",IFERROR(ROUND(($B135*$E135+$D135*$E135+$B135*$F135*$E135+$G135)/MAX(1,$C135),0),0))</f>
        <v/>
      </c>
    </row>
    <row r="136">
      <c r="L136" s="23">
        <f>IF($A136="","",IFERROR(ROUND(($B136*$E136+$D136*$E136+$B136*$F136*$E136+$G136)/MAX(1,$C136),0),0))</f>
        <v/>
      </c>
    </row>
    <row r="137">
      <c r="L137" s="23">
        <f>IF($A137="","",IFERROR(ROUND(($B137*$E137+$D137*$E137+$B137*$F137*$E137+$G137)/MAX(1,$C137),0),0))</f>
        <v/>
      </c>
    </row>
    <row r="138">
      <c r="L138" s="23">
        <f>IF($A138="","",IFERROR(ROUND(($B138*$E138+$D138*$E138+$B138*$F138*$E138+$G138)/MAX(1,$C138),0),0))</f>
        <v/>
      </c>
    </row>
    <row r="139">
      <c r="L139" s="23">
        <f>IF($A139="","",IFERROR(ROUND(($B139*$E139+$D139*$E139+$B139*$F139*$E139+$G139)/MAX(1,$C139),0),0))</f>
        <v/>
      </c>
    </row>
    <row r="140">
      <c r="L140" s="23">
        <f>IF($A140="","",IFERROR(ROUND(($B140*$E140+$D140*$E140+$B140*$F140*$E140+$G140)/MAX(1,$C140),0),0))</f>
        <v/>
      </c>
    </row>
    <row r="141">
      <c r="L141" s="23">
        <f>IF($A141="","",IFERROR(ROUND(($B141*$E141+$D141*$E141+$B141*$F141*$E141+$G141)/MAX(1,$C141),0),0))</f>
        <v/>
      </c>
    </row>
    <row r="142">
      <c r="L142" s="23">
        <f>IF($A142="","",IFERROR(ROUND(($B142*$E142+$D142*$E142+$B142*$F142*$E142+$G142)/MAX(1,$C142),0),0))</f>
        <v/>
      </c>
    </row>
    <row r="143">
      <c r="L143" s="23">
        <f>IF($A143="","",IFERROR(ROUND(($B143*$E143+$D143*$E143+$B143*$F143*$E143+$G143)/MAX(1,$C143),0),0))</f>
        <v/>
      </c>
    </row>
    <row r="144">
      <c r="L144" s="23">
        <f>IF($A144="","",IFERROR(ROUND(($B144*$E144+$D144*$E144+$B144*$F144*$E144+$G144)/MAX(1,$C144),0),0))</f>
        <v/>
      </c>
    </row>
    <row r="145">
      <c r="L145" s="23">
        <f>IF($A145="","",IFERROR(ROUND(($B145*$E145+$D145*$E145+$B145*$F145*$E145+$G145)/MAX(1,$C145),0),0))</f>
        <v/>
      </c>
    </row>
    <row r="146">
      <c r="L146" s="23">
        <f>IF($A146="","",IFERROR(ROUND(($B146*$E146+$D146*$E146+$B146*$F146*$E146+$G146)/MAX(1,$C146),0),0))</f>
        <v/>
      </c>
    </row>
    <row r="147">
      <c r="L147" s="23">
        <f>IF($A147="","",IFERROR(ROUND(($B147*$E147+$D147*$E147+$B147*$F147*$E147+$G147)/MAX(1,$C147),0),0))</f>
        <v/>
      </c>
    </row>
    <row r="148">
      <c r="L148" s="23">
        <f>IF($A148="","",IFERROR(ROUND(($B148*$E148+$D148*$E148+$B148*$F148*$E148+$G148)/MAX(1,$C148),0),0))</f>
        <v/>
      </c>
    </row>
    <row r="149">
      <c r="L149" s="23">
        <f>IF($A149="","",IFERROR(ROUND(($B149*$E149+$D149*$E149+$B149*$F149*$E149+$G149)/MAX(1,$C149),0),0))</f>
        <v/>
      </c>
    </row>
    <row r="150">
      <c r="L150" s="23">
        <f>IF($A150="","",IFERROR(ROUND(($B150*$E150+$D150*$E150+$B150*$F150*$E150+$G150)/MAX(1,$C150),0),0))</f>
        <v/>
      </c>
    </row>
    <row r="151">
      <c r="L151" s="23">
        <f>IF($A151="","",IFERROR(ROUND(($B151*$E151+$D151*$E151+$B151*$F151*$E151+$G151)/MAX(1,$C151),0),0))</f>
        <v/>
      </c>
    </row>
    <row r="152">
      <c r="L152" s="23">
        <f>IF($A152="","",IFERROR(ROUND(($B152*$E152+$D152*$E152+$B152*$F152*$E152+$G152)/MAX(1,$C152),0),0))</f>
        <v/>
      </c>
    </row>
    <row r="153">
      <c r="L153" s="23">
        <f>IF($A153="","",IFERROR(ROUND(($B153*$E153+$D153*$E153+$B153*$F153*$E153+$G153)/MAX(1,$C153),0),0))</f>
        <v/>
      </c>
    </row>
    <row r="154">
      <c r="L154" s="23">
        <f>IF($A154="","",IFERROR(ROUND(($B154*$E154+$D154*$E154+$B154*$F154*$E154+$G154)/MAX(1,$C154),0),0))</f>
        <v/>
      </c>
    </row>
    <row r="155">
      <c r="L155" s="23">
        <f>IF($A155="","",IFERROR(ROUND(($B155*$E155+$D155*$E155+$B155*$F155*$E155+$G155)/MAX(1,$C155),0),0))</f>
        <v/>
      </c>
    </row>
    <row r="156">
      <c r="L156" s="23">
        <f>IF($A156="","",IFERROR(ROUND(($B156*$E156+$D156*$E156+$B156*$F156*$E156+$G156)/MAX(1,$C156),0),0))</f>
        <v/>
      </c>
    </row>
    <row r="157">
      <c r="L157" s="23">
        <f>IF($A157="","",IFERROR(ROUND(($B157*$E157+$D157*$E157+$B157*$F157*$E157+$G157)/MAX(1,$C157),0),0))</f>
        <v/>
      </c>
    </row>
    <row r="158">
      <c r="L158" s="23">
        <f>IF($A158="","",IFERROR(ROUND(($B158*$E158+$D158*$E158+$B158*$F158*$E158+$G158)/MAX(1,$C158),0),0))</f>
        <v/>
      </c>
    </row>
    <row r="159">
      <c r="L159" s="23">
        <f>IF($A159="","",IFERROR(ROUND(($B159*$E159+$D159*$E159+$B159*$F159*$E159+$G159)/MAX(1,$C159),0),0))</f>
        <v/>
      </c>
    </row>
    <row r="160">
      <c r="L160" s="23">
        <f>IF($A160="","",IFERROR(ROUND(($B160*$E160+$D160*$E160+$B160*$F160*$E160+$G160)/MAX(1,$C160),0),0))</f>
        <v/>
      </c>
    </row>
    <row r="161">
      <c r="L161" s="23">
        <f>IF($A161="","",IFERROR(ROUND(($B161*$E161+$D161*$E161+$B161*$F161*$E161+$G161)/MAX(1,$C161),0),0))</f>
        <v/>
      </c>
    </row>
    <row r="162">
      <c r="L162" s="23">
        <f>IF($A162="","",IFERROR(ROUND(($B162*$E162+$D162*$E162+$B162*$F162*$E162+$G162)/MAX(1,$C162),0),0))</f>
        <v/>
      </c>
    </row>
    <row r="163">
      <c r="L163" s="23">
        <f>IF($A163="","",IFERROR(ROUND(($B163*$E163+$D163*$E163+$B163*$F163*$E163+$G163)/MAX(1,$C163),0),0))</f>
        <v/>
      </c>
    </row>
    <row r="164">
      <c r="L164" s="23">
        <f>IF($A164="","",IFERROR(ROUND(($B164*$E164+$D164*$E164+$B164*$F164*$E164+$G164)/MAX(1,$C164),0),0))</f>
        <v/>
      </c>
    </row>
    <row r="165">
      <c r="L165" s="23">
        <f>IF($A165="","",IFERROR(ROUND(($B165*$E165+$D165*$E165+$B165*$F165*$E165+$G165)/MAX(1,$C165),0),0))</f>
        <v/>
      </c>
    </row>
    <row r="166">
      <c r="L166" s="23">
        <f>IF($A166="","",IFERROR(ROUND(($B166*$E166+$D166*$E166+$B166*$F166*$E166+$G166)/MAX(1,$C166),0),0))</f>
        <v/>
      </c>
    </row>
    <row r="167">
      <c r="L167" s="23">
        <f>IF($A167="","",IFERROR(ROUND(($B167*$E167+$D167*$E167+$B167*$F167*$E167+$G167)/MAX(1,$C167),0),0))</f>
        <v/>
      </c>
    </row>
    <row r="168">
      <c r="L168" s="23">
        <f>IF($A168="","",IFERROR(ROUND(($B168*$E168+$D168*$E168+$B168*$F168*$E168+$G168)/MAX(1,$C168),0),0))</f>
        <v/>
      </c>
    </row>
    <row r="169">
      <c r="L169" s="23">
        <f>IF($A169="","",IFERROR(ROUND(($B169*$E169+$D169*$E169+$B169*$F169*$E169+$G169)/MAX(1,$C169),0),0))</f>
        <v/>
      </c>
    </row>
    <row r="170">
      <c r="L170" s="23">
        <f>IF($A170="","",IFERROR(ROUND(($B170*$E170+$D170*$E170+$B170*$F170*$E170+$G170)/MAX(1,$C170),0),0))</f>
        <v/>
      </c>
    </row>
    <row r="171">
      <c r="L171" s="23">
        <f>IF($A171="","",IFERROR(ROUND(($B171*$E171+$D171*$E171+$B171*$F171*$E171+$G171)/MAX(1,$C171),0),0))</f>
        <v/>
      </c>
    </row>
    <row r="172">
      <c r="L172" s="23">
        <f>IF($A172="","",IFERROR(ROUND(($B172*$E172+$D172*$E172+$B172*$F172*$E172+$G172)/MAX(1,$C172),0),0))</f>
        <v/>
      </c>
    </row>
    <row r="173">
      <c r="L173" s="23">
        <f>IF($A173="","",IFERROR(ROUND(($B173*$E173+$D173*$E173+$B173*$F173*$E173+$G173)/MAX(1,$C173),0),0))</f>
        <v/>
      </c>
    </row>
    <row r="174">
      <c r="L174" s="23">
        <f>IF($A174="","",IFERROR(ROUND(($B174*$E174+$D174*$E174+$B174*$F174*$E174+$G174)/MAX(1,$C174),0),0))</f>
        <v/>
      </c>
    </row>
    <row r="175">
      <c r="L175" s="23">
        <f>IF($A175="","",IFERROR(ROUND(($B175*$E175+$D175*$E175+$B175*$F175*$E175+$G175)/MAX(1,$C175),0),0))</f>
        <v/>
      </c>
    </row>
    <row r="176">
      <c r="L176" s="23">
        <f>IF($A176="","",IFERROR(ROUND(($B176*$E176+$D176*$E176+$B176*$F176*$E176+$G176)/MAX(1,$C176),0),0))</f>
        <v/>
      </c>
    </row>
    <row r="177">
      <c r="L177" s="23">
        <f>IF($A177="","",IFERROR(ROUND(($B177*$E177+$D177*$E177+$B177*$F177*$E177+$G177)/MAX(1,$C177),0),0))</f>
        <v/>
      </c>
    </row>
    <row r="178">
      <c r="L178" s="23">
        <f>IF($A178="","",IFERROR(ROUND(($B178*$E178+$D178*$E178+$B178*$F178*$E178+$G178)/MAX(1,$C178),0),0))</f>
        <v/>
      </c>
    </row>
    <row r="179">
      <c r="L179" s="23">
        <f>IF($A179="","",IFERROR(ROUND(($B179*$E179+$D179*$E179+$B179*$F179*$E179+$G179)/MAX(1,$C179),0),0))</f>
        <v/>
      </c>
    </row>
    <row r="180">
      <c r="L180" s="23">
        <f>IF($A180="","",IFERROR(ROUND(($B180*$E180+$D180*$E180+$B180*$F180*$E180+$G180)/MAX(1,$C180),0),0))</f>
        <v/>
      </c>
    </row>
    <row r="181">
      <c r="L181" s="23">
        <f>IF($A181="","",IFERROR(ROUND(($B181*$E181+$D181*$E181+$B181*$F181*$E181+$G181)/MAX(1,$C181),0),0))</f>
        <v/>
      </c>
    </row>
    <row r="182">
      <c r="L182" s="23">
        <f>IF($A182="","",IFERROR(ROUND(($B182*$E182+$D182*$E182+$B182*$F182*$E182+$G182)/MAX(1,$C182),0),0))</f>
        <v/>
      </c>
    </row>
    <row r="183">
      <c r="L183" s="23">
        <f>IF($A183="","",IFERROR(ROUND(($B183*$E183+$D183*$E183+$B183*$F183*$E183+$G183)/MAX(1,$C183),0),0))</f>
        <v/>
      </c>
    </row>
    <row r="184">
      <c r="L184" s="23">
        <f>IF($A184="","",IFERROR(ROUND(($B184*$E184+$D184*$E184+$B184*$F184*$E184+$G184)/MAX(1,$C184),0),0))</f>
        <v/>
      </c>
    </row>
    <row r="185">
      <c r="L185" s="23">
        <f>IF($A185="","",IFERROR(ROUND(($B185*$E185+$D185*$E185+$B185*$F185*$E185+$G185)/MAX(1,$C185),0),0))</f>
        <v/>
      </c>
    </row>
    <row r="186">
      <c r="L186" s="23">
        <f>IF($A186="","",IFERROR(ROUND(($B186*$E186+$D186*$E186+$B186*$F186*$E186+$G186)/MAX(1,$C186),0),0))</f>
        <v/>
      </c>
    </row>
    <row r="187">
      <c r="L187" s="23">
        <f>IF($A187="","",IFERROR(ROUND(($B187*$E187+$D187*$E187+$B187*$F187*$E187+$G187)/MAX(1,$C187),0),0))</f>
        <v/>
      </c>
    </row>
    <row r="188">
      <c r="L188" s="23">
        <f>IF($A188="","",IFERROR(ROUND(($B188*$E188+$D188*$E188+$B188*$F188*$E188+$G188)/MAX(1,$C188),0),0))</f>
        <v/>
      </c>
    </row>
    <row r="189">
      <c r="L189" s="23">
        <f>IF($A189="","",IFERROR(ROUND(($B189*$E189+$D189*$E189+$B189*$F189*$E189+$G189)/MAX(1,$C189),0),0))</f>
        <v/>
      </c>
    </row>
    <row r="190">
      <c r="L190" s="23">
        <f>IF($A190="","",IFERROR(ROUND(($B190*$E190+$D190*$E190+$B190*$F190*$E190+$G190)/MAX(1,$C190),0),0))</f>
        <v/>
      </c>
    </row>
    <row r="191">
      <c r="L191" s="23">
        <f>IF($A191="","",IFERROR(ROUND(($B191*$E191+$D191*$E191+$B191*$F191*$E191+$G191)/MAX(1,$C191),0),0))</f>
        <v/>
      </c>
    </row>
    <row r="192">
      <c r="L192" s="23">
        <f>IF($A192="","",IFERROR(ROUND(($B192*$E192+$D192*$E192+$B192*$F192*$E192+$G192)/MAX(1,$C192),0),0))</f>
        <v/>
      </c>
    </row>
    <row r="193">
      <c r="L193" s="23">
        <f>IF($A193="","",IFERROR(ROUND(($B193*$E193+$D193*$E193+$B193*$F193*$E193+$G193)/MAX(1,$C193),0),0))</f>
        <v/>
      </c>
    </row>
    <row r="194">
      <c r="L194" s="23">
        <f>IF($A194="","",IFERROR(ROUND(($B194*$E194+$D194*$E194+$B194*$F194*$E194+$G194)/MAX(1,$C194),0),0))</f>
        <v/>
      </c>
    </row>
    <row r="195">
      <c r="L195" s="23">
        <f>IF($A195="","",IFERROR(ROUND(($B195*$E195+$D195*$E195+$B195*$F195*$E195+$G195)/MAX(1,$C195),0),0))</f>
        <v/>
      </c>
    </row>
    <row r="196">
      <c r="L196" s="23">
        <f>IF($A196="","",IFERROR(ROUND(($B196*$E196+$D196*$E196+$B196*$F196*$E196+$G196)/MAX(1,$C196),0),0))</f>
        <v/>
      </c>
    </row>
    <row r="197">
      <c r="L197" s="23">
        <f>IF($A197="","",IFERROR(ROUND(($B197*$E197+$D197*$E197+$B197*$F197*$E197+$G197)/MAX(1,$C197),0),0))</f>
        <v/>
      </c>
    </row>
    <row r="198">
      <c r="L198" s="23">
        <f>IF($A198="","",IFERROR(ROUND(($B198*$E198+$D198*$E198+$B198*$F198*$E198+$G198)/MAX(1,$C198),0),0))</f>
        <v/>
      </c>
    </row>
    <row r="199">
      <c r="L199" s="23">
        <f>IF($A199="","",IFERROR(ROUND(($B199*$E199+$D199*$E199+$B199*$F199*$E199+$G199)/MAX(1,$C199),0),0))</f>
        <v/>
      </c>
    </row>
    <row r="200">
      <c r="L200" s="23">
        <f>IF($A200="","",IFERROR(ROUND(($B200*$E200+$D200*$E200+$B200*$F200*$E200+$G200)/MAX(1,$C200),0),0))</f>
        <v/>
      </c>
    </row>
    <row r="201">
      <c r="L201" s="23">
        <f>IF($A201="","",IFERROR(ROUND(($B201*$E201+$D201*$E201+$B201*$F201*$E201+$G201)/MAX(1,$C201),0),0))</f>
        <v/>
      </c>
    </row>
    <row r="202">
      <c r="L202" s="23">
        <f>IF($A202="","",IFERROR(ROUND(($B202*$E202+$D202*$E202+$B202*$F202*$E202+$G202)/MAX(1,$C202),0),0))</f>
        <v/>
      </c>
    </row>
    <row r="203">
      <c r="L203" s="23">
        <f>IF($A203="","",IFERROR(ROUND(($B203*$E203+$D203*$E203+$B203*$F203*$E203+$G203)/MAX(1,$C203),0),0))</f>
        <v/>
      </c>
    </row>
    <row r="204">
      <c r="L204" s="23">
        <f>IF($A204="","",IFERROR(ROUND(($B204*$E204+$D204*$E204+$B204*$F204*$E204+$G204)/MAX(1,$C204),0),0))</f>
        <v/>
      </c>
    </row>
    <row r="205">
      <c r="L205" s="23">
        <f>IF($A205="","",IFERROR(ROUND(($B205*$E205+$D205*$E205+$B205*$F205*$E205+$G205)/MAX(1,$C205),0),0))</f>
        <v/>
      </c>
    </row>
    <row r="206">
      <c r="L206" s="23">
        <f>IF($A206="","",IFERROR(ROUND(($B206*$E206+$D206*$E206+$B206*$F206*$E206+$G206)/MAX(1,$C206),0),0))</f>
        <v/>
      </c>
    </row>
    <row r="207">
      <c r="L207" s="23">
        <f>IF($A207="","",IFERROR(ROUND(($B207*$E207+$D207*$E207+$B207*$F207*$E207+$G207)/MAX(1,$C207),0),0))</f>
        <v/>
      </c>
    </row>
    <row r="208">
      <c r="L208" s="23">
        <f>IF($A208="","",IFERROR(ROUND(($B208*$E208+$D208*$E208+$B208*$F208*$E208+$G208)/MAX(1,$C208),0),0))</f>
        <v/>
      </c>
    </row>
    <row r="209">
      <c r="L209" s="23">
        <f>IF($A209="","",IFERROR(ROUND(($B209*$E209+$D209*$E209+$B209*$F209*$E209+$G209)/MAX(1,$C209),0),0))</f>
        <v/>
      </c>
    </row>
    <row r="210">
      <c r="L210" s="23">
        <f>IF($A210="","",IFERROR(ROUND(($B210*$E210+$D210*$E210+$B210*$F210*$E210+$G210)/MAX(1,$C210),0),0))</f>
        <v/>
      </c>
    </row>
    <row r="211">
      <c r="L211" s="23">
        <f>IF($A211="","",IFERROR(ROUND(($B211*$E211+$D211*$E211+$B211*$F211*$E211+$G211)/MAX(1,$C211),0),0))</f>
        <v/>
      </c>
    </row>
    <row r="212">
      <c r="L212" s="23">
        <f>IF($A212="","",IFERROR(ROUND(($B212*$E212+$D212*$E212+$B212*$F212*$E212+$G212)/MAX(1,$C212),0),0))</f>
        <v/>
      </c>
    </row>
    <row r="213">
      <c r="L213" s="23">
        <f>IF($A213="","",IFERROR(ROUND(($B213*$E213+$D213*$E213+$B213*$F213*$E213+$G213)/MAX(1,$C213),0),0))</f>
        <v/>
      </c>
    </row>
    <row r="214">
      <c r="L214" s="23">
        <f>IF($A214="","",IFERROR(ROUND(($B214*$E214+$D214*$E214+$B214*$F214*$E214+$G214)/MAX(1,$C214),0),0))</f>
        <v/>
      </c>
    </row>
    <row r="215">
      <c r="L215" s="23">
        <f>IF($A215="","",IFERROR(ROUND(($B215*$E215+$D215*$E215+$B215*$F215*$E215+$G215)/MAX(1,$C215),0),0))</f>
        <v/>
      </c>
    </row>
    <row r="216">
      <c r="L216" s="23">
        <f>IF($A216="","",IFERROR(ROUND(($B216*$E216+$D216*$E216+$B216*$F216*$E216+$G216)/MAX(1,$C216),0),0))</f>
        <v/>
      </c>
    </row>
    <row r="217">
      <c r="L217" s="23">
        <f>IF($A217="","",IFERROR(ROUND(($B217*$E217+$D217*$E217+$B217*$F217*$E217+$G217)/MAX(1,$C217),0),0))</f>
        <v/>
      </c>
    </row>
    <row r="218">
      <c r="L218" s="23">
        <f>IF($A218="","",IFERROR(ROUND(($B218*$E218+$D218*$E218+$B218*$F218*$E218+$G218)/MAX(1,$C218),0),0))</f>
        <v/>
      </c>
    </row>
    <row r="219">
      <c r="L219" s="23">
        <f>IF($A219="","",IFERROR(ROUND(($B219*$E219+$D219*$E219+$B219*$F219*$E219+$G219)/MAX(1,$C219),0),0))</f>
        <v/>
      </c>
    </row>
    <row r="220">
      <c r="L220" s="23">
        <f>IF($A220="","",IFERROR(ROUND(($B220*$E220+$D220*$E220+$B220*$F220*$E220+$G220)/MAX(1,$C220),0),0))</f>
        <v/>
      </c>
    </row>
    <row r="221">
      <c r="L221" s="23">
        <f>IF($A221="","",IFERROR(ROUND(($B221*$E221+$D221*$E221+$B221*$F221*$E221+$G221)/MAX(1,$C221),0),0))</f>
        <v/>
      </c>
    </row>
    <row r="222">
      <c r="L222" s="23">
        <f>IF($A222="","",IFERROR(ROUND(($B222*$E222+$D222*$E222+$B222*$F222*$E222+$G222)/MAX(1,$C222),0),0))</f>
        <v/>
      </c>
    </row>
    <row r="223">
      <c r="L223" s="23">
        <f>IF($A223="","",IFERROR(ROUND(($B223*$E223+$D223*$E223+$B223*$F223*$E223+$G223)/MAX(1,$C223),0),0))</f>
        <v/>
      </c>
    </row>
    <row r="224">
      <c r="L224" s="23">
        <f>IF($A224="","",IFERROR(ROUND(($B224*$E224+$D224*$E224+$B224*$F224*$E224+$G224)/MAX(1,$C224),0),0))</f>
        <v/>
      </c>
    </row>
    <row r="225">
      <c r="L225" s="23">
        <f>IF($A225="","",IFERROR(ROUND(($B225*$E225+$D225*$E225+$B225*$F225*$E225+$G225)/MAX(1,$C225),0),0))</f>
        <v/>
      </c>
    </row>
    <row r="226">
      <c r="L226" s="23">
        <f>IF($A226="","",IFERROR(ROUND(($B226*$E226+$D226*$E226+$B226*$F226*$E226+$G226)/MAX(1,$C226),0),0))</f>
        <v/>
      </c>
    </row>
    <row r="227">
      <c r="L227" s="23">
        <f>IF($A227="","",IFERROR(ROUND(($B227*$E227+$D227*$E227+$B227*$F227*$E227+$G227)/MAX(1,$C227),0),0))</f>
        <v/>
      </c>
    </row>
    <row r="228">
      <c r="L228" s="23">
        <f>IF($A228="","",IFERROR(ROUND(($B228*$E228+$D228*$E228+$B228*$F228*$E228+$G228)/MAX(1,$C228),0),0))</f>
        <v/>
      </c>
    </row>
    <row r="229">
      <c r="L229" s="23">
        <f>IF($A229="","",IFERROR(ROUND(($B229*$E229+$D229*$E229+$B229*$F229*$E229+$G229)/MAX(1,$C229),0),0))</f>
        <v/>
      </c>
    </row>
    <row r="230">
      <c r="L230" s="23">
        <f>IF($A230="","",IFERROR(ROUND(($B230*$E230+$D230*$E230+$B230*$F230*$E230+$G230)/MAX(1,$C230),0),0))</f>
        <v/>
      </c>
    </row>
    <row r="231">
      <c r="L231" s="23">
        <f>IF($A231="","",IFERROR(ROUND(($B231*$E231+$D231*$E231+$B231*$F231*$E231+$G231)/MAX(1,$C231),0),0))</f>
        <v/>
      </c>
    </row>
    <row r="232">
      <c r="L232" s="23">
        <f>IF($A232="","",IFERROR(ROUND(($B232*$E232+$D232*$E232+$B232*$F232*$E232+$G232)/MAX(1,$C232),0),0))</f>
        <v/>
      </c>
    </row>
    <row r="233">
      <c r="L233" s="23">
        <f>IF($A233="","",IFERROR(ROUND(($B233*$E233+$D233*$E233+$B233*$F233*$E233+$G233)/MAX(1,$C233),0),0))</f>
        <v/>
      </c>
    </row>
    <row r="234">
      <c r="L234" s="23">
        <f>IF($A234="","",IFERROR(ROUND(($B234*$E234+$D234*$E234+$B234*$F234*$E234+$G234)/MAX(1,$C234),0),0))</f>
        <v/>
      </c>
    </row>
    <row r="235">
      <c r="L235" s="23">
        <f>IF($A235="","",IFERROR(ROUND(($B235*$E235+$D235*$E235+$B235*$F235*$E235+$G235)/MAX(1,$C235),0),0))</f>
        <v/>
      </c>
    </row>
    <row r="236">
      <c r="L236" s="23">
        <f>IF($A236="","",IFERROR(ROUND(($B236*$E236+$D236*$E236+$B236*$F236*$E236+$G236)/MAX(1,$C236),0),0))</f>
        <v/>
      </c>
    </row>
    <row r="237">
      <c r="L237" s="23">
        <f>IF($A237="","",IFERROR(ROUND(($B237*$E237+$D237*$E237+$B237*$F237*$E237+$G237)/MAX(1,$C237),0),0))</f>
        <v/>
      </c>
    </row>
    <row r="238">
      <c r="L238" s="23">
        <f>IF($A238="","",IFERROR(ROUND(($B238*$E238+$D238*$E238+$B238*$F238*$E238+$G238)/MAX(1,$C238),0),0))</f>
        <v/>
      </c>
    </row>
    <row r="239">
      <c r="L239" s="23">
        <f>IF($A239="","",IFERROR(ROUND(($B239*$E239+$D239*$E239+$B239*$F239*$E239+$G239)/MAX(1,$C239),0),0))</f>
        <v/>
      </c>
    </row>
    <row r="240">
      <c r="L240" s="23">
        <f>IF($A240="","",IFERROR(ROUND(($B240*$E240+$D240*$E240+$B240*$F240*$E240+$G240)/MAX(1,$C240),0),0))</f>
        <v/>
      </c>
    </row>
    <row r="241">
      <c r="L241" s="23">
        <f>IF($A241="","",IFERROR(ROUND(($B241*$E241+$D241*$E241+$B241*$F241*$E241+$G241)/MAX(1,$C241),0),0))</f>
        <v/>
      </c>
    </row>
    <row r="242">
      <c r="L242" s="23">
        <f>IF($A242="","",IFERROR(ROUND(($B242*$E242+$D242*$E242+$B242*$F242*$E242+$G242)/MAX(1,$C242),0),0))</f>
        <v/>
      </c>
    </row>
    <row r="243">
      <c r="L243" s="23">
        <f>IF($A243="","",IFERROR(ROUND(($B243*$E243+$D243*$E243+$B243*$F243*$E243+$G243)/MAX(1,$C243),0),0))</f>
        <v/>
      </c>
    </row>
    <row r="244">
      <c r="L244" s="23">
        <f>IF($A244="","",IFERROR(ROUND(($B244*$E244+$D244*$E244+$B244*$F244*$E244+$G244)/MAX(1,$C244),0),0))</f>
        <v/>
      </c>
    </row>
    <row r="245">
      <c r="L245" s="23">
        <f>IF($A245="","",IFERROR(ROUND(($B245*$E245+$D245*$E245+$B245*$F245*$E245+$G245)/MAX(1,$C245),0),0))</f>
        <v/>
      </c>
    </row>
    <row r="246">
      <c r="L246" s="23">
        <f>IF($A246="","",IFERROR(ROUND(($B246*$E246+$D246*$E246+$B246*$F246*$E246+$G246)/MAX(1,$C246),0),0))</f>
        <v/>
      </c>
    </row>
    <row r="247">
      <c r="L247" s="23">
        <f>IF($A247="","",IFERROR(ROUND(($B247*$E247+$D247*$E247+$B247*$F247*$E247+$G247)/MAX(1,$C247),0),0))</f>
        <v/>
      </c>
    </row>
    <row r="248">
      <c r="L248" s="23">
        <f>IF($A248="","",IFERROR(ROUND(($B248*$E248+$D248*$E248+$B248*$F248*$E248+$G248)/MAX(1,$C248),0),0))</f>
        <v/>
      </c>
    </row>
    <row r="249">
      <c r="L249" s="23">
        <f>IF($A249="","",IFERROR(ROUND(($B249*$E249+$D249*$E249+$B249*$F249*$E249+$G249)/MAX(1,$C249),0),0))</f>
        <v/>
      </c>
    </row>
    <row r="250">
      <c r="L250" s="23">
        <f>IF($A250="","",IFERROR(ROUND(($B250*$E250+$D250*$E250+$B250*$F250*$E250+$G250)/MAX(1,$C250),0),0))</f>
        <v/>
      </c>
    </row>
    <row r="251">
      <c r="L251" s="23">
        <f>IF($A251="","",IFERROR(ROUND(($B251*$E251+$D251*$E251+$B251*$F251*$E251+$G251)/MAX(1,$C251),0),0))</f>
        <v/>
      </c>
    </row>
    <row r="252">
      <c r="L252" s="23">
        <f>IF($A252="","",IFERROR(ROUND(($B252*$E252+$D252*$E252+$B252*$F252*$E252+$G252)/MAX(1,$C252),0),0))</f>
        <v/>
      </c>
    </row>
    <row r="253">
      <c r="L253" s="23">
        <f>IF($A253="","",IFERROR(ROUND(($B253*$E253+$D253*$E253+$B253*$F253*$E253+$G253)/MAX(1,$C253),0),0))</f>
        <v/>
      </c>
    </row>
    <row r="254">
      <c r="L254" s="23">
        <f>IF($A254="","",IFERROR(ROUND(($B254*$E254+$D254*$E254+$B254*$F254*$E254+$G254)/MAX(1,$C254),0),0))</f>
        <v/>
      </c>
    </row>
    <row r="255">
      <c r="L255" s="23">
        <f>IF($A255="","",IFERROR(ROUND(($B255*$E255+$D255*$E255+$B255*$F255*$E255+$G255)/MAX(1,$C255),0),0))</f>
        <v/>
      </c>
    </row>
    <row r="256">
      <c r="L256" s="23">
        <f>IF($A256="","",IFERROR(ROUND(($B256*$E256+$D256*$E256+$B256*$F256*$E256+$G256)/MAX(1,$C256),0),0))</f>
        <v/>
      </c>
    </row>
    <row r="257">
      <c r="L257" s="23">
        <f>IF($A257="","",IFERROR(ROUND(($B257*$E257+$D257*$E257+$B257*$F257*$E257+$G257)/MAX(1,$C257),0),0))</f>
        <v/>
      </c>
    </row>
    <row r="258">
      <c r="L258" s="23">
        <f>IF($A258="","",IFERROR(ROUND(($B258*$E258+$D258*$E258+$B258*$F258*$E258+$G258)/MAX(1,$C258),0),0))</f>
        <v/>
      </c>
    </row>
    <row r="259">
      <c r="L259" s="23">
        <f>IF($A259="","",IFERROR(ROUND(($B259*$E259+$D259*$E259+$B259*$F259*$E259+$G259)/MAX(1,$C259),0),0))</f>
        <v/>
      </c>
    </row>
    <row r="260">
      <c r="L260" s="23">
        <f>IF($A260="","",IFERROR(ROUND(($B260*$E260+$D260*$E260+$B260*$F260*$E260+$G260)/MAX(1,$C260),0),0))</f>
        <v/>
      </c>
    </row>
    <row r="261">
      <c r="L261" s="23">
        <f>IF($A261="","",IFERROR(ROUND(($B261*$E261+$D261*$E261+$B261*$F261*$E261+$G261)/MAX(1,$C261),0),0))</f>
        <v/>
      </c>
    </row>
    <row r="262">
      <c r="L262" s="23">
        <f>IF($A262="","",IFERROR(ROUND(($B262*$E262+$D262*$E262+$B262*$F262*$E262+$G262)/MAX(1,$C262),0),0))</f>
        <v/>
      </c>
    </row>
    <row r="263">
      <c r="L263" s="23">
        <f>IF($A263="","",IFERROR(ROUND(($B263*$E263+$D263*$E263+$B263*$F263*$E263+$G263)/MAX(1,$C263),0),0))</f>
        <v/>
      </c>
    </row>
    <row r="264">
      <c r="L264" s="23">
        <f>IF($A264="","",IFERROR(ROUND(($B264*$E264+$D264*$E264+$B264*$F264*$E264+$G264)/MAX(1,$C264),0),0))</f>
        <v/>
      </c>
    </row>
    <row r="265">
      <c r="L265" s="23">
        <f>IF($A265="","",IFERROR(ROUND(($B265*$E265+$D265*$E265+$B265*$F265*$E265+$G265)/MAX(1,$C265),0),0))</f>
        <v/>
      </c>
    </row>
    <row r="266">
      <c r="L266" s="23">
        <f>IF($A266="","",IFERROR(ROUND(($B266*$E266+$D266*$E266+$B266*$F266*$E266+$G266)/MAX(1,$C266),0),0))</f>
        <v/>
      </c>
    </row>
    <row r="267">
      <c r="L267" s="23">
        <f>IF($A267="","",IFERROR(ROUND(($B267*$E267+$D267*$E267+$B267*$F267*$E267+$G267)/MAX(1,$C267),0),0))</f>
        <v/>
      </c>
    </row>
    <row r="268">
      <c r="L268" s="23">
        <f>IF($A268="","",IFERROR(ROUND(($B268*$E268+$D268*$E268+$B268*$F268*$E268+$G268)/MAX(1,$C268),0),0))</f>
        <v/>
      </c>
    </row>
    <row r="269">
      <c r="L269" s="23">
        <f>IF($A269="","",IFERROR(ROUND(($B269*$E269+$D269*$E269+$B269*$F269*$E269+$G269)/MAX(1,$C269),0),0))</f>
        <v/>
      </c>
    </row>
    <row r="270">
      <c r="L270" s="23">
        <f>IF($A270="","",IFERROR(ROUND(($B270*$E270+$D270*$E270+$B270*$F270*$E270+$G270)/MAX(1,$C270),0),0))</f>
        <v/>
      </c>
    </row>
    <row r="271">
      <c r="L271" s="23">
        <f>IF($A271="","",IFERROR(ROUND(($B271*$E271+$D271*$E271+$B271*$F271*$E271+$G271)/MAX(1,$C271),0),0))</f>
        <v/>
      </c>
    </row>
    <row r="272">
      <c r="L272" s="23">
        <f>IF($A272="","",IFERROR(ROUND(($B272*$E272+$D272*$E272+$B272*$F272*$E272+$G272)/MAX(1,$C272),0),0))</f>
        <v/>
      </c>
    </row>
    <row r="273">
      <c r="L273" s="23">
        <f>IF($A273="","",IFERROR(ROUND(($B273*$E273+$D273*$E273+$B273*$F273*$E273+$G273)/MAX(1,$C273),0),0))</f>
        <v/>
      </c>
    </row>
    <row r="274">
      <c r="L274" s="23">
        <f>IF($A274="","",IFERROR(ROUND(($B274*$E274+$D274*$E274+$B274*$F274*$E274+$G274)/MAX(1,$C274),0),0))</f>
        <v/>
      </c>
    </row>
    <row r="275">
      <c r="L275" s="23">
        <f>IF($A275="","",IFERROR(ROUND(($B275*$E275+$D275*$E275+$B275*$F275*$E275+$G275)/MAX(1,$C275),0),0))</f>
        <v/>
      </c>
    </row>
    <row r="276">
      <c r="L276" s="23">
        <f>IF($A276="","",IFERROR(ROUND(($B276*$E276+$D276*$E276+$B276*$F276*$E276+$G276)/MAX(1,$C276),0),0))</f>
        <v/>
      </c>
    </row>
    <row r="277">
      <c r="L277" s="23">
        <f>IF($A277="","",IFERROR(ROUND(($B277*$E277+$D277*$E277+$B277*$F277*$E277+$G277)/MAX(1,$C277),0),0))</f>
        <v/>
      </c>
    </row>
    <row r="278">
      <c r="L278" s="23">
        <f>IF($A278="","",IFERROR(ROUND(($B278*$E278+$D278*$E278+$B278*$F278*$E278+$G278)/MAX(1,$C278),0),0))</f>
        <v/>
      </c>
    </row>
    <row r="279">
      <c r="L279" s="23">
        <f>IF($A279="","",IFERROR(ROUND(($B279*$E279+$D279*$E279+$B279*$F279*$E279+$G279)/MAX(1,$C279),0),0))</f>
        <v/>
      </c>
    </row>
    <row r="280">
      <c r="L280" s="23">
        <f>IF($A280="","",IFERROR(ROUND(($B280*$E280+$D280*$E280+$B280*$F280*$E280+$G280)/MAX(1,$C280),0),0))</f>
        <v/>
      </c>
    </row>
    <row r="281">
      <c r="L281" s="23">
        <f>IF($A281="","",IFERROR(ROUND(($B281*$E281+$D281*$E281+$B281*$F281*$E281+$G281)/MAX(1,$C281),0),0))</f>
        <v/>
      </c>
    </row>
    <row r="282">
      <c r="L282" s="23">
        <f>IF($A282="","",IFERROR(ROUND(($B282*$E282+$D282*$E282+$B282*$F282*$E282+$G282)/MAX(1,$C282),0),0))</f>
        <v/>
      </c>
    </row>
    <row r="283">
      <c r="L283" s="23">
        <f>IF($A283="","",IFERROR(ROUND(($B283*$E283+$D283*$E283+$B283*$F283*$E283+$G283)/MAX(1,$C283),0),0))</f>
        <v/>
      </c>
    </row>
    <row r="284">
      <c r="L284" s="23">
        <f>IF($A284="","",IFERROR(ROUND(($B284*$E284+$D284*$E284+$B284*$F284*$E284+$G284)/MAX(1,$C284),0),0))</f>
        <v/>
      </c>
    </row>
    <row r="285">
      <c r="L285" s="23">
        <f>IF($A285="","",IFERROR(ROUND(($B285*$E285+$D285*$E285+$B285*$F285*$E285+$G285)/MAX(1,$C285),0),0))</f>
        <v/>
      </c>
    </row>
    <row r="286">
      <c r="L286" s="23">
        <f>IF($A286="","",IFERROR(ROUND(($B286*$E286+$D286*$E286+$B286*$F286*$E286+$G286)/MAX(1,$C286),0),0))</f>
        <v/>
      </c>
    </row>
    <row r="287">
      <c r="L287" s="23">
        <f>IF($A287="","",IFERROR(ROUND(($B287*$E287+$D287*$E287+$B287*$F287*$E287+$G287)/MAX(1,$C287),0),0))</f>
        <v/>
      </c>
    </row>
    <row r="288">
      <c r="L288" s="23">
        <f>IF($A288="","",IFERROR(ROUND(($B288*$E288+$D288*$E288+$B288*$F288*$E288+$G288)/MAX(1,$C288),0),0))</f>
        <v/>
      </c>
    </row>
    <row r="289">
      <c r="L289" s="23">
        <f>IF($A289="","",IFERROR(ROUND(($B289*$E289+$D289*$E289+$B289*$F289*$E289+$G289)/MAX(1,$C289),0),0))</f>
        <v/>
      </c>
    </row>
    <row r="290">
      <c r="L290" s="23">
        <f>IF($A290="","",IFERROR(ROUND(($B290*$E290+$D290*$E290+$B290*$F290*$E290+$G290)/MAX(1,$C290),0),0))</f>
        <v/>
      </c>
    </row>
    <row r="291">
      <c r="L291" s="23">
        <f>IF($A291="","",IFERROR(ROUND(($B291*$E291+$D291*$E291+$B291*$F291*$E291+$G291)/MAX(1,$C291),0),0))</f>
        <v/>
      </c>
    </row>
    <row r="292">
      <c r="L292" s="23">
        <f>IF($A292="","",IFERROR(ROUND(($B292*$E292+$D292*$E292+$B292*$F292*$E292+$G292)/MAX(1,$C292),0),0))</f>
        <v/>
      </c>
    </row>
    <row r="293">
      <c r="L293" s="23">
        <f>IF($A293="","",IFERROR(ROUND(($B293*$E293+$D293*$E293+$B293*$F293*$E293+$G293)/MAX(1,$C293),0),0))</f>
        <v/>
      </c>
    </row>
    <row r="294">
      <c r="L294" s="23">
        <f>IF($A294="","",IFERROR(ROUND(($B294*$E294+$D294*$E294+$B294*$F294*$E294+$G294)/MAX(1,$C294),0),0))</f>
        <v/>
      </c>
    </row>
    <row r="295">
      <c r="L295" s="23">
        <f>IF($A295="","",IFERROR(ROUND(($B295*$E295+$D295*$E295+$B295*$F295*$E295+$G295)/MAX(1,$C295),0),0))</f>
        <v/>
      </c>
    </row>
    <row r="296">
      <c r="L296" s="23">
        <f>IF($A296="","",IFERROR(ROUND(($B296*$E296+$D296*$E296+$B296*$F296*$E296+$G296)/MAX(1,$C296),0),0))</f>
        <v/>
      </c>
    </row>
    <row r="297">
      <c r="L297" s="23">
        <f>IF($A297="","",IFERROR(ROUND(($B297*$E297+$D297*$E297+$B297*$F297*$E297+$G297)/MAX(1,$C297),0),0))</f>
        <v/>
      </c>
    </row>
    <row r="298">
      <c r="L298" s="23">
        <f>IF($A298="","",IFERROR(ROUND(($B298*$E298+$D298*$E298+$B298*$F298*$E298+$G298)/MAX(1,$C298),0),0))</f>
        <v/>
      </c>
    </row>
    <row r="299">
      <c r="L299" s="23">
        <f>IF($A299="","",IFERROR(ROUND(($B299*$E299+$D299*$E299+$B299*$F299*$E299+$G299)/MAX(1,$C299),0),0))</f>
        <v/>
      </c>
    </row>
    <row r="300">
      <c r="L300" s="23">
        <f>IF($A300="","",IFERROR(ROUND(($B300*$E300+$D300*$E300+$B300*$F300*$E300+$G300)/MAX(1,$C300),0),0))</f>
        <v/>
      </c>
    </row>
    <row r="301">
      <c r="L301" s="23">
        <f>IF($A301="","",IFERROR(ROUND(($B301*$E301+$D301*$E301+$B301*$F301*$E301+$G301)/MAX(1,$C301),0),0))</f>
        <v/>
      </c>
    </row>
    <row r="302">
      <c r="L302" s="23">
        <f>IF($A302="","",IFERROR(ROUND(($B302*$E302+$D302*$E302+$B302*$F302*$E302+$G302)/MAX(1,$C302),0),0))</f>
        <v/>
      </c>
    </row>
    <row r="303">
      <c r="L303" s="23">
        <f>IF($A303="","",IFERROR(ROUND(($B303*$E303+$D303*$E303+$B303*$F303*$E303+$G303)/MAX(1,$C303),0),0))</f>
        <v/>
      </c>
    </row>
    <row r="304">
      <c r="L304" s="23">
        <f>IF($A304="","",IFERROR(ROUND(($B304*$E304+$D304*$E304+$B304*$F304*$E304+$G304)/MAX(1,$C304),0),0))</f>
        <v/>
      </c>
    </row>
    <row r="305">
      <c r="L305" s="23">
        <f>IF($A305="","",IFERROR(ROUND(($B305*$E305+$D305*$E305+$B305*$F305*$E305+$G305)/MAX(1,$C305),0),0))</f>
        <v/>
      </c>
    </row>
    <row r="306">
      <c r="L306" s="23">
        <f>IF($A306="","",IFERROR(ROUND(($B306*$E306+$D306*$E306+$B306*$F306*$E306+$G306)/MAX(1,$C306),0),0))</f>
        <v/>
      </c>
    </row>
    <row r="307">
      <c r="L307" s="23">
        <f>IF($A307="","",IFERROR(ROUND(($B307*$E307+$D307*$E307+$B307*$F307*$E307+$G307)/MAX(1,$C307),0),0))</f>
        <v/>
      </c>
    </row>
    <row r="308">
      <c r="L308" s="23">
        <f>IF($A308="","",IFERROR(ROUND(($B308*$E308+$D308*$E308+$B308*$F308*$E308+$G308)/MAX(1,$C308),0),0))</f>
        <v/>
      </c>
    </row>
    <row r="309">
      <c r="L309" s="23">
        <f>IF($A309="","",IFERROR(ROUND(($B309*$E309+$D309*$E309+$B309*$F309*$E309+$G309)/MAX(1,$C309),0),0))</f>
        <v/>
      </c>
    </row>
    <row r="310">
      <c r="L310" s="23">
        <f>IF($A310="","",IFERROR(ROUND(($B310*$E310+$D310*$E310+$B310*$F310*$E310+$G310)/MAX(1,$C310),0),0))</f>
        <v/>
      </c>
    </row>
    <row r="311">
      <c r="L311" s="23">
        <f>IF($A311="","",IFERROR(ROUND(($B311*$E311+$D311*$E311+$B311*$F311*$E311+$G311)/MAX(1,$C311),0),0))</f>
        <v/>
      </c>
    </row>
    <row r="312">
      <c r="L312" s="23">
        <f>IF($A312="","",IFERROR(ROUND(($B312*$E312+$D312*$E312+$B312*$F312*$E312+$G312)/MAX(1,$C312),0),0))</f>
        <v/>
      </c>
    </row>
    <row r="313">
      <c r="L313" s="23">
        <f>IF($A313="","",IFERROR(ROUND(($B313*$E313+$D313*$E313+$B313*$F313*$E313+$G313)/MAX(1,$C313),0),0))</f>
        <v/>
      </c>
    </row>
    <row r="314">
      <c r="L314" s="23">
        <f>IF($A314="","",IFERROR(ROUND(($B314*$E314+$D314*$E314+$B314*$F314*$E314+$G314)/MAX(1,$C314),0),0))</f>
        <v/>
      </c>
    </row>
    <row r="315">
      <c r="L315" s="23">
        <f>IF($A315="","",IFERROR(ROUND(($B315*$E315+$D315*$E315+$B315*$F315*$E315+$G315)/MAX(1,$C315),0),0))</f>
        <v/>
      </c>
    </row>
    <row r="316">
      <c r="L316" s="23">
        <f>IF($A316="","",IFERROR(ROUND(($B316*$E316+$D316*$E316+$B316*$F316*$E316+$G316)/MAX(1,$C316),0),0))</f>
        <v/>
      </c>
    </row>
    <row r="317">
      <c r="L317" s="23">
        <f>IF($A317="","",IFERROR(ROUND(($B317*$E317+$D317*$E317+$B317*$F317*$E317+$G317)/MAX(1,$C317),0),0))</f>
        <v/>
      </c>
    </row>
    <row r="318">
      <c r="L318" s="23">
        <f>IF($A318="","",IFERROR(ROUND(($B318*$E318+$D318*$E318+$B318*$F318*$E318+$G318)/MAX(1,$C318),0),0))</f>
        <v/>
      </c>
    </row>
    <row r="319">
      <c r="L319" s="23">
        <f>IF($A319="","",IFERROR(ROUND(($B319*$E319+$D319*$E319+$B319*$F319*$E319+$G319)/MAX(1,$C319),0),0))</f>
        <v/>
      </c>
    </row>
    <row r="320">
      <c r="L320" s="23">
        <f>IF($A320="","",IFERROR(ROUND(($B320*$E320+$D320*$E320+$B320*$F320*$E320+$G320)/MAX(1,$C320),0),0))</f>
        <v/>
      </c>
    </row>
    <row r="321">
      <c r="L321" s="23">
        <f>IF($A321="","",IFERROR(ROUND(($B321*$E321+$D321*$E321+$B321*$F321*$E321+$G321)/MAX(1,$C321),0),0))</f>
        <v/>
      </c>
    </row>
    <row r="322">
      <c r="L322" s="23">
        <f>IF($A322="","",IFERROR(ROUND(($B322*$E322+$D322*$E322+$B322*$F322*$E322+$G322)/MAX(1,$C322),0),0))</f>
        <v/>
      </c>
    </row>
    <row r="323">
      <c r="L323" s="23">
        <f>IF($A323="","",IFERROR(ROUND(($B323*$E323+$D323*$E323+$B323*$F323*$E323+$G323)/MAX(1,$C323),0),0))</f>
        <v/>
      </c>
    </row>
    <row r="324">
      <c r="L324" s="23">
        <f>IF($A324="","",IFERROR(ROUND(($B324*$E324+$D324*$E324+$B324*$F324*$E324+$G324)/MAX(1,$C324),0),0))</f>
        <v/>
      </c>
    </row>
    <row r="325">
      <c r="L325" s="23">
        <f>IF($A325="","",IFERROR(ROUND(($B325*$E325+$D325*$E325+$B325*$F325*$E325+$G325)/MAX(1,$C325),0),0))</f>
        <v/>
      </c>
    </row>
    <row r="326">
      <c r="L326" s="23">
        <f>IF($A326="","",IFERROR(ROUND(($B326*$E326+$D326*$E326+$B326*$F326*$E326+$G326)/MAX(1,$C326),0),0))</f>
        <v/>
      </c>
    </row>
    <row r="327">
      <c r="L327" s="23">
        <f>IF($A327="","",IFERROR(ROUND(($B327*$E327+$D327*$E327+$B327*$F327*$E327+$G327)/MAX(1,$C327),0),0))</f>
        <v/>
      </c>
    </row>
    <row r="328">
      <c r="L328" s="23">
        <f>IF($A328="","",IFERROR(ROUND(($B328*$E328+$D328*$E328+$B328*$F328*$E328+$G328)/MAX(1,$C328),0),0))</f>
        <v/>
      </c>
    </row>
    <row r="329">
      <c r="L329" s="23">
        <f>IF($A329="","",IFERROR(ROUND(($B329*$E329+$D329*$E329+$B329*$F329*$E329+$G329)/MAX(1,$C329),0),0))</f>
        <v/>
      </c>
    </row>
    <row r="330">
      <c r="L330" s="23">
        <f>IF($A330="","",IFERROR(ROUND(($B330*$E330+$D330*$E330+$B330*$F330*$E330+$G330)/MAX(1,$C330),0),0))</f>
        <v/>
      </c>
    </row>
    <row r="331">
      <c r="L331" s="23">
        <f>IF($A331="","",IFERROR(ROUND(($B331*$E331+$D331*$E331+$B331*$F331*$E331+$G331)/MAX(1,$C331),0),0))</f>
        <v/>
      </c>
    </row>
    <row r="332">
      <c r="L332" s="23">
        <f>IF($A332="","",IFERROR(ROUND(($B332*$E332+$D332*$E332+$B332*$F332*$E332+$G332)/MAX(1,$C332),0),0))</f>
        <v/>
      </c>
    </row>
    <row r="333">
      <c r="L333" s="23">
        <f>IF($A333="","",IFERROR(ROUND(($B333*$E333+$D333*$E333+$B333*$F333*$E333+$G333)/MAX(1,$C333),0),0))</f>
        <v/>
      </c>
    </row>
    <row r="334">
      <c r="L334" s="23">
        <f>IF($A334="","",IFERROR(ROUND(($B334*$E334+$D334*$E334+$B334*$F334*$E334+$G334)/MAX(1,$C334),0),0))</f>
        <v/>
      </c>
    </row>
    <row r="335">
      <c r="L335" s="23">
        <f>IF($A335="","",IFERROR(ROUND(($B335*$E335+$D335*$E335+$B335*$F335*$E335+$G335)/MAX(1,$C335),0),0))</f>
        <v/>
      </c>
    </row>
    <row r="336">
      <c r="L336" s="23">
        <f>IF($A336="","",IFERROR(ROUND(($B336*$E336+$D336*$E336+$B336*$F336*$E336+$G336)/MAX(1,$C336),0),0))</f>
        <v/>
      </c>
    </row>
    <row r="337">
      <c r="L337" s="23">
        <f>IF($A337="","",IFERROR(ROUND(($B337*$E337+$D337*$E337+$B337*$F337*$E337+$G337)/MAX(1,$C337),0),0))</f>
        <v/>
      </c>
    </row>
    <row r="338">
      <c r="L338" s="23">
        <f>IF($A338="","",IFERROR(ROUND(($B338*$E338+$D338*$E338+$B338*$F338*$E338+$G338)/MAX(1,$C338),0),0))</f>
        <v/>
      </c>
    </row>
    <row r="339">
      <c r="L339" s="23">
        <f>IF($A339="","",IFERROR(ROUND(($B339*$E339+$D339*$E339+$B339*$F339*$E339+$G339)/MAX(1,$C339),0),0))</f>
        <v/>
      </c>
    </row>
    <row r="340">
      <c r="L340" s="23">
        <f>IF($A340="","",IFERROR(ROUND(($B340*$E340+$D340*$E340+$B340*$F340*$E340+$G340)/MAX(1,$C340),0),0))</f>
        <v/>
      </c>
    </row>
    <row r="341">
      <c r="L341" s="23">
        <f>IF($A341="","",IFERROR(ROUND(($B341*$E341+$D341*$E341+$B341*$F341*$E341+$G341)/MAX(1,$C341),0),0))</f>
        <v/>
      </c>
    </row>
    <row r="342">
      <c r="L342" s="23">
        <f>IF($A342="","",IFERROR(ROUND(($B342*$E342+$D342*$E342+$B342*$F342*$E342+$G342)/MAX(1,$C342),0),0))</f>
        <v/>
      </c>
    </row>
    <row r="343">
      <c r="L343" s="23">
        <f>IF($A343="","",IFERROR(ROUND(($B343*$E343+$D343*$E343+$B343*$F343*$E343+$G343)/MAX(1,$C343),0),0))</f>
        <v/>
      </c>
    </row>
    <row r="344">
      <c r="L344" s="23">
        <f>IF($A344="","",IFERROR(ROUND(($B344*$E344+$D344*$E344+$B344*$F344*$E344+$G344)/MAX(1,$C344),0),0))</f>
        <v/>
      </c>
    </row>
    <row r="345">
      <c r="L345" s="23">
        <f>IF($A345="","",IFERROR(ROUND(($B345*$E345+$D345*$E345+$B345*$F345*$E345+$G345)/MAX(1,$C345),0),0))</f>
        <v/>
      </c>
    </row>
    <row r="346">
      <c r="L346" s="23">
        <f>IF($A346="","",IFERROR(ROUND(($B346*$E346+$D346*$E346+$B346*$F346*$E346+$G346)/MAX(1,$C346),0),0))</f>
        <v/>
      </c>
    </row>
    <row r="347">
      <c r="L347" s="23">
        <f>IF($A347="","",IFERROR(ROUND(($B347*$E347+$D347*$E347+$B347*$F347*$E347+$G347)/MAX(1,$C347),0),0))</f>
        <v/>
      </c>
    </row>
    <row r="348">
      <c r="L348" s="23">
        <f>IF($A348="","",IFERROR(ROUND(($B348*$E348+$D348*$E348+$B348*$F348*$E348+$G348)/MAX(1,$C348),0),0))</f>
        <v/>
      </c>
    </row>
    <row r="349">
      <c r="L349" s="23">
        <f>IF($A349="","",IFERROR(ROUND(($B349*$E349+$D349*$E349+$B349*$F349*$E349+$G349)/MAX(1,$C349),0),0))</f>
        <v/>
      </c>
    </row>
    <row r="350">
      <c r="L350" s="23">
        <f>IF($A350="","",IFERROR(ROUND(($B350*$E350+$D350*$E350+$B350*$F350*$E350+$G350)/MAX(1,$C350),0),0))</f>
        <v/>
      </c>
    </row>
    <row r="351">
      <c r="L351" s="23">
        <f>IF($A351="","",IFERROR(ROUND(($B351*$E351+$D351*$E351+$B351*$F351*$E351+$G351)/MAX(1,$C351),0),0))</f>
        <v/>
      </c>
    </row>
    <row r="352">
      <c r="L352" s="23">
        <f>IF($A352="","",IFERROR(ROUND(($B352*$E352+$D352*$E352+$B352*$F352*$E352+$G352)/MAX(1,$C352),0),0))</f>
        <v/>
      </c>
    </row>
    <row r="353">
      <c r="L353" s="23">
        <f>IF($A353="","",IFERROR(ROUND(($B353*$E353+$D353*$E353+$B353*$F353*$E353+$G353)/MAX(1,$C353),0),0))</f>
        <v/>
      </c>
    </row>
    <row r="354">
      <c r="L354" s="23">
        <f>IF($A354="","",IFERROR(ROUND(($B354*$E354+$D354*$E354+$B354*$F354*$E354+$G354)/MAX(1,$C354),0),0))</f>
        <v/>
      </c>
    </row>
    <row r="355">
      <c r="L355" s="23">
        <f>IF($A355="","",IFERROR(ROUND(($B355*$E355+$D355*$E355+$B355*$F355*$E355+$G355)/MAX(1,$C355),0),0))</f>
        <v/>
      </c>
    </row>
    <row r="356">
      <c r="L356" s="23">
        <f>IF($A356="","",IFERROR(ROUND(($B356*$E356+$D356*$E356+$B356*$F356*$E356+$G356)/MAX(1,$C356),0),0))</f>
        <v/>
      </c>
    </row>
    <row r="357">
      <c r="L357" s="23">
        <f>IF($A357="","",IFERROR(ROUND(($B357*$E357+$D357*$E357+$B357*$F357*$E357+$G357)/MAX(1,$C357),0),0))</f>
        <v/>
      </c>
    </row>
    <row r="358">
      <c r="L358" s="23">
        <f>IF($A358="","",IFERROR(ROUND(($B358*$E358+$D358*$E358+$B358*$F358*$E358+$G358)/MAX(1,$C358),0),0))</f>
        <v/>
      </c>
    </row>
    <row r="359">
      <c r="L359" s="23">
        <f>IF($A359="","",IFERROR(ROUND(($B359*$E359+$D359*$E359+$B359*$F359*$E359+$G359)/MAX(1,$C359),0),0))</f>
        <v/>
      </c>
    </row>
    <row r="360">
      <c r="L360" s="23">
        <f>IF($A360="","",IFERROR(ROUND(($B360*$E360+$D360*$E360+$B360*$F360*$E360+$G360)/MAX(1,$C360),0),0))</f>
        <v/>
      </c>
    </row>
    <row r="361">
      <c r="L361" s="23">
        <f>IF($A361="","",IFERROR(ROUND(($B361*$E361+$D361*$E361+$B361*$F361*$E361+$G361)/MAX(1,$C361),0),0))</f>
        <v/>
      </c>
    </row>
    <row r="362">
      <c r="L362" s="23">
        <f>IF($A362="","",IFERROR(ROUND(($B362*$E362+$D362*$E362+$B362*$F362*$E362+$G362)/MAX(1,$C362),0),0))</f>
        <v/>
      </c>
    </row>
    <row r="363">
      <c r="L363" s="23">
        <f>IF($A363="","",IFERROR(ROUND(($B363*$E363+$D363*$E363+$B363*$F363*$E363+$G363)/MAX(1,$C363),0),0))</f>
        <v/>
      </c>
    </row>
    <row r="364">
      <c r="L364" s="23">
        <f>IF($A364="","",IFERROR(ROUND(($B364*$E364+$D364*$E364+$B364*$F364*$E364+$G364)/MAX(1,$C364),0),0))</f>
        <v/>
      </c>
    </row>
    <row r="365">
      <c r="L365" s="23">
        <f>IF($A365="","",IFERROR(ROUND(($B365*$E365+$D365*$E365+$B365*$F365*$E365+$G365)/MAX(1,$C365),0),0))</f>
        <v/>
      </c>
    </row>
    <row r="366">
      <c r="L366" s="23">
        <f>IF($A366="","",IFERROR(ROUND(($B366*$E366+$D366*$E366+$B366*$F366*$E366+$G366)/MAX(1,$C366),0),0))</f>
        <v/>
      </c>
    </row>
    <row r="367">
      <c r="L367" s="23">
        <f>IF($A367="","",IFERROR(ROUND(($B367*$E367+$D367*$E367+$B367*$F367*$E367+$G367)/MAX(1,$C367),0),0))</f>
        <v/>
      </c>
    </row>
    <row r="368">
      <c r="L368" s="23">
        <f>IF($A368="","",IFERROR(ROUND(($B368*$E368+$D368*$E368+$B368*$F368*$E368+$G368)/MAX(1,$C368),0),0))</f>
        <v/>
      </c>
    </row>
    <row r="369">
      <c r="L369" s="23">
        <f>IF($A369="","",IFERROR(ROUND(($B369*$E369+$D369*$E369+$B369*$F369*$E369+$G369)/MAX(1,$C369),0),0))</f>
        <v/>
      </c>
    </row>
    <row r="370">
      <c r="L370" s="23">
        <f>IF($A370="","",IFERROR(ROUND(($B370*$E370+$D370*$E370+$B370*$F370*$E370+$G370)/MAX(1,$C370),0),0))</f>
        <v/>
      </c>
    </row>
    <row r="371">
      <c r="L371" s="23">
        <f>IF($A371="","",IFERROR(ROUND(($B371*$E371+$D371*$E371+$B371*$F371*$E371+$G371)/MAX(1,$C371),0),0))</f>
        <v/>
      </c>
    </row>
    <row r="372">
      <c r="L372" s="23">
        <f>IF($A372="","",IFERROR(ROUND(($B372*$E372+$D372*$E372+$B372*$F372*$E372+$G372)/MAX(1,$C372),0),0))</f>
        <v/>
      </c>
    </row>
    <row r="373">
      <c r="L373" s="23">
        <f>IF($A373="","",IFERROR(ROUND(($B373*$E373+$D373*$E373+$B373*$F373*$E373+$G373)/MAX(1,$C373),0),0))</f>
        <v/>
      </c>
    </row>
    <row r="374">
      <c r="L374" s="23">
        <f>IF($A374="","",IFERROR(ROUND(($B374*$E374+$D374*$E374+$B374*$F374*$E374+$G374)/MAX(1,$C374),0),0))</f>
        <v/>
      </c>
    </row>
    <row r="375">
      <c r="L375" s="23">
        <f>IF($A375="","",IFERROR(ROUND(($B375*$E375+$D375*$E375+$B375*$F375*$E375+$G375)/MAX(1,$C375),0),0))</f>
        <v/>
      </c>
    </row>
    <row r="376">
      <c r="L376" s="23">
        <f>IF($A376="","",IFERROR(ROUND(($B376*$E376+$D376*$E376+$B376*$F376*$E376+$G376)/MAX(1,$C376),0),0))</f>
        <v/>
      </c>
    </row>
    <row r="377">
      <c r="L377" s="23">
        <f>IF($A377="","",IFERROR(ROUND(($B377*$E377+$D377*$E377+$B377*$F377*$E377+$G377)/MAX(1,$C377),0),0))</f>
        <v/>
      </c>
    </row>
    <row r="378">
      <c r="L378" s="23">
        <f>IF($A378="","",IFERROR(ROUND(($B378*$E378+$D378*$E378+$B378*$F378*$E378+$G378)/MAX(1,$C378),0),0))</f>
        <v/>
      </c>
    </row>
    <row r="379">
      <c r="L379" s="23">
        <f>IF($A379="","",IFERROR(ROUND(($B379*$E379+$D379*$E379+$B379*$F379*$E379+$G379)/MAX(1,$C379),0),0))</f>
        <v/>
      </c>
    </row>
    <row r="380">
      <c r="L380" s="23">
        <f>IF($A380="","",IFERROR(ROUND(($B380*$E380+$D380*$E380+$B380*$F380*$E380+$G380)/MAX(1,$C380),0),0))</f>
        <v/>
      </c>
    </row>
    <row r="381">
      <c r="L381" s="23">
        <f>IF($A381="","",IFERROR(ROUND(($B381*$E381+$D381*$E381+$B381*$F381*$E381+$G381)/MAX(1,$C381),0),0))</f>
        <v/>
      </c>
    </row>
    <row r="382">
      <c r="L382" s="23">
        <f>IF($A382="","",IFERROR(ROUND(($B382*$E382+$D382*$E382+$B382*$F382*$E382+$G382)/MAX(1,$C382),0),0))</f>
        <v/>
      </c>
    </row>
    <row r="383">
      <c r="L383" s="23">
        <f>IF($A383="","",IFERROR(ROUND(($B383*$E383+$D383*$E383+$B383*$F383*$E383+$G383)/MAX(1,$C383),0),0))</f>
        <v/>
      </c>
    </row>
    <row r="384">
      <c r="L384" s="23">
        <f>IF($A384="","",IFERROR(ROUND(($B384*$E384+$D384*$E384+$B384*$F384*$E384+$G384)/MAX(1,$C384),0),0))</f>
        <v/>
      </c>
    </row>
    <row r="385">
      <c r="L385" s="23">
        <f>IF($A385="","",IFERROR(ROUND(($B385*$E385+$D385*$E385+$B385*$F385*$E385+$G385)/MAX(1,$C385),0),0))</f>
        <v/>
      </c>
    </row>
    <row r="386">
      <c r="L386" s="23">
        <f>IF($A386="","",IFERROR(ROUND(($B386*$E386+$D386*$E386+$B386*$F386*$E386+$G386)/MAX(1,$C386),0),0))</f>
        <v/>
      </c>
    </row>
    <row r="387">
      <c r="L387" s="23">
        <f>IF($A387="","",IFERROR(ROUND(($B387*$E387+$D387*$E387+$B387*$F387*$E387+$G387)/MAX(1,$C387),0),0))</f>
        <v/>
      </c>
    </row>
    <row r="388">
      <c r="L388" s="23">
        <f>IF($A388="","",IFERROR(ROUND(($B388*$E388+$D388*$E388+$B388*$F388*$E388+$G388)/MAX(1,$C388),0),0))</f>
        <v/>
      </c>
    </row>
    <row r="389">
      <c r="L389" s="23">
        <f>IF($A389="","",IFERROR(ROUND(($B389*$E389+$D389*$E389+$B389*$F389*$E389+$G389)/MAX(1,$C389),0),0))</f>
        <v/>
      </c>
    </row>
    <row r="390">
      <c r="L390" s="23">
        <f>IF($A390="","",IFERROR(ROUND(($B390*$E390+$D390*$E390+$B390*$F390*$E390+$G390)/MAX(1,$C390),0),0))</f>
        <v/>
      </c>
    </row>
    <row r="391">
      <c r="L391" s="23">
        <f>IF($A391="","",IFERROR(ROUND(($B391*$E391+$D391*$E391+$B391*$F391*$E391+$G391)/MAX(1,$C391),0),0))</f>
        <v/>
      </c>
    </row>
    <row r="392">
      <c r="L392" s="23">
        <f>IF($A392="","",IFERROR(ROUND(($B392*$E392+$D392*$E392+$B392*$F392*$E392+$G392)/MAX(1,$C392),0),0))</f>
        <v/>
      </c>
    </row>
    <row r="393">
      <c r="L393" s="23">
        <f>IF($A393="","",IFERROR(ROUND(($B393*$E393+$D393*$E393+$B393*$F393*$E393+$G393)/MAX(1,$C393),0),0))</f>
        <v/>
      </c>
    </row>
    <row r="394">
      <c r="L394" s="23">
        <f>IF($A394="","",IFERROR(ROUND(($B394*$E394+$D394*$E394+$B394*$F394*$E394+$G394)/MAX(1,$C394),0),0))</f>
        <v/>
      </c>
    </row>
    <row r="395">
      <c r="L395" s="23">
        <f>IF($A395="","",IFERROR(ROUND(($B395*$E395+$D395*$E395+$B395*$F395*$E395+$G395)/MAX(1,$C395),0),0))</f>
        <v/>
      </c>
    </row>
    <row r="396">
      <c r="L396" s="23">
        <f>IF($A396="","",IFERROR(ROUND(($B396*$E396+$D396*$E396+$B396*$F396*$E396+$G396)/MAX(1,$C396),0),0))</f>
        <v/>
      </c>
    </row>
    <row r="397">
      <c r="L397" s="23">
        <f>IF($A397="","",IFERROR(ROUND(($B397*$E397+$D397*$E397+$B397*$F397*$E397+$G397)/MAX(1,$C397),0),0))</f>
        <v/>
      </c>
    </row>
    <row r="398">
      <c r="L398" s="23">
        <f>IF($A398="","",IFERROR(ROUND(($B398*$E398+$D398*$E398+$B398*$F398*$E398+$G398)/MAX(1,$C398),0),0))</f>
        <v/>
      </c>
    </row>
    <row r="399">
      <c r="L399" s="23">
        <f>IF($A399="","",IFERROR(ROUND(($B399*$E399+$D399*$E399+$B399*$F399*$E399+$G399)/MAX(1,$C399),0),0))</f>
        <v/>
      </c>
    </row>
    <row r="400">
      <c r="L400" s="23">
        <f>IF($A400="","",IFERROR(ROUND(($B400*$E400+$D400*$E400+$B400*$F400*$E400+$G400)/MAX(1,$C400),0),0))</f>
        <v/>
      </c>
    </row>
    <row r="401">
      <c r="L401" s="23">
        <f>IF($A401="","",IFERROR(ROUND(($B401*$E401+$D401*$E401+$B401*$F401*$E401+$G401)/MAX(1,$C401),0),0))</f>
        <v/>
      </c>
    </row>
    <row r="402">
      <c r="L402" s="23">
        <f>IF($A402="","",IFERROR(ROUND(($B402*$E402+$D402*$E402+$B402*$F402*$E402+$G402)/MAX(1,$C402),0),0))</f>
        <v/>
      </c>
    </row>
    <row r="403">
      <c r="L403" s="23">
        <f>IF($A403="","",IFERROR(ROUND(($B403*$E403+$D403*$E403+$B403*$F403*$E403+$G403)/MAX(1,$C403),0),0))</f>
        <v/>
      </c>
    </row>
    <row r="404">
      <c r="L404" s="23">
        <f>IF($A404="","",IFERROR(ROUND(($B404*$E404+$D404*$E404+$B404*$F404*$E404+$G404)/MAX(1,$C404),0),0))</f>
        <v/>
      </c>
    </row>
    <row r="405">
      <c r="L405" s="23">
        <f>IF($A405="","",IFERROR(ROUND(($B405*$E405+$D405*$E405+$B405*$F405*$E405+$G405)/MAX(1,$C405),0),0))</f>
        <v/>
      </c>
    </row>
    <row r="406">
      <c r="L406" s="23">
        <f>IF($A406="","",IFERROR(ROUND(($B406*$E406+$D406*$E406+$B406*$F406*$E406+$G406)/MAX(1,$C406),0),0))</f>
        <v/>
      </c>
    </row>
    <row r="407">
      <c r="L407" s="23">
        <f>IF($A407="","",IFERROR(ROUND(($B407*$E407+$D407*$E407+$B407*$F407*$E407+$G407)/MAX(1,$C407),0),0))</f>
        <v/>
      </c>
    </row>
    <row r="408">
      <c r="L408" s="23">
        <f>IF($A408="","",IFERROR(ROUND(($B408*$E408+$D408*$E408+$B408*$F408*$E408+$G408)/MAX(1,$C408),0),0))</f>
        <v/>
      </c>
    </row>
    <row r="409">
      <c r="L409" s="23">
        <f>IF($A409="","",IFERROR(ROUND(($B409*$E409+$D409*$E409+$B409*$F409*$E409+$G409)/MAX(1,$C409),0),0))</f>
        <v/>
      </c>
    </row>
    <row r="410">
      <c r="L410" s="23">
        <f>IF($A410="","",IFERROR(ROUND(($B410*$E410+$D410*$E410+$B410*$F410*$E410+$G410)/MAX(1,$C410),0),0))</f>
        <v/>
      </c>
    </row>
    <row r="411">
      <c r="L411" s="23">
        <f>IF($A411="","",IFERROR(ROUND(($B411*$E411+$D411*$E411+$B411*$F411*$E411+$G411)/MAX(1,$C411),0),0))</f>
        <v/>
      </c>
    </row>
    <row r="412">
      <c r="L412" s="23">
        <f>IF($A412="","",IFERROR(ROUND(($B412*$E412+$D412*$E412+$B412*$F412*$E412+$G412)/MAX(1,$C412),0),0))</f>
        <v/>
      </c>
    </row>
    <row r="413">
      <c r="L413" s="23">
        <f>IF($A413="","",IFERROR(ROUND(($B413*$E413+$D413*$E413+$B413*$F413*$E413+$G413)/MAX(1,$C413),0),0))</f>
        <v/>
      </c>
    </row>
    <row r="414">
      <c r="L414" s="23">
        <f>IF($A414="","",IFERROR(ROUND(($B414*$E414+$D414*$E414+$B414*$F414*$E414+$G414)/MAX(1,$C414),0),0))</f>
        <v/>
      </c>
    </row>
    <row r="415">
      <c r="L415" s="23">
        <f>IF($A415="","",IFERROR(ROUND(($B415*$E415+$D415*$E415+$B415*$F415*$E415+$G415)/MAX(1,$C415),0),0))</f>
        <v/>
      </c>
    </row>
    <row r="416">
      <c r="L416" s="23">
        <f>IF($A416="","",IFERROR(ROUND(($B416*$E416+$D416*$E416+$B416*$F416*$E416+$G416)/MAX(1,$C416),0),0))</f>
        <v/>
      </c>
    </row>
    <row r="417">
      <c r="L417" s="23">
        <f>IF($A417="","",IFERROR(ROUND(($B417*$E417+$D417*$E417+$B417*$F417*$E417+$G417)/MAX(1,$C417),0),0))</f>
        <v/>
      </c>
    </row>
    <row r="418">
      <c r="L418" s="23">
        <f>IF($A418="","",IFERROR(ROUND(($B418*$E418+$D418*$E418+$B418*$F418*$E418+$G418)/MAX(1,$C418),0),0))</f>
        <v/>
      </c>
    </row>
    <row r="419">
      <c r="L419" s="23">
        <f>IF($A419="","",IFERROR(ROUND(($B419*$E419+$D419*$E419+$B419*$F419*$E419+$G419)/MAX(1,$C419),0),0))</f>
        <v/>
      </c>
    </row>
    <row r="420">
      <c r="L420" s="23">
        <f>IF($A420="","",IFERROR(ROUND(($B420*$E420+$D420*$E420+$B420*$F420*$E420+$G420)/MAX(1,$C420),0),0))</f>
        <v/>
      </c>
    </row>
    <row r="421">
      <c r="L421" s="23">
        <f>IF($A421="","",IFERROR(ROUND(($B421*$E421+$D421*$E421+$B421*$F421*$E421+$G421)/MAX(1,$C421),0),0))</f>
        <v/>
      </c>
    </row>
    <row r="422">
      <c r="L422" s="23">
        <f>IF($A422="","",IFERROR(ROUND(($B422*$E422+$D422*$E422+$B422*$F422*$E422+$G422)/MAX(1,$C422),0),0))</f>
        <v/>
      </c>
    </row>
    <row r="423">
      <c r="L423" s="23">
        <f>IF($A423="","",IFERROR(ROUND(($B423*$E423+$D423*$E423+$B423*$F423*$E423+$G423)/MAX(1,$C423),0),0))</f>
        <v/>
      </c>
    </row>
    <row r="424">
      <c r="L424" s="23">
        <f>IF($A424="","",IFERROR(ROUND(($B424*$E424+$D424*$E424+$B424*$F424*$E424+$G424)/MAX(1,$C424),0),0))</f>
        <v/>
      </c>
    </row>
    <row r="425">
      <c r="L425" s="23">
        <f>IF($A425="","",IFERROR(ROUND(($B425*$E425+$D425*$E425+$B425*$F425*$E425+$G425)/MAX(1,$C425),0),0))</f>
        <v/>
      </c>
    </row>
    <row r="426">
      <c r="L426" s="23">
        <f>IF($A426="","",IFERROR(ROUND(($B426*$E426+$D426*$E426+$B426*$F426*$E426+$G426)/MAX(1,$C426),0),0))</f>
        <v/>
      </c>
    </row>
    <row r="427">
      <c r="L427" s="23">
        <f>IF($A427="","",IFERROR(ROUND(($B427*$E427+$D427*$E427+$B427*$F427*$E427+$G427)/MAX(1,$C427),0),0))</f>
        <v/>
      </c>
    </row>
    <row r="428">
      <c r="L428" s="23">
        <f>IF($A428="","",IFERROR(ROUND(($B428*$E428+$D428*$E428+$B428*$F428*$E428+$G428)/MAX(1,$C428),0),0))</f>
        <v/>
      </c>
    </row>
    <row r="429">
      <c r="L429" s="23">
        <f>IF($A429="","",IFERROR(ROUND(($B429*$E429+$D429*$E429+$B429*$F429*$E429+$G429)/MAX(1,$C429),0),0))</f>
        <v/>
      </c>
    </row>
    <row r="430">
      <c r="L430" s="23">
        <f>IF($A430="","",IFERROR(ROUND(($B430*$E430+$D430*$E430+$B430*$F430*$E430+$G430)/MAX(1,$C430),0),0))</f>
        <v/>
      </c>
    </row>
    <row r="431">
      <c r="L431" s="23">
        <f>IF($A431="","",IFERROR(ROUND(($B431*$E431+$D431*$E431+$B431*$F431*$E431+$G431)/MAX(1,$C431),0),0))</f>
        <v/>
      </c>
    </row>
    <row r="432">
      <c r="L432" s="23">
        <f>IF($A432="","",IFERROR(ROUND(($B432*$E432+$D432*$E432+$B432*$F432*$E432+$G432)/MAX(1,$C432),0),0))</f>
        <v/>
      </c>
    </row>
    <row r="433">
      <c r="L433" s="23">
        <f>IF($A433="","",IFERROR(ROUND(($B433*$E433+$D433*$E433+$B433*$F433*$E433+$G433)/MAX(1,$C433),0),0))</f>
        <v/>
      </c>
    </row>
    <row r="434">
      <c r="L434" s="23">
        <f>IF($A434="","",IFERROR(ROUND(($B434*$E434+$D434*$E434+$B434*$F434*$E434+$G434)/MAX(1,$C434),0),0))</f>
        <v/>
      </c>
    </row>
    <row r="435">
      <c r="L435" s="23">
        <f>IF($A435="","",IFERROR(ROUND(($B435*$E435+$D435*$E435+$B435*$F435*$E435+$G435)/MAX(1,$C435),0),0))</f>
        <v/>
      </c>
    </row>
    <row r="436">
      <c r="L436" s="23">
        <f>IF($A436="","",IFERROR(ROUND(($B436*$E436+$D436*$E436+$B436*$F436*$E436+$G436)/MAX(1,$C436),0),0))</f>
        <v/>
      </c>
    </row>
    <row r="437">
      <c r="L437" s="23">
        <f>IF($A437="","",IFERROR(ROUND(($B437*$E437+$D437*$E437+$B437*$F437*$E437+$G437)/MAX(1,$C437),0),0))</f>
        <v/>
      </c>
    </row>
    <row r="438">
      <c r="L438" s="23">
        <f>IF($A438="","",IFERROR(ROUND(($B438*$E438+$D438*$E438+$B438*$F438*$E438+$G438)/MAX(1,$C438),0),0))</f>
        <v/>
      </c>
    </row>
    <row r="439">
      <c r="L439" s="23">
        <f>IF($A439="","",IFERROR(ROUND(($B439*$E439+$D439*$E439+$B439*$F439*$E439+$G439)/MAX(1,$C439),0),0))</f>
        <v/>
      </c>
    </row>
    <row r="440">
      <c r="L440" s="23">
        <f>IF($A440="","",IFERROR(ROUND(($B440*$E440+$D440*$E440+$B440*$F440*$E440+$G440)/MAX(1,$C440),0),0))</f>
        <v/>
      </c>
    </row>
    <row r="441">
      <c r="L441" s="23">
        <f>IF($A441="","",IFERROR(ROUND(($B441*$E441+$D441*$E441+$B441*$F441*$E441+$G441)/MAX(1,$C441),0),0))</f>
        <v/>
      </c>
    </row>
    <row r="442">
      <c r="L442" s="23">
        <f>IF($A442="","",IFERROR(ROUND(($B442*$E442+$D442*$E442+$B442*$F442*$E442+$G442)/MAX(1,$C442),0),0))</f>
        <v/>
      </c>
    </row>
    <row r="443">
      <c r="L443" s="23">
        <f>IF($A443="","",IFERROR(ROUND(($B443*$E443+$D443*$E443+$B443*$F443*$E443+$G443)/MAX(1,$C443),0),0))</f>
        <v/>
      </c>
    </row>
    <row r="444">
      <c r="L444" s="23">
        <f>IF($A444="","",IFERROR(ROUND(($B444*$E444+$D444*$E444+$B444*$F444*$E444+$G444)/MAX(1,$C444),0),0))</f>
        <v/>
      </c>
    </row>
    <row r="445">
      <c r="L445" s="23">
        <f>IF($A445="","",IFERROR(ROUND(($B445*$E445+$D445*$E445+$B445*$F445*$E445+$G445)/MAX(1,$C445),0),0))</f>
        <v/>
      </c>
    </row>
    <row r="446">
      <c r="L446" s="23">
        <f>IF($A446="","",IFERROR(ROUND(($B446*$E446+$D446*$E446+$B446*$F446*$E446+$G446)/MAX(1,$C446),0),0))</f>
        <v/>
      </c>
    </row>
    <row r="447">
      <c r="L447" s="23">
        <f>IF($A447="","",IFERROR(ROUND(($B447*$E447+$D447*$E447+$B447*$F447*$E447+$G447)/MAX(1,$C447),0),0))</f>
        <v/>
      </c>
    </row>
    <row r="448">
      <c r="L448" s="23">
        <f>IF($A448="","",IFERROR(ROUND(($B448*$E448+$D448*$E448+$B448*$F448*$E448+$G448)/MAX(1,$C448),0),0))</f>
        <v/>
      </c>
    </row>
    <row r="449">
      <c r="L449" s="23">
        <f>IF($A449="","",IFERROR(ROUND(($B449*$E449+$D449*$E449+$B449*$F449*$E449+$G449)/MAX(1,$C449),0),0))</f>
        <v/>
      </c>
    </row>
    <row r="450">
      <c r="L450" s="23">
        <f>IF($A450="","",IFERROR(ROUND(($B450*$E450+$D450*$E450+$B450*$F450*$E450+$G450)/MAX(1,$C450),0),0))</f>
        <v/>
      </c>
    </row>
    <row r="451">
      <c r="L451" s="23">
        <f>IF($A451="","",IFERROR(ROUND(($B451*$E451+$D451*$E451+$B451*$F451*$E451+$G451)/MAX(1,$C451),0),0))</f>
        <v/>
      </c>
    </row>
    <row r="452">
      <c r="L452" s="23">
        <f>IF($A452="","",IFERROR(ROUND(($B452*$E452+$D452*$E452+$B452*$F452*$E452+$G452)/MAX(1,$C452),0),0))</f>
        <v/>
      </c>
    </row>
    <row r="453">
      <c r="L453" s="23">
        <f>IF($A453="","",IFERROR(ROUND(($B453*$E453+$D453*$E453+$B453*$F453*$E453+$G453)/MAX(1,$C453),0),0))</f>
        <v/>
      </c>
    </row>
    <row r="454">
      <c r="L454" s="23">
        <f>IF($A454="","",IFERROR(ROUND(($B454*$E454+$D454*$E454+$B454*$F454*$E454+$G454)/MAX(1,$C454),0),0))</f>
        <v/>
      </c>
    </row>
    <row r="455">
      <c r="L455" s="23">
        <f>IF($A455="","",IFERROR(ROUND(($B455*$E455+$D455*$E455+$B455*$F455*$E455+$G455)/MAX(1,$C455),0),0))</f>
        <v/>
      </c>
    </row>
    <row r="456">
      <c r="L456" s="23">
        <f>IF($A456="","",IFERROR(ROUND(($B456*$E456+$D456*$E456+$B456*$F456*$E456+$G456)/MAX(1,$C456),0),0))</f>
        <v/>
      </c>
    </row>
    <row r="457">
      <c r="L457" s="23">
        <f>IF($A457="","",IFERROR(ROUND(($B457*$E457+$D457*$E457+$B457*$F457*$E457+$G457)/MAX(1,$C457),0),0))</f>
        <v/>
      </c>
    </row>
    <row r="458">
      <c r="L458" s="23">
        <f>IF($A458="","",IFERROR(ROUND(($B458*$E458+$D458*$E458+$B458*$F458*$E458+$G458)/MAX(1,$C458),0),0))</f>
        <v/>
      </c>
    </row>
    <row r="459">
      <c r="L459" s="23">
        <f>IF($A459="","",IFERROR(ROUND(($B459*$E459+$D459*$E459+$B459*$F459*$E459+$G459)/MAX(1,$C459),0),0))</f>
        <v/>
      </c>
    </row>
    <row r="460">
      <c r="L460" s="23">
        <f>IF($A460="","",IFERROR(ROUND(($B460*$E460+$D460*$E460+$B460*$F460*$E460+$G460)/MAX(1,$C460),0),0))</f>
        <v/>
      </c>
    </row>
    <row r="461">
      <c r="L461" s="23">
        <f>IF($A461="","",IFERROR(ROUND(($B461*$E461+$D461*$E461+$B461*$F461*$E461+$G461)/MAX(1,$C461),0),0))</f>
        <v/>
      </c>
    </row>
    <row r="462">
      <c r="L462" s="23">
        <f>IF($A462="","",IFERROR(ROUND(($B462*$E462+$D462*$E462+$B462*$F462*$E462+$G462)/MAX(1,$C462),0),0))</f>
        <v/>
      </c>
    </row>
    <row r="463">
      <c r="L463" s="23">
        <f>IF($A463="","",IFERROR(ROUND(($B463*$E463+$D463*$E463+$B463*$F463*$E463+$G463)/MAX(1,$C463),0),0))</f>
        <v/>
      </c>
    </row>
    <row r="464">
      <c r="L464" s="23">
        <f>IF($A464="","",IFERROR(ROUND(($B464*$E464+$D464*$E464+$B464*$F464*$E464+$G464)/MAX(1,$C464),0),0))</f>
        <v/>
      </c>
    </row>
    <row r="465">
      <c r="L465" s="23">
        <f>IF($A465="","",IFERROR(ROUND(($B465*$E465+$D465*$E465+$B465*$F465*$E465+$G465)/MAX(1,$C465),0),0))</f>
        <v/>
      </c>
    </row>
    <row r="466">
      <c r="L466" s="23">
        <f>IF($A466="","",IFERROR(ROUND(($B466*$E466+$D466*$E466+$B466*$F466*$E466+$G466)/MAX(1,$C466),0),0))</f>
        <v/>
      </c>
    </row>
    <row r="467">
      <c r="L467" s="23">
        <f>IF($A467="","",IFERROR(ROUND(($B467*$E467+$D467*$E467+$B467*$F467*$E467+$G467)/MAX(1,$C467),0),0))</f>
        <v/>
      </c>
    </row>
    <row r="468">
      <c r="L468" s="23">
        <f>IF($A468="","",IFERROR(ROUND(($B468*$E468+$D468*$E468+$B468*$F468*$E468+$G468)/MAX(1,$C468),0),0))</f>
        <v/>
      </c>
    </row>
    <row r="469">
      <c r="L469" s="23">
        <f>IF($A469="","",IFERROR(ROUND(($B469*$E469+$D469*$E469+$B469*$F469*$E469+$G469)/MAX(1,$C469),0),0))</f>
        <v/>
      </c>
    </row>
    <row r="470">
      <c r="L470" s="23">
        <f>IF($A470="","",IFERROR(ROUND(($B470*$E470+$D470*$E470+$B470*$F470*$E470+$G470)/MAX(1,$C470),0),0))</f>
        <v/>
      </c>
    </row>
    <row r="471">
      <c r="L471" s="23">
        <f>IF($A471="","",IFERROR(ROUND(($B471*$E471+$D471*$E471+$B471*$F471*$E471+$G471)/MAX(1,$C471),0),0))</f>
        <v/>
      </c>
    </row>
    <row r="472">
      <c r="L472" s="23">
        <f>IF($A472="","",IFERROR(ROUND(($B472*$E472+$D472*$E472+$B472*$F472*$E472+$G472)/MAX(1,$C472),0),0))</f>
        <v/>
      </c>
    </row>
    <row r="473">
      <c r="L473" s="23">
        <f>IF($A473="","",IFERROR(ROUND(($B473*$E473+$D473*$E473+$B473*$F473*$E473+$G473)/MAX(1,$C473),0),0))</f>
        <v/>
      </c>
    </row>
    <row r="474">
      <c r="L474" s="23">
        <f>IF($A474="","",IFERROR(ROUND(($B474*$E474+$D474*$E474+$B474*$F474*$E474+$G474)/MAX(1,$C474),0),0))</f>
        <v/>
      </c>
    </row>
    <row r="475">
      <c r="L475" s="23">
        <f>IF($A475="","",IFERROR(ROUND(($B475*$E475+$D475*$E475+$B475*$F475*$E475+$G475)/MAX(1,$C475),0),0))</f>
        <v/>
      </c>
    </row>
    <row r="476">
      <c r="L476" s="23">
        <f>IF($A476="","",IFERROR(ROUND(($B476*$E476+$D476*$E476+$B476*$F476*$E476+$G476)/MAX(1,$C476),0),0))</f>
        <v/>
      </c>
    </row>
    <row r="477">
      <c r="L477" s="23">
        <f>IF($A477="","",IFERROR(ROUND(($B477*$E477+$D477*$E477+$B477*$F477*$E477+$G477)/MAX(1,$C477),0),0))</f>
        <v/>
      </c>
    </row>
    <row r="478">
      <c r="L478" s="23">
        <f>IF($A478="","",IFERROR(ROUND(($B478*$E478+$D478*$E478+$B478*$F478*$E478+$G478)/MAX(1,$C478),0),0))</f>
        <v/>
      </c>
    </row>
    <row r="479">
      <c r="L479" s="23">
        <f>IF($A479="","",IFERROR(ROUND(($B479*$E479+$D479*$E479+$B479*$F479*$E479+$G479)/MAX(1,$C479),0),0))</f>
        <v/>
      </c>
    </row>
    <row r="480">
      <c r="L480" s="23">
        <f>IF($A480="","",IFERROR(ROUND(($B480*$E480+$D480*$E480+$B480*$F480*$E480+$G480)/MAX(1,$C480),0),0))</f>
        <v/>
      </c>
    </row>
    <row r="481">
      <c r="L481" s="23">
        <f>IF($A481="","",IFERROR(ROUND(($B481*$E481+$D481*$E481+$B481*$F481*$E481+$G481)/MAX(1,$C481),0),0))</f>
        <v/>
      </c>
    </row>
    <row r="482">
      <c r="L482" s="23">
        <f>IF($A482="","",IFERROR(ROUND(($B482*$E482+$D482*$E482+$B482*$F482*$E482+$G482)/MAX(1,$C482),0),0))</f>
        <v/>
      </c>
    </row>
    <row r="483">
      <c r="L483" s="23">
        <f>IF($A483="","",IFERROR(ROUND(($B483*$E483+$D483*$E483+$B483*$F483*$E483+$G483)/MAX(1,$C483),0),0))</f>
        <v/>
      </c>
    </row>
    <row r="484">
      <c r="L484" s="23">
        <f>IF($A484="","",IFERROR(ROUND(($B484*$E484+$D484*$E484+$B484*$F484*$E484+$G484)/MAX(1,$C484),0),0))</f>
        <v/>
      </c>
    </row>
    <row r="485">
      <c r="L485" s="23">
        <f>IF($A485="","",IFERROR(ROUND(($B485*$E485+$D485*$E485+$B485*$F485*$E485+$G485)/MAX(1,$C485),0),0))</f>
        <v/>
      </c>
    </row>
    <row r="486">
      <c r="L486" s="23">
        <f>IF($A486="","",IFERROR(ROUND(($B486*$E486+$D486*$E486+$B486*$F486*$E486+$G486)/MAX(1,$C486),0),0))</f>
        <v/>
      </c>
    </row>
    <row r="487">
      <c r="L487" s="23">
        <f>IF($A487="","",IFERROR(ROUND(($B487*$E487+$D487*$E487+$B487*$F487*$E487+$G487)/MAX(1,$C487),0),0))</f>
        <v/>
      </c>
    </row>
    <row r="488">
      <c r="L488" s="23">
        <f>IF($A488="","",IFERROR(ROUND(($B488*$E488+$D488*$E488+$B488*$F488*$E488+$G488)/MAX(1,$C488),0),0))</f>
        <v/>
      </c>
    </row>
    <row r="489">
      <c r="L489" s="23">
        <f>IF($A489="","",IFERROR(ROUND(($B489*$E489+$D489*$E489+$B489*$F489*$E489+$G489)/MAX(1,$C489),0),0))</f>
        <v/>
      </c>
    </row>
    <row r="490">
      <c r="L490" s="23">
        <f>IF($A490="","",IFERROR(ROUND(($B490*$E490+$D490*$E490+$B490*$F490*$E490+$G490)/MAX(1,$C490),0),0))</f>
        <v/>
      </c>
    </row>
    <row r="491">
      <c r="L491" s="23">
        <f>IF($A491="","",IFERROR(ROUND(($B491*$E491+$D491*$E491+$B491*$F491*$E491+$G491)/MAX(1,$C491),0),0))</f>
        <v/>
      </c>
    </row>
    <row r="492">
      <c r="L492" s="23">
        <f>IF($A492="","",IFERROR(ROUND(($B492*$E492+$D492*$E492+$B492*$F492*$E492+$G492)/MAX(1,$C492),0),0))</f>
        <v/>
      </c>
    </row>
    <row r="493">
      <c r="L493" s="23">
        <f>IF($A493="","",IFERROR(ROUND(($B493*$E493+$D493*$E493+$B493*$F493*$E493+$G493)/MAX(1,$C493),0),0))</f>
        <v/>
      </c>
    </row>
    <row r="494">
      <c r="L494" s="23">
        <f>IF($A494="","",IFERROR(ROUND(($B494*$E494+$D494*$E494+$B494*$F494*$E494+$G494)/MAX(1,$C494),0),0))</f>
        <v/>
      </c>
    </row>
    <row r="495">
      <c r="L495" s="23">
        <f>IF($A495="","",IFERROR(ROUND(($B495*$E495+$D495*$E495+$B495*$F495*$E495+$G495)/MAX(1,$C495),0),0))</f>
        <v/>
      </c>
    </row>
    <row r="496">
      <c r="L496" s="23">
        <f>IF($A496="","",IFERROR(ROUND(($B496*$E496+$D496*$E496+$B496*$F496*$E496+$G496)/MAX(1,$C496),0),0))</f>
        <v/>
      </c>
    </row>
    <row r="497">
      <c r="L497" s="23">
        <f>IF($A497="","",IFERROR(ROUND(($B497*$E497+$D497*$E497+$B497*$F497*$E497+$G497)/MAX(1,$C497),0),0))</f>
        <v/>
      </c>
    </row>
    <row r="498">
      <c r="L498" s="23">
        <f>IF($A498="","",IFERROR(ROUND(($B498*$E498+$D498*$E498+$B498*$F498*$E498+$G498)/MAX(1,$C498),0),0))</f>
        <v/>
      </c>
    </row>
    <row r="499">
      <c r="L499" s="23">
        <f>IF($A499="","",IFERROR(ROUND(($B499*$E499+$D499*$E499+$B499*$F499*$E499+$G499)/MAX(1,$C499),0),0))</f>
        <v/>
      </c>
    </row>
    <row r="500">
      <c r="L500" s="23">
        <f>IF($A500="","",IFERROR(ROUND(($B500*$E500+$D500*$E500+$B500*$F500*$E500+$G500)/MAX(1,$C500),0),0))</f>
        <v/>
      </c>
    </row>
    <row r="501">
      <c r="L501" s="23">
        <f>IF($A501="","",IFERROR(ROUND(($B501*$E501+$D501*$E501+$B501*$F501*$E501+$G501)/MAX(1,$C501),0),0))</f>
        <v/>
      </c>
    </row>
    <row r="502">
      <c r="L502" s="23">
        <f>IF($A502="","",IFERROR(ROUND(($B502*$E502+$D502*$E502+$B502*$F502*$E502+$G502)/MAX(1,$C502),0),0))</f>
        <v/>
      </c>
    </row>
    <row r="503">
      <c r="L503" s="23">
        <f>IF($A503="","",IFERROR(ROUND(($B503*$E503+$D503*$E503+$B503*$F503*$E503+$G503)/MAX(1,$C503),0),0))</f>
        <v/>
      </c>
    </row>
    <row r="504">
      <c r="L504" s="23">
        <f>IF($A504="","",IFERROR(ROUND(($B504*$E504+$D504*$E504+$B504*$F504*$E504+$G504)/MAX(1,$C504),0),0))</f>
        <v/>
      </c>
    </row>
    <row r="505">
      <c r="L505" s="23">
        <f>IF($A505="","",IFERROR(ROUND(($B505*$E505+$D505*$E505+$B505*$F505*$E505+$G505)/MAX(1,$C505),0),0))</f>
        <v/>
      </c>
    </row>
    <row r="506">
      <c r="L506" s="23">
        <f>IF($A506="","",IFERROR(ROUND(($B506*$E506+$D506*$E506+$B506*$F506*$E506+$G506)/MAX(1,$C506),0),0))</f>
        <v/>
      </c>
    </row>
    <row r="507">
      <c r="L507" s="23">
        <f>IF($A507="","",IFERROR(ROUND(($B507*$E507+$D507*$E507+$B507*$F507*$E507+$G507)/MAX(1,$C507),0),0))</f>
        <v/>
      </c>
    </row>
    <row r="508">
      <c r="L508" s="23">
        <f>IF($A508="","",IFERROR(ROUND(($B508*$E508+$D508*$E508+$B508*$F508*$E508+$G508)/MAX(1,$C508),0),0))</f>
        <v/>
      </c>
    </row>
    <row r="509">
      <c r="L509" s="23">
        <f>IF($A509="","",IFERROR(ROUND(($B509*$E509+$D509*$E509+$B509*$F509*$E509+$G509)/MAX(1,$C509),0),0))</f>
        <v/>
      </c>
    </row>
    <row r="510">
      <c r="L510" s="23">
        <f>IF($A510="","",IFERROR(ROUND(($B510*$E510+$D510*$E510+$B510*$F510*$E510+$G510)/MAX(1,$C510),0),0))</f>
        <v/>
      </c>
    </row>
    <row r="511">
      <c r="L511" s="23">
        <f>IF($A511="","",IFERROR(ROUND(($B511*$E511+$D511*$E511+$B511*$F511*$E511+$G511)/MAX(1,$C511),0),0))</f>
        <v/>
      </c>
    </row>
    <row r="512">
      <c r="L512" s="23">
        <f>IF($A512="","",IFERROR(ROUND(($B512*$E512+$D512*$E512+$B512*$F512*$E512+$G512)/MAX(1,$C512),0),0))</f>
        <v/>
      </c>
    </row>
    <row r="513">
      <c r="L513" s="23">
        <f>IF($A513="","",IFERROR(ROUND(($B513*$E513+$D513*$E513+$B513*$F513*$E513+$G513)/MAX(1,$C513),0),0))</f>
        <v/>
      </c>
    </row>
    <row r="514">
      <c r="L514" s="23">
        <f>IF($A514="","",IFERROR(ROUND(($B514*$E514+$D514*$E514+$B514*$F514*$E514+$G514)/MAX(1,$C514),0),0))</f>
        <v/>
      </c>
    </row>
    <row r="515">
      <c r="L515" s="23">
        <f>IF($A515="","",IFERROR(ROUND(($B515*$E515+$D515*$E515+$B515*$F515*$E515+$G515)/MAX(1,$C515),0),0))</f>
        <v/>
      </c>
    </row>
    <row r="516">
      <c r="L516" s="23">
        <f>IF($A516="","",IFERROR(ROUND(($B516*$E516+$D516*$E516+$B516*$F516*$E516+$G516)/MAX(1,$C516),0),0))</f>
        <v/>
      </c>
    </row>
    <row r="517">
      <c r="L517" s="23">
        <f>IF($A517="","",IFERROR(ROUND(($B517*$E517+$D517*$E517+$B517*$F517*$E517+$G517)/MAX(1,$C517),0),0))</f>
        <v/>
      </c>
    </row>
    <row r="518">
      <c r="L518" s="23">
        <f>IF($A518="","",IFERROR(ROUND(($B518*$E518+$D518*$E518+$B518*$F518*$E518+$G518)/MAX(1,$C518),0),0))</f>
        <v/>
      </c>
    </row>
    <row r="519">
      <c r="L519" s="23">
        <f>IF($A519="","",IFERROR(ROUND(($B519*$E519+$D519*$E519+$B519*$F519*$E519+$G519)/MAX(1,$C519),0),0))</f>
        <v/>
      </c>
    </row>
    <row r="520">
      <c r="L520" s="23">
        <f>IF($A520="","",IFERROR(ROUND(($B520*$E520+$D520*$E520+$B520*$F520*$E520+$G520)/MAX(1,$C520),0),0))</f>
        <v/>
      </c>
    </row>
    <row r="521">
      <c r="L521" s="23">
        <f>IF($A521="","",IFERROR(ROUND(($B521*$E521+$D521*$E521+$B521*$F521*$E521+$G521)/MAX(1,$C521),0),0))</f>
        <v/>
      </c>
    </row>
    <row r="522">
      <c r="L522" s="23">
        <f>IF($A522="","",IFERROR(ROUND(($B522*$E522+$D522*$E522+$B522*$F522*$E522+$G522)/MAX(1,$C522),0),0))</f>
        <v/>
      </c>
    </row>
    <row r="523">
      <c r="L523" s="23">
        <f>IF($A523="","",IFERROR(ROUND(($B523*$E523+$D523*$E523+$B523*$F523*$E523+$G523)/MAX(1,$C523),0),0))</f>
        <v/>
      </c>
    </row>
    <row r="524">
      <c r="L524" s="23">
        <f>IF($A524="","",IFERROR(ROUND(($B524*$E524+$D524*$E524+$B524*$F524*$E524+$G524)/MAX(1,$C524),0),0))</f>
        <v/>
      </c>
    </row>
    <row r="525">
      <c r="L525" s="23">
        <f>IF($A525="","",IFERROR(ROUND(($B525*$E525+$D525*$E525+$B525*$F525*$E525+$G525)/MAX(1,$C525),0),0))</f>
        <v/>
      </c>
    </row>
    <row r="526">
      <c r="L526" s="23">
        <f>IF($A526="","",IFERROR(ROUND(($B526*$E526+$D526*$E526+$B526*$F526*$E526+$G526)/MAX(1,$C526),0),0))</f>
        <v/>
      </c>
    </row>
    <row r="527">
      <c r="L527" s="23">
        <f>IF($A527="","",IFERROR(ROUND(($B527*$E527+$D527*$E527+$B527*$F527*$E527+$G527)/MAX(1,$C527),0),0))</f>
        <v/>
      </c>
    </row>
    <row r="528">
      <c r="L528" s="23">
        <f>IF($A528="","",IFERROR(ROUND(($B528*$E528+$D528*$E528+$B528*$F528*$E528+$G528)/MAX(1,$C528),0),0))</f>
        <v/>
      </c>
    </row>
    <row r="529">
      <c r="L529" s="23">
        <f>IF($A529="","",IFERROR(ROUND(($B529*$E529+$D529*$E529+$B529*$F529*$E529+$G529)/MAX(1,$C529),0),0))</f>
        <v/>
      </c>
    </row>
    <row r="530">
      <c r="L530" s="23">
        <f>IF($A530="","",IFERROR(ROUND(($B530*$E530+$D530*$E530+$B530*$F530*$E530+$G530)/MAX(1,$C530),0),0))</f>
        <v/>
      </c>
    </row>
    <row r="531">
      <c r="L531" s="23">
        <f>IF($A531="","",IFERROR(ROUND(($B531*$E531+$D531*$E531+$B531*$F531*$E531+$G531)/MAX(1,$C531),0),0))</f>
        <v/>
      </c>
    </row>
    <row r="532">
      <c r="L532" s="23">
        <f>IF($A532="","",IFERROR(ROUND(($B532*$E532+$D532*$E532+$B532*$F532*$E532+$G532)/MAX(1,$C532),0),0))</f>
        <v/>
      </c>
    </row>
    <row r="533">
      <c r="L533" s="23">
        <f>IF($A533="","",IFERROR(ROUND(($B533*$E533+$D533*$E533+$B533*$F533*$E533+$G533)/MAX(1,$C533),0),0))</f>
        <v/>
      </c>
    </row>
    <row r="534">
      <c r="L534" s="23">
        <f>IF($A534="","",IFERROR(ROUND(($B534*$E534+$D534*$E534+$B534*$F534*$E534+$G534)/MAX(1,$C534),0),0))</f>
        <v/>
      </c>
    </row>
    <row r="535">
      <c r="L535" s="23">
        <f>IF($A535="","",IFERROR(ROUND(($B535*$E535+$D535*$E535+$B535*$F535*$E535+$G535)/MAX(1,$C535),0),0))</f>
        <v/>
      </c>
    </row>
    <row r="536">
      <c r="L536" s="23">
        <f>IF($A536="","",IFERROR(ROUND(($B536*$E536+$D536*$E536+$B536*$F536*$E536+$G536)/MAX(1,$C536),0),0))</f>
        <v/>
      </c>
    </row>
    <row r="537">
      <c r="L537" s="23">
        <f>IF($A537="","",IFERROR(ROUND(($B537*$E537+$D537*$E537+$B537*$F537*$E537+$G537)/MAX(1,$C537),0),0))</f>
        <v/>
      </c>
    </row>
    <row r="538">
      <c r="L538" s="23">
        <f>IF($A538="","",IFERROR(ROUND(($B538*$E538+$D538*$E538+$B538*$F538*$E538+$G538)/MAX(1,$C538),0),0))</f>
        <v/>
      </c>
    </row>
    <row r="539">
      <c r="L539" s="23">
        <f>IF($A539="","",IFERROR(ROUND(($B539*$E539+$D539*$E539+$B539*$F539*$E539+$G539)/MAX(1,$C539),0),0))</f>
        <v/>
      </c>
    </row>
    <row r="540">
      <c r="L540" s="23">
        <f>IF($A540="","",IFERROR(ROUND(($B540*$E540+$D540*$E540+$B540*$F540*$E540+$G540)/MAX(1,$C540),0),0))</f>
        <v/>
      </c>
    </row>
    <row r="541">
      <c r="L541" s="23">
        <f>IF($A541="","",IFERROR(ROUND(($B541*$E541+$D541*$E541+$B541*$F541*$E541+$G541)/MAX(1,$C541),0),0))</f>
        <v/>
      </c>
    </row>
    <row r="542">
      <c r="L542" s="23">
        <f>IF($A542="","",IFERROR(ROUND(($B542*$E542+$D542*$E542+$B542*$F542*$E542+$G542)/MAX(1,$C542),0),0))</f>
        <v/>
      </c>
    </row>
    <row r="543">
      <c r="L543" s="23">
        <f>IF($A543="","",IFERROR(ROUND(($B543*$E543+$D543*$E543+$B543*$F543*$E543+$G543)/MAX(1,$C543),0),0))</f>
        <v/>
      </c>
    </row>
    <row r="544">
      <c r="L544" s="23">
        <f>IF($A544="","",IFERROR(ROUND(($B544*$E544+$D544*$E544+$B544*$F544*$E544+$G544)/MAX(1,$C544),0),0))</f>
        <v/>
      </c>
    </row>
    <row r="545">
      <c r="L545" s="23">
        <f>IF($A545="","",IFERROR(ROUND(($B545*$E545+$D545*$E545+$B545*$F545*$E545+$G545)/MAX(1,$C545),0),0))</f>
        <v/>
      </c>
    </row>
    <row r="546">
      <c r="L546" s="23">
        <f>IF($A546="","",IFERROR(ROUND(($B546*$E546+$D546*$E546+$B546*$F546*$E546+$G546)/MAX(1,$C546),0),0))</f>
        <v/>
      </c>
    </row>
    <row r="547">
      <c r="L547" s="23">
        <f>IF($A547="","",IFERROR(ROUND(($B547*$E547+$D547*$E547+$B547*$F547*$E547+$G547)/MAX(1,$C547),0),0))</f>
        <v/>
      </c>
    </row>
    <row r="548">
      <c r="L548" s="23">
        <f>IF($A548="","",IFERROR(ROUND(($B548*$E548+$D548*$E548+$B548*$F548*$E548+$G548)/MAX(1,$C548),0),0))</f>
        <v/>
      </c>
    </row>
    <row r="549">
      <c r="L549" s="23">
        <f>IF($A549="","",IFERROR(ROUND(($B549*$E549+$D549*$E549+$B549*$F549*$E549+$G549)/MAX(1,$C549),0),0))</f>
        <v/>
      </c>
    </row>
    <row r="550">
      <c r="L550" s="23">
        <f>IF($A550="","",IFERROR(ROUND(($B550*$E550+$D550*$E550+$B550*$F550*$E550+$G550)/MAX(1,$C550),0),0))</f>
        <v/>
      </c>
    </row>
    <row r="551">
      <c r="L551" s="23">
        <f>IF($A551="","",IFERROR(ROUND(($B551*$E551+$D551*$E551+$B551*$F551*$E551+$G551)/MAX(1,$C551),0),0))</f>
        <v/>
      </c>
    </row>
    <row r="552">
      <c r="L552" s="23">
        <f>IF($A552="","",IFERROR(ROUND(($B552*$E552+$D552*$E552+$B552*$F552*$E552+$G552)/MAX(1,$C552),0),0))</f>
        <v/>
      </c>
    </row>
    <row r="553">
      <c r="L553" s="23">
        <f>IF($A553="","",IFERROR(ROUND(($B553*$E553+$D553*$E553+$B553*$F553*$E553+$G553)/MAX(1,$C553),0),0))</f>
        <v/>
      </c>
    </row>
    <row r="554">
      <c r="L554" s="23">
        <f>IF($A554="","",IFERROR(ROUND(($B554*$E554+$D554*$E554+$B554*$F554*$E554+$G554)/MAX(1,$C554),0),0))</f>
        <v/>
      </c>
    </row>
    <row r="555">
      <c r="L555" s="23">
        <f>IF($A555="","",IFERROR(ROUND(($B555*$E555+$D555*$E555+$B555*$F555*$E555+$G555)/MAX(1,$C555),0),0))</f>
        <v/>
      </c>
    </row>
    <row r="556">
      <c r="L556" s="23">
        <f>IF($A556="","",IFERROR(ROUND(($B556*$E556+$D556*$E556+$B556*$F556*$E556+$G556)/MAX(1,$C556),0),0))</f>
        <v/>
      </c>
    </row>
    <row r="557">
      <c r="L557" s="23">
        <f>IF($A557="","",IFERROR(ROUND(($B557*$E557+$D557*$E557+$B557*$F557*$E557+$G557)/MAX(1,$C557),0),0))</f>
        <v/>
      </c>
    </row>
    <row r="558">
      <c r="L558" s="23">
        <f>IF($A558="","",IFERROR(ROUND(($B558*$E558+$D558*$E558+$B558*$F558*$E558+$G558)/MAX(1,$C558),0),0))</f>
        <v/>
      </c>
    </row>
    <row r="559">
      <c r="L559" s="23">
        <f>IF($A559="","",IFERROR(ROUND(($B559*$E559+$D559*$E559+$B559*$F559*$E559+$G559)/MAX(1,$C559),0),0))</f>
        <v/>
      </c>
    </row>
    <row r="560">
      <c r="L560" s="23">
        <f>IF($A560="","",IFERROR(ROUND(($B560*$E560+$D560*$E560+$B560*$F560*$E560+$G560)/MAX(1,$C560),0),0))</f>
        <v/>
      </c>
    </row>
    <row r="561">
      <c r="L561" s="23">
        <f>IF($A561="","",IFERROR(ROUND(($B561*$E561+$D561*$E561+$B561*$F561*$E561+$G561)/MAX(1,$C561),0),0))</f>
        <v/>
      </c>
    </row>
    <row r="562">
      <c r="L562" s="23">
        <f>IF($A562="","",IFERROR(ROUND(($B562*$E562+$D562*$E562+$B562*$F562*$E562+$G562)/MAX(1,$C562),0),0))</f>
        <v/>
      </c>
    </row>
    <row r="563">
      <c r="L563" s="23">
        <f>IF($A563="","",IFERROR(ROUND(($B563*$E563+$D563*$E563+$B563*$F563*$E563+$G563)/MAX(1,$C563),0),0))</f>
        <v/>
      </c>
    </row>
    <row r="564">
      <c r="L564" s="23">
        <f>IF($A564="","",IFERROR(ROUND(($B564*$E564+$D564*$E564+$B564*$F564*$E564+$G564)/MAX(1,$C564),0),0))</f>
        <v/>
      </c>
    </row>
    <row r="565">
      <c r="L565" s="23">
        <f>IF($A565="","",IFERROR(ROUND(($B565*$E565+$D565*$E565+$B565*$F565*$E565+$G565)/MAX(1,$C565),0),0))</f>
        <v/>
      </c>
    </row>
    <row r="566">
      <c r="L566" s="23">
        <f>IF($A566="","",IFERROR(ROUND(($B566*$E566+$D566*$E566+$B566*$F566*$E566+$G566)/MAX(1,$C566),0),0))</f>
        <v/>
      </c>
    </row>
    <row r="567">
      <c r="L567" s="23">
        <f>IF($A567="","",IFERROR(ROUND(($B567*$E567+$D567*$E567+$B567*$F567*$E567+$G567)/MAX(1,$C567),0),0))</f>
        <v/>
      </c>
    </row>
    <row r="568">
      <c r="L568" s="23">
        <f>IF($A568="","",IFERROR(ROUND(($B568*$E568+$D568*$E568+$B568*$F568*$E568+$G568)/MAX(1,$C568),0),0))</f>
        <v/>
      </c>
    </row>
    <row r="569">
      <c r="L569" s="23">
        <f>IF($A569="","",IFERROR(ROUND(($B569*$E569+$D569*$E569+$B569*$F569*$E569+$G569)/MAX(1,$C569),0),0))</f>
        <v/>
      </c>
    </row>
    <row r="570">
      <c r="L570" s="23">
        <f>IF($A570="","",IFERROR(ROUND(($B570*$E570+$D570*$E570+$B570*$F570*$E570+$G570)/MAX(1,$C570),0),0))</f>
        <v/>
      </c>
    </row>
    <row r="571">
      <c r="L571" s="23">
        <f>IF($A571="","",IFERROR(ROUND(($B571*$E571+$D571*$E571+$B571*$F571*$E571+$G571)/MAX(1,$C571),0),0))</f>
        <v/>
      </c>
    </row>
    <row r="572">
      <c r="L572" s="23">
        <f>IF($A572="","",IFERROR(ROUND(($B572*$E572+$D572*$E572+$B572*$F572*$E572+$G572)/MAX(1,$C572),0),0))</f>
        <v/>
      </c>
    </row>
    <row r="573">
      <c r="L573" s="23">
        <f>IF($A573="","",IFERROR(ROUND(($B573*$E573+$D573*$E573+$B573*$F573*$E573+$G573)/MAX(1,$C573),0),0))</f>
        <v/>
      </c>
    </row>
    <row r="574">
      <c r="L574" s="23">
        <f>IF($A574="","",IFERROR(ROUND(($B574*$E574+$D574*$E574+$B574*$F574*$E574+$G574)/MAX(1,$C574),0),0))</f>
        <v/>
      </c>
    </row>
    <row r="575">
      <c r="L575" s="23">
        <f>IF($A575="","",IFERROR(ROUND(($B575*$E575+$D575*$E575+$B575*$F575*$E575+$G575)/MAX(1,$C575),0),0))</f>
        <v/>
      </c>
    </row>
    <row r="576">
      <c r="L576" s="23">
        <f>IF($A576="","",IFERROR(ROUND(($B576*$E576+$D576*$E576+$B576*$F576*$E576+$G576)/MAX(1,$C576),0),0))</f>
        <v/>
      </c>
    </row>
    <row r="577">
      <c r="L577" s="23">
        <f>IF($A577="","",IFERROR(ROUND(($B577*$E577+$D577*$E577+$B577*$F577*$E577+$G577)/MAX(1,$C577),0),0))</f>
        <v/>
      </c>
    </row>
    <row r="578">
      <c r="L578" s="23">
        <f>IF($A578="","",IFERROR(ROUND(($B578*$E578+$D578*$E578+$B578*$F578*$E578+$G578)/MAX(1,$C578),0),0))</f>
        <v/>
      </c>
    </row>
    <row r="579">
      <c r="L579" s="23">
        <f>IF($A579="","",IFERROR(ROUND(($B579*$E579+$D579*$E579+$B579*$F579*$E579+$G579)/MAX(1,$C579),0),0))</f>
        <v/>
      </c>
    </row>
    <row r="580">
      <c r="L580" s="23">
        <f>IF($A580="","",IFERROR(ROUND(($B580*$E580+$D580*$E580+$B580*$F580*$E580+$G580)/MAX(1,$C580),0),0))</f>
        <v/>
      </c>
    </row>
    <row r="581">
      <c r="L581" s="23">
        <f>IF($A581="","",IFERROR(ROUND(($B581*$E581+$D581*$E581+$B581*$F581*$E581+$G581)/MAX(1,$C581),0),0))</f>
        <v/>
      </c>
    </row>
    <row r="582">
      <c r="L582" s="23">
        <f>IF($A582="","",IFERROR(ROUND(($B582*$E582+$D582*$E582+$B582*$F582*$E582+$G582)/MAX(1,$C582),0),0))</f>
        <v/>
      </c>
    </row>
    <row r="583">
      <c r="L583" s="23">
        <f>IF($A583="","",IFERROR(ROUND(($B583*$E583+$D583*$E583+$B583*$F583*$E583+$G583)/MAX(1,$C583),0),0))</f>
        <v/>
      </c>
    </row>
    <row r="584">
      <c r="L584" s="23">
        <f>IF($A584="","",IFERROR(ROUND(($B584*$E584+$D584*$E584+$B584*$F584*$E584+$G584)/MAX(1,$C584),0),0))</f>
        <v/>
      </c>
    </row>
    <row r="585">
      <c r="L585" s="23">
        <f>IF($A585="","",IFERROR(ROUND(($B585*$E585+$D585*$E585+$B585*$F585*$E585+$G585)/MAX(1,$C585),0),0))</f>
        <v/>
      </c>
    </row>
    <row r="586">
      <c r="L586" s="23">
        <f>IF($A586="","",IFERROR(ROUND(($B586*$E586+$D586*$E586+$B586*$F586*$E586+$G586)/MAX(1,$C586),0),0))</f>
        <v/>
      </c>
    </row>
    <row r="587">
      <c r="L587" s="23">
        <f>IF($A587="","",IFERROR(ROUND(($B587*$E587+$D587*$E587+$B587*$F587*$E587+$G587)/MAX(1,$C587),0),0))</f>
        <v/>
      </c>
    </row>
    <row r="588">
      <c r="L588" s="23">
        <f>IF($A588="","",IFERROR(ROUND(($B588*$E588+$D588*$E588+$B588*$F588*$E588+$G588)/MAX(1,$C588),0),0))</f>
        <v/>
      </c>
    </row>
    <row r="589">
      <c r="L589" s="23">
        <f>IF($A589="","",IFERROR(ROUND(($B589*$E589+$D589*$E589+$B589*$F589*$E589+$G589)/MAX(1,$C589),0),0))</f>
        <v/>
      </c>
    </row>
    <row r="590">
      <c r="L590" s="23">
        <f>IF($A590="","",IFERROR(ROUND(($B590*$E590+$D590*$E590+$B590*$F590*$E590+$G590)/MAX(1,$C590),0),0))</f>
        <v/>
      </c>
    </row>
    <row r="591">
      <c r="L591" s="23">
        <f>IF($A591="","",IFERROR(ROUND(($B591*$E591+$D591*$E591+$B591*$F591*$E591+$G591)/MAX(1,$C591),0),0))</f>
        <v/>
      </c>
    </row>
    <row r="592">
      <c r="L592" s="23">
        <f>IF($A592="","",IFERROR(ROUND(($B592*$E592+$D592*$E592+$B592*$F592*$E592+$G592)/MAX(1,$C592),0),0))</f>
        <v/>
      </c>
    </row>
    <row r="593">
      <c r="L593" s="23">
        <f>IF($A593="","",IFERROR(ROUND(($B593*$E593+$D593*$E593+$B593*$F593*$E593+$G593)/MAX(1,$C593),0),0))</f>
        <v/>
      </c>
    </row>
    <row r="594">
      <c r="L594" s="23">
        <f>IF($A594="","",IFERROR(ROUND(($B594*$E594+$D594*$E594+$B594*$F594*$E594+$G594)/MAX(1,$C594),0),0))</f>
        <v/>
      </c>
    </row>
    <row r="595">
      <c r="L595" s="23">
        <f>IF($A595="","",IFERROR(ROUND(($B595*$E595+$D595*$E595+$B595*$F595*$E595+$G595)/MAX(1,$C595),0),0))</f>
        <v/>
      </c>
    </row>
    <row r="596">
      <c r="L596" s="23">
        <f>IF($A596="","",IFERROR(ROUND(($B596*$E596+$D596*$E596+$B596*$F596*$E596+$G596)/MAX(1,$C596),0),0))</f>
        <v/>
      </c>
    </row>
    <row r="597">
      <c r="L597" s="23">
        <f>IF($A597="","",IFERROR(ROUND(($B597*$E597+$D597*$E597+$B597*$F597*$E597+$G597)/MAX(1,$C597),0),0))</f>
        <v/>
      </c>
    </row>
    <row r="598">
      <c r="L598" s="23">
        <f>IF($A598="","",IFERROR(ROUND(($B598*$E598+$D598*$E598+$B598*$F598*$E598+$G598)/MAX(1,$C598),0),0))</f>
        <v/>
      </c>
    </row>
    <row r="599">
      <c r="L599" s="23">
        <f>IF($A599="","",IFERROR(ROUND(($B599*$E599+$D599*$E599+$B599*$F599*$E599+$G599)/MAX(1,$C599),0),0))</f>
        <v/>
      </c>
    </row>
    <row r="600">
      <c r="L600" s="23">
        <f>IF($A600="","",IFERROR(ROUND(($B600*$E600+$D600*$E600+$B600*$F600*$E600+$G600)/MAX(1,$C600),0),0))</f>
        <v/>
      </c>
    </row>
    <row r="601">
      <c r="L601" s="23">
        <f>IF($A601="","",IFERROR(ROUND(($B601*$E601+$D601*$E601+$B601*$F601*$E601+$G601)/MAX(1,$C601),0),0))</f>
        <v/>
      </c>
    </row>
    <row r="602">
      <c r="L602" s="23">
        <f>IF($A602="","",IFERROR(ROUND(($B602*$E602+$D602*$E602+$B602*$F602*$E602+$G602)/MAX(1,$C602),0),0))</f>
        <v/>
      </c>
    </row>
    <row r="603">
      <c r="L603" s="23">
        <f>IF($A603="","",IFERROR(ROUND(($B603*$E603+$D603*$E603+$B603*$F603*$E603+$G603)/MAX(1,$C603),0),0))</f>
        <v/>
      </c>
    </row>
    <row r="604">
      <c r="L604" s="23">
        <f>IF($A604="","",IFERROR(ROUND(($B604*$E604+$D604*$E604+$B604*$F604*$E604+$G604)/MAX(1,$C604),0),0))</f>
        <v/>
      </c>
    </row>
    <row r="605">
      <c r="L605" s="23">
        <f>IF($A605="","",IFERROR(ROUND(($B605*$E605+$D605*$E605+$B605*$F605*$E605+$G605)/MAX(1,$C605),0),0))</f>
        <v/>
      </c>
    </row>
    <row r="606">
      <c r="L606" s="23">
        <f>IF($A606="","",IFERROR(ROUND(($B606*$E606+$D606*$E606+$B606*$F606*$E606+$G606)/MAX(1,$C606),0),0))</f>
        <v/>
      </c>
    </row>
    <row r="607">
      <c r="L607" s="23">
        <f>IF($A607="","",IFERROR(ROUND(($B607*$E607+$D607*$E607+$B607*$F607*$E607+$G607)/MAX(1,$C607),0),0))</f>
        <v/>
      </c>
    </row>
    <row r="608">
      <c r="L608" s="23">
        <f>IF($A608="","",IFERROR(ROUND(($B608*$E608+$D608*$E608+$B608*$F608*$E608+$G608)/MAX(1,$C608),0),0))</f>
        <v/>
      </c>
    </row>
    <row r="609">
      <c r="L609" s="23">
        <f>IF($A609="","",IFERROR(ROUND(($B609*$E609+$D609*$E609+$B609*$F609*$E609+$G609)/MAX(1,$C609),0),0))</f>
        <v/>
      </c>
    </row>
    <row r="610">
      <c r="L610" s="23">
        <f>IF($A610="","",IFERROR(ROUND(($B610*$E610+$D610*$E610+$B610*$F610*$E610+$G610)/MAX(1,$C610),0),0))</f>
        <v/>
      </c>
    </row>
    <row r="611">
      <c r="L611" s="23">
        <f>IF($A611="","",IFERROR(ROUND(($B611*$E611+$D611*$E611+$B611*$F611*$E611+$G611)/MAX(1,$C611),0),0))</f>
        <v/>
      </c>
    </row>
    <row r="612">
      <c r="L612" s="23">
        <f>IF($A612="","",IFERROR(ROUND(($B612*$E612+$D612*$E612+$B612*$F612*$E612+$G612)/MAX(1,$C612),0),0))</f>
        <v/>
      </c>
    </row>
    <row r="613">
      <c r="L613" s="23">
        <f>IF($A613="","",IFERROR(ROUND(($B613*$E613+$D613*$E613+$B613*$F613*$E613+$G613)/MAX(1,$C613),0),0))</f>
        <v/>
      </c>
    </row>
    <row r="614">
      <c r="L614" s="23">
        <f>IF($A614="","",IFERROR(ROUND(($B614*$E614+$D614*$E614+$B614*$F614*$E614+$G614)/MAX(1,$C614),0),0))</f>
        <v/>
      </c>
    </row>
    <row r="615">
      <c r="L615" s="23">
        <f>IF($A615="","",IFERROR(ROUND(($B615*$E615+$D615*$E615+$B615*$F615*$E615+$G615)/MAX(1,$C615),0),0))</f>
        <v/>
      </c>
    </row>
    <row r="616">
      <c r="L616" s="23">
        <f>IF($A616="","",IFERROR(ROUND(($B616*$E616+$D616*$E616+$B616*$F616*$E616+$G616)/MAX(1,$C616),0),0))</f>
        <v/>
      </c>
    </row>
    <row r="617">
      <c r="L617" s="23">
        <f>IF($A617="","",IFERROR(ROUND(($B617*$E617+$D617*$E617+$B617*$F617*$E617+$G617)/MAX(1,$C617),0),0))</f>
        <v/>
      </c>
    </row>
    <row r="618">
      <c r="L618" s="23">
        <f>IF($A618="","",IFERROR(ROUND(($B618*$E618+$D618*$E618+$B618*$F618*$E618+$G618)/MAX(1,$C618),0),0))</f>
        <v/>
      </c>
    </row>
    <row r="619">
      <c r="L619" s="23">
        <f>IF($A619="","",IFERROR(ROUND(($B619*$E619+$D619*$E619+$B619*$F619*$E619+$G619)/MAX(1,$C619),0),0))</f>
        <v/>
      </c>
    </row>
    <row r="620">
      <c r="L620" s="23">
        <f>IF($A620="","",IFERROR(ROUND(($B620*$E620+$D620*$E620+$B620*$F620*$E620+$G620)/MAX(1,$C620),0),0))</f>
        <v/>
      </c>
    </row>
    <row r="621">
      <c r="L621" s="23">
        <f>IF($A621="","",IFERROR(ROUND(($B621*$E621+$D621*$E621+$B621*$F621*$E621+$G621)/MAX(1,$C621),0),0))</f>
        <v/>
      </c>
    </row>
    <row r="622">
      <c r="L622" s="23">
        <f>IF($A622="","",IFERROR(ROUND(($B622*$E622+$D622*$E622+$B622*$F622*$E622+$G622)/MAX(1,$C622),0),0))</f>
        <v/>
      </c>
    </row>
    <row r="623">
      <c r="L623" s="23">
        <f>IF($A623="","",IFERROR(ROUND(($B623*$E623+$D623*$E623+$B623*$F623*$E623+$G623)/MAX(1,$C623),0),0))</f>
        <v/>
      </c>
    </row>
    <row r="624">
      <c r="L624" s="23">
        <f>IF($A624="","",IFERROR(ROUND(($B624*$E624+$D624*$E624+$B624*$F624*$E624+$G624)/MAX(1,$C624),0),0))</f>
        <v/>
      </c>
    </row>
    <row r="625">
      <c r="L625" s="23">
        <f>IF($A625="","",IFERROR(ROUND(($B625*$E625+$D625*$E625+$B625*$F625*$E625+$G625)/MAX(1,$C625),0),0))</f>
        <v/>
      </c>
    </row>
    <row r="626">
      <c r="L626" s="23">
        <f>IF($A626="","",IFERROR(ROUND(($B626*$E626+$D626*$E626+$B626*$F626*$E626+$G626)/MAX(1,$C626),0),0))</f>
        <v/>
      </c>
    </row>
    <row r="627">
      <c r="L627" s="23">
        <f>IF($A627="","",IFERROR(ROUND(($B627*$E627+$D627*$E627+$B627*$F627*$E627+$G627)/MAX(1,$C627),0),0))</f>
        <v/>
      </c>
    </row>
    <row r="628">
      <c r="L628" s="23">
        <f>IF($A628="","",IFERROR(ROUND(($B628*$E628+$D628*$E628+$B628*$F628*$E628+$G628)/MAX(1,$C628),0),0))</f>
        <v/>
      </c>
    </row>
    <row r="629">
      <c r="L629" s="23">
        <f>IF($A629="","",IFERROR(ROUND(($B629*$E629+$D629*$E629+$B629*$F629*$E629+$G629)/MAX(1,$C629),0),0))</f>
        <v/>
      </c>
    </row>
    <row r="630">
      <c r="L630" s="23">
        <f>IF($A630="","",IFERROR(ROUND(($B630*$E630+$D630*$E630+$B630*$F630*$E630+$G630)/MAX(1,$C630),0),0))</f>
        <v/>
      </c>
    </row>
    <row r="631">
      <c r="L631" s="23">
        <f>IF($A631="","",IFERROR(ROUND(($B631*$E631+$D631*$E631+$B631*$F631*$E631+$G631)/MAX(1,$C631),0),0))</f>
        <v/>
      </c>
    </row>
    <row r="632">
      <c r="L632" s="23">
        <f>IF($A632="","",IFERROR(ROUND(($B632*$E632+$D632*$E632+$B632*$F632*$E632+$G632)/MAX(1,$C632),0),0))</f>
        <v/>
      </c>
    </row>
    <row r="633">
      <c r="L633" s="23">
        <f>IF($A633="","",IFERROR(ROUND(($B633*$E633+$D633*$E633+$B633*$F633*$E633+$G633)/MAX(1,$C633),0),0))</f>
        <v/>
      </c>
    </row>
    <row r="634">
      <c r="L634" s="23">
        <f>IF($A634="","",IFERROR(ROUND(($B634*$E634+$D634*$E634+$B634*$F634*$E634+$G634)/MAX(1,$C634),0),0))</f>
        <v/>
      </c>
    </row>
    <row r="635">
      <c r="L635" s="23">
        <f>IF($A635="","",IFERROR(ROUND(($B635*$E635+$D635*$E635+$B635*$F635*$E635+$G635)/MAX(1,$C635),0),0))</f>
        <v/>
      </c>
    </row>
    <row r="636">
      <c r="L636" s="23">
        <f>IF($A636="","",IFERROR(ROUND(($B636*$E636+$D636*$E636+$B636*$F636*$E636+$G636)/MAX(1,$C636),0),0))</f>
        <v/>
      </c>
    </row>
    <row r="637">
      <c r="L637" s="23">
        <f>IF($A637="","",IFERROR(ROUND(($B637*$E637+$D637*$E637+$B637*$F637*$E637+$G637)/MAX(1,$C637),0),0))</f>
        <v/>
      </c>
    </row>
    <row r="638">
      <c r="L638" s="23">
        <f>IF($A638="","",IFERROR(ROUND(($B638*$E638+$D638*$E638+$B638*$F638*$E638+$G638)/MAX(1,$C638),0),0))</f>
        <v/>
      </c>
    </row>
    <row r="639">
      <c r="L639" s="23">
        <f>IF($A639="","",IFERROR(ROUND(($B639*$E639+$D639*$E639+$B639*$F639*$E639+$G639)/MAX(1,$C639),0),0))</f>
        <v/>
      </c>
    </row>
    <row r="640">
      <c r="L640" s="23">
        <f>IF($A640="","",IFERROR(ROUND(($B640*$E640+$D640*$E640+$B640*$F640*$E640+$G640)/MAX(1,$C640),0),0))</f>
        <v/>
      </c>
    </row>
    <row r="641">
      <c r="L641" s="23">
        <f>IF($A641="","",IFERROR(ROUND(($B641*$E641+$D641*$E641+$B641*$F641*$E641+$G641)/MAX(1,$C641),0),0))</f>
        <v/>
      </c>
    </row>
    <row r="642">
      <c r="L642" s="23">
        <f>IF($A642="","",IFERROR(ROUND(($B642*$E642+$D642*$E642+$B642*$F642*$E642+$G642)/MAX(1,$C642),0),0))</f>
        <v/>
      </c>
    </row>
    <row r="643">
      <c r="L643" s="23">
        <f>IF($A643="","",IFERROR(ROUND(($B643*$E643+$D643*$E643+$B643*$F643*$E643+$G643)/MAX(1,$C643),0),0))</f>
        <v/>
      </c>
    </row>
    <row r="644">
      <c r="L644" s="23">
        <f>IF($A644="","",IFERROR(ROUND(($B644*$E644+$D644*$E644+$B644*$F644*$E644+$G644)/MAX(1,$C644),0),0))</f>
        <v/>
      </c>
    </row>
    <row r="645">
      <c r="L645" s="23">
        <f>IF($A645="","",IFERROR(ROUND(($B645*$E645+$D645*$E645+$B645*$F645*$E645+$G645)/MAX(1,$C645),0),0))</f>
        <v/>
      </c>
    </row>
    <row r="646">
      <c r="L646" s="23">
        <f>IF($A646="","",IFERROR(ROUND(($B646*$E646+$D646*$E646+$B646*$F646*$E646+$G646)/MAX(1,$C646),0),0))</f>
        <v/>
      </c>
    </row>
    <row r="647">
      <c r="L647" s="23">
        <f>IF($A647="","",IFERROR(ROUND(($B647*$E647+$D647*$E647+$B647*$F647*$E647+$G647)/MAX(1,$C647),0),0))</f>
        <v/>
      </c>
    </row>
    <row r="648">
      <c r="L648" s="23">
        <f>IF($A648="","",IFERROR(ROUND(($B648*$E648+$D648*$E648+$B648*$F648*$E648+$G648)/MAX(1,$C648),0),0))</f>
        <v/>
      </c>
    </row>
    <row r="649">
      <c r="L649" s="23">
        <f>IF($A649="","",IFERROR(ROUND(($B649*$E649+$D649*$E649+$B649*$F649*$E649+$G649)/MAX(1,$C649),0),0))</f>
        <v/>
      </c>
    </row>
    <row r="650">
      <c r="L650" s="23">
        <f>IF($A650="","",IFERROR(ROUND(($B650*$E650+$D650*$E650+$B650*$F650*$E650+$G650)/MAX(1,$C650),0),0))</f>
        <v/>
      </c>
    </row>
    <row r="651">
      <c r="L651" s="23">
        <f>IF($A651="","",IFERROR(ROUND(($B651*$E651+$D651*$E651+$B651*$F651*$E651+$G651)/MAX(1,$C651),0),0))</f>
        <v/>
      </c>
    </row>
    <row r="652">
      <c r="L652" s="23">
        <f>IF($A652="","",IFERROR(ROUND(($B652*$E652+$D652*$E652+$B652*$F652*$E652+$G652)/MAX(1,$C652),0),0))</f>
        <v/>
      </c>
    </row>
    <row r="653">
      <c r="L653" s="23">
        <f>IF($A653="","",IFERROR(ROUND(($B653*$E653+$D653*$E653+$B653*$F653*$E653+$G653)/MAX(1,$C653),0),0))</f>
        <v/>
      </c>
    </row>
    <row r="654">
      <c r="L654" s="23">
        <f>IF($A654="","",IFERROR(ROUND(($B654*$E654+$D654*$E654+$B654*$F654*$E654+$G654)/MAX(1,$C654),0),0))</f>
        <v/>
      </c>
    </row>
    <row r="655">
      <c r="L655" s="23">
        <f>IF($A655="","",IFERROR(ROUND(($B655*$E655+$D655*$E655+$B655*$F655*$E655+$G655)/MAX(1,$C655),0),0))</f>
        <v/>
      </c>
    </row>
    <row r="656">
      <c r="L656" s="23">
        <f>IF($A656="","",IFERROR(ROUND(($B656*$E656+$D656*$E656+$B656*$F656*$E656+$G656)/MAX(1,$C656),0),0))</f>
        <v/>
      </c>
    </row>
    <row r="657">
      <c r="L657" s="23">
        <f>IF($A657="","",IFERROR(ROUND(($B657*$E657+$D657*$E657+$B657*$F657*$E657+$G657)/MAX(1,$C657),0),0))</f>
        <v/>
      </c>
    </row>
    <row r="658">
      <c r="L658" s="23">
        <f>IF($A658="","",IFERROR(ROUND(($B658*$E658+$D658*$E658+$B658*$F658*$E658+$G658)/MAX(1,$C658),0),0))</f>
        <v/>
      </c>
    </row>
    <row r="659">
      <c r="L659" s="23">
        <f>IF($A659="","",IFERROR(ROUND(($B659*$E659+$D659*$E659+$B659*$F659*$E659+$G659)/MAX(1,$C659),0),0))</f>
        <v/>
      </c>
    </row>
    <row r="660">
      <c r="L660" s="23">
        <f>IF($A660="","",IFERROR(ROUND(($B660*$E660+$D660*$E660+$B660*$F660*$E660+$G660)/MAX(1,$C660),0),0))</f>
        <v/>
      </c>
    </row>
    <row r="661">
      <c r="L661" s="23">
        <f>IF($A661="","",IFERROR(ROUND(($B661*$E661+$D661*$E661+$B661*$F661*$E661+$G661)/MAX(1,$C661),0),0))</f>
        <v/>
      </c>
    </row>
    <row r="662">
      <c r="L662" s="23">
        <f>IF($A662="","",IFERROR(ROUND(($B662*$E662+$D662*$E662+$B662*$F662*$E662+$G662)/MAX(1,$C662),0),0))</f>
        <v/>
      </c>
    </row>
    <row r="663">
      <c r="L663" s="23">
        <f>IF($A663="","",IFERROR(ROUND(($B663*$E663+$D663*$E663+$B663*$F663*$E663+$G663)/MAX(1,$C663),0),0))</f>
        <v/>
      </c>
    </row>
    <row r="664">
      <c r="L664" s="23">
        <f>IF($A664="","",IFERROR(ROUND(($B664*$E664+$D664*$E664+$B664*$F664*$E664+$G664)/MAX(1,$C664),0),0))</f>
        <v/>
      </c>
    </row>
    <row r="665">
      <c r="L665" s="23">
        <f>IF($A665="","",IFERROR(ROUND(($B665*$E665+$D665*$E665+$B665*$F665*$E665+$G665)/MAX(1,$C665),0),0))</f>
        <v/>
      </c>
    </row>
    <row r="666">
      <c r="L666" s="23">
        <f>IF($A666="","",IFERROR(ROUND(($B666*$E666+$D666*$E666+$B666*$F666*$E666+$G666)/MAX(1,$C666),0),0))</f>
        <v/>
      </c>
    </row>
    <row r="667">
      <c r="L667" s="23">
        <f>IF($A667="","",IFERROR(ROUND(($B667*$E667+$D667*$E667+$B667*$F667*$E667+$G667)/MAX(1,$C667),0),0))</f>
        <v/>
      </c>
    </row>
    <row r="668">
      <c r="L668" s="23">
        <f>IF($A668="","",IFERROR(ROUND(($B668*$E668+$D668*$E668+$B668*$F668*$E668+$G668)/MAX(1,$C668),0),0))</f>
        <v/>
      </c>
    </row>
    <row r="669">
      <c r="L669" s="23">
        <f>IF($A669="","",IFERROR(ROUND(($B669*$E669+$D669*$E669+$B669*$F669*$E669+$G669)/MAX(1,$C669),0),0))</f>
        <v/>
      </c>
    </row>
    <row r="670">
      <c r="L670" s="23">
        <f>IF($A670="","",IFERROR(ROUND(($B670*$E670+$D670*$E670+$B670*$F670*$E670+$G670)/MAX(1,$C670),0),0))</f>
        <v/>
      </c>
    </row>
    <row r="671">
      <c r="L671" s="23">
        <f>IF($A671="","",IFERROR(ROUND(($B671*$E671+$D671*$E671+$B671*$F671*$E671+$G671)/MAX(1,$C671),0),0))</f>
        <v/>
      </c>
    </row>
    <row r="672">
      <c r="L672" s="23">
        <f>IF($A672="","",IFERROR(ROUND(($B672*$E672+$D672*$E672+$B672*$F672*$E672+$G672)/MAX(1,$C672),0),0))</f>
        <v/>
      </c>
    </row>
    <row r="673">
      <c r="L673" s="23">
        <f>IF($A673="","",IFERROR(ROUND(($B673*$E673+$D673*$E673+$B673*$F673*$E673+$G673)/MAX(1,$C673),0),0))</f>
        <v/>
      </c>
    </row>
    <row r="674">
      <c r="L674" s="23">
        <f>IF($A674="","",IFERROR(ROUND(($B674*$E674+$D674*$E674+$B674*$F674*$E674+$G674)/MAX(1,$C674),0),0))</f>
        <v/>
      </c>
    </row>
    <row r="675">
      <c r="L675" s="23">
        <f>IF($A675="","",IFERROR(ROUND(($B675*$E675+$D675*$E675+$B675*$F675*$E675+$G675)/MAX(1,$C675),0),0))</f>
        <v/>
      </c>
    </row>
    <row r="676">
      <c r="L676" s="23">
        <f>IF($A676="","",IFERROR(ROUND(($B676*$E676+$D676*$E676+$B676*$F676*$E676+$G676)/MAX(1,$C676),0),0))</f>
        <v/>
      </c>
    </row>
    <row r="677">
      <c r="L677" s="23">
        <f>IF($A677="","",IFERROR(ROUND(($B677*$E677+$D677*$E677+$B677*$F677*$E677+$G677)/MAX(1,$C677),0),0))</f>
        <v/>
      </c>
    </row>
    <row r="678">
      <c r="L678" s="23">
        <f>IF($A678="","",IFERROR(ROUND(($B678*$E678+$D678*$E678+$B678*$F678*$E678+$G678)/MAX(1,$C678),0),0))</f>
        <v/>
      </c>
    </row>
    <row r="679">
      <c r="L679" s="23">
        <f>IF($A679="","",IFERROR(ROUND(($B679*$E679+$D679*$E679+$B679*$F679*$E679+$G679)/MAX(1,$C679),0),0))</f>
        <v/>
      </c>
    </row>
    <row r="680">
      <c r="L680" s="23">
        <f>IF($A680="","",IFERROR(ROUND(($B680*$E680+$D680*$E680+$B680*$F680*$E680+$G680)/MAX(1,$C680),0),0))</f>
        <v/>
      </c>
    </row>
    <row r="681">
      <c r="L681" s="23">
        <f>IF($A681="","",IFERROR(ROUND(($B681*$E681+$D681*$E681+$B681*$F681*$E681+$G681)/MAX(1,$C681),0),0))</f>
        <v/>
      </c>
    </row>
    <row r="682">
      <c r="L682" s="23">
        <f>IF($A682="","",IFERROR(ROUND(($B682*$E682+$D682*$E682+$B682*$F682*$E682+$G682)/MAX(1,$C682),0),0))</f>
        <v/>
      </c>
    </row>
    <row r="683">
      <c r="L683" s="23">
        <f>IF($A683="","",IFERROR(ROUND(($B683*$E683+$D683*$E683+$B683*$F683*$E683+$G683)/MAX(1,$C683),0),0))</f>
        <v/>
      </c>
    </row>
    <row r="684">
      <c r="L684" s="23">
        <f>IF($A684="","",IFERROR(ROUND(($B684*$E684+$D684*$E684+$B684*$F684*$E684+$G684)/MAX(1,$C684),0),0))</f>
        <v/>
      </c>
    </row>
    <row r="685">
      <c r="L685" s="23">
        <f>IF($A685="","",IFERROR(ROUND(($B685*$E685+$D685*$E685+$B685*$F685*$E685+$G685)/MAX(1,$C685),0),0))</f>
        <v/>
      </c>
    </row>
    <row r="686">
      <c r="L686" s="23">
        <f>IF($A686="","",IFERROR(ROUND(($B686*$E686+$D686*$E686+$B686*$F686*$E686+$G686)/MAX(1,$C686),0),0))</f>
        <v/>
      </c>
    </row>
    <row r="687">
      <c r="L687" s="23">
        <f>IF($A687="","",IFERROR(ROUND(($B687*$E687+$D687*$E687+$B687*$F687*$E687+$G687)/MAX(1,$C687),0),0))</f>
        <v/>
      </c>
    </row>
    <row r="688">
      <c r="L688" s="23">
        <f>IF($A688="","",IFERROR(ROUND(($B688*$E688+$D688*$E688+$B688*$F688*$E688+$G688)/MAX(1,$C688),0),0))</f>
        <v/>
      </c>
    </row>
    <row r="689">
      <c r="L689" s="23">
        <f>IF($A689="","",IFERROR(ROUND(($B689*$E689+$D689*$E689+$B689*$F689*$E689+$G689)/MAX(1,$C689),0),0))</f>
        <v/>
      </c>
    </row>
    <row r="690">
      <c r="L690" s="23">
        <f>IF($A690="","",IFERROR(ROUND(($B690*$E690+$D690*$E690+$B690*$F690*$E690+$G690)/MAX(1,$C690),0),0))</f>
        <v/>
      </c>
    </row>
    <row r="691">
      <c r="L691" s="23">
        <f>IF($A691="","",IFERROR(ROUND(($B691*$E691+$D691*$E691+$B691*$F691*$E691+$G691)/MAX(1,$C691),0),0))</f>
        <v/>
      </c>
    </row>
    <row r="692">
      <c r="L692" s="23">
        <f>IF($A692="","",IFERROR(ROUND(($B692*$E692+$D692*$E692+$B692*$F692*$E692+$G692)/MAX(1,$C692),0),0))</f>
        <v/>
      </c>
    </row>
    <row r="693">
      <c r="L693" s="23">
        <f>IF($A693="","",IFERROR(ROUND(($B693*$E693+$D693*$E693+$B693*$F693*$E693+$G693)/MAX(1,$C693),0),0))</f>
        <v/>
      </c>
    </row>
    <row r="694">
      <c r="L694" s="23">
        <f>IF($A694="","",IFERROR(ROUND(($B694*$E694+$D694*$E694+$B694*$F694*$E694+$G694)/MAX(1,$C694),0),0))</f>
        <v/>
      </c>
    </row>
    <row r="695">
      <c r="L695" s="23">
        <f>IF($A695="","",IFERROR(ROUND(($B695*$E695+$D695*$E695+$B695*$F695*$E695+$G695)/MAX(1,$C695),0),0))</f>
        <v/>
      </c>
    </row>
    <row r="696">
      <c r="L696" s="23">
        <f>IF($A696="","",IFERROR(ROUND(($B696*$E696+$D696*$E696+$B696*$F696*$E696+$G696)/MAX(1,$C696),0),0))</f>
        <v/>
      </c>
    </row>
    <row r="697">
      <c r="L697" s="23">
        <f>IF($A697="","",IFERROR(ROUND(($B697*$E697+$D697*$E697+$B697*$F697*$E697+$G697)/MAX(1,$C697),0),0))</f>
        <v/>
      </c>
    </row>
    <row r="698">
      <c r="L698" s="23">
        <f>IF($A698="","",IFERROR(ROUND(($B698*$E698+$D698*$E698+$B698*$F698*$E698+$G698)/MAX(1,$C698),0),0))</f>
        <v/>
      </c>
    </row>
    <row r="699">
      <c r="L699" s="23">
        <f>IF($A699="","",IFERROR(ROUND(($B699*$E699+$D699*$E699+$B699*$F699*$E699+$G699)/MAX(1,$C699),0),0))</f>
        <v/>
      </c>
    </row>
    <row r="700">
      <c r="L700" s="23">
        <f>IF($A700="","",IFERROR(ROUND(($B700*$E700+$D700*$E700+$B700*$F700*$E700+$G700)/MAX(1,$C700),0),0))</f>
        <v/>
      </c>
    </row>
    <row r="701">
      <c r="L701" s="23">
        <f>IF($A701="","",IFERROR(ROUND(($B701*$E701+$D701*$E701+$B701*$F701*$E701+$G701)/MAX(1,$C701),0),0))</f>
        <v/>
      </c>
    </row>
    <row r="702">
      <c r="L702" s="23">
        <f>IF($A702="","",IFERROR(ROUND(($B702*$E702+$D702*$E702+$B702*$F702*$E702+$G702)/MAX(1,$C702),0),0))</f>
        <v/>
      </c>
    </row>
    <row r="703">
      <c r="L703" s="23">
        <f>IF($A703="","",IFERROR(ROUND(($B703*$E703+$D703*$E703+$B703*$F703*$E703+$G703)/MAX(1,$C703),0),0))</f>
        <v/>
      </c>
    </row>
    <row r="704">
      <c r="L704" s="23">
        <f>IF($A704="","",IFERROR(ROUND(($B704*$E704+$D704*$E704+$B704*$F704*$E704+$G704)/MAX(1,$C704),0),0))</f>
        <v/>
      </c>
    </row>
    <row r="705">
      <c r="L705" s="23">
        <f>IF($A705="","",IFERROR(ROUND(($B705*$E705+$D705*$E705+$B705*$F705*$E705+$G705)/MAX(1,$C705),0),0))</f>
        <v/>
      </c>
    </row>
    <row r="706">
      <c r="L706" s="23">
        <f>IF($A706="","",IFERROR(ROUND(($B706*$E706+$D706*$E706+$B706*$F706*$E706+$G706)/MAX(1,$C706),0),0))</f>
        <v/>
      </c>
    </row>
    <row r="707">
      <c r="L707" s="23">
        <f>IF($A707="","",IFERROR(ROUND(($B707*$E707+$D707*$E707+$B707*$F707*$E707+$G707)/MAX(1,$C707),0),0))</f>
        <v/>
      </c>
    </row>
    <row r="708">
      <c r="L708" s="23">
        <f>IF($A708="","",IFERROR(ROUND(($B708*$E708+$D708*$E708+$B708*$F708*$E708+$G708)/MAX(1,$C708),0),0))</f>
        <v/>
      </c>
    </row>
    <row r="709">
      <c r="L709" s="23">
        <f>IF($A709="","",IFERROR(ROUND(($B709*$E709+$D709*$E709+$B709*$F709*$E709+$G709)/MAX(1,$C709),0),0))</f>
        <v/>
      </c>
    </row>
    <row r="710">
      <c r="L710" s="23">
        <f>IF($A710="","",IFERROR(ROUND(($B710*$E710+$D710*$E710+$B710*$F710*$E710+$G710)/MAX(1,$C710),0),0))</f>
        <v/>
      </c>
    </row>
    <row r="711">
      <c r="L711" s="23">
        <f>IF($A711="","",IFERROR(ROUND(($B711*$E711+$D711*$E711+$B711*$F711*$E711+$G711)/MAX(1,$C711),0),0))</f>
        <v/>
      </c>
    </row>
    <row r="712">
      <c r="L712" s="23">
        <f>IF($A712="","",IFERROR(ROUND(($B712*$E712+$D712*$E712+$B712*$F712*$E712+$G712)/MAX(1,$C712),0),0))</f>
        <v/>
      </c>
    </row>
    <row r="713">
      <c r="L713" s="23">
        <f>IF($A713="","",IFERROR(ROUND(($B713*$E713+$D713*$E713+$B713*$F713*$E713+$G713)/MAX(1,$C713),0),0))</f>
        <v/>
      </c>
    </row>
    <row r="714">
      <c r="L714" s="23">
        <f>IF($A714="","",IFERROR(ROUND(($B714*$E714+$D714*$E714+$B714*$F714*$E714+$G714)/MAX(1,$C714),0),0))</f>
        <v/>
      </c>
    </row>
    <row r="715">
      <c r="L715" s="23">
        <f>IF($A715="","",IFERROR(ROUND(($B715*$E715+$D715*$E715+$B715*$F715*$E715+$G715)/MAX(1,$C715),0),0))</f>
        <v/>
      </c>
    </row>
    <row r="716">
      <c r="L716" s="23">
        <f>IF($A716="","",IFERROR(ROUND(($B716*$E716+$D716*$E716+$B716*$F716*$E716+$G716)/MAX(1,$C716),0),0))</f>
        <v/>
      </c>
    </row>
    <row r="717">
      <c r="L717" s="23">
        <f>IF($A717="","",IFERROR(ROUND(($B717*$E717+$D717*$E717+$B717*$F717*$E717+$G717)/MAX(1,$C717),0),0))</f>
        <v/>
      </c>
    </row>
    <row r="718">
      <c r="L718" s="23">
        <f>IF($A718="","",IFERROR(ROUND(($B718*$E718+$D718*$E718+$B718*$F718*$E718+$G718)/MAX(1,$C718),0),0))</f>
        <v/>
      </c>
    </row>
    <row r="719">
      <c r="L719" s="23">
        <f>IF($A719="","",IFERROR(ROUND(($B719*$E719+$D719*$E719+$B719*$F719*$E719+$G719)/MAX(1,$C719),0),0))</f>
        <v/>
      </c>
    </row>
    <row r="720">
      <c r="L720" s="23">
        <f>IF($A720="","",IFERROR(ROUND(($B720*$E720+$D720*$E720+$B720*$F720*$E720+$G720)/MAX(1,$C720),0),0))</f>
        <v/>
      </c>
    </row>
    <row r="721">
      <c r="L721" s="23">
        <f>IF($A721="","",IFERROR(ROUND(($B721*$E721+$D721*$E721+$B721*$F721*$E721+$G721)/MAX(1,$C721),0),0))</f>
        <v/>
      </c>
    </row>
    <row r="722">
      <c r="L722" s="23">
        <f>IF($A722="","",IFERROR(ROUND(($B722*$E722+$D722*$E722+$B722*$F722*$E722+$G722)/MAX(1,$C722),0),0))</f>
        <v/>
      </c>
    </row>
    <row r="723">
      <c r="L723" s="23">
        <f>IF($A723="","",IFERROR(ROUND(($B723*$E723+$D723*$E723+$B723*$F723*$E723+$G723)/MAX(1,$C723),0),0))</f>
        <v/>
      </c>
    </row>
    <row r="724">
      <c r="L724" s="23">
        <f>IF($A724="","",IFERROR(ROUND(($B724*$E724+$D724*$E724+$B724*$F724*$E724+$G724)/MAX(1,$C724),0),0))</f>
        <v/>
      </c>
    </row>
    <row r="725">
      <c r="L725" s="23">
        <f>IF($A725="","",IFERROR(ROUND(($B725*$E725+$D725*$E725+$B725*$F725*$E725+$G725)/MAX(1,$C725),0),0))</f>
        <v/>
      </c>
    </row>
    <row r="726">
      <c r="L726" s="23">
        <f>IF($A726="","",IFERROR(ROUND(($B726*$E726+$D726*$E726+$B726*$F726*$E726+$G726)/MAX(1,$C726),0),0))</f>
        <v/>
      </c>
    </row>
    <row r="727">
      <c r="L727" s="23">
        <f>IF($A727="","",IFERROR(ROUND(($B727*$E727+$D727*$E727+$B727*$F727*$E727+$G727)/MAX(1,$C727),0),0))</f>
        <v/>
      </c>
    </row>
    <row r="728">
      <c r="L728" s="23">
        <f>IF($A728="","",IFERROR(ROUND(($B728*$E728+$D728*$E728+$B728*$F728*$E728+$G728)/MAX(1,$C728),0),0))</f>
        <v/>
      </c>
    </row>
    <row r="729">
      <c r="L729" s="23">
        <f>IF($A729="","",IFERROR(ROUND(($B729*$E729+$D729*$E729+$B729*$F729*$E729+$G729)/MAX(1,$C729),0),0))</f>
        <v/>
      </c>
    </row>
    <row r="730">
      <c r="L730" s="23">
        <f>IF($A730="","",IFERROR(ROUND(($B730*$E730+$D730*$E730+$B730*$F730*$E730+$G730)/MAX(1,$C730),0),0))</f>
        <v/>
      </c>
    </row>
    <row r="731">
      <c r="L731" s="23">
        <f>IF($A731="","",IFERROR(ROUND(($B731*$E731+$D731*$E731+$B731*$F731*$E731+$G731)/MAX(1,$C731),0),0))</f>
        <v/>
      </c>
    </row>
    <row r="732">
      <c r="L732" s="23">
        <f>IF($A732="","",IFERROR(ROUND(($B732*$E732+$D732*$E732+$B732*$F732*$E732+$G732)/MAX(1,$C732),0),0))</f>
        <v/>
      </c>
    </row>
    <row r="733">
      <c r="L733" s="23">
        <f>IF($A733="","",IFERROR(ROUND(($B733*$E733+$D733*$E733+$B733*$F733*$E733+$G733)/MAX(1,$C733),0),0))</f>
        <v/>
      </c>
    </row>
    <row r="734">
      <c r="L734" s="23">
        <f>IF($A734="","",IFERROR(ROUND(($B734*$E734+$D734*$E734+$B734*$F734*$E734+$G734)/MAX(1,$C734),0),0))</f>
        <v/>
      </c>
    </row>
    <row r="735">
      <c r="L735" s="23">
        <f>IF($A735="","",IFERROR(ROUND(($B735*$E735+$D735*$E735+$B735*$F735*$E735+$G735)/MAX(1,$C735),0),0))</f>
        <v/>
      </c>
    </row>
    <row r="736">
      <c r="L736" s="23">
        <f>IF($A736="","",IFERROR(ROUND(($B736*$E736+$D736*$E736+$B736*$F736*$E736+$G736)/MAX(1,$C736),0),0))</f>
        <v/>
      </c>
    </row>
    <row r="737">
      <c r="L737" s="23">
        <f>IF($A737="","",IFERROR(ROUND(($B737*$E737+$D737*$E737+$B737*$F737*$E737+$G737)/MAX(1,$C737),0),0))</f>
        <v/>
      </c>
    </row>
    <row r="738">
      <c r="L738" s="23">
        <f>IF($A738="","",IFERROR(ROUND(($B738*$E738+$D738*$E738+$B738*$F738*$E738+$G738)/MAX(1,$C738),0),0))</f>
        <v/>
      </c>
    </row>
    <row r="739">
      <c r="L739" s="23">
        <f>IF($A739="","",IFERROR(ROUND(($B739*$E739+$D739*$E739+$B739*$F739*$E739+$G739)/MAX(1,$C739),0),0))</f>
        <v/>
      </c>
    </row>
    <row r="740">
      <c r="L740" s="23">
        <f>IF($A740="","",IFERROR(ROUND(($B740*$E740+$D740*$E740+$B740*$F740*$E740+$G740)/MAX(1,$C740),0),0))</f>
        <v/>
      </c>
    </row>
    <row r="741">
      <c r="L741" s="23">
        <f>IF($A741="","",IFERROR(ROUND(($B741*$E741+$D741*$E741+$B741*$F741*$E741+$G741)/MAX(1,$C741),0),0))</f>
        <v/>
      </c>
    </row>
    <row r="742">
      <c r="L742" s="23">
        <f>IF($A742="","",IFERROR(ROUND(($B742*$E742+$D742*$E742+$B742*$F742*$E742+$G742)/MAX(1,$C742),0),0))</f>
        <v/>
      </c>
    </row>
    <row r="743">
      <c r="L743" s="23">
        <f>IF($A743="","",IFERROR(ROUND(($B743*$E743+$D743*$E743+$B743*$F743*$E743+$G743)/MAX(1,$C743),0),0))</f>
        <v/>
      </c>
    </row>
    <row r="744">
      <c r="L744" s="23">
        <f>IF($A744="","",IFERROR(ROUND(($B744*$E744+$D744*$E744+$B744*$F744*$E744+$G744)/MAX(1,$C744),0),0))</f>
        <v/>
      </c>
    </row>
    <row r="745">
      <c r="L745" s="23">
        <f>IF($A745="","",IFERROR(ROUND(($B745*$E745+$D745*$E745+$B745*$F745*$E745+$G745)/MAX(1,$C745),0),0))</f>
        <v/>
      </c>
    </row>
    <row r="746">
      <c r="L746" s="23">
        <f>IF($A746="","",IFERROR(ROUND(($B746*$E746+$D746*$E746+$B746*$F746*$E746+$G746)/MAX(1,$C746),0),0))</f>
        <v/>
      </c>
    </row>
    <row r="747">
      <c r="L747" s="23">
        <f>IF($A747="","",IFERROR(ROUND(($B747*$E747+$D747*$E747+$B747*$F747*$E747+$G747)/MAX(1,$C747),0),0))</f>
        <v/>
      </c>
    </row>
    <row r="748">
      <c r="L748" s="23">
        <f>IF($A748="","",IFERROR(ROUND(($B748*$E748+$D748*$E748+$B748*$F748*$E748+$G748)/MAX(1,$C748),0),0))</f>
        <v/>
      </c>
    </row>
    <row r="749">
      <c r="L749" s="23">
        <f>IF($A749="","",IFERROR(ROUND(($B749*$E749+$D749*$E749+$B749*$F749*$E749+$G749)/MAX(1,$C749),0),0))</f>
        <v/>
      </c>
    </row>
    <row r="750">
      <c r="L750" s="23">
        <f>IF($A750="","",IFERROR(ROUND(($B750*$E750+$D750*$E750+$B750*$F750*$E750+$G750)/MAX(1,$C750),0),0))</f>
        <v/>
      </c>
    </row>
    <row r="751">
      <c r="L751" s="23">
        <f>IF($A751="","",IFERROR(ROUND(($B751*$E751+$D751*$E751+$B751*$F751*$E751+$G751)/MAX(1,$C751),0),0))</f>
        <v/>
      </c>
    </row>
    <row r="752">
      <c r="L752" s="23">
        <f>IF($A752="","",IFERROR(ROUND(($B752*$E752+$D752*$E752+$B752*$F752*$E752+$G752)/MAX(1,$C752),0),0))</f>
        <v/>
      </c>
    </row>
    <row r="753">
      <c r="L753" s="23">
        <f>IF($A753="","",IFERROR(ROUND(($B753*$E753+$D753*$E753+$B753*$F753*$E753+$G753)/MAX(1,$C753),0),0))</f>
        <v/>
      </c>
    </row>
    <row r="754">
      <c r="L754" s="23">
        <f>IF($A754="","",IFERROR(ROUND(($B754*$E754+$D754*$E754+$B754*$F754*$E754+$G754)/MAX(1,$C754),0),0))</f>
        <v/>
      </c>
    </row>
    <row r="755">
      <c r="L755" s="23">
        <f>IF($A755="","",IFERROR(ROUND(($B755*$E755+$D755*$E755+$B755*$F755*$E755+$G755)/MAX(1,$C755),0),0))</f>
        <v/>
      </c>
    </row>
    <row r="756">
      <c r="L756" s="23">
        <f>IF($A756="","",IFERROR(ROUND(($B756*$E756+$D756*$E756+$B756*$F756*$E756+$G756)/MAX(1,$C756),0),0))</f>
        <v/>
      </c>
    </row>
    <row r="757">
      <c r="L757" s="23">
        <f>IF($A757="","",IFERROR(ROUND(($B757*$E757+$D757*$E757+$B757*$F757*$E757+$G757)/MAX(1,$C757),0),0))</f>
        <v/>
      </c>
    </row>
    <row r="758">
      <c r="L758" s="23">
        <f>IF($A758="","",IFERROR(ROUND(($B758*$E758+$D758*$E758+$B758*$F758*$E758+$G758)/MAX(1,$C758),0),0))</f>
        <v/>
      </c>
    </row>
    <row r="759">
      <c r="L759" s="23">
        <f>IF($A759="","",IFERROR(ROUND(($B759*$E759+$D759*$E759+$B759*$F759*$E759+$G759)/MAX(1,$C759),0),0))</f>
        <v/>
      </c>
    </row>
    <row r="760">
      <c r="L760" s="23">
        <f>IF($A760="","",IFERROR(ROUND(($B760*$E760+$D760*$E760+$B760*$F760*$E760+$G760)/MAX(1,$C760),0),0))</f>
        <v/>
      </c>
    </row>
    <row r="761">
      <c r="L761" s="23">
        <f>IF($A761="","",IFERROR(ROUND(($B761*$E761+$D761*$E761+$B761*$F761*$E761+$G761)/MAX(1,$C761),0),0))</f>
        <v/>
      </c>
    </row>
    <row r="762">
      <c r="L762" s="23">
        <f>IF($A762="","",IFERROR(ROUND(($B762*$E762+$D762*$E762+$B762*$F762*$E762+$G762)/MAX(1,$C762),0),0))</f>
        <v/>
      </c>
    </row>
    <row r="763">
      <c r="L763" s="23">
        <f>IF($A763="","",IFERROR(ROUND(($B763*$E763+$D763*$E763+$B763*$F763*$E763+$G763)/MAX(1,$C763),0),0))</f>
        <v/>
      </c>
    </row>
    <row r="764">
      <c r="L764" s="23">
        <f>IF($A764="","",IFERROR(ROUND(($B764*$E764+$D764*$E764+$B764*$F764*$E764+$G764)/MAX(1,$C764),0),0))</f>
        <v/>
      </c>
    </row>
    <row r="765">
      <c r="L765" s="23">
        <f>IF($A765="","",IFERROR(ROUND(($B765*$E765+$D765*$E765+$B765*$F765*$E765+$G765)/MAX(1,$C765),0),0))</f>
        <v/>
      </c>
    </row>
    <row r="766">
      <c r="L766" s="23">
        <f>IF($A766="","",IFERROR(ROUND(($B766*$E766+$D766*$E766+$B766*$F766*$E766+$G766)/MAX(1,$C766),0),0))</f>
        <v/>
      </c>
    </row>
    <row r="767">
      <c r="L767" s="23">
        <f>IF($A767="","",IFERROR(ROUND(($B767*$E767+$D767*$E767+$B767*$F767*$E767+$G767)/MAX(1,$C767),0),0))</f>
        <v/>
      </c>
    </row>
    <row r="768">
      <c r="L768" s="23">
        <f>IF($A768="","",IFERROR(ROUND(($B768*$E768+$D768*$E768+$B768*$F768*$E768+$G768)/MAX(1,$C768),0),0))</f>
        <v/>
      </c>
    </row>
    <row r="769">
      <c r="L769" s="23">
        <f>IF($A769="","",IFERROR(ROUND(($B769*$E769+$D769*$E769+$B769*$F769*$E769+$G769)/MAX(1,$C769),0),0))</f>
        <v/>
      </c>
    </row>
    <row r="770">
      <c r="L770" s="23">
        <f>IF($A770="","",IFERROR(ROUND(($B770*$E770+$D770*$E770+$B770*$F770*$E770+$G770)/MAX(1,$C770),0),0))</f>
        <v/>
      </c>
    </row>
    <row r="771">
      <c r="L771" s="23">
        <f>IF($A771="","",IFERROR(ROUND(($B771*$E771+$D771*$E771+$B771*$F771*$E771+$G771)/MAX(1,$C771),0),0))</f>
        <v/>
      </c>
    </row>
    <row r="772">
      <c r="L772" s="23">
        <f>IF($A772="","",IFERROR(ROUND(($B772*$E772+$D772*$E772+$B772*$F772*$E772+$G772)/MAX(1,$C772),0),0))</f>
        <v/>
      </c>
    </row>
    <row r="773">
      <c r="L773" s="23">
        <f>IF($A773="","",IFERROR(ROUND(($B773*$E773+$D773*$E773+$B773*$F773*$E773+$G773)/MAX(1,$C773),0),0))</f>
        <v/>
      </c>
    </row>
    <row r="774">
      <c r="L774" s="23">
        <f>IF($A774="","",IFERROR(ROUND(($B774*$E774+$D774*$E774+$B774*$F774*$E774+$G774)/MAX(1,$C774),0),0))</f>
        <v/>
      </c>
    </row>
    <row r="775">
      <c r="L775" s="23">
        <f>IF($A775="","",IFERROR(ROUND(($B775*$E775+$D775*$E775+$B775*$F775*$E775+$G775)/MAX(1,$C775),0),0))</f>
        <v/>
      </c>
    </row>
    <row r="776">
      <c r="L776" s="23">
        <f>IF($A776="","",IFERROR(ROUND(($B776*$E776+$D776*$E776+$B776*$F776*$E776+$G776)/MAX(1,$C776),0),0))</f>
        <v/>
      </c>
    </row>
    <row r="777">
      <c r="L777" s="23">
        <f>IF($A777="","",IFERROR(ROUND(($B777*$E777+$D777*$E777+$B777*$F777*$E777+$G777)/MAX(1,$C777),0),0))</f>
        <v/>
      </c>
    </row>
    <row r="778">
      <c r="L778" s="23">
        <f>IF($A778="","",IFERROR(ROUND(($B778*$E778+$D778*$E778+$B778*$F778*$E778+$G778)/MAX(1,$C778),0),0))</f>
        <v/>
      </c>
    </row>
    <row r="779">
      <c r="L779" s="23">
        <f>IF($A779="","",IFERROR(ROUND(($B779*$E779+$D779*$E779+$B779*$F779*$E779+$G779)/MAX(1,$C779),0),0))</f>
        <v/>
      </c>
    </row>
    <row r="780">
      <c r="L780" s="23">
        <f>IF($A780="","",IFERROR(ROUND(($B780*$E780+$D780*$E780+$B780*$F780*$E780+$G780)/MAX(1,$C780),0),0))</f>
        <v/>
      </c>
    </row>
    <row r="781">
      <c r="L781" s="23">
        <f>IF($A781="","",IFERROR(ROUND(($B781*$E781+$D781*$E781+$B781*$F781*$E781+$G781)/MAX(1,$C781),0),0))</f>
        <v/>
      </c>
    </row>
    <row r="782">
      <c r="L782" s="23">
        <f>IF($A782="","",IFERROR(ROUND(($B782*$E782+$D782*$E782+$B782*$F782*$E782+$G782)/MAX(1,$C782),0),0))</f>
        <v/>
      </c>
    </row>
    <row r="783">
      <c r="L783" s="23">
        <f>IF($A783="","",IFERROR(ROUND(($B783*$E783+$D783*$E783+$B783*$F783*$E783+$G783)/MAX(1,$C783),0),0))</f>
        <v/>
      </c>
    </row>
    <row r="784">
      <c r="L784" s="23">
        <f>IF($A784="","",IFERROR(ROUND(($B784*$E784+$D784*$E784+$B784*$F784*$E784+$G784)/MAX(1,$C784),0),0))</f>
        <v/>
      </c>
    </row>
    <row r="785">
      <c r="L785" s="23">
        <f>IF($A785="","",IFERROR(ROUND(($B785*$E785+$D785*$E785+$B785*$F785*$E785+$G785)/MAX(1,$C785),0),0))</f>
        <v/>
      </c>
    </row>
    <row r="786">
      <c r="L786" s="23">
        <f>IF($A786="","",IFERROR(ROUND(($B786*$E786+$D786*$E786+$B786*$F786*$E786+$G786)/MAX(1,$C786),0),0))</f>
        <v/>
      </c>
    </row>
    <row r="787">
      <c r="L787" s="23">
        <f>IF($A787="","",IFERROR(ROUND(($B787*$E787+$D787*$E787+$B787*$F787*$E787+$G787)/MAX(1,$C787),0),0))</f>
        <v/>
      </c>
    </row>
    <row r="788">
      <c r="L788" s="23">
        <f>IF($A788="","",IFERROR(ROUND(($B788*$E788+$D788*$E788+$B788*$F788*$E788+$G788)/MAX(1,$C788),0),0))</f>
        <v/>
      </c>
    </row>
    <row r="789">
      <c r="L789" s="23">
        <f>IF($A789="","",IFERROR(ROUND(($B789*$E789+$D789*$E789+$B789*$F789*$E789+$G789)/MAX(1,$C789),0),0))</f>
        <v/>
      </c>
    </row>
    <row r="790">
      <c r="L790" s="23">
        <f>IF($A790="","",IFERROR(ROUND(($B790*$E790+$D790*$E790+$B790*$F790*$E790+$G790)/MAX(1,$C790),0),0))</f>
        <v/>
      </c>
    </row>
    <row r="791">
      <c r="L791" s="23">
        <f>IF($A791="","",IFERROR(ROUND(($B791*$E791+$D791*$E791+$B791*$F791*$E791+$G791)/MAX(1,$C791),0),0))</f>
        <v/>
      </c>
    </row>
    <row r="792">
      <c r="L792" s="23">
        <f>IF($A792="","",IFERROR(ROUND(($B792*$E792+$D792*$E792+$B792*$F792*$E792+$G792)/MAX(1,$C792),0),0))</f>
        <v/>
      </c>
    </row>
    <row r="793">
      <c r="L793" s="23">
        <f>IF($A793="","",IFERROR(ROUND(($B793*$E793+$D793*$E793+$B793*$F793*$E793+$G793)/MAX(1,$C793),0),0))</f>
        <v/>
      </c>
    </row>
    <row r="794">
      <c r="L794" s="23">
        <f>IF($A794="","",IFERROR(ROUND(($B794*$E794+$D794*$E794+$B794*$F794*$E794+$G794)/MAX(1,$C794),0),0))</f>
        <v/>
      </c>
    </row>
    <row r="795">
      <c r="L795" s="23">
        <f>IF($A795="","",IFERROR(ROUND(($B795*$E795+$D795*$E795+$B795*$F795*$E795+$G795)/MAX(1,$C795),0),0))</f>
        <v/>
      </c>
    </row>
    <row r="796">
      <c r="L796" s="23">
        <f>IF($A796="","",IFERROR(ROUND(($B796*$E796+$D796*$E796+$B796*$F796*$E796+$G796)/MAX(1,$C796),0),0))</f>
        <v/>
      </c>
    </row>
    <row r="797">
      <c r="L797" s="23">
        <f>IF($A797="","",IFERROR(ROUND(($B797*$E797+$D797*$E797+$B797*$F797*$E797+$G797)/MAX(1,$C797),0),0))</f>
        <v/>
      </c>
    </row>
    <row r="798">
      <c r="L798" s="23">
        <f>IF($A798="","",IFERROR(ROUND(($B798*$E798+$D798*$E798+$B798*$F798*$E798+$G798)/MAX(1,$C798),0),0))</f>
        <v/>
      </c>
    </row>
    <row r="799">
      <c r="L799" s="23">
        <f>IF($A799="","",IFERROR(ROUND(($B799*$E799+$D799*$E799+$B799*$F799*$E799+$G799)/MAX(1,$C799),0),0))</f>
        <v/>
      </c>
    </row>
    <row r="800">
      <c r="L800" s="23">
        <f>IF($A800="","",IFERROR(ROUND(($B800*$E800+$D800*$E800+$B800*$F800*$E800+$G800)/MAX(1,$C800),0),0))</f>
        <v/>
      </c>
    </row>
    <row r="801">
      <c r="L801" s="23">
        <f>IF($A801="","",IFERROR(ROUND(($B801*$E801+$D801*$E801+$B801*$F801*$E801+$G801)/MAX(1,$C801),0),0))</f>
        <v/>
      </c>
    </row>
    <row r="802">
      <c r="L802" s="23">
        <f>IF($A802="","",IFERROR(ROUND(($B802*$E802+$D802*$E802+$B802*$F802*$E802+$G802)/MAX(1,$C802),0),0))</f>
        <v/>
      </c>
    </row>
    <row r="803">
      <c r="L803" s="23">
        <f>IF($A803="","",IFERROR(ROUND(($B803*$E803+$D803*$E803+$B803*$F803*$E803+$G803)/MAX(1,$C803),0),0))</f>
        <v/>
      </c>
    </row>
    <row r="804">
      <c r="L804" s="23">
        <f>IF($A804="","",IFERROR(ROUND(($B804*$E804+$D804*$E804+$B804*$F804*$E804+$G804)/MAX(1,$C804),0),0))</f>
        <v/>
      </c>
    </row>
    <row r="805">
      <c r="L805" s="23">
        <f>IF($A805="","",IFERROR(ROUND(($B805*$E805+$D805*$E805+$B805*$F805*$E805+$G805)/MAX(1,$C805),0),0))</f>
        <v/>
      </c>
    </row>
    <row r="806">
      <c r="L806" s="23">
        <f>IF($A806="","",IFERROR(ROUND(($B806*$E806+$D806*$E806+$B806*$F806*$E806+$G806)/MAX(1,$C806),0),0))</f>
        <v/>
      </c>
    </row>
    <row r="807">
      <c r="L807" s="23">
        <f>IF($A807="","",IFERROR(ROUND(($B807*$E807+$D807*$E807+$B807*$F807*$E807+$G807)/MAX(1,$C807),0),0))</f>
        <v/>
      </c>
    </row>
    <row r="808">
      <c r="L808" s="23">
        <f>IF($A808="","",IFERROR(ROUND(($B808*$E808+$D808*$E808+$B808*$F808*$E808+$G808)/MAX(1,$C808),0),0))</f>
        <v/>
      </c>
    </row>
    <row r="809">
      <c r="L809" s="23">
        <f>IF($A809="","",IFERROR(ROUND(($B809*$E809+$D809*$E809+$B809*$F809*$E809+$G809)/MAX(1,$C809),0),0))</f>
        <v/>
      </c>
    </row>
    <row r="810">
      <c r="L810" s="23">
        <f>IF($A810="","",IFERROR(ROUND(($B810*$E810+$D810*$E810+$B810*$F810*$E810+$G810)/MAX(1,$C810),0),0))</f>
        <v/>
      </c>
    </row>
    <row r="811">
      <c r="L811" s="23">
        <f>IF($A811="","",IFERROR(ROUND(($B811*$E811+$D811*$E811+$B811*$F811*$E811+$G811)/MAX(1,$C811),0),0))</f>
        <v/>
      </c>
    </row>
    <row r="812">
      <c r="L812" s="23">
        <f>IF($A812="","",IFERROR(ROUND(($B812*$E812+$D812*$E812+$B812*$F812*$E812+$G812)/MAX(1,$C812),0),0))</f>
        <v/>
      </c>
    </row>
    <row r="813">
      <c r="L813" s="23">
        <f>IF($A813="","",IFERROR(ROUND(($B813*$E813+$D813*$E813+$B813*$F813*$E813+$G813)/MAX(1,$C813),0),0))</f>
        <v/>
      </c>
    </row>
    <row r="814">
      <c r="L814" s="23">
        <f>IF($A814="","",IFERROR(ROUND(($B814*$E814+$D814*$E814+$B814*$F814*$E814+$G814)/MAX(1,$C814),0),0))</f>
        <v/>
      </c>
    </row>
    <row r="815">
      <c r="L815" s="23">
        <f>IF($A815="","",IFERROR(ROUND(($B815*$E815+$D815*$E815+$B815*$F815*$E815+$G815)/MAX(1,$C815),0),0))</f>
        <v/>
      </c>
    </row>
    <row r="816">
      <c r="L816" s="23">
        <f>IF($A816="","",IFERROR(ROUND(($B816*$E816+$D816*$E816+$B816*$F816*$E816+$G816)/MAX(1,$C816),0),0))</f>
        <v/>
      </c>
    </row>
    <row r="817">
      <c r="L817" s="23">
        <f>IF($A817="","",IFERROR(ROUND(($B817*$E817+$D817*$E817+$B817*$F817*$E817+$G817)/MAX(1,$C817),0),0))</f>
        <v/>
      </c>
    </row>
    <row r="818">
      <c r="L818" s="23">
        <f>IF($A818="","",IFERROR(ROUND(($B818*$E818+$D818*$E818+$B818*$F818*$E818+$G818)/MAX(1,$C818),0),0))</f>
        <v/>
      </c>
    </row>
    <row r="819">
      <c r="L819" s="23">
        <f>IF($A819="","",IFERROR(ROUND(($B819*$E819+$D819*$E819+$B819*$F819*$E819+$G819)/MAX(1,$C819),0),0))</f>
        <v/>
      </c>
    </row>
    <row r="820">
      <c r="L820" s="23">
        <f>IF($A820="","",IFERROR(ROUND(($B820*$E820+$D820*$E820+$B820*$F820*$E820+$G820)/MAX(1,$C820),0),0))</f>
        <v/>
      </c>
    </row>
    <row r="821">
      <c r="L821" s="23">
        <f>IF($A821="","",IFERROR(ROUND(($B821*$E821+$D821*$E821+$B821*$F821*$E821+$G821)/MAX(1,$C821),0),0))</f>
        <v/>
      </c>
    </row>
    <row r="822">
      <c r="L822" s="23">
        <f>IF($A822="","",IFERROR(ROUND(($B822*$E822+$D822*$E822+$B822*$F822*$E822+$G822)/MAX(1,$C822),0),0))</f>
        <v/>
      </c>
    </row>
    <row r="823">
      <c r="L823" s="23">
        <f>IF($A823="","",IFERROR(ROUND(($B823*$E823+$D823*$E823+$B823*$F823*$E823+$G823)/MAX(1,$C823),0),0))</f>
        <v/>
      </c>
    </row>
    <row r="824">
      <c r="L824" s="23">
        <f>IF($A824="","",IFERROR(ROUND(($B824*$E824+$D824*$E824+$B824*$F824*$E824+$G824)/MAX(1,$C824),0),0))</f>
        <v/>
      </c>
    </row>
    <row r="825">
      <c r="L825" s="23">
        <f>IF($A825="","",IFERROR(ROUND(($B825*$E825+$D825*$E825+$B825*$F825*$E825+$G825)/MAX(1,$C825),0),0))</f>
        <v/>
      </c>
    </row>
    <row r="826">
      <c r="L826" s="23">
        <f>IF($A826="","",IFERROR(ROUND(($B826*$E826+$D826*$E826+$B826*$F826*$E826+$G826)/MAX(1,$C826),0),0))</f>
        <v/>
      </c>
    </row>
    <row r="827">
      <c r="L827" s="23">
        <f>IF($A827="","",IFERROR(ROUND(($B827*$E827+$D827*$E827+$B827*$F827*$E827+$G827)/MAX(1,$C827),0),0))</f>
        <v/>
      </c>
    </row>
    <row r="828">
      <c r="L828" s="23">
        <f>IF($A828="","",IFERROR(ROUND(($B828*$E828+$D828*$E828+$B828*$F828*$E828+$G828)/MAX(1,$C828),0),0))</f>
        <v/>
      </c>
    </row>
    <row r="829">
      <c r="L829" s="23">
        <f>IF($A829="","",IFERROR(ROUND(($B829*$E829+$D829*$E829+$B829*$F829*$E829+$G829)/MAX(1,$C829),0),0))</f>
        <v/>
      </c>
    </row>
    <row r="830">
      <c r="L830" s="23">
        <f>IF($A830="","",IFERROR(ROUND(($B830*$E830+$D830*$E830+$B830*$F830*$E830+$G830)/MAX(1,$C830),0),0))</f>
        <v/>
      </c>
    </row>
    <row r="831">
      <c r="L831" s="23">
        <f>IF($A831="","",IFERROR(ROUND(($B831*$E831+$D831*$E831+$B831*$F831*$E831+$G831)/MAX(1,$C831),0),0))</f>
        <v/>
      </c>
    </row>
    <row r="832">
      <c r="L832" s="23">
        <f>IF($A832="","",IFERROR(ROUND(($B832*$E832+$D832*$E832+$B832*$F832*$E832+$G832)/MAX(1,$C832),0),0))</f>
        <v/>
      </c>
    </row>
    <row r="833">
      <c r="L833" s="23">
        <f>IF($A833="","",IFERROR(ROUND(($B833*$E833+$D833*$E833+$B833*$F833*$E833+$G833)/MAX(1,$C833),0),0))</f>
        <v/>
      </c>
    </row>
    <row r="834">
      <c r="L834" s="23">
        <f>IF($A834="","",IFERROR(ROUND(($B834*$E834+$D834*$E834+$B834*$F834*$E834+$G834)/MAX(1,$C834),0),0))</f>
        <v/>
      </c>
    </row>
    <row r="835">
      <c r="L835" s="23">
        <f>IF($A835="","",IFERROR(ROUND(($B835*$E835+$D835*$E835+$B835*$F835*$E835+$G835)/MAX(1,$C835),0),0))</f>
        <v/>
      </c>
    </row>
    <row r="836">
      <c r="L836" s="23">
        <f>IF($A836="","",IFERROR(ROUND(($B836*$E836+$D836*$E836+$B836*$F836*$E836+$G836)/MAX(1,$C836),0),0))</f>
        <v/>
      </c>
    </row>
    <row r="837">
      <c r="L837" s="23">
        <f>IF($A837="","",IFERROR(ROUND(($B837*$E837+$D837*$E837+$B837*$F837*$E837+$G837)/MAX(1,$C837),0),0))</f>
        <v/>
      </c>
    </row>
    <row r="838">
      <c r="L838" s="23">
        <f>IF($A838="","",IFERROR(ROUND(($B838*$E838+$D838*$E838+$B838*$F838*$E838+$G838)/MAX(1,$C838),0),0))</f>
        <v/>
      </c>
    </row>
    <row r="839">
      <c r="L839" s="23">
        <f>IF($A839="","",IFERROR(ROUND(($B839*$E839+$D839*$E839+$B839*$F839*$E839+$G839)/MAX(1,$C839),0),0))</f>
        <v/>
      </c>
    </row>
    <row r="840">
      <c r="L840" s="23">
        <f>IF($A840="","",IFERROR(ROUND(($B840*$E840+$D840*$E840+$B840*$F840*$E840+$G840)/MAX(1,$C840),0),0))</f>
        <v/>
      </c>
    </row>
    <row r="841">
      <c r="L841" s="23">
        <f>IF($A841="","",IFERROR(ROUND(($B841*$E841+$D841*$E841+$B841*$F841*$E841+$G841)/MAX(1,$C841),0),0))</f>
        <v/>
      </c>
    </row>
    <row r="842">
      <c r="L842" s="23">
        <f>IF($A842="","",IFERROR(ROUND(($B842*$E842+$D842*$E842+$B842*$F842*$E842+$G842)/MAX(1,$C842),0),0))</f>
        <v/>
      </c>
    </row>
    <row r="843">
      <c r="L843" s="23">
        <f>IF($A843="","",IFERROR(ROUND(($B843*$E843+$D843*$E843+$B843*$F843*$E843+$G843)/MAX(1,$C843),0),0))</f>
        <v/>
      </c>
    </row>
    <row r="844">
      <c r="L844" s="23">
        <f>IF($A844="","",IFERROR(ROUND(($B844*$E844+$D844*$E844+$B844*$F844*$E844+$G844)/MAX(1,$C844),0),0))</f>
        <v/>
      </c>
    </row>
    <row r="845">
      <c r="L845" s="23">
        <f>IF($A845="","",IFERROR(ROUND(($B845*$E845+$D845*$E845+$B845*$F845*$E845+$G845)/MAX(1,$C845),0),0))</f>
        <v/>
      </c>
    </row>
    <row r="846">
      <c r="L846" s="23">
        <f>IF($A846="","",IFERROR(ROUND(($B846*$E846+$D846*$E846+$B846*$F846*$E846+$G846)/MAX(1,$C846),0),0))</f>
        <v/>
      </c>
    </row>
    <row r="847">
      <c r="L847" s="23">
        <f>IF($A847="","",IFERROR(ROUND(($B847*$E847+$D847*$E847+$B847*$F847*$E847+$G847)/MAX(1,$C847),0),0))</f>
        <v/>
      </c>
    </row>
    <row r="848">
      <c r="L848" s="23">
        <f>IF($A848="","",IFERROR(ROUND(($B848*$E848+$D848*$E848+$B848*$F848*$E848+$G848)/MAX(1,$C848),0),0))</f>
        <v/>
      </c>
    </row>
    <row r="849">
      <c r="L849" s="23">
        <f>IF($A849="","",IFERROR(ROUND(($B849*$E849+$D849*$E849+$B849*$F849*$E849+$G849)/MAX(1,$C849),0),0))</f>
        <v/>
      </c>
    </row>
    <row r="850">
      <c r="L850" s="23">
        <f>IF($A850="","",IFERROR(ROUND(($B850*$E850+$D850*$E850+$B850*$F850*$E850+$G850)/MAX(1,$C850),0),0))</f>
        <v/>
      </c>
    </row>
    <row r="851">
      <c r="L851" s="23">
        <f>IF($A851="","",IFERROR(ROUND(($B851*$E851+$D851*$E851+$B851*$F851*$E851+$G851)/MAX(1,$C851),0),0))</f>
        <v/>
      </c>
    </row>
    <row r="852">
      <c r="L852" s="23">
        <f>IF($A852="","",IFERROR(ROUND(($B852*$E852+$D852*$E852+$B852*$F852*$E852+$G852)/MAX(1,$C852),0),0))</f>
        <v/>
      </c>
    </row>
    <row r="853">
      <c r="L853" s="23">
        <f>IF($A853="","",IFERROR(ROUND(($B853*$E853+$D853*$E853+$B853*$F853*$E853+$G853)/MAX(1,$C853),0),0))</f>
        <v/>
      </c>
    </row>
    <row r="854">
      <c r="L854" s="23">
        <f>IF($A854="","",IFERROR(ROUND(($B854*$E854+$D854*$E854+$B854*$F854*$E854+$G854)/MAX(1,$C854),0),0))</f>
        <v/>
      </c>
    </row>
    <row r="855">
      <c r="L855" s="23">
        <f>IF($A855="","",IFERROR(ROUND(($B855*$E855+$D855*$E855+$B855*$F855*$E855+$G855)/MAX(1,$C855),0),0))</f>
        <v/>
      </c>
    </row>
    <row r="856">
      <c r="L856" s="23">
        <f>IF($A856="","",IFERROR(ROUND(($B856*$E856+$D856*$E856+$B856*$F856*$E856+$G856)/MAX(1,$C856),0),0))</f>
        <v/>
      </c>
    </row>
    <row r="857">
      <c r="L857" s="23">
        <f>IF($A857="","",IFERROR(ROUND(($B857*$E857+$D857*$E857+$B857*$F857*$E857+$G857)/MAX(1,$C857),0),0))</f>
        <v/>
      </c>
    </row>
    <row r="858">
      <c r="L858" s="23">
        <f>IF($A858="","",IFERROR(ROUND(($B858*$E858+$D858*$E858+$B858*$F858*$E858+$G858)/MAX(1,$C858),0),0))</f>
        <v/>
      </c>
    </row>
    <row r="859">
      <c r="L859" s="23">
        <f>IF($A859="","",IFERROR(ROUND(($B859*$E859+$D859*$E859+$B859*$F859*$E859+$G859)/MAX(1,$C859),0),0))</f>
        <v/>
      </c>
    </row>
    <row r="860">
      <c r="L860" s="23">
        <f>IF($A860="","",IFERROR(ROUND(($B860*$E860+$D860*$E860+$B860*$F860*$E860+$G860)/MAX(1,$C860),0),0))</f>
        <v/>
      </c>
    </row>
    <row r="861">
      <c r="L861" s="23">
        <f>IF($A861="","",IFERROR(ROUND(($B861*$E861+$D861*$E861+$B861*$F861*$E861+$G861)/MAX(1,$C861),0),0))</f>
        <v/>
      </c>
    </row>
    <row r="862">
      <c r="L862" s="23">
        <f>IF($A862="","",IFERROR(ROUND(($B862*$E862+$D862*$E862+$B862*$F862*$E862+$G862)/MAX(1,$C862),0),0))</f>
        <v/>
      </c>
    </row>
    <row r="863">
      <c r="L863" s="23">
        <f>IF($A863="","",IFERROR(ROUND(($B863*$E863+$D863*$E863+$B863*$F863*$E863+$G863)/MAX(1,$C863),0),0))</f>
        <v/>
      </c>
    </row>
    <row r="864">
      <c r="L864" s="23">
        <f>IF($A864="","",IFERROR(ROUND(($B864*$E864+$D864*$E864+$B864*$F864*$E864+$G864)/MAX(1,$C864),0),0))</f>
        <v/>
      </c>
    </row>
    <row r="865">
      <c r="L865" s="23">
        <f>IF($A865="","",IFERROR(ROUND(($B865*$E865+$D865*$E865+$B865*$F865*$E865+$G865)/MAX(1,$C865),0),0))</f>
        <v/>
      </c>
    </row>
    <row r="866">
      <c r="L866" s="23">
        <f>IF($A866="","",IFERROR(ROUND(($B866*$E866+$D866*$E866+$B866*$F866*$E866+$G866)/MAX(1,$C866),0),0))</f>
        <v/>
      </c>
    </row>
    <row r="867">
      <c r="L867" s="23">
        <f>IF($A867="","",IFERROR(ROUND(($B867*$E867+$D867*$E867+$B867*$F867*$E867+$G867)/MAX(1,$C867),0),0))</f>
        <v/>
      </c>
    </row>
    <row r="868">
      <c r="L868" s="23">
        <f>IF($A868="","",IFERROR(ROUND(($B868*$E868+$D868*$E868+$B868*$F868*$E868+$G868)/MAX(1,$C868),0),0))</f>
        <v/>
      </c>
    </row>
    <row r="869">
      <c r="L869" s="23">
        <f>IF($A869="","",IFERROR(ROUND(($B869*$E869+$D869*$E869+$B869*$F869*$E869+$G869)/MAX(1,$C869),0),0))</f>
        <v/>
      </c>
    </row>
    <row r="870">
      <c r="L870" s="23">
        <f>IF($A870="","",IFERROR(ROUND(($B870*$E870+$D870*$E870+$B870*$F870*$E870+$G870)/MAX(1,$C870),0),0))</f>
        <v/>
      </c>
    </row>
    <row r="871">
      <c r="L871" s="23">
        <f>IF($A871="","",IFERROR(ROUND(($B871*$E871+$D871*$E871+$B871*$F871*$E871+$G871)/MAX(1,$C871),0),0))</f>
        <v/>
      </c>
    </row>
    <row r="872">
      <c r="L872" s="23">
        <f>IF($A872="","",IFERROR(ROUND(($B872*$E872+$D872*$E872+$B872*$F872*$E872+$G872)/MAX(1,$C872),0),0))</f>
        <v/>
      </c>
    </row>
    <row r="873">
      <c r="L873" s="23">
        <f>IF($A873="","",IFERROR(ROUND(($B873*$E873+$D873*$E873+$B873*$F873*$E873+$G873)/MAX(1,$C873),0),0))</f>
        <v/>
      </c>
    </row>
    <row r="874">
      <c r="L874" s="23">
        <f>IF($A874="","",IFERROR(ROUND(($B874*$E874+$D874*$E874+$B874*$F874*$E874+$G874)/MAX(1,$C874),0),0))</f>
        <v/>
      </c>
    </row>
    <row r="875">
      <c r="L875" s="23">
        <f>IF($A875="","",IFERROR(ROUND(($B875*$E875+$D875*$E875+$B875*$F875*$E875+$G875)/MAX(1,$C875),0),0))</f>
        <v/>
      </c>
    </row>
    <row r="876">
      <c r="L876" s="23">
        <f>IF($A876="","",IFERROR(ROUND(($B876*$E876+$D876*$E876+$B876*$F876*$E876+$G876)/MAX(1,$C876),0),0))</f>
        <v/>
      </c>
    </row>
    <row r="877">
      <c r="L877" s="23">
        <f>IF($A877="","",IFERROR(ROUND(($B877*$E877+$D877*$E877+$B877*$F877*$E877+$G877)/MAX(1,$C877),0),0))</f>
        <v/>
      </c>
    </row>
    <row r="878">
      <c r="L878" s="23">
        <f>IF($A878="","",IFERROR(ROUND(($B878*$E878+$D878*$E878+$B878*$F878*$E878+$G878)/MAX(1,$C878),0),0))</f>
        <v/>
      </c>
    </row>
    <row r="879">
      <c r="L879" s="23">
        <f>IF($A879="","",IFERROR(ROUND(($B879*$E879+$D879*$E879+$B879*$F879*$E879+$G879)/MAX(1,$C879),0),0))</f>
        <v/>
      </c>
    </row>
    <row r="880">
      <c r="L880" s="23">
        <f>IF($A880="","",IFERROR(ROUND(($B880*$E880+$D880*$E880+$B880*$F880*$E880+$G880)/MAX(1,$C880),0),0))</f>
        <v/>
      </c>
    </row>
    <row r="881">
      <c r="L881" s="23">
        <f>IF($A881="","",IFERROR(ROUND(($B881*$E881+$D881*$E881+$B881*$F881*$E881+$G881)/MAX(1,$C881),0),0))</f>
        <v/>
      </c>
    </row>
    <row r="882">
      <c r="L882" s="23">
        <f>IF($A882="","",IFERROR(ROUND(($B882*$E882+$D882*$E882+$B882*$F882*$E882+$G882)/MAX(1,$C882),0),0))</f>
        <v/>
      </c>
    </row>
    <row r="883">
      <c r="L883" s="23">
        <f>IF($A883="","",IFERROR(ROUND(($B883*$E883+$D883*$E883+$B883*$F883*$E883+$G883)/MAX(1,$C883),0),0))</f>
        <v/>
      </c>
    </row>
    <row r="884">
      <c r="L884" s="23">
        <f>IF($A884="","",IFERROR(ROUND(($B884*$E884+$D884*$E884+$B884*$F884*$E884+$G884)/MAX(1,$C884),0),0))</f>
        <v/>
      </c>
    </row>
    <row r="885">
      <c r="L885" s="23">
        <f>IF($A885="","",IFERROR(ROUND(($B885*$E885+$D885*$E885+$B885*$F885*$E885+$G885)/MAX(1,$C885),0),0))</f>
        <v/>
      </c>
    </row>
    <row r="886">
      <c r="L886" s="23">
        <f>IF($A886="","",IFERROR(ROUND(($B886*$E886+$D886*$E886+$B886*$F886*$E886+$G886)/MAX(1,$C886),0),0))</f>
        <v/>
      </c>
    </row>
    <row r="887">
      <c r="L887" s="23">
        <f>IF($A887="","",IFERROR(ROUND(($B887*$E887+$D887*$E887+$B887*$F887*$E887+$G887)/MAX(1,$C887),0),0))</f>
        <v/>
      </c>
    </row>
    <row r="888">
      <c r="L888" s="23">
        <f>IF($A888="","",IFERROR(ROUND(($B888*$E888+$D888*$E888+$B888*$F888*$E888+$G888)/MAX(1,$C888),0),0))</f>
        <v/>
      </c>
    </row>
    <row r="889">
      <c r="L889" s="23">
        <f>IF($A889="","",IFERROR(ROUND(($B889*$E889+$D889*$E889+$B889*$F889*$E889+$G889)/MAX(1,$C889),0),0))</f>
        <v/>
      </c>
    </row>
    <row r="890">
      <c r="L890" s="23">
        <f>IF($A890="","",IFERROR(ROUND(($B890*$E890+$D890*$E890+$B890*$F890*$E890+$G890)/MAX(1,$C890),0),0))</f>
        <v/>
      </c>
    </row>
    <row r="891">
      <c r="L891" s="23">
        <f>IF($A891="","",IFERROR(ROUND(($B891*$E891+$D891*$E891+$B891*$F891*$E891+$G891)/MAX(1,$C891),0),0))</f>
        <v/>
      </c>
    </row>
    <row r="892">
      <c r="L892" s="23">
        <f>IF($A892="","",IFERROR(ROUND(($B892*$E892+$D892*$E892+$B892*$F892*$E892+$G892)/MAX(1,$C892),0),0))</f>
        <v/>
      </c>
    </row>
    <row r="893">
      <c r="L893" s="23">
        <f>IF($A893="","",IFERROR(ROUND(($B893*$E893+$D893*$E893+$B893*$F893*$E893+$G893)/MAX(1,$C893),0),0))</f>
        <v/>
      </c>
    </row>
    <row r="894">
      <c r="L894" s="23">
        <f>IF($A894="","",IFERROR(ROUND(($B894*$E894+$D894*$E894+$B894*$F894*$E894+$G894)/MAX(1,$C894),0),0))</f>
        <v/>
      </c>
    </row>
    <row r="895">
      <c r="L895" s="23">
        <f>IF($A895="","",IFERROR(ROUND(($B895*$E895+$D895*$E895+$B895*$F895*$E895+$G895)/MAX(1,$C895),0),0))</f>
        <v/>
      </c>
    </row>
    <row r="896">
      <c r="L896" s="23">
        <f>IF($A896="","",IFERROR(ROUND(($B896*$E896+$D896*$E896+$B896*$F896*$E896+$G896)/MAX(1,$C896),0),0))</f>
        <v/>
      </c>
    </row>
    <row r="897">
      <c r="L897" s="23">
        <f>IF($A897="","",IFERROR(ROUND(($B897*$E897+$D897*$E897+$B897*$F897*$E897+$G897)/MAX(1,$C897),0),0))</f>
        <v/>
      </c>
    </row>
    <row r="898">
      <c r="L898" s="23">
        <f>IF($A898="","",IFERROR(ROUND(($B898*$E898+$D898*$E898+$B898*$F898*$E898+$G898)/MAX(1,$C898),0),0))</f>
        <v/>
      </c>
    </row>
    <row r="899">
      <c r="L899" s="23">
        <f>IF($A899="","",IFERROR(ROUND(($B899*$E899+$D899*$E899+$B899*$F899*$E899+$G899)/MAX(1,$C899),0),0))</f>
        <v/>
      </c>
    </row>
    <row r="900">
      <c r="L900" s="23">
        <f>IF($A900="","",IFERROR(ROUND(($B900*$E900+$D900*$E900+$B900*$F900*$E900+$G900)/MAX(1,$C900),0),0))</f>
        <v/>
      </c>
    </row>
    <row r="901">
      <c r="L901" s="23">
        <f>IF($A901="","",IFERROR(ROUND(($B901*$E901+$D901*$E901+$B901*$F901*$E901+$G901)/MAX(1,$C901),0),0))</f>
        <v/>
      </c>
    </row>
    <row r="902">
      <c r="L902" s="23">
        <f>IF($A902="","",IFERROR(ROUND(($B902*$E902+$D902*$E902+$B902*$F902*$E902+$G902)/MAX(1,$C902),0),0))</f>
        <v/>
      </c>
    </row>
    <row r="903">
      <c r="L903" s="23">
        <f>IF($A903="","",IFERROR(ROUND(($B903*$E903+$D903*$E903+$B903*$F903*$E903+$G903)/MAX(1,$C903),0),0))</f>
        <v/>
      </c>
    </row>
    <row r="904">
      <c r="L904" s="23">
        <f>IF($A904="","",IFERROR(ROUND(($B904*$E904+$D904*$E904+$B904*$F904*$E904+$G904)/MAX(1,$C904),0),0))</f>
        <v/>
      </c>
    </row>
    <row r="905">
      <c r="L905" s="23">
        <f>IF($A905="","",IFERROR(ROUND(($B905*$E905+$D905*$E905+$B905*$F905*$E905+$G905)/MAX(1,$C905),0),0))</f>
        <v/>
      </c>
    </row>
    <row r="906">
      <c r="L906" s="23">
        <f>IF($A906="","",IFERROR(ROUND(($B906*$E906+$D906*$E906+$B906*$F906*$E906+$G906)/MAX(1,$C906),0),0))</f>
        <v/>
      </c>
    </row>
    <row r="907">
      <c r="L907" s="23">
        <f>IF($A907="","",IFERROR(ROUND(($B907*$E907+$D907*$E907+$B907*$F907*$E907+$G907)/MAX(1,$C907),0),0))</f>
        <v/>
      </c>
    </row>
    <row r="908">
      <c r="L908" s="23">
        <f>IF($A908="","",IFERROR(ROUND(($B908*$E908+$D908*$E908+$B908*$F908*$E908+$G908)/MAX(1,$C908),0),0))</f>
        <v/>
      </c>
    </row>
    <row r="909">
      <c r="L909" s="23">
        <f>IF($A909="","",IFERROR(ROUND(($B909*$E909+$D909*$E909+$B909*$F909*$E909+$G909)/MAX(1,$C909),0),0))</f>
        <v/>
      </c>
    </row>
    <row r="910">
      <c r="L910" s="23">
        <f>IF($A910="","",IFERROR(ROUND(($B910*$E910+$D910*$E910+$B910*$F910*$E910+$G910)/MAX(1,$C910),0),0))</f>
        <v/>
      </c>
    </row>
    <row r="911">
      <c r="L911" s="23">
        <f>IF($A911="","",IFERROR(ROUND(($B911*$E911+$D911*$E911+$B911*$F911*$E911+$G911)/MAX(1,$C911),0),0))</f>
        <v/>
      </c>
    </row>
    <row r="912">
      <c r="L912" s="23">
        <f>IF($A912="","",IFERROR(ROUND(($B912*$E912+$D912*$E912+$B912*$F912*$E912+$G912)/MAX(1,$C912),0),0))</f>
        <v/>
      </c>
    </row>
    <row r="913">
      <c r="L913" s="23">
        <f>IF($A913="","",IFERROR(ROUND(($B913*$E913+$D913*$E913+$B913*$F913*$E913+$G913)/MAX(1,$C913),0),0))</f>
        <v/>
      </c>
    </row>
    <row r="914">
      <c r="L914" s="23">
        <f>IF($A914="","",IFERROR(ROUND(($B914*$E914+$D914*$E914+$B914*$F914*$E914+$G914)/MAX(1,$C914),0),0))</f>
        <v/>
      </c>
    </row>
    <row r="915">
      <c r="L915" s="23">
        <f>IF($A915="","",IFERROR(ROUND(($B915*$E915+$D915*$E915+$B915*$F915*$E915+$G915)/MAX(1,$C915),0),0))</f>
        <v/>
      </c>
    </row>
    <row r="916">
      <c r="L916" s="23">
        <f>IF($A916="","",IFERROR(ROUND(($B916*$E916+$D916*$E916+$B916*$F916*$E916+$G916)/MAX(1,$C916),0),0))</f>
        <v/>
      </c>
    </row>
    <row r="917">
      <c r="L917" s="23">
        <f>IF($A917="","",IFERROR(ROUND(($B917*$E917+$D917*$E917+$B917*$F917*$E917+$G917)/MAX(1,$C917),0),0))</f>
        <v/>
      </c>
    </row>
    <row r="918">
      <c r="L918" s="23">
        <f>IF($A918="","",IFERROR(ROUND(($B918*$E918+$D918*$E918+$B918*$F918*$E918+$G918)/MAX(1,$C918),0),0))</f>
        <v/>
      </c>
    </row>
    <row r="919">
      <c r="L919" s="23">
        <f>IF($A919="","",IFERROR(ROUND(($B919*$E919+$D919*$E919+$B919*$F919*$E919+$G919)/MAX(1,$C919),0),0))</f>
        <v/>
      </c>
    </row>
    <row r="920">
      <c r="L920" s="23">
        <f>IF($A920="","",IFERROR(ROUND(($B920*$E920+$D920*$E920+$B920*$F920*$E920+$G920)/MAX(1,$C920),0),0))</f>
        <v/>
      </c>
    </row>
    <row r="921">
      <c r="L921" s="23">
        <f>IF($A921="","",IFERROR(ROUND(($B921*$E921+$D921*$E921+$B921*$F921*$E921+$G921)/MAX(1,$C921),0),0))</f>
        <v/>
      </c>
    </row>
    <row r="922">
      <c r="L922" s="23">
        <f>IF($A922="","",IFERROR(ROUND(($B922*$E922+$D922*$E922+$B922*$F922*$E922+$G922)/MAX(1,$C922),0),0))</f>
        <v/>
      </c>
    </row>
    <row r="923">
      <c r="L923" s="23">
        <f>IF($A923="","",IFERROR(ROUND(($B923*$E923+$D923*$E923+$B923*$F923*$E923+$G923)/MAX(1,$C923),0),0))</f>
        <v/>
      </c>
    </row>
    <row r="924">
      <c r="L924" s="23">
        <f>IF($A924="","",IFERROR(ROUND(($B924*$E924+$D924*$E924+$B924*$F924*$E924+$G924)/MAX(1,$C924),0),0))</f>
        <v/>
      </c>
    </row>
    <row r="925">
      <c r="L925" s="23">
        <f>IF($A925="","",IFERROR(ROUND(($B925*$E925+$D925*$E925+$B925*$F925*$E925+$G925)/MAX(1,$C925),0),0))</f>
        <v/>
      </c>
    </row>
    <row r="926">
      <c r="L926" s="23">
        <f>IF($A926="","",IFERROR(ROUND(($B926*$E926+$D926*$E926+$B926*$F926*$E926+$G926)/MAX(1,$C926),0),0))</f>
        <v/>
      </c>
    </row>
    <row r="927">
      <c r="L927" s="23">
        <f>IF($A927="","",IFERROR(ROUND(($B927*$E927+$D927*$E927+$B927*$F927*$E927+$G927)/MAX(1,$C927),0),0))</f>
        <v/>
      </c>
    </row>
    <row r="928">
      <c r="L928" s="23">
        <f>IF($A928="","",IFERROR(ROUND(($B928*$E928+$D928*$E928+$B928*$F928*$E928+$G928)/MAX(1,$C928),0),0))</f>
        <v/>
      </c>
    </row>
    <row r="929">
      <c r="L929" s="23">
        <f>IF($A929="","",IFERROR(ROUND(($B929*$E929+$D929*$E929+$B929*$F929*$E929+$G929)/MAX(1,$C929),0),0))</f>
        <v/>
      </c>
    </row>
    <row r="930">
      <c r="L930" s="23">
        <f>IF($A930="","",IFERROR(ROUND(($B930*$E930+$D930*$E930+$B930*$F930*$E930+$G930)/MAX(1,$C930),0),0))</f>
        <v/>
      </c>
    </row>
    <row r="931">
      <c r="L931" s="23">
        <f>IF($A931="","",IFERROR(ROUND(($B931*$E931+$D931*$E931+$B931*$F931*$E931+$G931)/MAX(1,$C931),0),0))</f>
        <v/>
      </c>
    </row>
    <row r="932">
      <c r="L932" s="23">
        <f>IF($A932="","",IFERROR(ROUND(($B932*$E932+$D932*$E932+$B932*$F932*$E932+$G932)/MAX(1,$C932),0),0))</f>
        <v/>
      </c>
    </row>
    <row r="933">
      <c r="L933" s="23">
        <f>IF($A933="","",IFERROR(ROUND(($B933*$E933+$D933*$E933+$B933*$F933*$E933+$G933)/MAX(1,$C933),0),0))</f>
        <v/>
      </c>
    </row>
    <row r="934">
      <c r="L934" s="23">
        <f>IF($A934="","",IFERROR(ROUND(($B934*$E934+$D934*$E934+$B934*$F934*$E934+$G934)/MAX(1,$C934),0),0))</f>
        <v/>
      </c>
    </row>
    <row r="935">
      <c r="L935" s="23">
        <f>IF($A935="","",IFERROR(ROUND(($B935*$E935+$D935*$E935+$B935*$F935*$E935+$G935)/MAX(1,$C935),0),0))</f>
        <v/>
      </c>
    </row>
    <row r="936">
      <c r="L936" s="23">
        <f>IF($A936="","",IFERROR(ROUND(($B936*$E936+$D936*$E936+$B936*$F936*$E936+$G936)/MAX(1,$C936),0),0))</f>
        <v/>
      </c>
    </row>
    <row r="937">
      <c r="L937" s="23">
        <f>IF($A937="","",IFERROR(ROUND(($B937*$E937+$D937*$E937+$B937*$F937*$E937+$G937)/MAX(1,$C937),0),0))</f>
        <v/>
      </c>
    </row>
    <row r="938">
      <c r="L938" s="23">
        <f>IF($A938="","",IFERROR(ROUND(($B938*$E938+$D938*$E938+$B938*$F938*$E938+$G938)/MAX(1,$C938),0),0))</f>
        <v/>
      </c>
    </row>
    <row r="939">
      <c r="L939" s="23">
        <f>IF($A939="","",IFERROR(ROUND(($B939*$E939+$D939*$E939+$B939*$F939*$E939+$G939)/MAX(1,$C939),0),0))</f>
        <v/>
      </c>
    </row>
    <row r="940">
      <c r="L940" s="23">
        <f>IF($A940="","",IFERROR(ROUND(($B940*$E940+$D940*$E940+$B940*$F940*$E940+$G940)/MAX(1,$C940),0),0))</f>
        <v/>
      </c>
    </row>
    <row r="941">
      <c r="L941" s="23">
        <f>IF($A941="","",IFERROR(ROUND(($B941*$E941+$D941*$E941+$B941*$F941*$E941+$G941)/MAX(1,$C941),0),0))</f>
        <v/>
      </c>
    </row>
    <row r="942">
      <c r="L942" s="23">
        <f>IF($A942="","",IFERROR(ROUND(($B942*$E942+$D942*$E942+$B942*$F942*$E942+$G942)/MAX(1,$C942),0),0))</f>
        <v/>
      </c>
    </row>
    <row r="943">
      <c r="L943" s="23">
        <f>IF($A943="","",IFERROR(ROUND(($B943*$E943+$D943*$E943+$B943*$F943*$E943+$G943)/MAX(1,$C943),0),0))</f>
        <v/>
      </c>
    </row>
    <row r="944">
      <c r="L944" s="23">
        <f>IF($A944="","",IFERROR(ROUND(($B944*$E944+$D944*$E944+$B944*$F944*$E944+$G944)/MAX(1,$C944),0),0))</f>
        <v/>
      </c>
    </row>
    <row r="945">
      <c r="L945" s="23">
        <f>IF($A945="","",IFERROR(ROUND(($B945*$E945+$D945*$E945+$B945*$F945*$E945+$G945)/MAX(1,$C945),0),0))</f>
        <v/>
      </c>
    </row>
    <row r="946">
      <c r="L946" s="23">
        <f>IF($A946="","",IFERROR(ROUND(($B946*$E946+$D946*$E946+$B946*$F946*$E946+$G946)/MAX(1,$C946),0),0))</f>
        <v/>
      </c>
    </row>
    <row r="947">
      <c r="L947" s="23">
        <f>IF($A947="","",IFERROR(ROUND(($B947*$E947+$D947*$E947+$B947*$F947*$E947+$G947)/MAX(1,$C947),0),0))</f>
        <v/>
      </c>
    </row>
    <row r="948">
      <c r="L948" s="23">
        <f>IF($A948="","",IFERROR(ROUND(($B948*$E948+$D948*$E948+$B948*$F948*$E948+$G948)/MAX(1,$C948),0),0))</f>
        <v/>
      </c>
    </row>
    <row r="949">
      <c r="L949" s="23">
        <f>IF($A949="","",IFERROR(ROUND(($B949*$E949+$D949*$E949+$B949*$F949*$E949+$G949)/MAX(1,$C949),0),0))</f>
        <v/>
      </c>
    </row>
    <row r="950">
      <c r="L950" s="23">
        <f>IF($A950="","",IFERROR(ROUND(($B950*$E950+$D950*$E950+$B950*$F950*$E950+$G950)/MAX(1,$C950),0),0))</f>
        <v/>
      </c>
    </row>
    <row r="951">
      <c r="L951" s="23">
        <f>IF($A951="","",IFERROR(ROUND(($B951*$E951+$D951*$E951+$B951*$F951*$E951+$G951)/MAX(1,$C951),0),0))</f>
        <v/>
      </c>
    </row>
    <row r="952">
      <c r="L952" s="23">
        <f>IF($A952="","",IFERROR(ROUND(($B952*$E952+$D952*$E952+$B952*$F952*$E952+$G952)/MAX(1,$C952),0),0))</f>
        <v/>
      </c>
    </row>
    <row r="953">
      <c r="L953" s="23">
        <f>IF($A953="","",IFERROR(ROUND(($B953*$E953+$D953*$E953+$B953*$F953*$E953+$G953)/MAX(1,$C953),0),0))</f>
        <v/>
      </c>
    </row>
    <row r="954">
      <c r="L954" s="23">
        <f>IF($A954="","",IFERROR(ROUND(($B954*$E954+$D954*$E954+$B954*$F954*$E954+$G954)/MAX(1,$C954),0),0))</f>
        <v/>
      </c>
    </row>
    <row r="955">
      <c r="L955" s="23">
        <f>IF($A955="","",IFERROR(ROUND(($B955*$E955+$D955*$E955+$B955*$F955*$E955+$G955)/MAX(1,$C955),0),0))</f>
        <v/>
      </c>
    </row>
    <row r="956">
      <c r="L956" s="23">
        <f>IF($A956="","",IFERROR(ROUND(($B956*$E956+$D956*$E956+$B956*$F956*$E956+$G956)/MAX(1,$C956),0),0))</f>
        <v/>
      </c>
    </row>
    <row r="957">
      <c r="L957" s="23">
        <f>IF($A957="","",IFERROR(ROUND(($B957*$E957+$D957*$E957+$B957*$F957*$E957+$G957)/MAX(1,$C957),0),0))</f>
        <v/>
      </c>
    </row>
    <row r="958">
      <c r="L958" s="23">
        <f>IF($A958="","",IFERROR(ROUND(($B958*$E958+$D958*$E958+$B958*$F958*$E958+$G958)/MAX(1,$C958),0),0))</f>
        <v/>
      </c>
    </row>
    <row r="959">
      <c r="L959" s="23">
        <f>IF($A959="","",IFERROR(ROUND(($B959*$E959+$D959*$E959+$B959*$F959*$E959+$G959)/MAX(1,$C959),0),0))</f>
        <v/>
      </c>
    </row>
    <row r="960">
      <c r="L960" s="23">
        <f>IF($A960="","",IFERROR(ROUND(($B960*$E960+$D960*$E960+$B960*$F960*$E960+$G960)/MAX(1,$C960),0),0))</f>
        <v/>
      </c>
    </row>
    <row r="961">
      <c r="L961" s="23">
        <f>IF($A961="","",IFERROR(ROUND(($B961*$E961+$D961*$E961+$B961*$F961*$E961+$G961)/MAX(1,$C961),0),0))</f>
        <v/>
      </c>
    </row>
    <row r="962">
      <c r="L962" s="23">
        <f>IF($A962="","",IFERROR(ROUND(($B962*$E962+$D962*$E962+$B962*$F962*$E962+$G962)/MAX(1,$C962),0),0))</f>
        <v/>
      </c>
    </row>
    <row r="963">
      <c r="L963" s="23">
        <f>IF($A963="","",IFERROR(ROUND(($B963*$E963+$D963*$E963+$B963*$F963*$E963+$G963)/MAX(1,$C963),0),0))</f>
        <v/>
      </c>
    </row>
    <row r="964">
      <c r="L964" s="23">
        <f>IF($A964="","",IFERROR(ROUND(($B964*$E964+$D964*$E964+$B964*$F964*$E964+$G964)/MAX(1,$C964),0),0))</f>
        <v/>
      </c>
    </row>
    <row r="965">
      <c r="L965" s="23">
        <f>IF($A965="","",IFERROR(ROUND(($B965*$E965+$D965*$E965+$B965*$F965*$E965+$G965)/MAX(1,$C965),0),0))</f>
        <v/>
      </c>
    </row>
    <row r="966">
      <c r="L966" s="23">
        <f>IF($A966="","",IFERROR(ROUND(($B966*$E966+$D966*$E966+$B966*$F966*$E966+$G966)/MAX(1,$C966),0),0))</f>
        <v/>
      </c>
    </row>
    <row r="967">
      <c r="L967" s="23">
        <f>IF($A967="","",IFERROR(ROUND(($B967*$E967+$D967*$E967+$B967*$F967*$E967+$G967)/MAX(1,$C967),0),0))</f>
        <v/>
      </c>
    </row>
    <row r="968">
      <c r="L968" s="23">
        <f>IF($A968="","",IFERROR(ROUND(($B968*$E968+$D968*$E968+$B968*$F968*$E968+$G968)/MAX(1,$C968),0),0))</f>
        <v/>
      </c>
    </row>
    <row r="969">
      <c r="L969" s="23">
        <f>IF($A969="","",IFERROR(ROUND(($B969*$E969+$D969*$E969+$B969*$F969*$E969+$G969)/MAX(1,$C969),0),0))</f>
        <v/>
      </c>
    </row>
    <row r="970">
      <c r="L970" s="23">
        <f>IF($A970="","",IFERROR(ROUND(($B970*$E970+$D970*$E970+$B970*$F970*$E970+$G970)/MAX(1,$C970),0),0))</f>
        <v/>
      </c>
    </row>
    <row r="971">
      <c r="L971" s="23">
        <f>IF($A971="","",IFERROR(ROUND(($B971*$E971+$D971*$E971+$B971*$F971*$E971+$G971)/MAX(1,$C971),0),0))</f>
        <v/>
      </c>
    </row>
    <row r="972">
      <c r="L972" s="23">
        <f>IF($A972="","",IFERROR(ROUND(($B972*$E972+$D972*$E972+$B972*$F972*$E972+$G972)/MAX(1,$C972),0),0))</f>
        <v/>
      </c>
    </row>
    <row r="973">
      <c r="L973" s="23">
        <f>IF($A973="","",IFERROR(ROUND(($B973*$E973+$D973*$E973+$B973*$F973*$E973+$G973)/MAX(1,$C973),0),0))</f>
        <v/>
      </c>
    </row>
    <row r="974">
      <c r="L974" s="23">
        <f>IF($A974="","",IFERROR(ROUND(($B974*$E974+$D974*$E974+$B974*$F974*$E974+$G974)/MAX(1,$C974),0),0))</f>
        <v/>
      </c>
    </row>
    <row r="975">
      <c r="L975" s="23">
        <f>IF($A975="","",IFERROR(ROUND(($B975*$E975+$D975*$E975+$B975*$F975*$E975+$G975)/MAX(1,$C975),0),0))</f>
        <v/>
      </c>
    </row>
    <row r="976">
      <c r="L976" s="23">
        <f>IF($A976="","",IFERROR(ROUND(($B976*$E976+$D976*$E976+$B976*$F976*$E976+$G976)/MAX(1,$C976),0),0))</f>
        <v/>
      </c>
    </row>
    <row r="977">
      <c r="L977" s="23">
        <f>IF($A977="","",IFERROR(ROUND(($B977*$E977+$D977*$E977+$B977*$F977*$E977+$G977)/MAX(1,$C977),0),0))</f>
        <v/>
      </c>
    </row>
    <row r="978">
      <c r="L978" s="23">
        <f>IF($A978="","",IFERROR(ROUND(($B978*$E978+$D978*$E978+$B978*$F978*$E978+$G978)/MAX(1,$C978),0),0))</f>
        <v/>
      </c>
    </row>
    <row r="979">
      <c r="L979" s="23">
        <f>IF($A979="","",IFERROR(ROUND(($B979*$E979+$D979*$E979+$B979*$F979*$E979+$G979)/MAX(1,$C979),0),0))</f>
        <v/>
      </c>
    </row>
    <row r="980">
      <c r="L980" s="23">
        <f>IF($A980="","",IFERROR(ROUND(($B980*$E980+$D980*$E980+$B980*$F980*$E980+$G980)/MAX(1,$C980),0),0))</f>
        <v/>
      </c>
    </row>
    <row r="981">
      <c r="L981" s="23">
        <f>IF($A981="","",IFERROR(ROUND(($B981*$E981+$D981*$E981+$B981*$F981*$E981+$G981)/MAX(1,$C981),0),0))</f>
        <v/>
      </c>
    </row>
    <row r="982">
      <c r="L982" s="23">
        <f>IF($A982="","",IFERROR(ROUND(($B982*$E982+$D982*$E982+$B982*$F982*$E982+$G982)/MAX(1,$C982),0),0))</f>
        <v/>
      </c>
    </row>
    <row r="983">
      <c r="L983" s="23">
        <f>IF($A983="","",IFERROR(ROUND(($B983*$E983+$D983*$E983+$B983*$F983*$E983+$G983)/MAX(1,$C983),0),0))</f>
        <v/>
      </c>
    </row>
    <row r="984">
      <c r="L984" s="23">
        <f>IF($A984="","",IFERROR(ROUND(($B984*$E984+$D984*$E984+$B984*$F984*$E984+$G984)/MAX(1,$C984),0),0))</f>
        <v/>
      </c>
    </row>
    <row r="985">
      <c r="L985" s="23">
        <f>IF($A985="","",IFERROR(ROUND(($B985*$E985+$D985*$E985+$B985*$F985*$E985+$G985)/MAX(1,$C985),0),0))</f>
        <v/>
      </c>
    </row>
    <row r="986">
      <c r="L986" s="23">
        <f>IF($A986="","",IFERROR(ROUND(($B986*$E986+$D986*$E986+$B986*$F986*$E986+$G986)/MAX(1,$C986),0),0))</f>
        <v/>
      </c>
    </row>
    <row r="987">
      <c r="L987" s="23">
        <f>IF($A987="","",IFERROR(ROUND(($B987*$E987+$D987*$E987+$B987*$F987*$E987+$G987)/MAX(1,$C987),0),0))</f>
        <v/>
      </c>
    </row>
    <row r="988">
      <c r="L988" s="23">
        <f>IF($A988="","",IFERROR(ROUND(($B988*$E988+$D988*$E988+$B988*$F988*$E988+$G988)/MAX(1,$C988),0),0))</f>
        <v/>
      </c>
    </row>
    <row r="989">
      <c r="L989" s="23">
        <f>IF($A989="","",IFERROR(ROUND(($B989*$E989+$D989*$E989+$B989*$F989*$E989+$G989)/MAX(1,$C989),0),0))</f>
        <v/>
      </c>
    </row>
    <row r="990">
      <c r="L990" s="23">
        <f>IF($A990="","",IFERROR(ROUND(($B990*$E990+$D990*$E990+$B990*$F990*$E990+$G990)/MAX(1,$C990),0),0))</f>
        <v/>
      </c>
    </row>
    <row r="991">
      <c r="L991" s="23">
        <f>IF($A991="","",IFERROR(ROUND(($B991*$E991+$D991*$E991+$B991*$F991*$E991+$G991)/MAX(1,$C991),0),0))</f>
        <v/>
      </c>
    </row>
    <row r="992">
      <c r="L992" s="23">
        <f>IF($A992="","",IFERROR(ROUND(($B992*$E992+$D992*$E992+$B992*$F992*$E992+$G992)/MAX(1,$C992),0),0))</f>
        <v/>
      </c>
    </row>
    <row r="993">
      <c r="L993" s="23">
        <f>IF($A993="","",IFERROR(ROUND(($B993*$E993+$D993*$E993+$B993*$F993*$E993+$G993)/MAX(1,$C993),0),0))</f>
        <v/>
      </c>
    </row>
    <row r="994">
      <c r="L994" s="23">
        <f>IF($A994="","",IFERROR(ROUND(($B994*$E994+$D994*$E994+$B994*$F994*$E994+$G994)/MAX(1,$C994),0),0))</f>
        <v/>
      </c>
    </row>
    <row r="995">
      <c r="L995" s="23">
        <f>IF($A995="","",IFERROR(ROUND(($B995*$E995+$D995*$E995+$B995*$F995*$E995+$G995)/MAX(1,$C995),0),0))</f>
        <v/>
      </c>
    </row>
    <row r="996">
      <c r="L996" s="23">
        <f>IF($A996="","",IFERROR(ROUND(($B996*$E996+$D996*$E996+$B996*$F996*$E996+$G996)/MAX(1,$C996),0),0))</f>
        <v/>
      </c>
    </row>
    <row r="997">
      <c r="L997" s="23">
        <f>IF($A997="","",IFERROR(ROUND(($B997*$E997+$D997*$E997+$B997*$F997*$E997+$G997)/MAX(1,$C997),0),0))</f>
        <v/>
      </c>
    </row>
    <row r="998">
      <c r="L998" s="23">
        <f>IF($A998="","",IFERROR(ROUND(($B998*$E998+$D998*$E998+$B998*$F998*$E998+$G998)/MAX(1,$C998),0),0))</f>
        <v/>
      </c>
    </row>
    <row r="999">
      <c r="L999" s="23">
        <f>IF($A999="","",IFERROR(ROUND(($B999*$E999+$D999*$E999+$B999*$F999*$E999+$G999)/MAX(1,$C999),0),0))</f>
        <v/>
      </c>
    </row>
    <row r="1000">
      <c r="L1000" s="23">
        <f>IF($A1000="","",IFERROR(ROUND(($B1000*$E1000+$D1000*$E1000+$B1000*$F1000*$E1000+$G1000)/MAX(1,$C1000),0),0))</f>
        <v/>
      </c>
    </row>
    <row r="1001">
      <c r="L1001" s="23">
        <f>IF($A1001="","",IFERROR(ROUND(($B1001*$E1001+$D1001*$E1001+$B1001*$F1001*$E1001+$G1001)/MAX(1,$C1001),0),0))</f>
        <v/>
      </c>
    </row>
    <row r="1002">
      <c r="L1002" s="23">
        <f>IF($A1002="","",IFERROR(ROUND(($B1002*$E1002+$D1002*$E1002+$B1002*$F1002*$E1002+$G1002)/MAX(1,$C1002),0),0))</f>
        <v/>
      </c>
    </row>
    <row r="1003">
      <c r="L1003" s="23">
        <f>IF($A1003="","",IFERROR(ROUND(($B1003*$E1003+$D1003*$E1003+$B1003*$F1003*$E1003+$G1003)/MAX(1,$C1003),0),0))</f>
        <v/>
      </c>
    </row>
    <row r="1004">
      <c r="L1004" s="23">
        <f>IF($A1004="","",IFERROR(ROUND(($B1004*$E1004+$D1004*$E1004+$B1004*$F1004*$E1004+$G1004)/MAX(1,$C1004),0),0))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B6:B20">
    <cfRule type="cellIs" priority="1" operator="lessThan" dxfId="0">
      <formula>0</formula>
    </cfRule>
  </conditionalFormatting>
  <conditionalFormatting sqref="C6:C20">
    <cfRule type="cellIs" priority="2" operator="lessThan" dxfId="0">
      <formula>0</formula>
    </cfRule>
  </conditionalFormatting>
  <conditionalFormatting sqref="D6:D20">
    <cfRule type="cellIs" priority="3" operator="lessThan" dxfId="0">
      <formula>0</formula>
    </cfRule>
  </conditionalFormatting>
  <conditionalFormatting sqref="E6:E20">
    <cfRule type="cellIs" priority="4" operator="lessThan" dxfId="0">
      <formula>0</formula>
    </cfRule>
  </conditionalFormatting>
  <conditionalFormatting sqref="J6:J20">
    <cfRule type="cellIs" priority="5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LISTELER — İthalat Gerçek Birim Maliyet Motoru</t>
        </is>
      </c>
    </row>
    <row r="2"/>
    <row r="3" ht="22" customHeight="1">
      <c r="A3" s="233" t="inlineStr">
        <is>
          <t>Doğrulama listeleri</t>
        </is>
      </c>
    </row>
    <row r="4"/>
    <row r="5">
      <c r="A5" s="45" t="inlineStr">
        <is>
          <t>Yıl</t>
        </is>
      </c>
      <c r="C5" s="45" t="inlineStr">
        <is>
          <t>Döviz</t>
        </is>
      </c>
      <c r="E5" s="45" t="inlineStr">
        <is>
          <t>EvetHayır</t>
        </is>
      </c>
    </row>
    <row r="6">
      <c r="A6" s="50" t="n">
        <v>2025</v>
      </c>
      <c r="C6" s="48" t="inlineStr">
        <is>
          <t>USD</t>
        </is>
      </c>
      <c r="E6" s="48" t="inlineStr">
        <is>
          <t>Evet</t>
        </is>
      </c>
    </row>
    <row r="7">
      <c r="A7" s="50" t="n">
        <v>2026</v>
      </c>
      <c r="C7" s="48" t="inlineStr">
        <is>
          <t>EUR</t>
        </is>
      </c>
      <c r="E7" s="48" t="inlineStr">
        <is>
          <t>Hayır</t>
        </is>
      </c>
    </row>
    <row r="8">
      <c r="A8" s="50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P51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2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32" customHeight="1">
      <c r="A1" s="213" t="inlineStr">
        <is>
          <t>AYARLAR — İthalat Gerçek Birim Maliyet Motoru</t>
        </is>
      </c>
    </row>
    <row r="2"/>
    <row r="3" ht="22" customHeight="1">
      <c r="A3" s="233" t="inlineStr">
        <is>
          <t>Parametreler (tek kaynak) + kur tablosu</t>
        </is>
      </c>
    </row>
    <row r="4"/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2">
        <f>IF(A6="","",IF(B6="","EKSİK","TAM"))</f>
        <v/>
      </c>
    </row>
    <row r="7">
      <c r="A7" s="7" t="inlineStr">
        <is>
          <t>raporTarihi</t>
        </is>
      </c>
      <c r="B7" s="73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2">
        <f>IF(A7="","",IF(B7="","EKSİK","TAM"))</f>
        <v/>
      </c>
    </row>
    <row r="8">
      <c r="A8" s="7" t="inlineStr">
        <is>
          <t>ilc_tolerans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2">
        <f>IF(A8="","",IF(B8="","EKSİK","TAM"))</f>
        <v/>
      </c>
    </row>
    <row r="9">
      <c r="A9" s="7" t="inlineStr">
        <is>
          <t>ilc_azamiEsik</t>
        </is>
      </c>
      <c r="B9" s="71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2">
        <f>IF(A9="","",IF(B9="","EKSİK","TAM"))</f>
        <v/>
      </c>
    </row>
    <row r="10">
      <c r="A10" s="7" t="inlineStr">
        <is>
          <t>ilc_senaryoIyi</t>
        </is>
      </c>
      <c r="B10" s="32" t="n">
        <v>0.92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2">
        <f>IF(A10="","",IF(B10="","EKSİK","TAM"))</f>
        <v/>
      </c>
    </row>
    <row r="11">
      <c r="A11" s="7" t="inlineStr">
        <is>
          <t>ilc_senaryoKotu</t>
        </is>
      </c>
      <c r="B11" s="32" t="n">
        <v>1.18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2">
        <f>IF(A11="","",IF(B11="","EKSİK","TAM"))</f>
        <v/>
      </c>
    </row>
    <row r="12">
      <c r="A12" s="7" t="inlineStr">
        <is>
          <t>ilc_esikArtis</t>
        </is>
      </c>
      <c r="B12" s="32" t="n">
        <v>0.02</v>
      </c>
      <c r="C12" s="7" t="inlineStr">
        <is>
          <t>oran</t>
        </is>
      </c>
      <c r="D12" s="7" t="inlineStr">
        <is>
          <t>M-SEN gümrük +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2">
        <f>IF(A12="","",IF(B12="","EKSİK","TAM"))</f>
        <v/>
      </c>
    </row>
    <row r="13">
      <c r="A13" s="7" t="inlineStr">
        <is>
          <t>ilc_tahminAlt</t>
        </is>
      </c>
      <c r="B13" s="32" t="n">
        <v>0.9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2">
        <f>IF(A13="","",IF(B13="","EKSİK","TAM"))</f>
        <v/>
      </c>
    </row>
    <row r="14">
      <c r="A14" s="7" t="inlineStr">
        <is>
          <t>ilc_tahminUst</t>
        </is>
      </c>
      <c r="B14" s="32" t="n">
        <v>1.12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2">
        <f>IF(A14="","",IF(B14="","EKSİK","TAM"))</f>
        <v/>
      </c>
    </row>
    <row r="15">
      <c r="A15" s="7" t="inlineStr">
        <is>
          <t>ilc_tornadoKur</t>
        </is>
      </c>
      <c r="B15" s="32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2">
        <f>IF(A15="","",IF(B15="","EKSİK","TAM"))</f>
        <v/>
      </c>
    </row>
    <row r="16">
      <c r="A16" s="7" t="inlineStr">
        <is>
          <t>ilc_tornadoGumruk</t>
        </is>
      </c>
      <c r="B16" s="32" t="n">
        <v>0.02</v>
      </c>
      <c r="C16" s="7" t="inlineStr">
        <is>
          <t>oran</t>
        </is>
      </c>
      <c r="D16" s="7" t="inlineStr">
        <is>
          <t>Tornado gümrük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2">
        <f>IF(A16="","",IF(B16="","EKSİK","TAM"))</f>
        <v/>
      </c>
    </row>
    <row r="17">
      <c r="A17" s="7" t="inlineStr">
        <is>
          <t>ilc_tornadoNavlun</t>
        </is>
      </c>
      <c r="B17" s="32" t="n">
        <v>0.1</v>
      </c>
      <c r="C17" s="7" t="inlineStr">
        <is>
          <t>oran</t>
        </is>
      </c>
      <c r="D17" s="7" t="inlineStr">
        <is>
          <t>Tornado navlun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2">
        <f>IF(A17="","",IF(B17="","EKSİK","TAM"))</f>
        <v/>
      </c>
    </row>
    <row r="18">
      <c r="A18" s="7" t="inlineStr">
        <is>
          <t>ilc_yuzdelikOran</t>
        </is>
      </c>
      <c r="B18" s="32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2">
        <f>IF(A18="","",IF(B18="","EKSİK","TAM"))</f>
        <v/>
      </c>
    </row>
    <row r="19">
      <c r="A19" s="7" t="inlineStr">
        <is>
          <t>ilc_parmakIzi</t>
        </is>
      </c>
      <c r="B19" s="29" t="inlineStr">
        <is>
          <t>bd27f30b781ce266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2">
        <f>IF(A19="","",IF(B19="","EKSİK","TAM"))</f>
        <v/>
      </c>
    </row>
    <row r="20">
      <c r="A20" s="7" t="inlineStr">
        <is>
          <t>dosya_surumu</t>
        </is>
      </c>
      <c r="B20" s="2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2">
        <f>IF(A20="","",IF(B20="","EKSİK","TAM"))</f>
        <v/>
      </c>
    </row>
    <row r="21">
      <c r="A21" s="7" t="inlineStr">
        <is>
          <t>ilc_girisBeklenen</t>
        </is>
      </c>
      <c r="B21" s="33" t="n">
        <v>16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2">
        <f>IF(A21="","",IF(B21="","EKSİK","TAM"))</f>
        <v/>
      </c>
    </row>
    <row r="22">
      <c r="A22" s="7" t="inlineStr">
        <is>
          <t>ilc_riskDusuk</t>
        </is>
      </c>
      <c r="B22" s="33" t="n">
        <v>20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2">
        <f>IF(A22="","",IF(B22="","EKSİK","TAM"))</f>
        <v/>
      </c>
    </row>
    <row r="23">
      <c r="A23" s="7" t="inlineStr">
        <is>
          <t>ilc_riskOrta</t>
        </is>
      </c>
      <c r="B23" s="33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2">
        <f>IF(A23="","",IF(B23="","EKSİK","TAM"))</f>
        <v/>
      </c>
    </row>
    <row r="24">
      <c r="A24" s="7" t="inlineStr">
        <is>
          <t>ilc_riskYuksek</t>
        </is>
      </c>
      <c r="B24" s="33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2">
        <f>IF(A24="","",IF(B24="","EKSİK","TAM"))</f>
        <v/>
      </c>
    </row>
    <row r="25">
      <c r="A25" s="7" t="inlineStr">
        <is>
          <t>ilc_yilTaban</t>
        </is>
      </c>
      <c r="B25" s="33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2">
        <f>IF(A25="","",IF(B25="","EKSİK","TAM"))</f>
        <v/>
      </c>
    </row>
    <row r="26">
      <c r="A26" s="7" t="inlineStr">
        <is>
          <t>ilc_yuvarMax</t>
        </is>
      </c>
      <c r="B26" s="33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2">
        <f>IF(A26="","",IF(B26="","EKSİK","TAM"))</f>
        <v/>
      </c>
    </row>
    <row r="27">
      <c r="A27" s="7" t="inlineStr">
        <is>
          <t>ilc_bazCarpan</t>
        </is>
      </c>
      <c r="B27" s="32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2">
        <f>IF(A27="","",IF(B27="","EKSİK","TAM"))</f>
        <v/>
      </c>
    </row>
    <row r="28">
      <c r="A28" s="7" t="inlineStr">
        <is>
          <t>ilc_sifirCarpan</t>
        </is>
      </c>
      <c r="B28" s="32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2">
        <f>IF(A28="","",IF(B28="","EKSİK","TAM"))</f>
        <v/>
      </c>
    </row>
    <row r="29">
      <c r="A29" s="7" t="inlineStr">
        <is>
          <t>ilc_siraBir</t>
        </is>
      </c>
      <c r="B29" s="33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2">
        <f>IF(A29="","",IF(B29="","EKSİK","TAM"))</f>
        <v/>
      </c>
    </row>
    <row r="30">
      <c r="A30" s="7" t="inlineStr">
        <is>
          <t>ilc_siraIki</t>
        </is>
      </c>
      <c r="B30" s="33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2">
        <f>IF(A30="","",IF(B30="","EKSİK","TAM"))</f>
        <v/>
      </c>
    </row>
    <row r="31">
      <c r="A31" s="7" t="inlineStr">
        <is>
          <t>ilc_siraUc</t>
        </is>
      </c>
      <c r="B31" s="33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2">
        <f>IF(A31="","",IF(B31="","EKSİK","TAM"))</f>
        <v/>
      </c>
    </row>
    <row r="32">
      <c r="A32" s="7" t="inlineStr">
        <is>
          <t>ilc_dikkatCarpan</t>
        </is>
      </c>
      <c r="B32" s="32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2">
        <f>IF(A32="","",IF(B32="","EKSİK","TAM"))</f>
        <v/>
      </c>
    </row>
    <row r="33">
      <c r="A33" s="7" t="inlineStr">
        <is>
          <t>ilc_npvDikkat</t>
        </is>
      </c>
      <c r="B33" s="71" t="n">
        <v>100000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2">
        <f>IF(A33="","",IF(B33="","EKSİK","TAM"))</f>
        <v/>
      </c>
    </row>
    <row r="34">
      <c r="A34" s="7" t="inlineStr">
        <is>
          <t>vaka_fob</t>
        </is>
      </c>
      <c r="B34" s="33" t="n">
        <v>100000</v>
      </c>
      <c r="C34" s="7" t="inlineStr">
        <is>
          <t>döviz</t>
        </is>
      </c>
      <c r="D34" s="7" t="inlineStr">
        <is>
          <t>Vaka FOB</t>
        </is>
      </c>
      <c r="E34" s="7" t="inlineStr">
        <is>
          <t>Altın vaka</t>
        </is>
      </c>
      <c r="F34" s="7" t="inlineStr">
        <is>
          <t>01.01.2025</t>
        </is>
      </c>
      <c r="G34" s="7" t="inlineStr">
        <is>
          <t>11.08.2026</t>
        </is>
      </c>
      <c r="H34" s="72">
        <f>IF(A34="","",IF(B34="","EKSİK","TAM"))</f>
        <v/>
      </c>
    </row>
    <row r="35">
      <c r="A35" s="7" t="inlineStr">
        <is>
          <t>vaka_kur</t>
        </is>
      </c>
      <c r="B35" s="70" t="n">
        <v>34</v>
      </c>
      <c r="C35" s="7" t="inlineStr">
        <is>
          <t>kur</t>
        </is>
      </c>
      <c r="D35" s="7" t="inlineStr">
        <is>
          <t>Vaka kur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2">
        <f>IF(A35="","",IF(B35="","EKSİK","TAM"))</f>
        <v/>
      </c>
    </row>
    <row r="36">
      <c r="A36" s="7" t="inlineStr">
        <is>
          <t>vaka_navlun</t>
        </is>
      </c>
      <c r="B36" s="33" t="n">
        <v>5000</v>
      </c>
      <c r="C36" s="7" t="inlineStr">
        <is>
          <t>döviz</t>
        </is>
      </c>
      <c r="D36" s="7" t="inlineStr">
        <is>
          <t>Vaka navlun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2">
        <f>IF(A36="","",IF(B36="","EKSİK","TAM"))</f>
        <v/>
      </c>
    </row>
    <row r="37">
      <c r="A37" s="7" t="inlineStr">
        <is>
          <t>vaka_sigorta</t>
        </is>
      </c>
      <c r="B37" s="32" t="n">
        <v>0.01</v>
      </c>
      <c r="C37" s="7" t="inlineStr">
        <is>
          <t>oran</t>
        </is>
      </c>
      <c r="D37" s="7" t="inlineStr">
        <is>
          <t>Vaka sigorta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2">
        <f>IF(A37="","",IF(B37="","EKSİK","TAM"))</f>
        <v/>
      </c>
    </row>
    <row r="38">
      <c r="A38" s="7" t="inlineStr">
        <is>
          <t>vaka_cif</t>
        </is>
      </c>
      <c r="B38" s="71" t="n">
        <v>3604000</v>
      </c>
      <c r="C38" s="7" t="inlineStr">
        <is>
          <t>TL</t>
        </is>
      </c>
      <c r="D38" s="7" t="inlineStr">
        <is>
          <t>Vaka CIF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2">
        <f>IF(A38="","",IF(B38="","EKSİK","TAM"))</f>
        <v/>
      </c>
    </row>
    <row r="39">
      <c r="A39" s="7" t="inlineStr">
        <is>
          <t>vaka_landed</t>
        </is>
      </c>
      <c r="B39" s="71" t="n">
        <v>5200000</v>
      </c>
      <c r="C39" s="7" t="inlineStr">
        <is>
          <t>TL</t>
        </is>
      </c>
      <c r="D39" s="7" t="inlineStr">
        <is>
          <t>Vaka toplam landed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2">
        <f>IF(A39="","",IF(B39="","EKSİK","TAM"))</f>
        <v/>
      </c>
    </row>
    <row r="40">
      <c r="A40" s="7" t="inlineStr">
        <is>
          <t>vaka_miktar</t>
        </is>
      </c>
      <c r="B40" s="33" t="n">
        <v>1000</v>
      </c>
      <c r="C40" s="7" t="inlineStr">
        <is>
          <t>adet</t>
        </is>
      </c>
      <c r="D40" s="7" t="inlineStr">
        <is>
          <t>Vaka miktar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2">
        <f>IF(A40="","",IF(B40="","EKSİK","TAM"))</f>
        <v/>
      </c>
    </row>
    <row r="41"/>
    <row r="42">
      <c r="J42" s="5" t="inlineStr">
        <is>
          <t>Kur tablosu (tarihli / kaynaklı)</t>
        </is>
      </c>
    </row>
    <row r="43" ht="30" customHeight="1">
      <c r="J43" s="21" t="inlineStr">
        <is>
          <t>parabirimi</t>
        </is>
      </c>
      <c r="K43" s="21" t="inlineStr">
        <is>
          <t>kur</t>
        </is>
      </c>
      <c r="L43" s="21" t="inlineStr">
        <is>
          <t>tarih</t>
        </is>
      </c>
      <c r="M43" s="21" t="inlineStr">
        <is>
          <t>kaynak</t>
        </is>
      </c>
      <c r="N43" s="21" t="inlineStr">
        <is>
          <t>aktif</t>
        </is>
      </c>
      <c r="O43" s="21" t="inlineStr">
        <is>
          <t>not</t>
        </is>
      </c>
      <c r="P43" s="21" t="inlineStr">
        <is>
          <t>secim</t>
        </is>
      </c>
    </row>
    <row r="44">
      <c r="J44" s="29" t="inlineStr">
        <is>
          <t>USD</t>
        </is>
      </c>
      <c r="K44" s="70" t="n">
        <v>34</v>
      </c>
      <c r="L44" s="73" t="n">
        <v>46244</v>
      </c>
      <c r="M44" s="29" t="inlineStr">
        <is>
          <t>TCMB alış</t>
        </is>
      </c>
      <c r="N44" s="29" t="inlineStr">
        <is>
          <t>Evet</t>
        </is>
      </c>
      <c r="O44" s="7" t="inlineStr">
        <is>
          <t>Aktif demo kur</t>
        </is>
      </c>
      <c r="P44" s="74">
        <f>IF($J44="","",IF($N44="Evet",$K44,0))</f>
        <v/>
      </c>
    </row>
    <row r="45">
      <c r="J45" s="29" t="inlineStr">
        <is>
          <t>EUR</t>
        </is>
      </c>
      <c r="K45" s="70" t="n">
        <v>37.2</v>
      </c>
      <c r="L45" s="73" t="n">
        <v>46244</v>
      </c>
      <c r="M45" s="29" t="inlineStr">
        <is>
          <t>TCMB alış</t>
        </is>
      </c>
      <c r="N45" s="29" t="inlineStr">
        <is>
          <t>Hayır</t>
        </is>
      </c>
      <c r="O45" s="7" t="inlineStr">
        <is>
          <t>Yedek</t>
        </is>
      </c>
      <c r="P45" s="74">
        <f>IF($J45="","",IF($N45="Evet",$K45,0))</f>
        <v/>
      </c>
    </row>
    <row r="46">
      <c r="J46" s="29" t="inlineStr">
        <is>
          <t>USD</t>
        </is>
      </c>
      <c r="K46" s="70" t="n">
        <v>32.5</v>
      </c>
      <c r="L46" s="73" t="n">
        <v>46022</v>
      </c>
      <c r="M46" s="29" t="inlineStr">
        <is>
          <t>TCMB yılsonu</t>
        </is>
      </c>
      <c r="N46" s="29" t="inlineStr">
        <is>
          <t>Hayır</t>
        </is>
      </c>
      <c r="O46" s="7" t="inlineStr">
        <is>
          <t>2025 referans</t>
        </is>
      </c>
      <c r="P46" s="74">
        <f>IF($J46="","",IF($N46="Evet",$K46,0))</f>
        <v/>
      </c>
    </row>
    <row r="47"/>
    <row r="48">
      <c r="J48" s="10" t="inlineStr">
        <is>
          <t>Aktif kur (tablodan)</t>
        </is>
      </c>
      <c r="K48" s="17">
        <f>IFERROR(IF(SUM(P44:P46)=0,INDEX(K44:K46,1),SUM(P44:P46)),0)</f>
        <v/>
      </c>
    </row>
    <row r="49">
      <c r="J49" s="61" t="inlineStr">
        <is>
          <t>Kur tablo ozeti</t>
        </is>
      </c>
      <c r="K49" s="34">
        <f>IFERROR(_xlfn.TEXTJOIN(" | ",TRUE,"USD=",TEXT(K44,"0.00")," kaynak=",M44," tarih=",TEXT(L44,"dd.mm.yyyy")),"-")</f>
        <v/>
      </c>
    </row>
    <row r="50"/>
    <row r="51">
      <c r="J51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J44:J46" showDropDown="0" showInputMessage="1" showErrorMessage="1" allowBlank="1" errorTitle="Geçersiz" error="USD/EUR." promptTitle="Döviz" prompt="USD veya EUR." type="list" errorStyle="stop">
      <formula1>ListeDoviz</formula1>
    </dataValidation>
    <dataValidation sqref="N44:N46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155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3" t="inlineStr">
        <is>
          <t>KILAVUZ — İthalat Gerçek Birim Maliyet Motoru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kur/oran gözden geçirilmeli.</t>
        </is>
      </c>
    </row>
    <row r="8">
      <c r="A8" s="6" t="inlineStr">
        <is>
          <t>• YATIRIM YAPMA — NPV negatif veya marj yetersiz (kötümser yol dahil).</t>
        </is>
      </c>
    </row>
    <row r="9"/>
    <row r="10">
      <c r="A10" s="75" t="inlineStr">
        <is>
          <t>Belirsizlik beyanları (M05)</t>
        </is>
      </c>
    </row>
    <row r="11">
      <c r="A11" s="76" t="inlineStr">
        <is>
          <t>Bu nokta mevzuatta tartışmalıdır; dosya yorum A ve yorum B sonucunu yan yana gösterir: kkdf_matrah_yorumu</t>
        </is>
      </c>
    </row>
    <row r="12"/>
    <row r="13">
      <c r="A13" s="76" t="inlineStr">
        <is>
          <t>KKDF matrahı (FOB mı CIF mi) uygulamada tartışmalı / belirsizdir; bu dosya FOB_TL varsayar (Yorum A). Yorum B için CIF matrahı seçilirse KKDF yükselir.</t>
        </is>
      </c>
    </row>
    <row r="14"/>
    <row r="15">
      <c r="A15" s="10" t="inlineStr">
        <is>
          <t>Yorum A</t>
        </is>
      </c>
      <c r="B15" s="6" t="inlineStr">
        <is>
          <t>KKDF matrahı = FOB_TL. CIF = FOB_TL + navlun_TL + sigorta_TL. Gümrük = CIF × oran. KDV = (CIF+gümrük+KKDF) × oran.</t>
        </is>
      </c>
    </row>
    <row r="16">
      <c r="A16" s="10" t="inlineStr">
        <is>
          <t>Yorum B</t>
        </is>
      </c>
      <c r="B16" s="6" t="inlineStr">
        <is>
          <t>Bazı uygulamalarda KKDF CIF üzerinden hesaplanır (tartışmalı). Dosya Yorum A üretir; Yorum B farkı KILAVUZ'da beyan edilir.</t>
        </is>
      </c>
    </row>
    <row r="17"/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(kur tablosu).</t>
        </is>
      </c>
    </row>
    <row r="20"/>
    <row r="21">
      <c r="A21" s="8" t="inlineStr">
        <is>
          <t>Sürüm 1.0.0 | Lisans: Tek kullanıcı | ExcelArşiv |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1:I1"/>
    <mergeCell ref="A7:T7"/>
    <mergeCell ref="A19:J19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2026-08-11T13:41:11Z</dcterms:created>
  <dcterms:modified xmlns:dcterms="http://purl.org/dc/terms/" xmlns:xsi="http://www.w3.org/2001/XMLSchema-instance" xsi:type="dcterms:W3CDTF">2026-09-25T21:22:52Z</dcterms:modified>
</cp:coreProperties>
</file>