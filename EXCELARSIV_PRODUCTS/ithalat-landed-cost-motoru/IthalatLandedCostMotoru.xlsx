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comments/comment4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3.xml" ContentType="application/vnd.openxmlformats-officedocument.drawing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VARSAYIMLAR" sheetId="13" state="visible" r:id="rId13"/>
    <sheet xmlns:r="http://schemas.openxmlformats.org/officeDocument/2006/relationships" name="KURALLAR" sheetId="14" state="visible" r:id="rId14"/>
    <sheet xmlns:r="http://schemas.openxmlformats.org/officeDocument/2006/relationships" name="MOTOR" sheetId="15" state="visible" r:id="rId15"/>
    <sheet xmlns:r="http://schemas.openxmlformats.org/officeDocument/2006/relationships" name="FINANSMAN" sheetId="16" state="visible" r:id="rId16"/>
    <sheet xmlns:r="http://schemas.openxmlformats.org/officeDocument/2006/relationships" name="SENARYO" sheetId="17" state="visible" r:id="rId17"/>
    <sheet xmlns:r="http://schemas.openxmlformats.org/officeDocument/2006/relationships" name="KARAR" sheetId="18" state="visible" r:id="rId18"/>
    <sheet xmlns:r="http://schemas.openxmlformats.org/officeDocument/2006/relationships" name="VAKALAR" sheetId="19" state="visible" r:id="rId19"/>
    <sheet xmlns:r="http://schemas.openxmlformats.org/officeDocument/2006/relationships" name="KANIT_RAPORU" sheetId="20" state="visible" r:id="rId20"/>
    <sheet xmlns:r="http://schemas.openxmlformats.org/officeDocument/2006/relationships" name="KONTROLLER" sheetId="21" state="visible" r:id="rId21"/>
    <sheet xmlns:r="http://schemas.openxmlformats.org/officeDocument/2006/relationships" name="ORNEK_VERI" sheetId="22" state="visible" r:id="rId22"/>
    <sheet xmlns:r="http://schemas.openxmlformats.org/officeDocument/2006/relationships" name="LISTELER" sheetId="23" state="visible" r:id="rId23"/>
    <sheet xmlns:r="http://schemas.openxmlformats.org/officeDocument/2006/relationships" name="AYARLAR" sheetId="24" state="visible" r:id="rId24"/>
    <sheet xmlns:r="http://schemas.openxmlformats.org/officeDocument/2006/relationships" name="KILAVUZ" sheetId="25" state="visible" r:id="rId25"/>
  </sheets>
  <definedNames>
    <definedName name="hesapYili">GIRDI!$B$8</definedName>
    <definedName name="raporTarihi">AYARLAR!$B$7</definedName>
    <definedName name="ilc_birimLanded">MOTOR!$G$60</definedName>
    <definedName name="ilc_npv">MOTOR!$G$61</definedName>
    <definedName name="ilc_irr">MOTOR!$G$62</definedName>
    <definedName name="ilc_cif">MOTOR!$G$63</definedName>
    <definedName name="ilc_kararMetni">MOTOR!$G$42</definedName>
    <definedName name="ilc_kararGerekce">MOTOR!$G$43</definedName>
    <definedName name="ilc_maddeAtifMetni">MOTOR!$G$58</definedName>
    <definedName name="ilc_kanitRaporu">MOTOR!$G$59</definedName>
    <definedName name="ilc_kuralYilMatris">KURALLAR!$B$17</definedName>
    <definedName name="ilc_parmakIzi">AYARLAR!$B$19</definedName>
    <definedName name="ilc_aktifKur">AYARLAR!$K$48</definedName>
    <definedName name="ilc_kurTablosu">AYARLAR!$K$49</definedName>
    <definedName name="ilc_finansmanKarsilastirma">FINANSMAN!$B$11</definedName>
    <definedName name="ilc_senaryoKarsilastirma">SENARYO!$B$11</definedName>
    <definedName name="ilc_yorumSenaryo">SENARYO!$B$12</definedName>
    <definedName name="ilc_duyarlilikSira">SENARYO!$B$19</definedName>
    <definedName name="ilc_yorumDuyarlilik">SENARYO!$B$20</definedName>
    <definedName name="ilc_kuralDegisimSenaryo">SENARYO!$B$22</definedName>
    <definedName name="ilc_yorumKuralDegisim">SENARYO!$B$23</definedName>
    <definedName name="ilc_tahminAralik">SENARYO!$B$32</definedName>
    <definedName name="ilc_yorumTahmin">SENARYO!$B$33</definedName>
    <definedName name="ilc_vakaDurum">VAKALAR!$B$12</definedName>
    <definedName name="ilc_vakaFark">VAKALAR!$B$13</definedName>
    <definedName name="ilc_tolerans">AYARLAR!$B$8</definedName>
    <definedName name="ilc_azamiEsik">AYARLAR!$B$9</definedName>
    <definedName name="ilc_senaryoIyi">AYARLAR!$B$10</definedName>
    <definedName name="ilc_senaryoKotu">AYARLAR!$B$11</definedName>
    <definedName name="ilc_esikArtis">AYARLAR!$B$12</definedName>
    <definedName name="ilc_tahminAlt">AYARLAR!$B$13</definedName>
    <definedName name="ilc_tahminUst">AYARLAR!$B$14</definedName>
    <definedName name="ilc_tornadoKur">AYARLAR!$B$15</definedName>
    <definedName name="ilc_tornadoGumruk">AYARLAR!$B$16</definedName>
    <definedName name="ilc_tornadoNavlun">AYARLAR!$B$17</definedName>
    <definedName name="ilc_yuzdelikOran">AYARLAR!$B$18</definedName>
    <definedName name="ilc_girisBeklenen">AYARLAR!$B$21</definedName>
    <definedName name="ilc_riskDusuk">AYARLAR!$B$22</definedName>
    <definedName name="ilc_riskOrta">AYARLAR!$B$23</definedName>
    <definedName name="ilc_riskYuksek">AYARLAR!$B$24</definedName>
    <definedName name="ilc_yilTaban">AYARLAR!$B$25</definedName>
    <definedName name="ilc_yuvarMax">AYARLAR!$B$26</definedName>
    <definedName name="ilc_bazCarpan">AYARLAR!$B$27</definedName>
    <definedName name="ilc_sifirCarpan">AYARLAR!$B$28</definedName>
    <definedName name="ilc_siraBir">AYARLAR!$B$29</definedName>
    <definedName name="ilc_siraIki">AYARLAR!$B$30</definedName>
    <definedName name="ilc_siraUc">AYARLAR!$B$31</definedName>
    <definedName name="ilc_dikkatCarpan">AYARLAR!$B$32</definedName>
    <definedName name="ilc_npvDikkat">AYARLAR!$B$33</definedName>
    <definedName name="vaka_fob">AYARLAR!$B$34</definedName>
    <definedName name="vaka_kur">AYARLAR!$B$35</definedName>
    <definedName name="vaka_navlun">AYARLAR!$B$36</definedName>
    <definedName name="vaka_sigorta">AYARLAR!$B$37</definedName>
    <definedName name="vaka_cif">AYARLAR!$B$38</definedName>
    <definedName name="vaka_landed">AYARLAR!$B$39</definedName>
    <definedName name="vaka_miktar">AYARLAR!$B$40</definedName>
    <definedName name="ilc_modulT1">PANO!$C$11</definedName>
    <definedName name="ilc_modulT1Yorum">PANO!$D$11</definedName>
    <definedName name="ilc_modulT2">PANO!$C$12</definedName>
    <definedName name="ilc_modulT2Yorum">PANO!$D$12</definedName>
    <definedName name="ilc_modulO1">PANO!$C$13</definedName>
    <definedName name="ilc_modulO1Yorum">PANO!$D$13</definedName>
    <definedName name="ilc_modulO6">PANO!$C$16</definedName>
    <definedName name="ilc_modulO6Yorum">PANO!$D$16</definedName>
    <definedName name="ilc_modulO8">PANO!$C$17</definedName>
    <definedName name="ilc_modulO8Yorum">PANO!$D$17</definedName>
    <definedName name="ilc_modulI2">PANO!$C$20</definedName>
    <definedName name="ilc_modulI2Yorum">PANO!$D$20</definedName>
    <definedName name="ListeYillar">LISTELER!$A$6:$A$8</definedName>
    <definedName name="ListeDoviz">LISTELER!$C$6:$C$7</definedName>
    <definedName name="ListeEvetHayir">LISTELER!$E$6:$E$7</definedName>
    <definedName name="_xlnm.Print_Area" localSheetId="17">'KARAR'!$A$1:$F$28</definedName>
    <definedName name="_xlnm.Print_Area" localSheetId="19">'KANIT_RAPORU'!$A$1:$F$36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;[Red](0.0%);-"/>
    <numFmt numFmtId="165" formatCode="₺ #,##0;[Red](₺ #,##0);-"/>
    <numFmt numFmtId="166" formatCode="0.0000"/>
    <numFmt numFmtId="167" formatCode="dd.mm.yyyy"/>
    <numFmt numFmtId="168" formatCode="#,##0 &quot;TL&quot;"/>
    <numFmt numFmtId="169" formatCode="0.0%"/>
    <numFmt numFmtId="170" formatCode="₺#,##0"/>
    <numFmt numFmtId="171" formatCode="0.00&quot;x&quot;"/>
  </numFmts>
  <fonts count="9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FFFFFF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color rgb="00006100"/>
      <sz val="10"/>
    </font>
    <font>
      <name val="Segoe UI"/>
      <color rgb="00000000"/>
      <sz val="10"/>
    </font>
    <font>
      <name val="Segoe UI"/>
      <b val="1"/>
      <color rgb="00B08948"/>
      <sz val="10"/>
    </font>
    <font>
      <name val="Segoe UI"/>
      <b val="1"/>
      <color rgb="00333333"/>
      <sz val="10"/>
    </font>
    <font>
      <name val="Segoe UI"/>
      <b val="1"/>
      <color rgb="00595959"/>
      <sz val="10"/>
    </font>
    <font>
      <name val="Segoe UI"/>
      <b val="1"/>
      <color rgb="000F2742"/>
      <sz val="14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06100"/>
      <sz val="16"/>
    </font>
    <font>
      <name val="Segoe UI"/>
      <b val="1"/>
      <color rgb="00000000"/>
      <sz val="10"/>
    </font>
    <font>
      <name val="Segoe UI"/>
      <b val="1"/>
      <color rgb="00000000"/>
      <sz val="12"/>
    </font>
    <font>
      <name val="Segoe UI"/>
      <b val="1"/>
      <color rgb="00006100"/>
      <sz val="12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0" fillId="4" borderId="0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3" fontId="10" fillId="4" borderId="0" applyAlignment="1" applyProtection="1" pivotButton="0" quotePrefix="0" xfId="0">
      <alignment horizontal="left" vertical="center"/>
      <protection locked="0" hidden="0"/>
    </xf>
    <xf numFmtId="164" fontId="10" fillId="4" borderId="0" applyAlignment="1" applyProtection="1" pivotButton="0" quotePrefix="0" xfId="0">
      <alignment horizontal="left" vertical="center"/>
      <protection locked="0" hidden="0"/>
    </xf>
    <xf numFmtId="165" fontId="10" fillId="4" borderId="0" applyAlignment="1" applyProtection="1" pivotButton="0" quotePrefix="0" xfId="0">
      <alignment horizontal="left" vertical="center"/>
      <protection locked="0" hidden="0"/>
    </xf>
    <xf numFmtId="166" fontId="11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10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4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164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6" fontId="12" fillId="0" borderId="0" applyAlignment="1" pivotButton="0" quotePrefix="0" xfId="0">
      <alignment horizontal="left" vertical="center" wrapText="1"/>
    </xf>
    <xf numFmtId="166" fontId="12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12" fillId="6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167" fontId="1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3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2" fontId="5" fillId="4" borderId="0" applyAlignment="1" applyProtection="1" pivotButton="0" quotePrefix="0" xfId="0">
      <alignment horizontal="left" vertical="center"/>
      <protection locked="0" hidden="0"/>
    </xf>
    <xf numFmtId="165" fontId="5" fillId="4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center" vertical="center"/>
    </xf>
    <xf numFmtId="167" fontId="5" fillId="4" borderId="0" applyAlignment="1" applyProtection="1" pivotButton="0" quotePrefix="0" xfId="0">
      <alignment horizontal="left" vertical="center"/>
      <protection locked="0" hidden="0"/>
    </xf>
    <xf numFmtId="2" fontId="12" fillId="6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 wrapText="1"/>
    </xf>
    <xf numFmtId="0" fontId="26" fillId="7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4" fillId="0" borderId="0" pivotButton="0" quotePrefix="0" xfId="0"/>
    <xf numFmtId="0" fontId="29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4" fillId="8" borderId="0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35" fillId="0" borderId="0" pivotButton="0" quotePrefix="0" xfId="0"/>
    <xf numFmtId="0" fontId="36" fillId="7" borderId="0" applyAlignment="1" pivotButton="0" quotePrefix="0" xfId="0">
      <alignment horizontal="center" vertical="center"/>
    </xf>
    <xf numFmtId="0" fontId="37" fillId="0" borderId="0" pivotButton="0" quotePrefix="0" xfId="0"/>
    <xf numFmtId="168" fontId="37" fillId="0" borderId="0" pivotButton="0" quotePrefix="0" xfId="0"/>
    <xf numFmtId="168" fontId="38" fillId="0" borderId="0" pivotButton="0" quotePrefix="0" xfId="0"/>
    <xf numFmtId="169" fontId="37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7" borderId="0" applyAlignment="1" pivotButton="0" quotePrefix="0" xfId="0">
      <alignment horizontal="center" vertical="center"/>
    </xf>
    <xf numFmtId="0" fontId="36" fillId="7" borderId="0" applyAlignment="1" pivotButton="0" quotePrefix="0" xfId="0">
      <alignment horizontal="center"/>
    </xf>
    <xf numFmtId="0" fontId="38" fillId="0" borderId="0" pivotButton="0" quotePrefix="0" xfId="0"/>
    <xf numFmtId="0" fontId="42" fillId="9" borderId="2" pivotButton="0" quotePrefix="0" xfId="0"/>
    <xf numFmtId="0" fontId="43" fillId="0" borderId="0" pivotButton="0" quotePrefix="0" xfId="0"/>
    <xf numFmtId="0" fontId="44" fillId="0" borderId="0" pivotButton="0" quotePrefix="0" xfId="0"/>
    <xf numFmtId="0" fontId="37" fillId="0" borderId="0" applyAlignment="1" pivotButton="0" quotePrefix="0" xfId="0">
      <alignment wrapText="1"/>
    </xf>
    <xf numFmtId="0" fontId="45" fillId="0" borderId="0" pivotButton="0" quotePrefix="0" xfId="0"/>
    <xf numFmtId="0" fontId="46" fillId="0" borderId="2" applyAlignment="1" pivotButton="0" quotePrefix="0" xfId="0">
      <alignment horizontal="center" vertical="center"/>
    </xf>
    <xf numFmtId="0" fontId="36" fillId="10" borderId="0" applyAlignment="1" pivotButton="0" quotePrefix="0" xfId="0">
      <alignment horizontal="center" vertical="center"/>
    </xf>
    <xf numFmtId="0" fontId="27" fillId="0" borderId="0" pivotButton="0" quotePrefix="0" xfId="0"/>
    <xf numFmtId="0" fontId="33" fillId="0" borderId="3" pivotButton="0" quotePrefix="0" xfId="0"/>
    <xf numFmtId="0" fontId="0" fillId="0" borderId="2" pivotButton="0" quotePrefix="0" xfId="0"/>
    <xf numFmtId="0" fontId="47" fillId="11" borderId="2" applyAlignment="1" pivotButton="0" quotePrefix="0" xfId="0">
      <alignment horizontal="center"/>
    </xf>
    <xf numFmtId="0" fontId="33" fillId="0" borderId="4" pivotButton="0" quotePrefix="0" xfId="0"/>
    <xf numFmtId="0" fontId="49" fillId="12" borderId="2" applyAlignment="1" pivotButton="0" quotePrefix="0" xfId="0">
      <alignment horizontal="center"/>
    </xf>
    <xf numFmtId="0" fontId="48" fillId="13" borderId="2" applyAlignment="1" pivotButton="0" quotePrefix="0" xfId="0">
      <alignment horizontal="center"/>
    </xf>
    <xf numFmtId="0" fontId="33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9" fillId="0" borderId="3" pivotButton="0" quotePrefix="0" xfId="0"/>
    <xf numFmtId="0" fontId="50" fillId="0" borderId="4" pivotButton="0" quotePrefix="0" xfId="0"/>
    <xf numFmtId="0" fontId="51" fillId="0" borderId="5" pivotButton="0" quotePrefix="0" xfId="0"/>
    <xf numFmtId="0" fontId="48" fillId="0" borderId="3" pivotButton="0" quotePrefix="0" xfId="0"/>
    <xf numFmtId="0" fontId="43" fillId="0" borderId="4" pivotButton="0" quotePrefix="0" xfId="0"/>
    <xf numFmtId="0" fontId="48" fillId="0" borderId="5" pivotButton="0" quotePrefix="0" xfId="0"/>
    <xf numFmtId="0" fontId="52" fillId="14" borderId="0" applyAlignment="1" pivotButton="0" quotePrefix="0" xfId="0">
      <alignment horizontal="center"/>
    </xf>
    <xf numFmtId="0" fontId="53" fillId="0" borderId="0" pivotButton="0" quotePrefix="0" xfId="0"/>
    <xf numFmtId="0" fontId="52" fillId="15" borderId="0" applyAlignment="1" pivotButton="0" quotePrefix="0" xfId="0">
      <alignment horizontal="center" vertical="center"/>
    </xf>
    <xf numFmtId="0" fontId="53" fillId="0" borderId="2" pivotButton="0" quotePrefix="0" xfId="0"/>
    <xf numFmtId="0" fontId="54" fillId="0" borderId="2" pivotButton="0" quotePrefix="0" xfId="0"/>
    <xf numFmtId="0" fontId="55" fillId="0" borderId="2" pivotButton="0" quotePrefix="0" xfId="0"/>
    <xf numFmtId="0" fontId="56" fillId="16" borderId="2" applyAlignment="1" pivotButton="0" quotePrefix="0" xfId="0">
      <alignment horizontal="center"/>
    </xf>
    <xf numFmtId="0" fontId="52" fillId="7" borderId="0" pivotButton="0" quotePrefix="0" xfId="0"/>
    <xf numFmtId="0" fontId="57" fillId="7" borderId="0" pivotButton="0" quotePrefix="0" xfId="0"/>
    <xf numFmtId="0" fontId="58" fillId="7" borderId="0" pivotButton="0" quotePrefix="0" xfId="0"/>
    <xf numFmtId="0" fontId="0" fillId="7" borderId="0" pivotButton="0" quotePrefix="0" xfId="0"/>
    <xf numFmtId="0" fontId="30" fillId="7" borderId="0" applyAlignment="1" pivotButton="0" quotePrefix="0" xfId="0">
      <alignment horizontal="center"/>
    </xf>
    <xf numFmtId="0" fontId="46" fillId="0" borderId="0" pivotButton="0" quotePrefix="0" xfId="0"/>
    <xf numFmtId="0" fontId="61" fillId="17" borderId="0" pivotButton="0" quotePrefix="0" xfId="0"/>
    <xf numFmtId="0" fontId="0" fillId="17" borderId="0" pivotButton="0" quotePrefix="0" xfId="0"/>
    <xf numFmtId="0" fontId="48" fillId="0" borderId="0" pivotButton="0" quotePrefix="0" xfId="0"/>
    <xf numFmtId="0" fontId="36" fillId="17" borderId="0" pivotButton="0" quotePrefix="0" xfId="0"/>
    <xf numFmtId="0" fontId="62" fillId="17" borderId="0" applyAlignment="1" pivotButton="0" quotePrefix="0" xfId="0">
      <alignment wrapText="1"/>
    </xf>
    <xf numFmtId="0" fontId="59" fillId="0" borderId="0" pivotButton="0" quotePrefix="0" xfId="0"/>
    <xf numFmtId="0" fontId="60" fillId="0" borderId="0" pivotButton="0" quotePrefix="0" xfId="0"/>
    <xf numFmtId="0" fontId="48" fillId="13" borderId="6" applyAlignment="1" pivotButton="0" quotePrefix="0" xfId="0">
      <alignment horizontal="center" vertical="center"/>
    </xf>
    <xf numFmtId="0" fontId="63" fillId="18" borderId="0" applyAlignment="1" pivotButton="0" quotePrefix="0" xfId="0">
      <alignment horizontal="center" vertical="center"/>
    </xf>
    <xf numFmtId="0" fontId="27" fillId="19" borderId="2" applyAlignment="1" pivotButton="0" quotePrefix="0" xfId="0">
      <alignment vertical="center"/>
    </xf>
    <xf numFmtId="0" fontId="47" fillId="11" borderId="0" applyAlignment="1" pivotButton="0" quotePrefix="0" xfId="0">
      <alignment horizontal="center" vertical="center"/>
    </xf>
    <xf numFmtId="0" fontId="48" fillId="13" borderId="0" applyAlignment="1" pivotButton="0" quotePrefix="0" xfId="0">
      <alignment horizontal="center" vertical="center"/>
    </xf>
    <xf numFmtId="0" fontId="64" fillId="7" borderId="0" applyAlignment="1" pivotButton="0" quotePrefix="0" xfId="0">
      <alignment horizontal="center" vertical="center"/>
    </xf>
    <xf numFmtId="0" fontId="65" fillId="19" borderId="2" applyAlignment="1" pivotButton="0" quotePrefix="0" xfId="0">
      <alignment horizontal="center"/>
    </xf>
    <xf numFmtId="0" fontId="66" fillId="19" borderId="2" applyAlignment="1" pivotButton="0" quotePrefix="0" xfId="0">
      <alignment horizontal="center"/>
    </xf>
    <xf numFmtId="0" fontId="65" fillId="19" borderId="2" pivotButton="0" quotePrefix="0" xfId="0"/>
    <xf numFmtId="170" fontId="66" fillId="19" borderId="2" applyAlignment="1" pivotButton="0" quotePrefix="0" xfId="0">
      <alignment horizontal="right"/>
    </xf>
    <xf numFmtId="9" fontId="65" fillId="19" borderId="2" applyAlignment="1" pivotButton="0" quotePrefix="0" xfId="0">
      <alignment horizontal="center"/>
    </xf>
    <xf numFmtId="170" fontId="65" fillId="19" borderId="2" applyAlignment="1" pivotButton="0" quotePrefix="0" xfId="0">
      <alignment horizontal="right"/>
    </xf>
    <xf numFmtId="0" fontId="48" fillId="19" borderId="2" applyAlignment="1" pivotButton="0" quotePrefix="0" xfId="0">
      <alignment horizontal="center"/>
    </xf>
    <xf numFmtId="0" fontId="65" fillId="18" borderId="2" applyAlignment="1" pivotButton="0" quotePrefix="0" xfId="0">
      <alignment horizontal="center"/>
    </xf>
    <xf numFmtId="0" fontId="66" fillId="18" borderId="2" applyAlignment="1" pivotButton="0" quotePrefix="0" xfId="0">
      <alignment horizontal="center"/>
    </xf>
    <xf numFmtId="0" fontId="65" fillId="18" borderId="2" pivotButton="0" quotePrefix="0" xfId="0"/>
    <xf numFmtId="170" fontId="66" fillId="18" borderId="2" applyAlignment="1" pivotButton="0" quotePrefix="0" xfId="0">
      <alignment horizontal="right"/>
    </xf>
    <xf numFmtId="9" fontId="65" fillId="18" borderId="2" applyAlignment="1" pivotButton="0" quotePrefix="0" xfId="0">
      <alignment horizontal="center"/>
    </xf>
    <xf numFmtId="170" fontId="65" fillId="18" borderId="2" applyAlignment="1" pivotButton="0" quotePrefix="0" xfId="0">
      <alignment horizontal="right"/>
    </xf>
    <xf numFmtId="0" fontId="53" fillId="18" borderId="2" applyAlignment="1" pivotButton="0" quotePrefix="0" xfId="0">
      <alignment horizontal="center"/>
    </xf>
    <xf numFmtId="0" fontId="48" fillId="18" borderId="2" applyAlignment="1" pivotButton="0" quotePrefix="0" xfId="0">
      <alignment horizontal="center"/>
    </xf>
    <xf numFmtId="0" fontId="49" fillId="18" borderId="2" applyAlignment="1" pivotButton="0" quotePrefix="0" xfId="0">
      <alignment horizontal="center"/>
    </xf>
    <xf numFmtId="0" fontId="36" fillId="7" borderId="0" applyAlignment="1" pivotButton="0" quotePrefix="0" xfId="0">
      <alignment vertical="center" indent="1"/>
    </xf>
    <xf numFmtId="170" fontId="67" fillId="7" borderId="0" applyAlignment="1" pivotButton="0" quotePrefix="0" xfId="0">
      <alignment horizontal="right" vertical="center"/>
    </xf>
    <xf numFmtId="0" fontId="68" fillId="0" borderId="7" pivotButton="0" quotePrefix="0" xfId="0"/>
    <xf numFmtId="0" fontId="69" fillId="0" borderId="7" pivotButton="0" quotePrefix="0" xfId="0"/>
    <xf numFmtId="0" fontId="70" fillId="0" borderId="7" pivotButton="0" quotePrefix="0" xfId="0"/>
    <xf numFmtId="0" fontId="71" fillId="20" borderId="2" applyAlignment="1" pivotButton="0" quotePrefix="0" xfId="0">
      <alignment horizontal="center" vertical="center"/>
    </xf>
    <xf numFmtId="0" fontId="75" fillId="11" borderId="2" applyAlignment="1" pivotButton="0" quotePrefix="0" xfId="0">
      <alignment horizontal="center" vertical="center"/>
    </xf>
    <xf numFmtId="0" fontId="72" fillId="0" borderId="2" pivotButton="0" quotePrefix="0" xfId="0"/>
    <xf numFmtId="0" fontId="71" fillId="0" borderId="2" applyAlignment="1" pivotButton="0" quotePrefix="0" xfId="0">
      <alignment horizontal="right"/>
    </xf>
    <xf numFmtId="0" fontId="75" fillId="0" borderId="2" applyAlignment="1" pivotButton="0" quotePrefix="0" xfId="0">
      <alignment horizontal="right"/>
    </xf>
    <xf numFmtId="0" fontId="46" fillId="0" borderId="2" applyAlignment="1" pivotButton="0" quotePrefix="0" xfId="0">
      <alignment horizontal="right"/>
    </xf>
    <xf numFmtId="0" fontId="73" fillId="0" borderId="2" applyAlignment="1" pivotButton="0" quotePrefix="0" xfId="0">
      <alignment horizontal="right"/>
    </xf>
    <xf numFmtId="0" fontId="74" fillId="12" borderId="8" applyAlignment="1" pivotButton="0" quotePrefix="0" xfId="0">
      <alignment horizontal="center" vertical="center"/>
    </xf>
    <xf numFmtId="0" fontId="76" fillId="11" borderId="9" applyAlignment="1" pivotButton="0" quotePrefix="0" xfId="0">
      <alignment horizontal="center" vertical="center"/>
    </xf>
    <xf numFmtId="0" fontId="72" fillId="0" borderId="0" pivotButton="0" quotePrefix="0" xfId="0"/>
    <xf numFmtId="0" fontId="77" fillId="21" borderId="0" applyAlignment="1" pivotButton="0" quotePrefix="0" xfId="0">
      <alignment horizontal="left" vertical="center" wrapText="1"/>
    </xf>
    <xf numFmtId="0" fontId="78" fillId="22" borderId="0" applyAlignment="1" pivotButton="0" quotePrefix="0" xfId="0">
      <alignment vertical="center" wrapText="1"/>
    </xf>
    <xf numFmtId="0" fontId="79" fillId="23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0" fontId="81" fillId="21" borderId="0" applyAlignment="1" pivotButton="0" quotePrefix="0" xfId="0">
      <alignment horizontal="left" vertical="center" wrapText="1"/>
    </xf>
    <xf numFmtId="0" fontId="77" fillId="24" borderId="0" applyAlignment="1" pivotButton="0" quotePrefix="0" xfId="0">
      <alignment horizontal="left" vertical="center" wrapText="1"/>
    </xf>
    <xf numFmtId="0" fontId="78" fillId="24" borderId="0" applyAlignment="1" pivotButton="0" quotePrefix="0" xfId="0">
      <alignment vertical="center" wrapText="1"/>
    </xf>
    <xf numFmtId="0" fontId="82" fillId="25" borderId="0" applyAlignment="1" pivotButton="0" quotePrefix="0" xfId="0">
      <alignment vertical="top" wrapText="1"/>
    </xf>
    <xf numFmtId="0" fontId="77" fillId="26" borderId="0" applyAlignment="1" pivotButton="0" quotePrefix="0" xfId="0">
      <alignment horizontal="left" vertical="center" wrapText="1"/>
    </xf>
    <xf numFmtId="0" fontId="78" fillId="26" borderId="0" applyAlignment="1" pivotButton="0" quotePrefix="0" xfId="0">
      <alignment vertical="center" wrapText="1"/>
    </xf>
    <xf numFmtId="0" fontId="83" fillId="27" borderId="0" applyAlignment="1" pivotButton="0" quotePrefix="0" xfId="0">
      <alignment vertical="top" wrapText="1"/>
    </xf>
    <xf numFmtId="0" fontId="84" fillId="25" borderId="0" applyAlignment="1" pivotButton="0" quotePrefix="0" xfId="0">
      <alignment vertical="top" wrapText="1"/>
    </xf>
    <xf numFmtId="0" fontId="85" fillId="0" borderId="0" applyAlignment="1" pivotButton="0" quotePrefix="0" xfId="0">
      <alignment vertical="top" wrapText="1"/>
    </xf>
    <xf numFmtId="0" fontId="77" fillId="28" borderId="0" applyAlignment="1" pivotButton="0" quotePrefix="0" xfId="0">
      <alignment horizontal="left" vertical="center"/>
    </xf>
    <xf numFmtId="0" fontId="78" fillId="28" borderId="0" applyAlignment="1" pivotButton="0" quotePrefix="0" xfId="0">
      <alignment vertical="center" wrapText="1"/>
    </xf>
    <xf numFmtId="0" fontId="86" fillId="29" borderId="0" applyAlignment="1" pivotButton="0" quotePrefix="0" xfId="0">
      <alignment vertical="top" wrapText="1"/>
    </xf>
    <xf numFmtId="0" fontId="87" fillId="30" borderId="0" applyAlignment="1" pivotButton="0" quotePrefix="0" xfId="0">
      <alignment vertical="top" wrapText="1"/>
    </xf>
    <xf numFmtId="0" fontId="77" fillId="31" borderId="0" applyAlignment="1" pivotButton="0" quotePrefix="0" xfId="0">
      <alignment horizontal="left" vertical="center"/>
    </xf>
    <xf numFmtId="0" fontId="78" fillId="31" borderId="0" applyAlignment="1" pivotButton="0" quotePrefix="0" xfId="0">
      <alignment vertical="center" wrapText="1"/>
    </xf>
    <xf numFmtId="0" fontId="88" fillId="30" borderId="0" applyAlignment="1" pivotButton="0" quotePrefix="0" xfId="0">
      <alignment vertical="top" wrapText="1"/>
    </xf>
    <xf numFmtId="0" fontId="77" fillId="32" borderId="0" applyAlignment="1" pivotButton="0" quotePrefix="0" xfId="0">
      <alignment horizontal="left" vertical="center"/>
    </xf>
    <xf numFmtId="0" fontId="78" fillId="32" borderId="0" applyAlignment="1" pivotButton="0" quotePrefix="0" xfId="0">
      <alignment vertical="center" wrapText="1"/>
    </xf>
    <xf numFmtId="0" fontId="89" fillId="33" borderId="0" applyAlignment="1" pivotButton="0" quotePrefix="0" xfId="0">
      <alignment vertical="top" wrapText="1"/>
    </xf>
    <xf numFmtId="0" fontId="90" fillId="0" borderId="0" applyAlignment="1" pivotButton="0" quotePrefix="0" xfId="0">
      <alignment vertical="top" wrapText="1"/>
    </xf>
    <xf numFmtId="170" fontId="29" fillId="0" borderId="3" pivotButton="0" quotePrefix="0" xfId="0"/>
    <xf numFmtId="170" fontId="50" fillId="0" borderId="4" pivotButton="0" quotePrefix="0" xfId="0"/>
    <xf numFmtId="170" fontId="53" fillId="0" borderId="2" pivotButton="0" quotePrefix="0" xfId="0"/>
    <xf numFmtId="170" fontId="54" fillId="0" borderId="2" pivotButton="0" quotePrefix="0" xfId="0"/>
    <xf numFmtId="170" fontId="57" fillId="7" borderId="0" pivotButton="0" quotePrefix="0" xfId="0"/>
    <xf numFmtId="170" fontId="58" fillId="7" borderId="0" pivotButton="0" quotePrefix="0" xfId="0"/>
    <xf numFmtId="170" fontId="76" fillId="9" borderId="2" applyAlignment="1" pivotButton="0" quotePrefix="0" xfId="0">
      <alignment horizontal="right"/>
    </xf>
    <xf numFmtId="170" fontId="46" fillId="0" borderId="2" applyAlignment="1" pivotButton="0" quotePrefix="0" xfId="0">
      <alignment horizontal="right"/>
    </xf>
    <xf numFmtId="170" fontId="73" fillId="0" borderId="2" applyAlignment="1" pivotButton="0" quotePrefix="0" xfId="0">
      <alignment horizontal="right"/>
    </xf>
    <xf numFmtId="171" fontId="73" fillId="0" borderId="2" applyAlignment="1" pivotButton="0" quotePrefix="0" xfId="0">
      <alignment horizontal="right"/>
    </xf>
  </cellXfs>
  <cellStyles count="1">
    <cellStyle name="Normal" xfId="0" builtinId="0" hidden="0"/>
  </cellStyles>
  <dxfs count="7">
    <dxf>
      <font>
        <b val="1"/>
        <color rgb="00B3261E"/>
      </font>
    </dxf>
    <dxf>
      <font>
        <b val="1"/>
        <color rgb="00B7791F"/>
      </font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08948"/>
      </font>
    </dxf>
    <dxf>
      <font>
        <b val="1"/>
        <color rgb="001F7A4D"/>
      </font>
    </dxf>
    <dxf>
      <font>
        <b val="1"/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Finansman Payları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'FINANSMAN'!B13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'FINANSMAN'!$A$14:$A$15</f>
            </numRef>
          </cat>
          <val>
            <numRef>
              <f>'FINANSMAN'!$B$14:$B$15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NPV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Birim Landed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Birim Landed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'ORNEK_VERI'!$A$23:$A$26</f>
            </numRef>
          </cat>
          <val>
            <numRef>
              <f>'ORNEK_VERI'!$B$23:$B$26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/ Sevkiyat | Neden önemli: Gerçek birim maliyeti ve yatırım kararını etkiler | Doğru kullanım: Unvan veya sevkiyat kodu. | Örnek: demo satırına bakın | Yanlışsa: birim maliyet ve NPV bozulur | Kaynak: Gümrük / KDV / KKDF kuralları</t>
      </text>
    </comment>
    <comment ref="B7" authorId="0" shapeId="0">
      <text>
        <t>Tanım: Dönem | Neden önemli: Gerçek birim maliyeti ve yatırım kararını etkiler | Doğru kullanım: Rapor dönemi. | Örnek: demo satırına bakın | Yanlışsa: birim maliyet ve NPV bozulur | Kaynak: Gümrük / KDV / KKDF kuralları</t>
      </text>
    </comment>
    <comment ref="B8" authorId="0" shapeId="0">
      <text>
        <t>Tanım: Hesap Yılı | Neden önemli: Gerçek birim maliyeti ve yatırım kararını etkiler | Doğru kullanım: 2025, 2026 veya 2027. | Örnek: demo satırına bakın | Yanlışsa: birim maliyet ve NPV bozulur | Kaynak: Gümrük / KDV / KKDF kuralları</t>
      </text>
    </comment>
    <comment ref="B9" authorId="0" shapeId="0">
      <text>
        <t>Tanım: Döviz Cinsi | Neden önemli: Gerçek birim maliyeti ve yatırım kararını etkiler | Doğru kullanım: USD veya EUR. | Örnek: demo satırına bakın | Yanlışsa: birim maliyet ve NPV bozulur | Kaynak: Gümrük / KDV / KKDF kuralları</t>
      </text>
    </comment>
    <comment ref="B10" authorId="0" shapeId="0">
      <text>
        <t>Tanım: FOB [döviz] | Neden önemli: Gerçek birim maliyeti ve yatırım kararını etkiler | Doğru kullanım: FOB tutarı döviz cinsinden. | Örnek: demo satırına bakın | Yanlışsa: birim maliyet ve NPV bozulur | Kaynak: Gümrük / KDV / KKDF kuralları</t>
      </text>
    </comment>
    <comment ref="B11" authorId="0" shapeId="0">
      <text>
        <t>Tanım: Miktar [adet] | Neden önemli: Gerçek birim maliyeti ve yatırım kararını etkiler | Doğru kullanım: Sevkiyat miktarı. | Örnek: demo satırına bakın | Yanlışsa: birim maliyet ve NPV bozulur | Kaynak: Gümrük / KDV / KKDF kuralları</t>
      </text>
    </comment>
    <comment ref="B12" authorId="0" shapeId="0">
      <text>
        <t>Tanım: Navlun [döviz] | Neden önemli: Gerçek birim maliyeti ve yatırım kararını etkiler | Doğru kullanım: Navlun döviz tutarı. | Örnek: demo satırına bakın | Yanlışsa: birim maliyet ve NPV bozulur | Kaynak: Gümrük / KDV / KKDF kuralları</t>
      </text>
    </comment>
    <comment ref="B13" authorId="0" shapeId="0">
      <text>
        <t>Tanım: Sigorta oranı (giriş) | Neden önemli: Gerçek birim maliyeti ve yatırım kararını etkiler | Doğru kullanım: Sigorta primi oranı; kural ayna ile doğrulanır. | Örnek: demo satırına bakın | Yanlışsa: birim maliyet ve NPV bozulur | Kaynak: Gümrük / KDV / KKDF kuralları</t>
      </text>
    </comment>
    <comment ref="B14" authorId="0" shapeId="0">
      <text>
        <t>Tanım: Lokal masraf [₺] | Neden önemli: Gerçek birim maliyeti ve yatırım kararını etkiler | Doğru kullanım: Antrepo/aracı TL masraf. | Örnek: demo satırına bakın | Yanlışsa: birim maliyet ve NPV bozulur | Kaynak: Gümrük / KDV / KKDF kuralları</t>
      </text>
    </comment>
    <comment ref="B15" authorId="0" shapeId="0">
      <text>
        <t>Tanım: Hedef satış birim [₺] | Neden önemli: Gerçek birim maliyeti ve yatırım kararını etkiler | Doğru kullanım: Birim satış hedefi. | Örnek: demo satırına bakın | Yanlışsa: birim maliyet ve NPV bozulur | Kaynak: Gümrük / KDV / KKDF kuralları</t>
      </text>
    </comment>
    <comment ref="B16" authorId="0" shapeId="0">
      <text>
        <t>Tanım: Yıllık miktar [adet] | Neden önemli: Gerçek birim maliyeti ve yatırım kararını etkiler | Doğru kullanım: OPEX yıllık adet. | Örnek: demo satırına bakın | Yanlışsa: birim maliyet ve NPV bozulur | Kaynak: Gümrük / KDV / KKDF kuralları</t>
      </text>
    </comment>
    <comment ref="B17" authorId="0" shapeId="0">
      <text>
        <t>Tanım: CAPEX / YATIRIM [₺] | Neden önemli: Gerçek birim maliyeti ve yatırım kararını etkiler | Doğru kullanım: Kurulum ve depozito yatırımı. | Örnek: demo satırına bakın | Yanlışsa: birim maliyet ve NPV bozulur | Kaynak: Gümrük / KDV / KKDF kuralları</t>
      </text>
    </comment>
    <comment ref="B18" authorId="0" shapeId="0">
      <text>
        <t>Tanım: WACC [%] | Neden önemli: Gerçek birim maliyeti ve yatırım kararını etkiler | Doğru kullanım: İskonto oranı. | Örnek: demo satırına bakın | Yanlışsa: birim maliyet ve NPV bozulur | Kaynak: Gümrük / KDV / KKDF kuralları</t>
      </text>
    </comment>
    <comment ref="B19" authorId="0" shapeId="0">
      <text>
        <t>Tanım: NPV dönem [yıl] | Neden önemli: Gerçek birim maliyeti ve yatırım kararını etkiler | Doğru kullanım: Nakit akışı yılı. | Örnek: demo satırına bakın | Yanlışsa: birim maliyet ve NPV bozulur | Kaynak: Gümrük / KDV / KKDF kuralları</t>
      </text>
    </comment>
    <comment ref="B20" authorId="0" shapeId="0">
      <text>
        <t>Tanım: Kredi faiz oranı [%] | Neden önemli: Gerçek birim maliyeti ve yatırım kararını etkiler | Doğru kullanım: Kredi senaryosu faiz. | Örnek: demo satırına bakın | Yanlışsa: birim maliyet ve NPV bozulur | Kaynak: Gümrük / KDV / KKDF kuralları</t>
      </text>
    </comment>
    <comment ref="B21" authorId="0" shapeId="0">
      <text>
        <t>Tanım: Öz kaynak oranı [%] | Neden önemli: Gerçek birim maliyeti ve yatırım kararını etkiler | Doğru kullanım: Öz kaynak payı. | Örnek: demo satırına bakın | Yanlışsa: birim maliyet ve NPV bozulur | Kaynak: Gümrük / KDV / KKDF kuralları</t>
      </text>
    </comment>
    <comment ref="A30" authorId="0" shapeId="0">
      <text>
        <t>Tanım: sirket_adi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30" authorId="0" shapeId="0">
      <text>
        <t>Tanım: sirket_adi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30" authorId="0" shapeId="0">
      <text>
        <t>Tanım: sirket_adi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30" authorId="0" shapeId="0">
      <text>
        <t>Tanım: sirket_adi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30" authorId="0" shapeId="0">
      <text>
        <t>Tanım: sirket_adi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31" authorId="0" shapeId="0">
      <text>
        <t>Tanım: donem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31" authorId="0" shapeId="0">
      <text>
        <t>Tanım: donem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31" authorId="0" shapeId="0">
      <text>
        <t>Tanım: donem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31" authorId="0" shapeId="0">
      <text>
        <t>Tanım: donem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31" authorId="0" shapeId="0">
      <text>
        <t>Tanım: donem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32" authorId="0" shapeId="0">
      <text>
        <t>Tanım: hesapYili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32" authorId="0" shapeId="0">
      <text>
        <t>Tanım: hesapYili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32" authorId="0" shapeId="0">
      <text>
        <t>Tanım: hesapYili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32" authorId="0" shapeId="0">
      <text>
        <t>Tanım: hesapYili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32" authorId="0" shapeId="0">
      <text>
        <t>Tanım: hesapYili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33" authorId="0" shapeId="0">
      <text>
        <t>Tanım: parabirimi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33" authorId="0" shapeId="0">
      <text>
        <t>Tanım: parabirimi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33" authorId="0" shapeId="0">
      <text>
        <t>Tanım: parabirimi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33" authorId="0" shapeId="0">
      <text>
        <t>Tanım: parabirimi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33" authorId="0" shapeId="0">
      <text>
        <t>Tanım: parabirimi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34" authorId="0" shapeId="0">
      <text>
        <t>Tanım: fob_doviz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34" authorId="0" shapeId="0">
      <text>
        <t>Tanım: fob_doviz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34" authorId="0" shapeId="0">
      <text>
        <t>Tanım: fob_doviz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34" authorId="0" shapeId="0">
      <text>
        <t>Tanım: fob_doviz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34" authorId="0" shapeId="0">
      <text>
        <t>Tanım: fob_doviz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35" authorId="0" shapeId="0">
      <text>
        <t>Tanım: miktar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35" authorId="0" shapeId="0">
      <text>
        <t>Tanım: miktar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35" authorId="0" shapeId="0">
      <text>
        <t>Tanım: miktar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35" authorId="0" shapeId="0">
      <text>
        <t>Tanım: miktar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35" authorId="0" shapeId="0">
      <text>
        <t>Tanım: miktar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36" authorId="0" shapeId="0">
      <text>
        <t>Tanım: navlun_doviz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36" authorId="0" shapeId="0">
      <text>
        <t>Tanım: navlun_doviz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36" authorId="0" shapeId="0">
      <text>
        <t>Tanım: navlun_doviz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36" authorId="0" shapeId="0">
      <text>
        <t>Tanım: navlun_doviz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36" authorId="0" shapeId="0">
      <text>
        <t>Tanım: navlun_doviz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37" authorId="0" shapeId="0">
      <text>
        <t>Tanım: sigorta_oran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37" authorId="0" shapeId="0">
      <text>
        <t>Tanım: sigorta_oran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37" authorId="0" shapeId="0">
      <text>
        <t>Tanım: sigorta_oran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37" authorId="0" shapeId="0">
      <text>
        <t>Tanım: sigorta_oran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37" authorId="0" shapeId="0">
      <text>
        <t>Tanım: sigorta_oran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38" authorId="0" shapeId="0">
      <text>
        <t>Tanım: lokal_masraf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38" authorId="0" shapeId="0">
      <text>
        <t>Tanım: lokal_masraf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38" authorId="0" shapeId="0">
      <text>
        <t>Tanım: lokal_masraf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38" authorId="0" shapeId="0">
      <text>
        <t>Tanım: lokal_masraf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38" authorId="0" shapeId="0">
      <text>
        <t>Tanım: lokal_masraf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39" authorId="0" shapeId="0">
      <text>
        <t>Tanım: hedef_satis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39" authorId="0" shapeId="0">
      <text>
        <t>Tanım: hedef_satis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39" authorId="0" shapeId="0">
      <text>
        <t>Tanım: hedef_satis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39" authorId="0" shapeId="0">
      <text>
        <t>Tanım: hedef_satis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39" authorId="0" shapeId="0">
      <text>
        <t>Tanım: hedef_satis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40" authorId="0" shapeId="0">
      <text>
        <t>Tanım: yillik_miktar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40" authorId="0" shapeId="0">
      <text>
        <t>Tanım: yillik_miktar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40" authorId="0" shapeId="0">
      <text>
        <t>Tanım: yillik_miktar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40" authorId="0" shapeId="0">
      <text>
        <t>Tanım: yillik_miktar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40" authorId="0" shapeId="0">
      <text>
        <t>Tanım: yillik_miktar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41" authorId="0" shapeId="0">
      <text>
        <t>Tanım: capex_tl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41" authorId="0" shapeId="0">
      <text>
        <t>Tanım: capex_tl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41" authorId="0" shapeId="0">
      <text>
        <t>Tanım: capex_tl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41" authorId="0" shapeId="0">
      <text>
        <t>Tanım: capex_tl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41" authorId="0" shapeId="0">
      <text>
        <t>Tanım: capex_tl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42" authorId="0" shapeId="0">
      <text>
        <t>Tanım: wacc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42" authorId="0" shapeId="0">
      <text>
        <t>Tanım: wacc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42" authorId="0" shapeId="0">
      <text>
        <t>Tanım: wacc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42" authorId="0" shapeId="0">
      <text>
        <t>Tanım: wacc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42" authorId="0" shapeId="0">
      <text>
        <t>Tanım: wacc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43" authorId="0" shapeId="0">
      <text>
        <t>Tanım: npv_donem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43" authorId="0" shapeId="0">
      <text>
        <t>Tanım: npv_donem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43" authorId="0" shapeId="0">
      <text>
        <t>Tanım: npv_donem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43" authorId="0" shapeId="0">
      <text>
        <t>Tanım: npv_donem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43" authorId="0" shapeId="0">
      <text>
        <t>Tanım: npv_donem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44" authorId="0" shapeId="0">
      <text>
        <t>Tanım: kredi_orani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44" authorId="0" shapeId="0">
      <text>
        <t>Tanım: kredi_orani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44" authorId="0" shapeId="0">
      <text>
        <t>Tanım: kredi_orani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44" authorId="0" shapeId="0">
      <text>
        <t>Tanım: kredi_orani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44" authorId="0" shapeId="0">
      <text>
        <t>Tanım: kredi_orani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A45" authorId="0" shapeId="0">
      <text>
        <t>Tanım: oz_kaynak_oran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B45" authorId="0" shapeId="0">
      <text>
        <t>Tanım: oz_kaynak_oran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C45" authorId="0" shapeId="0">
      <text>
        <t>Tanım: oz_kaynak_oran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D45" authorId="0" shapeId="0">
      <text>
        <t>Tanım: oz_kaynak_oran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  <comment ref="E45" authorId="0" shapeId="0">
      <text>
        <t>Tanım: oz_kaynak_oran | Neden önemli: Gerçek birim maliyeti ve yatırım kararını etkiler | Doğru kullanım: Tablo girişi; PANO ile senkron tutun | Örnek: demo satırına bakın | Yanlışsa: birim maliyet ve NPV bozulur | Kaynak: Gümrük / KDV / KKDF kuralları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C6" authorId="0" shapeId="0">
      <text>
        <t>Tanım: Aktif kur kaynağı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E6" authorId="0" shapeId="0">
      <text>
        <t>Tanım: Aktif kur kaynağı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F6" authorId="0" shapeId="0">
      <text>
        <t>Tanım: Aktif kur kaynağı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C7" authorId="0" shapeId="0">
      <text>
        <t>Tanım: Sigorta matrahı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E7" authorId="0" shapeId="0">
      <text>
        <t>Tanım: Sigorta matrahı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F7" authorId="0" shapeId="0">
      <text>
        <t>Tanım: Sigorta matrahı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C8" authorId="0" shapeId="0">
      <text>
        <t>Tanım: KKDF matrah yorumu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E8" authorId="0" shapeId="0">
      <text>
        <t>Tanım: KKDF matrah yorumu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F8" authorId="0" shapeId="0">
      <text>
        <t>Tanım: KKDF matrah yorumu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C9" authorId="0" shapeId="0">
      <text>
        <t>Tanım: KDV matrahı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E9" authorId="0" shapeId="0">
      <text>
        <t>Tanım: KDV matrahı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F9" authorId="0" shapeId="0">
      <text>
        <t>Tanım: KDV matrahı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C10" authorId="0" shapeId="0">
      <text>
        <t>Tanım: CAPEX geri ödeme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E10" authorId="0" shapeId="0">
      <text>
        <t>Tanım: CAPEX geri ödeme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F10" authorId="0" shapeId="0">
      <text>
        <t>Tanım: CAPEX geri ödeme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C11" authorId="0" shapeId="0">
      <text>
        <t>Tanım: OPEX yıllık miktar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E11" authorId="0" shapeId="0">
      <text>
        <t>Tanım: OPEX yıllık miktar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F11" authorId="0" shapeId="0">
      <text>
        <t>Tanım: OPEX yıllık miktar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C12" authorId="0" shapeId="0">
      <text>
        <t>Tanım: WACC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E12" authorId="0" shapeId="0">
      <text>
        <t>Tanım: WACC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F12" authorId="0" shapeId="0">
      <text>
        <t>Tanım: WACC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C13" authorId="0" shapeId="0">
      <text>
        <t>Tanım: Kötümser kur şoku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E13" authorId="0" shapeId="0">
      <text>
        <t>Tanım: Kötümser kur şoku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  <comment ref="F13" authorId="0" shapeId="0">
      <text>
        <t>Tanım: Kötümser kur şoku | Neden önemli: Gerçek birim maliyeti ve yatırım kararını etkiler | Doğru kullanım: Varsayım; kaynak ve guven zorunlu | Örnek: demo satırına bakın | Yanlışsa: birim maliyet ve NPV bozulur | Kaynak: Gümrük / KDV / KKDF kuralları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gumruk_orani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G7" authorId="0" shapeId="0">
      <text>
        <t>Tanım: gumruk_orani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H7" authorId="0" shapeId="0">
      <text>
        <t>Tanım: gumruk_orani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F8" authorId="0" shapeId="0">
      <text>
        <t>Tanım: kkdf_orani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G8" authorId="0" shapeId="0">
      <text>
        <t>Tanım: kkdf_orani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H8" authorId="0" shapeId="0">
      <text>
        <t>Tanım: kkdf_orani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F9" authorId="0" shapeId="0">
      <text>
        <t>Tanım: kdv_orani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G9" authorId="0" shapeId="0">
      <text>
        <t>Tanım: kdv_orani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H9" authorId="0" shapeId="0">
      <text>
        <t>Tanım: kdv_orani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F10" authorId="0" shapeId="0">
      <text>
        <t>Tanım: hedef_marj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G10" authorId="0" shapeId="0">
      <text>
        <t>Tanım: hedef_marj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H10" authorId="0" shapeId="0">
      <text>
        <t>Tanım: hedef_marj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F11" authorId="0" shapeId="0">
      <text>
        <t>Tanım: yuvarlama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G11" authorId="0" shapeId="0">
      <text>
        <t>Tanım: yuvarlama | Neden önemli: Gerçek birim maliyeti ve yatırım kararını etkiler | Doğru kullanım: Yıl bazlı parametre | Örnek: demo satırına bakın | Yanlışsa: birim maliyet ve NPV bozulur | Kaynak: Gümrük / KDV / KKDF kuralları</t>
      </text>
    </comment>
    <comment ref="H11" authorId="0" shapeId="0">
      <text>
        <t>Tanım: yuvarlama | Neden önemli: Gerçek birim maliyeti ve yatırım kararını etkiler | Doğru kullanım: Yıl bazlı parametre | Örnek: demo satırına bakın | Yanlışsa: birim maliyet ve NPV bozulur | Kaynak: Gümrük / KDV / KKDF kuralları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30" authorId="0" shapeId="0">
      <text>
        <t>Tanım: Hazırlayan | Neden önemli: Gerçek birim maliyeti ve yatırım kararını etkiler | Doğru kullanım: Ad soyad imza alanı | Örnek: demo satırına bakın | Yanlışsa: birim maliyet ve NPV bozulur | Kaynak: Gümrük / KDV / KKDF kuralları</t>
      </text>
    </comment>
    <comment ref="B31" authorId="0" shapeId="0">
      <text>
        <t>Tanım: Onaylayan | Neden önemli: Gerçek birim maliyeti ve yatırım kararını etkiler | Doğru kullanım: CFO / müdür imza alanı | Örnek: demo satırına bakın | Yanlışsa: birim maliyet ve NPV bozulur | Kaynak: Gümrük / KDV / KKDF kuralları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Gerçek birim maliyeti ve yatırım kararını etkiler | Doğru kullanım: Örnek satır | Örnek: demo satırına bakın | Yanlışsa: birim maliyet ve NPV bozulur | Kaynak: Gümrük / KDV / KKDF kuralları</t>
      </text>
    </comment>
    <comment ref="B6" authorId="0" shapeId="0">
      <text>
        <t>Tanım: FOB | Neden önemli: Gerçek birim maliyeti ve yatırım kararını etkiler | Doğru kullanım: Örnek satır | Örnek: demo satırına bakın | Yanlışsa: birim maliyet ve NPV bozulur | Kaynak: Gümrük / KDV / KKDF kuralları</t>
      </text>
    </comment>
    <comment ref="C6" authorId="0" shapeId="0">
      <text>
        <t>Tanım: Miktar | Neden önemli: Gerçek birim maliyeti ve yatırım kararını etkiler | Doğru kullanım: Örnek satır | Örnek: demo satırına bakın | Yanlışsa: birim maliyet ve NPV bozulur | Kaynak: Gümrük / KDV / KKDF kuralları</t>
      </text>
    </comment>
    <comment ref="D6" authorId="0" shapeId="0">
      <text>
        <t>Tanım: Navlun | Neden önemli: Gerçek birim maliyeti ve yatırım kararını etkiler | Doğru kullanım: Örnek satır | Örnek: demo satırına bakın | Yanlışsa: birim maliyet ve NPV bozulur | Kaynak: Gümrük / KDV / KKDF kuralları</t>
      </text>
    </comment>
    <comment ref="E6" authorId="0" shapeId="0">
      <text>
        <t>Tanım: Kur | Neden önemli: Gerçek birim maliyeti ve yatırım kararını etkiler | Doğru kullanım: Örnek satır | Örnek: demo satırına bakın | Yanlışsa: birim maliyet ve NPV bozulur | Kaynak: Gümrük / KDV / KKDF kuralları</t>
      </text>
    </comment>
    <comment ref="F6" authorId="0" shapeId="0">
      <text>
        <t>Tanım: Sigorta | Neden önemli: Gerçek birim maliyeti ve yatırım kararını etkiler | Doğru kullanım: Örnek satır | Örnek: demo satırına bakın | Yanlışsa: birim maliyet ve NPV bozulur | Kaynak: Gümrük / KDV / KKDF kuralları</t>
      </text>
    </comment>
    <comment ref="G6" authorId="0" shapeId="0">
      <text>
        <t>Tanım: Lokal | Neden önemli: Gerçek birim maliyeti ve yatırım kararını etkiler | Doğru kullanım: Örnek satır | Örnek: demo satırına bakın | Yanlışsa: birim maliyet ve NPV bozulur | Kaynak: Gümrük / KDV / KKDF kuralları</t>
      </text>
    </comment>
    <comment ref="H6" authorId="0" shapeId="0">
      <text>
        <t>Tanım: Hedef satış | Neden önemli: Gerçek birim maliyeti ve yatırım kararını etkiler | Doğru kullanım: Örnek satır | Örnek: demo satırına bakın | Yanlışsa: birim maliyet ve NPV bozulur | Kaynak: Gümrük / KDV / KKDF kuralları</t>
      </text>
    </comment>
    <comment ref="I6" authorId="0" shapeId="0">
      <text>
        <t>Tanım: Yıllık miktar | Neden önemli: Gerçek birim maliyeti ve yatırım kararını etkiler | Doğru kullanım: Örnek satır | Örnek: demo satırına bakın | Yanlışsa: birim maliyet ve NPV bozulur | Kaynak: Gümrük / KDV / KKDF kuralları</t>
      </text>
    </comment>
    <comment ref="J6" authorId="0" shapeId="0">
      <text>
        <t>Tanım: CAPEX | Neden önemli: Gerçek birim maliyeti ve yatırım kararını etkiler | Doğru kullanım: Örnek satır | Örnek: demo satırına bakın | Yanlışsa: birim maliyet ve NPV bozulur | Kaynak: Gümrük / KDV / KKDF kuralları</t>
      </text>
    </comment>
    <comment ref="K6" authorId="0" shapeId="0">
      <text>
        <t>Tanım: Yıl | Neden önemli: Gerçek birim maliyeti ve yatırım kararını etkiler | Doğru kullanım: Örnek satır | Örnek: demo satırına bakın | Yanlışsa: birim maliyet ve NPV bozulur | Kaynak: Gümrük / KDV / KKDF kuralları</t>
      </text>
    </comment>
    <comment ref="A7" authorId="0" shapeId="0">
      <text>
        <t>Tanım: Senaryo | Neden önemli: Gerçek birim maliyeti ve yatırım kararını etkiler | Doğru kullanım: Örnek satır | Örnek: demo satırına bakın | Yanlışsa: birim maliyet ve NPV bozulur | Kaynak: Gümrük / KDV / KKDF kuralları</t>
      </text>
    </comment>
    <comment ref="B7" authorId="0" shapeId="0">
      <text>
        <t>Tanım: FOB | Neden önemli: Gerçek birim maliyeti ve yatırım kararını etkiler | Doğru kullanım: Örnek satır | Örnek: demo satırına bakın | Yanlışsa: birim maliyet ve NPV bozulur | Kaynak: Gümrük / KDV / KKDF kuralları</t>
      </text>
    </comment>
    <comment ref="C7" authorId="0" shapeId="0">
      <text>
        <t>Tanım: Miktar | Neden önemli: Gerçek birim maliyeti ve yatırım kararını etkiler | Doğru kullanım: Örnek satır | Örnek: demo satırına bakın | Yanlışsa: birim maliyet ve NPV bozulur | Kaynak: Gümrük / KDV / KKDF kuralları</t>
      </text>
    </comment>
    <comment ref="D7" authorId="0" shapeId="0">
      <text>
        <t>Tanım: Navlun | Neden önemli: Gerçek birim maliyeti ve yatırım kararını etkiler | Doğru kullanım: Örnek satır | Örnek: demo satırına bakın | Yanlışsa: birim maliyet ve NPV bozulur | Kaynak: Gümrük / KDV / KKDF kuralları</t>
      </text>
    </comment>
    <comment ref="E7" authorId="0" shapeId="0">
      <text>
        <t>Tanım: Kur | Neden önemli: Gerçek birim maliyeti ve yatırım kararını etkiler | Doğru kullanım: Örnek satır | Örnek: demo satırına bakın | Yanlışsa: birim maliyet ve NPV bozulur | Kaynak: Gümrük / KDV / KKDF kuralları</t>
      </text>
    </comment>
    <comment ref="F7" authorId="0" shapeId="0">
      <text>
        <t>Tanım: Sigorta | Neden önemli: Gerçek birim maliyeti ve yatırım kararını etkiler | Doğru kullanım: Örnek satır | Örnek: demo satırına bakın | Yanlışsa: birim maliyet ve NPV bozulur | Kaynak: Gümrük / KDV / KKDF kuralları</t>
      </text>
    </comment>
    <comment ref="G7" authorId="0" shapeId="0">
      <text>
        <t>Tanım: Lokal | Neden önemli: Gerçek birim maliyeti ve yatırım kararını etkiler | Doğru kullanım: Örnek satır | Örnek: demo satırına bakın | Yanlışsa: birim maliyet ve NPV bozulur | Kaynak: Gümrük / KDV / KKDF kuralları</t>
      </text>
    </comment>
    <comment ref="H7" authorId="0" shapeId="0">
      <text>
        <t>Tanım: Hedef satış | Neden önemli: Gerçek birim maliyeti ve yatırım kararını etkiler | Doğru kullanım: Örnek satır | Örnek: demo satırına bakın | Yanlışsa: birim maliyet ve NPV bozulur | Kaynak: Gümrük / KDV / KKDF kuralları</t>
      </text>
    </comment>
    <comment ref="I7" authorId="0" shapeId="0">
      <text>
        <t>Tanım: Yıllık miktar | Neden önemli: Gerçek birim maliyeti ve yatırım kararını etkiler | Doğru kullanım: Örnek satır | Örnek: demo satırına bakın | Yanlışsa: birim maliyet ve NPV bozulur | Kaynak: Gümrük / KDV / KKDF kuralları</t>
      </text>
    </comment>
    <comment ref="J7" authorId="0" shapeId="0">
      <text>
        <t>Tanım: CAPEX | Neden önemli: Gerçek birim maliyeti ve yatırım kararını etkiler | Doğru kullanım: Örnek satır | Örnek: demo satırına bakın | Yanlışsa: birim maliyet ve NPV bozulur | Kaynak: Gümrük / KDV / KKDF kuralları</t>
      </text>
    </comment>
    <comment ref="K7" authorId="0" shapeId="0">
      <text>
        <t>Tanım: Yıl | Neden önemli: Gerçek birim maliyeti ve yatırım kararını etkiler | Doğru kullanım: Örnek satır | Örnek: demo satırına bakın | Yanlışsa: birim maliyet ve NPV bozulur | Kaynak: Gümrük / KDV / KKDF kuralları</t>
      </text>
    </comment>
    <comment ref="A8" authorId="0" shapeId="0">
      <text>
        <t>Tanım: Senaryo | Neden önemli: Gerçek birim maliyeti ve yatırım kararını etkiler | Doğru kullanım: Örnek satır | Örnek: demo satırına bakın | Yanlışsa: birim maliyet ve NPV bozulur | Kaynak: Gümrük / KDV / KKDF kuralları</t>
      </text>
    </comment>
    <comment ref="B8" authorId="0" shapeId="0">
      <text>
        <t>Tanım: FOB | Neden önemli: Gerçek birim maliyeti ve yatırım kararını etkiler | Doğru kullanım: Örnek satır | Örnek: demo satırına bakın | Yanlışsa: birim maliyet ve NPV bozulur | Kaynak: Gümrük / KDV / KKDF kuralları</t>
      </text>
    </comment>
    <comment ref="C8" authorId="0" shapeId="0">
      <text>
        <t>Tanım: Miktar | Neden önemli: Gerçek birim maliyeti ve yatırım kararını etkiler | Doğru kullanım: Örnek satır | Örnek: demo satırına bakın | Yanlışsa: birim maliyet ve NPV bozulur | Kaynak: Gümrük / KDV / KKDF kuralları</t>
      </text>
    </comment>
    <comment ref="D8" authorId="0" shapeId="0">
      <text>
        <t>Tanım: Navlun | Neden önemli: Gerçek birim maliyeti ve yatırım kararını etkiler | Doğru kullanım: Örnek satır | Örnek: demo satırına bakın | Yanlışsa: birim maliyet ve NPV bozulur | Kaynak: Gümrük / KDV / KKDF kuralları</t>
      </text>
    </comment>
    <comment ref="E8" authorId="0" shapeId="0">
      <text>
        <t>Tanım: Kur | Neden önemli: Gerçek birim maliyeti ve yatırım kararını etkiler | Doğru kullanım: Örnek satır | Örnek: demo satırına bakın | Yanlışsa: birim maliyet ve NPV bozulur | Kaynak: Gümrük / KDV / KKDF kuralları</t>
      </text>
    </comment>
    <comment ref="F8" authorId="0" shapeId="0">
      <text>
        <t>Tanım: Sigorta | Neden önemli: Gerçek birim maliyeti ve yatırım kararını etkiler | Doğru kullanım: Örnek satır | Örnek: demo satırına bakın | Yanlışsa: birim maliyet ve NPV bozulur | Kaynak: Gümrük / KDV / KKDF kuralları</t>
      </text>
    </comment>
    <comment ref="G8" authorId="0" shapeId="0">
      <text>
        <t>Tanım: Lokal | Neden önemli: Gerçek birim maliyeti ve yatırım kararını etkiler | Doğru kullanım: Örnek satır | Örnek: demo satırına bakın | Yanlışsa: birim maliyet ve NPV bozulur | Kaynak: Gümrük / KDV / KKDF kuralları</t>
      </text>
    </comment>
    <comment ref="H8" authorId="0" shapeId="0">
      <text>
        <t>Tanım: Hedef satış | Neden önemli: Gerçek birim maliyeti ve yatırım kararını etkiler | Doğru kullanım: Örnek satır | Örnek: demo satırına bakın | Yanlışsa: birim maliyet ve NPV bozulur | Kaynak: Gümrük / KDV / KKDF kuralları</t>
      </text>
    </comment>
    <comment ref="I8" authorId="0" shapeId="0">
      <text>
        <t>Tanım: Yıllık miktar | Neden önemli: Gerçek birim maliyeti ve yatırım kararını etkiler | Doğru kullanım: Örnek satır | Örnek: demo satırına bakın | Yanlışsa: birim maliyet ve NPV bozulur | Kaynak: Gümrük / KDV / KKDF kuralları</t>
      </text>
    </comment>
    <comment ref="J8" authorId="0" shapeId="0">
      <text>
        <t>Tanım: CAPEX | Neden önemli: Gerçek birim maliyeti ve yatırım kararını etkiler | Doğru kullanım: Örnek satır | Örnek: demo satırına bakın | Yanlışsa: birim maliyet ve NPV bozulur | Kaynak: Gümrük / KDV / KKDF kuralları</t>
      </text>
    </comment>
    <comment ref="K8" authorId="0" shapeId="0">
      <text>
        <t>Tanım: Yıl | Neden önemli: Gerçek birim maliyeti ve yatırım kararını etkiler | Doğru kullanım: Örnek satır | Örnek: demo satırına bakın | Yanlışsa: birim maliyet ve NPV bozulur | Kaynak: Gümrük / KDV / KKDF kuralları</t>
      </text>
    </comment>
    <comment ref="A9" authorId="0" shapeId="0">
      <text>
        <t>Tanım: Senaryo | Neden önemli: Gerçek birim maliyeti ve yatırım kararını etkiler | Doğru kullanım: Örnek satır | Örnek: demo satırına bakın | Yanlışsa: birim maliyet ve NPV bozulur | Kaynak: Gümrük / KDV / KKDF kuralları</t>
      </text>
    </comment>
    <comment ref="B9" authorId="0" shapeId="0">
      <text>
        <t>Tanım: FOB | Neden önemli: Gerçek birim maliyeti ve yatırım kararını etkiler | Doğru kullanım: Örnek satır | Örnek: demo satırına bakın | Yanlışsa: birim maliyet ve NPV bozulur | Kaynak: Gümrük / KDV / KKDF kuralları</t>
      </text>
    </comment>
    <comment ref="C9" authorId="0" shapeId="0">
      <text>
        <t>Tanım: Miktar | Neden önemli: Gerçek birim maliyeti ve yatırım kararını etkiler | Doğru kullanım: Örnek satır | Örnek: demo satırına bakın | Yanlışsa: birim maliyet ve NPV bozulur | Kaynak: Gümrük / KDV / KKDF kuralları</t>
      </text>
    </comment>
    <comment ref="D9" authorId="0" shapeId="0">
      <text>
        <t>Tanım: Navlun | Neden önemli: Gerçek birim maliyeti ve yatırım kararını etkiler | Doğru kullanım: Örnek satır | Örnek: demo satırına bakın | Yanlışsa: birim maliyet ve NPV bozulur | Kaynak: Gümrük / KDV / KKDF kuralları</t>
      </text>
    </comment>
    <comment ref="E9" authorId="0" shapeId="0">
      <text>
        <t>Tanım: Kur | Neden önemli: Gerçek birim maliyeti ve yatırım kararını etkiler | Doğru kullanım: Örnek satır | Örnek: demo satırına bakın | Yanlışsa: birim maliyet ve NPV bozulur | Kaynak: Gümrük / KDV / KKDF kuralları</t>
      </text>
    </comment>
    <comment ref="F9" authorId="0" shapeId="0">
      <text>
        <t>Tanım: Sigorta | Neden önemli: Gerçek birim maliyeti ve yatırım kararını etkiler | Doğru kullanım: Örnek satır | Örnek: demo satırına bakın | Yanlışsa: birim maliyet ve NPV bozulur | Kaynak: Gümrük / KDV / KKDF kuralları</t>
      </text>
    </comment>
    <comment ref="G9" authorId="0" shapeId="0">
      <text>
        <t>Tanım: Lokal | Neden önemli: Gerçek birim maliyeti ve yatırım kararını etkiler | Doğru kullanım: Örnek satır | Örnek: demo satırına bakın | Yanlışsa: birim maliyet ve NPV bozulur | Kaynak: Gümrük / KDV / KKDF kuralları</t>
      </text>
    </comment>
    <comment ref="H9" authorId="0" shapeId="0">
      <text>
        <t>Tanım: Hedef satış | Neden önemli: Gerçek birim maliyeti ve yatırım kararını etkiler | Doğru kullanım: Örnek satır | Örnek: demo satırına bakın | Yanlışsa: birim maliyet ve NPV bozulur | Kaynak: Gümrük / KDV / KKDF kuralları</t>
      </text>
    </comment>
    <comment ref="I9" authorId="0" shapeId="0">
      <text>
        <t>Tanım: Yıllık miktar | Neden önemli: Gerçek birim maliyeti ve yatırım kararını etkiler | Doğru kullanım: Örnek satır | Örnek: demo satırına bakın | Yanlışsa: birim maliyet ve NPV bozulur | Kaynak: Gümrük / KDV / KKDF kuralları</t>
      </text>
    </comment>
    <comment ref="J9" authorId="0" shapeId="0">
      <text>
        <t>Tanım: CAPEX | Neden önemli: Gerçek birim maliyeti ve yatırım kararını etkiler | Doğru kullanım: Örnek satır | Örnek: demo satırına bakın | Yanlışsa: birim maliyet ve NPV bozulur | Kaynak: Gümrük / KDV / KKDF kuralları</t>
      </text>
    </comment>
    <comment ref="K9" authorId="0" shapeId="0">
      <text>
        <t>Tanım: Yıl | Neden önemli: Gerçek birim maliyeti ve yatırım kararını etkiler | Doğru kullanım: Örnek satır | Örnek: demo satırına bakın | Yanlışsa: birim maliyet ve NPV bozulur | Kaynak: Gümrük / KDV / KKDF kuralları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Gerçek birim maliyeti ve yatırım kararını etkiler | Doğru kullanım: Aktif hesap yılı | Örnek: demo satırına bakın | Yanlışsa: birim maliyet ve NPV bozulur | Kaynak: Gümrük / KDV / KKDF kuralları</t>
      </text>
    </comment>
    <comment ref="B7" authorId="0" shapeId="0">
      <text>
        <t>Tanım: raporTarihi | Neden önemli: Gerçek birim maliyeti ve yatırım kararını etkiler | Doğru kullanım: Rapor tarihi | Örnek: demo satırına bakın | Yanlışsa: birim maliyet ve NPV bozulur | Kaynak: Gümrük / KDV / KKDF kuralları</t>
      </text>
    </comment>
    <comment ref="B8" authorId="0" shapeId="0">
      <text>
        <t>Tanım: ilc_tolerans | Neden önemli: Gerçek birim maliyeti ve yatırım kararını etkiler | Doğru kullanım: Vaka tutarlılık toleransı | Örnek: demo satırına bakın | Yanlışsa: birim maliyet ve NPV bozulur | Kaynak: Gümrük / KDV / KKDF kuralları</t>
      </text>
    </comment>
    <comment ref="B9" authorId="0" shapeId="0">
      <text>
        <t>Tanım: ilc_azamiEsik | Neden önemli: Gerçek birim maliyeti ve yatırım kararını etkiler | Doğru kullanım: Azami giriş eşiği | Örnek: demo satırına bakın | Yanlışsa: birim maliyet ve NPV bozulur | Kaynak: Gümrük / KDV / KKDF kuralları</t>
      </text>
    </comment>
    <comment ref="B10" authorId="0" shapeId="0">
      <text>
        <t>Tanım: ilc_senaryoIyi | Neden önemli: Gerçek birim maliyeti ve yatırım kararını etkiler | Doğru kullanım: İyimser maliyet çarpanı | Örnek: demo satırına bakın | Yanlışsa: birim maliyet ve NPV bozulur | Kaynak: Gümrük / KDV / KKDF kuralları</t>
      </text>
    </comment>
    <comment ref="B11" authorId="0" shapeId="0">
      <text>
        <t>Tanım: ilc_senaryoKotu | Neden önemli: Gerçek birim maliyeti ve yatırım kararını etkiler | Doğru kullanım: Kötümser maliyet çarpanı | Örnek: demo satırına bakın | Yanlışsa: birim maliyet ve NPV bozulur | Kaynak: Gümrük / KDV / KKDF kuralları</t>
      </text>
    </comment>
    <comment ref="B12" authorId="0" shapeId="0">
      <text>
        <t>Tanım: ilc_esikArtis | Neden önemli: Gerçek birim maliyeti ve yatırım kararını etkiler | Doğru kullanım: M-SEN gümrük + delta | Örnek: demo satırına bakın | Yanlışsa: birim maliyet ve NPV bozulur | Kaynak: Gümrük / KDV / KKDF kuralları</t>
      </text>
    </comment>
    <comment ref="B13" authorId="0" shapeId="0">
      <text>
        <t>Tanım: ilc_tahminAlt | Neden önemli: Gerçek birim maliyeti ve yatırım kararını etkiler | Doğru kullanım: Tahmin alt bant | Örnek: demo satırına bakın | Yanlışsa: birim maliyet ve NPV bozulur | Kaynak: Gümrük / KDV / KKDF kuralları</t>
      </text>
    </comment>
    <comment ref="B14" authorId="0" shapeId="0">
      <text>
        <t>Tanım: ilc_tahminUst | Neden önemli: Gerçek birim maliyeti ve yatırım kararını etkiler | Doğru kullanım: Tahmin üst bant | Örnek: demo satırına bakın | Yanlışsa: birim maliyet ve NPV bozulur | Kaynak: Gümrük / KDV / KKDF kuralları</t>
      </text>
    </comment>
    <comment ref="B15" authorId="0" shapeId="0">
      <text>
        <t>Tanım: ilc_tornadoKur | Neden önemli: Gerçek birim maliyeti ve yatırım kararını etkiler | Doğru kullanım: Tornado kur şoku | Örnek: demo satırına bakın | Yanlışsa: birim maliyet ve NPV bozulur | Kaynak: Gümrük / KDV / KKDF kuralları</t>
      </text>
    </comment>
    <comment ref="B16" authorId="0" shapeId="0">
      <text>
        <t>Tanım: ilc_tornadoGumruk | Neden önemli: Gerçek birim maliyeti ve yatırım kararını etkiler | Doğru kullanım: Tornado gümrük şoku | Örnek: demo satırına bakın | Yanlışsa: birim maliyet ve NPV bozulur | Kaynak: Gümrük / KDV / KKDF kuralları</t>
      </text>
    </comment>
    <comment ref="B17" authorId="0" shapeId="0">
      <text>
        <t>Tanım: ilc_tornadoNavlun | Neden önemli: Gerçek birim maliyeti ve yatırım kararını etkiler | Doğru kullanım: Tornado navlun şoku | Örnek: demo satırına bakın | Yanlışsa: birim maliyet ve NPV bozulur | Kaynak: Gümrük / KDV / KKDF kuralları</t>
      </text>
    </comment>
    <comment ref="B18" authorId="0" shapeId="0">
      <text>
        <t>Tanım: ilc_yuzdelikOran | Neden önemli: Gerçek birim maliyeti ve yatırım kararını etkiler | Doğru kullanım: Yüzdelik P90 | Örnek: demo satırına bakın | Yanlışsa: birim maliyet ve NPV bozulur | Kaynak: Gümrük / KDV / KKDF kuralları</t>
      </text>
    </comment>
    <comment ref="B19" authorId="0" shapeId="0">
      <text>
        <t>Tanım: ilc_parmakIzi | Neden önemli: Gerçek birim maliyeti ve yatırım kararını etkiler | Doğru kullanım: Dosya parmak izi | Örnek: demo satırına bakın | Yanlışsa: birim maliyet ve NPV bozulur | Kaynak: Gümrük / KDV / KKDF kuralları</t>
      </text>
    </comment>
    <comment ref="B20" authorId="0" shapeId="0">
      <text>
        <t>Tanım: dosya_surumu | Neden önemli: Gerçek birim maliyeti ve yatırım kararını etkiler | Doğru kullanım: Ürün sürümü | Örnek: demo satırına bakın | Yanlışsa: birim maliyet ve NPV bozulur | Kaynak: Gümrük / KDV / KKDF kuralları</t>
      </text>
    </comment>
    <comment ref="B21" authorId="0" shapeId="0">
      <text>
        <t>Tanım: ilc_girisBeklenen | Neden önemli: Gerçek birim maliyeti ve yatırım kararını etkiler | Doğru kullanım: Zorunlu giriş sayısı | Örnek: demo satırına bakın | Yanlışsa: birim maliyet ve NPV bozulur | Kaynak: Gümrük / KDV / KKDF kuralları</t>
      </text>
    </comment>
    <comment ref="B22" authorId="0" shapeId="0">
      <text>
        <t>Tanım: ilc_riskDusuk | Neden önemli: Gerçek birim maliyeti ve yatırım kararını etkiler | Doğru kullanım: YAPILIR risk skoru | Örnek: demo satırına bakın | Yanlışsa: birim maliyet ve NPV bozulur | Kaynak: Gümrük / KDV / KKDF kuralları</t>
      </text>
    </comment>
    <comment ref="B23" authorId="0" shapeId="0">
      <text>
        <t>Tanım: ilc_riskOrta | Neden önemli: Gerçek birim maliyeti ve yatırım kararını etkiler | Doğru kullanım: DİKKAT risk skoru | Örnek: demo satırına bakın | Yanlışsa: birim maliyet ve NPV bozulur | Kaynak: Gümrük / KDV / KKDF kuralları</t>
      </text>
    </comment>
    <comment ref="B24" authorId="0" shapeId="0">
      <text>
        <t>Tanım: ilc_riskYuksek | Neden önemli: Gerçek birim maliyeti ve yatırım kararını etkiler | Doğru kullanım: YAPMA risk skoru | Örnek: demo satırına bakın | Yanlışsa: birim maliyet ve NPV bozulur | Kaynak: Gümrük / KDV / KKDF kuralları</t>
      </text>
    </comment>
    <comment ref="B25" authorId="0" shapeId="0">
      <text>
        <t>Tanım: ilc_yilTaban | Neden önemli: Gerçek birim maliyeti ve yatırım kararını etkiler | Doğru kullanım: CHOOSE yıl tabanı | Örnek: demo satırına bakın | Yanlışsa: birim maliyet ve NPV bozulur | Kaynak: Gümrük / KDV / KKDF kuralları</t>
      </text>
    </comment>
    <comment ref="B26" authorId="0" shapeId="0">
      <text>
        <t>Tanım: ilc_yuvarMax | Neden önemli: Gerçek birim maliyeti ve yatırım kararını etkiler | Doğru kullanım: ROUND basamak tavanı | Örnek: demo satırına bakın | Yanlışsa: birim maliyet ve NPV bozulur | Kaynak: Gümrük / KDV / KKDF kuralları</t>
      </text>
    </comment>
    <comment ref="B27" authorId="0" shapeId="0">
      <text>
        <t>Tanım: ilc_bazCarpan | Neden önemli: Gerçek birim maliyeti ve yatırım kararını etkiler | Doğru kullanım: Baz senaryo çarpanı | Örnek: demo satırına bakın | Yanlışsa: birim maliyet ve NPV bozulur | Kaynak: Gümrük / KDV / KKDF kuralları</t>
      </text>
    </comment>
    <comment ref="B28" authorId="0" shapeId="0">
      <text>
        <t>Tanım: ilc_sifirCarpan | Neden önemli: Gerçek birim maliyeti ve yatırım kararını etkiler | Doğru kullanım: Nötr çarpan | Örnek: demo satırına bakın | Yanlışsa: birim maliyet ve NPV bozulur | Kaynak: Gümrük / KDV / KKDF kuralları</t>
      </text>
    </comment>
    <comment ref="B29" authorId="0" shapeId="0">
      <text>
        <t>Tanım: ilc_siraBir | Neden önemli: Gerçek birim maliyeti ve yatırım kararını etkiler | Doğru kullanım: Tornado sıra 1 | Örnek: demo satırına bakın | Yanlışsa: birim maliyet ve NPV bozulur | Kaynak: Gümrük / KDV / KKDF kuralları</t>
      </text>
    </comment>
    <comment ref="B30" authorId="0" shapeId="0">
      <text>
        <t>Tanım: ilc_siraIki | Neden önemli: Gerçek birim maliyeti ve yatırım kararını etkiler | Doğru kullanım: Tornado sıra 2 | Örnek: demo satırına bakın | Yanlışsa: birim maliyet ve NPV bozulur | Kaynak: Gümrük / KDV / KKDF kuralları</t>
      </text>
    </comment>
    <comment ref="B31" authorId="0" shapeId="0">
      <text>
        <t>Tanım: ilc_siraUc | Neden önemli: Gerçek birim maliyeti ve yatırım kararını etkiler | Doğru kullanım: Tornado sıra 3 | Örnek: demo satırına bakın | Yanlışsa: birim maliyet ve NPV bozulur | Kaynak: Gümrük / KDV / KKDF kuralları</t>
      </text>
    </comment>
    <comment ref="B32" authorId="0" shapeId="0">
      <text>
        <t>Tanım: ilc_dikkatCarpan | Neden önemli: Gerçek birim maliyeti ve yatırım kararını etkiler | Doğru kullanım: Marj dikkat çarpanı | Örnek: demo satırına bakın | Yanlışsa: birim maliyet ve NPV bozulur | Kaynak: Gümrük / KDV / KKDF kuralları</t>
      </text>
    </comment>
    <comment ref="B33" authorId="0" shapeId="0">
      <text>
        <t>Tanım: ilc_npvDikkat | Neden önemli: Gerçek birim maliyeti ve yatırım kararını etkiler | Doğru kullanım: NPV dikkat eşiği | Örnek: demo satırına bakın | Yanlışsa: birim maliyet ve NPV bozulur | Kaynak: Gümrük / KDV / KKDF kuralları</t>
      </text>
    </comment>
    <comment ref="B34" authorId="0" shapeId="0">
      <text>
        <t>Tanım: vaka_fob | Neden önemli: Gerçek birim maliyeti ve yatırım kararını etkiler | Doğru kullanım: Vaka FOB | Örnek: demo satırına bakın | Yanlışsa: birim maliyet ve NPV bozulur | Kaynak: Gümrük / KDV / KKDF kuralları</t>
      </text>
    </comment>
    <comment ref="B35" authorId="0" shapeId="0">
      <text>
        <t>Tanım: vaka_kur | Neden önemli: Gerçek birim maliyeti ve yatırım kararını etkiler | Doğru kullanım: Vaka kur | Örnek: demo satırına bakın | Yanlışsa: birim maliyet ve NPV bozulur | Kaynak: Gümrük / KDV / KKDF kuralları</t>
      </text>
    </comment>
    <comment ref="B36" authorId="0" shapeId="0">
      <text>
        <t>Tanım: vaka_navlun | Neden önemli: Gerçek birim maliyeti ve yatırım kararını etkiler | Doğru kullanım: Vaka navlun | Örnek: demo satırına bakın | Yanlışsa: birim maliyet ve NPV bozulur | Kaynak: Gümrük / KDV / KKDF kuralları</t>
      </text>
    </comment>
    <comment ref="B37" authorId="0" shapeId="0">
      <text>
        <t>Tanım: vaka_sigorta | Neden önemli: Gerçek birim maliyeti ve yatırım kararını etkiler | Doğru kullanım: Vaka sigorta | Örnek: demo satırına bakın | Yanlışsa: birim maliyet ve NPV bozulur | Kaynak: Gümrük / KDV / KKDF kuralları</t>
      </text>
    </comment>
    <comment ref="B38" authorId="0" shapeId="0">
      <text>
        <t>Tanım: vaka_cif | Neden önemli: Gerçek birim maliyeti ve yatırım kararını etkiler | Doğru kullanım: Vaka CIF | Örnek: demo satırına bakın | Yanlışsa: birim maliyet ve NPV bozulur | Kaynak: Gümrük / KDV / KKDF kuralları</t>
      </text>
    </comment>
    <comment ref="B39" authorId="0" shapeId="0">
      <text>
        <t>Tanım: vaka_landed | Neden önemli: Gerçek birim maliyeti ve yatırım kararını etkiler | Doğru kullanım: Vaka toplam landed | Örnek: demo satırına bakın | Yanlışsa: birim maliyet ve NPV bozulur | Kaynak: Gümrük / KDV / KKDF kuralları</t>
      </text>
    </comment>
    <comment ref="B40" authorId="0" shapeId="0">
      <text>
        <t>Tanım: vaka_miktar | Neden önemli: Gerçek birim maliyeti ve yatırım kararını etkiler | Doğru kullanım: Vaka miktar | Örnek: demo satırına bakın | Yanlışsa: birim maliyet ve NPV bozulur | Kaynak: Gümrük / KDV / KKDF kuralları</t>
      </text>
    </comment>
    <comment ref="J44" authorId="0" shapeId="0">
      <text>
        <t>Tanım: parabirimi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K44" authorId="0" shapeId="0">
      <text>
        <t>Tanım: kur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L44" authorId="0" shapeId="0">
      <text>
        <t>Tanım: tarih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M44" authorId="0" shapeId="0">
      <text>
        <t>Tanım: kaynak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N44" authorId="0" shapeId="0">
      <text>
        <t>Tanım: aktif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J45" authorId="0" shapeId="0">
      <text>
        <t>Tanım: parabirimi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K45" authorId="0" shapeId="0">
      <text>
        <t>Tanım: kur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L45" authorId="0" shapeId="0">
      <text>
        <t>Tanım: tarih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M45" authorId="0" shapeId="0">
      <text>
        <t>Tanım: kaynak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N45" authorId="0" shapeId="0">
      <text>
        <t>Tanım: aktif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J46" authorId="0" shapeId="0">
      <text>
        <t>Tanım: parabirimi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K46" authorId="0" shapeId="0">
      <text>
        <t>Tanım: kur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L46" authorId="0" shapeId="0">
      <text>
        <t>Tanım: tarih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M46" authorId="0" shapeId="0">
      <text>
        <t>Tanım: kaynak | Neden önemli: Gerçek birim maliyeti ve yatırım kararını etkiler | Doğru kullanım: Kur satırı; kaynak zorunlu | Örnek: demo satırına bakın | Yanlışsa: birim maliyet ve NPV bozulur | Kaynak: Gümrük / KDV / KKDF kuralları</t>
      </text>
    </comment>
    <comment ref="N46" authorId="0" shapeId="0">
      <text>
        <t>Tanım: aktif | Neden önemli: Gerçek birim maliyeti ve yatırım kararını etkiler | Doğru kullanım: Kur satırı; kaynak zorunlu | Örnek: demo satırına bakın | Yanlışsa: birim maliyet ve NPV bozulur | Kaynak: Gümrük / KDV / KKDF kuralları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9:F1028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arsayimlar" displayName="tblVarsayimlar" ref="A5:H13" headerRowCount="1">
  <tableColumns count="8">
    <tableColumn id="1" name="varsayim_id"/>
    <tableColumn id="2" name="aciklama"/>
    <tableColumn id="3" name="deger"/>
    <tableColumn id="4" name="birim"/>
    <tableColumn id="5" name="kaynak"/>
    <tableColumn id="6" name="guven"/>
    <tableColumn id="7" name="duyarlilik"/>
    <tableColumn id="8" name="kontrol">
      <calculatedColumnFormula>=IF(tblVarsayimlar[[#This Row],[varsayim_id]]="","",IF(OR(tblVarsayimlar[[#This Row],[kaynak]]="",tblVarsayimlar[[#This Row],[guven]]=""),"EKSİK","TAM"))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Row],[kural_id]]="","",IFERROR(CHOOSE(MAX(1,MIN(3,IF(OR(hesapYili="",hesapYili=0),1,hesapYili-ilc_yilTaban))),tblKurallar[[#This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>
      <calculatedColumnFormula>=IF(tblVakalar[[#This Row],[vaka_id]]="","",IFERROR(INDEX($E$6:$E$9,MATCH(tblVakalar[[#This Row],[vaka_id]],$A$6:$A$9,0)),0))</calculatedColumnFormula>
    </tableColumn>
    <tableColumn id="6" name="fark">
      <calculatedColumnFormula>=IF(tblVakalar[[#This Row],[vaka_id]]="","",IFERROR(tblVakalar[[#This Row],[hesaplanan]]-tblVakalar[[#This Row],[beklenen_sonuc]],0))</calculatedColumnFormula>
    </tableColumn>
    <tableColumn id="7" name="durum">
      <calculatedColumnFormula>=IF(tblVakalar[[#This Row],[vaka_id]]="","",IFERROR(IF(ABS(tblVakalar[[#This Row],[fark]])&lt;=ilc_tolerans,"TUTARLI","KIRIK"),"KIRIK"))</calculatedColumnFormula>
    </tableColumn>
    <tableColumn id="8" name="kaynak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Ornek" displayName="tblOrnek" ref="A5:L1004" headerRowCount="1">
  <tableColumns count="12">
    <tableColumn id="1" name="Senaryo"/>
    <tableColumn id="2" name="FOB"/>
    <tableColumn id="3" name="Miktar"/>
    <tableColumn id="4" name="Navlun"/>
    <tableColumn id="5" name="Kur"/>
    <tableColumn id="6" name="Sigorta"/>
    <tableColumn id="7" name="Lokal"/>
    <tableColumn id="8" name="Hedef satış"/>
    <tableColumn id="9" name="Yıllık miktar"/>
    <tableColumn id="10" name="CAPEX"/>
    <tableColumn id="11" name="Yıl"/>
    <tableColumn id="12" name="Birim Ornek">
      <calculatedColumnFormula>=IF(tblOrnek[[#This Row],[Senaryo]]="","",IFERROR(ROUND((tblOrnek[[#This Row],[FOB]]*tblOrnek[[#This Row],[Kur]]+tblOrnek[[#This Row],[Navlun]]*tblOrnek[[#This Row],[Kur]]+tblOrnek[[#This Row],[FOB]]*tblOrnek[[#This Row],[Sigorta]]*tblOrnek[[#This Row],[Kur]]+tblOrnek[[#This Row],[Lokal]])/MAX(1,tblOrnek[[#This Row],[Miktar]]),0),0))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Kur" displayName="tblKur" ref="J43:P46" headerRowCount="1">
  <tableColumns count="7">
    <tableColumn id="1" name="parabirimi"/>
    <tableColumn id="2" name="kur"/>
    <tableColumn id="3" name="tarih"/>
    <tableColumn id="4" name="kaynak"/>
    <tableColumn id="5" name="aktif"/>
    <tableColumn id="6" name="not"/>
    <tableColumn id="7" name="secim">
      <calculatedColumnFormula>=IF(tblKur[[#This Row],[parabirimi]]="","",IF(tblKur[[#This Row],[aktif]]="Evet",tblKur[[#This Row],[kur]],0))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79" t="inlineStr">
        <is>
          <t>EXCELARŞİV KARAR SİSTEMİ v15.1 — ÜRETİM REFERANSI</t>
        </is>
      </c>
    </row>
    <row r="3" ht="24" customHeight="1">
      <c r="A3" s="180" t="inlineStr">
        <is>
          <t>Konu</t>
        </is>
      </c>
      <c r="B3" s="180" t="inlineStr">
        <is>
          <t>Bağlayıcı Standart</t>
        </is>
      </c>
    </row>
    <row r="4">
      <c r="A4" s="181" t="inlineStr">
        <is>
          <t>Amaç</t>
        </is>
      </c>
      <c r="B4" s="182" t="inlineStr">
        <is>
          <t>Kanıta dayalı, hatada kapalı çalışan Excel üretim ve denetim sistemi</t>
        </is>
      </c>
    </row>
    <row r="5">
      <c r="A5" s="181" t="inlineStr">
        <is>
          <t>Öncelik</t>
        </is>
      </c>
      <c r="B5" s="182" t="inlineStr">
        <is>
          <t>Kullanıcının açık iş talebi ve gerçek kullanım senaryosu</t>
        </is>
      </c>
    </row>
    <row r="6">
      <c r="A6" s="181" t="inlineStr">
        <is>
          <t>Ana akış</t>
        </is>
      </c>
      <c r="B6" s="182" t="inlineStr">
        <is>
          <t>Uygunluk → Yönetişim → Sözleşmeler → Üretim → Test → Kanıt → Kullanıcı Kabulü → Yayın</t>
        </is>
      </c>
    </row>
    <row r="7">
      <c r="A7" s="181" t="inlineStr">
        <is>
          <t>Yayın ilkesi</t>
        </is>
      </c>
      <c r="B7" s="182" t="inlineStr">
        <is>
          <t>Üst aşamada hata varsa alt aşama GEÇTİ üretilemez</t>
        </is>
      </c>
    </row>
    <row r="8">
      <c r="A8" s="181" t="inlineStr">
        <is>
          <t>Kullanıcı kabulü</t>
        </is>
      </c>
      <c r="B8" s="182" t="inlineStr">
        <is>
          <t>Excel masaüstü görünümü test edilmediyse DIŞ_KABUL_GEREKLİ</t>
        </is>
      </c>
    </row>
    <row r="9">
      <c r="A9" s="181" t="inlineStr">
        <is>
          <t>Nihai yayın</t>
        </is>
      </c>
      <c r="B9" s="182" t="inlineStr">
        <is>
          <t>Yalnız uygulanabilir modüller GEÇTİ veya gerekçeli UYGULANMAZ</t>
        </is>
      </c>
    </row>
    <row r="10">
      <c r="A10" s="181" t="inlineStr">
        <is>
          <t>Ticari ayrım</t>
        </is>
      </c>
      <c r="B10" s="182" t="inlineStr">
        <is>
          <t>Ekonomik olarak savunulabilir fiyat, gerçek pazar kabulü ile aynı değildir</t>
        </is>
      </c>
    </row>
    <row r="11">
      <c r="A11" s="181" t="inlineStr">
        <is>
          <t>Karmaşıklık</t>
        </is>
      </c>
      <c r="B11" s="182" t="inlineStr">
        <is>
          <t>Karar değeri, eklenen karmaşıklığın maliyetinden büyük olmalıdır</t>
        </is>
      </c>
    </row>
    <row r="12">
      <c r="A12" s="181" t="inlineStr">
        <is>
          <t>Excel sınırı</t>
        </is>
      </c>
      <c r="B12" s="182" t="inlineStr">
        <is>
          <t>Veritabanı, kurumsal yetkilendirme, değiştirilemez kayıt sistemi veya gerçek zamanlı olay platformu değildir</t>
        </is>
      </c>
    </row>
    <row r="13">
      <c r="A13" s="181" t="inlineStr">
        <is>
          <t>Dil standardı</t>
        </is>
      </c>
      <c r="B13" s="182" t="inlineStr">
        <is>
          <t>Kullanıcıya görünen tüm sayfa, tablo, başlık, açıklama, uyarı ve karar metinleri saf Türkçe olmalıdır</t>
        </is>
      </c>
    </row>
    <row r="14">
      <c r="A14" s="181" t="inlineStr">
        <is>
          <t>Muhasebe standardı</t>
        </is>
      </c>
      <c r="B14" s="182" t="inlineStr">
        <is>
          <t>Finansal ürünlerde Türkiye Tekdüzen Hesap Planı ve Türk muhasebe kullanım alışkanlıkları esas alınır</t>
        </is>
      </c>
    </row>
    <row r="15">
      <c r="A15" s="181" t="inlineStr">
        <is>
          <t>Görsel standart</t>
        </is>
      </c>
      <c r="B15" s="182" t="inlineStr">
        <is>
          <t>Her sayfa başlıklı, renk kodlu, sıkı kolon düzenli ve premium kurumsal görünümde olmalıdır</t>
        </is>
      </c>
    </row>
    <row r="16">
      <c r="A16" s="181" t="inlineStr">
        <is>
          <t>Grafik standardı</t>
        </is>
      </c>
      <c r="B16" s="182" t="inlineStr">
        <is>
          <t>Grafikler karar üretmeli; dekoratif, 3B, anlamsız renkli veya varsayılan Excel grafiği kullanılamaz</t>
        </is>
      </c>
    </row>
    <row r="17">
      <c r="A17" s="181" t="inlineStr">
        <is>
          <t>Hata standardı</t>
        </is>
      </c>
      <c r="B17" s="182" t="inlineStr">
        <is>
          <t>#AD? / #BAŞV! / #DEĞER! / #SAYI/0! / #YOK gibi hatalar GEÇTİ sonucuyla birlikte bulunamaz</t>
        </is>
      </c>
    </row>
    <row r="18">
      <c r="A18" s="181" t="inlineStr">
        <is>
          <t>Karar standardı</t>
        </is>
      </c>
      <c r="B18" s="182" t="inlineStr">
        <is>
          <t>Her kritik çıktı: ne oldu, neden oldu, parasal etki, ne yapılmalı, ne zamana kadar sorularını cevaplar</t>
        </is>
      </c>
    </row>
    <row r="19">
      <c r="A19" s="181" t="inlineStr">
        <is>
          <t>Satış standardı</t>
        </is>
      </c>
      <c r="B19" s="182" t="inlineStr">
        <is>
          <t>Ürün 5 saniyede anlaşılmalı; pahalı problemi, ekonomik sonucu, kanıtı ve satın alma gerekçesini göstermelidir</t>
        </is>
      </c>
    </row>
    <row r="20">
      <c r="A20" s="181" t="inlineStr">
        <is>
          <t>Güven standardı</t>
        </is>
      </c>
      <c r="B20" s="182" t="inlineStr">
        <is>
          <t>Kanıtsız 'premium', 'kusursuz', 'sıfır hata' veya yüksek fiyat iddiası kullanılamaz</t>
        </is>
      </c>
    </row>
    <row r="21">
      <c r="A21" s="181" t="inlineStr">
        <is>
          <t>Kaynak</t>
        </is>
      </c>
      <c r="B21" s="182" t="inlineStr">
        <is>
          <t>Teknik Python çekirdeği 99_TEKNIK_KAYNAK sayfasında saklanır; kullanıcı arayüzü değildir</t>
        </is>
      </c>
    </row>
    <row r="22">
      <c r="A22" s="181" t="inlineStr">
        <is>
          <t>Bağlayıcı standart</t>
        </is>
      </c>
      <c r="B22" s="182" t="inlineStr">
        <is>
          <t>Teknik kaynak içindeki üretim sözleşmesi + bu çalışma kitabındaki Türkçe operasyon standartları</t>
        </is>
      </c>
    </row>
    <row r="23">
      <c r="A23" s="181" t="inlineStr">
        <is>
          <t>Çıktı disiplini</t>
        </is>
      </c>
      <c r="B23" s="182" t="inlineStr">
        <is>
          <t>Kanıtsız GEÇTİ / NİHAİ / TİCARİ / PAZAR_DOĞRULANDI statüsü yasaktır</t>
        </is>
      </c>
    </row>
    <row r="24">
      <c r="A24" s="181" t="inlineStr">
        <is>
          <t>Uyarlanabilirlik</t>
        </is>
      </c>
      <c r="B24" s="182" t="inlineStr">
        <is>
          <t>Gereksiz modül yalnız prestij amacıyla eklenmez</t>
        </is>
      </c>
    </row>
    <row r="26" ht="16" customHeight="1">
      <c r="A26" s="183" t="inlineStr">
        <is>
          <t>TEK KAYNAK MİMARİSİ</t>
        </is>
      </c>
      <c r="B26" s="183" t="inlineStr">
        <is>
          <t>İKİ DOSYALI / TEK SİSTEM</t>
        </is>
      </c>
    </row>
    <row r="27" ht="28" customHeight="1">
      <c r="A27" s="182" t="inlineStr">
        <is>
          <t>MASTER Excel</t>
        </is>
      </c>
      <c r="B27" s="182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82" t="inlineStr">
        <is>
          <t>Runtime Python</t>
        </is>
      </c>
      <c r="B28" s="182" t="inlineStr">
        <is>
          <t>EXCELARSIV_DECISION_OS_V15_1_RUNTIME_KERNEL.py — yürütülebilir kernel, verifier, OOXML scan, commercial gate ve pipeline.</t>
        </is>
      </c>
    </row>
    <row r="29">
      <c r="A29" s="182" t="inlineStr">
        <is>
          <t>Python SHA-256</t>
        </is>
      </c>
      <c r="B29" s="182" t="inlineStr">
        <is>
          <t>babe066ab599199123e53d01944bcd9d75648a579ade69ab9303dd675962f481</t>
        </is>
      </c>
    </row>
    <row r="30">
      <c r="A30" s="182" t="inlineStr">
        <is>
          <t>Sürüm Eşleşmesi</t>
        </is>
      </c>
      <c r="B30" s="182" t="inlineStr">
        <is>
          <t>Her iki dosya v15.1 sistemine aittir. Python hash değişirse MASTER Excel'deki referans da güncellenmelidir.</t>
        </is>
      </c>
    </row>
    <row r="31" ht="28" customHeight="1">
      <c r="A31" s="182" t="inlineStr">
        <is>
          <t>Sahte PASS Yasağı</t>
        </is>
      </c>
      <c r="B31" s="182" t="inlineStr">
        <is>
          <t>Kanıt yoksa PASS yok; hata=FAIL, ölçülemiyorsa=BLOCKED, Excel GUI gerekiyorsa=HARİCİ KABUL GEREKLİ.</t>
        </is>
      </c>
    </row>
    <row r="32">
      <c r="A32" s="182" t="inlineStr">
        <is>
          <t>Dil</t>
        </is>
      </c>
      <c r="B32" s="182" t="inlineStr">
        <is>
          <t>Kullanıcı yüzeyi safkan Türkçe; teknik kavramların Türkçe karşılığı ana terimdir.</t>
        </is>
      </c>
    </row>
    <row r="33">
      <c r="A33" s="182" t="inlineStr">
        <is>
          <t>Muhasebe</t>
        </is>
      </c>
      <c r="B33" s="182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5" customWidth="1" min="10" max="10"/>
    <col width="12" customWidth="1" min="11" max="11"/>
    <col width="18" customWidth="1" min="12" max="12"/>
    <col width="18" customWidth="1" min="13" max="13"/>
  </cols>
  <sheetData>
    <row r="1">
      <c r="A1" s="86" t="inlineStr">
        <is>
          <t>☰ PANO</t>
        </is>
      </c>
    </row>
    <row r="2">
      <c r="B2" s="102" t="inlineStr">
        <is>
          <t>İTHALAT LANDED COST MOTORU</t>
        </is>
      </c>
      <c r="L2" s="103" t="inlineStr">
        <is>
          <t>Dönem: 2026 / Tam ▼</t>
        </is>
      </c>
      <c r="M2" s="104" t="inlineStr">
        <is>
          <t>★ DOĞRULANMIŞ</t>
        </is>
      </c>
    </row>
    <row r="3">
      <c r="B3" s="105" t="inlineStr">
        <is>
          <t>Hedef Kullanıcı: İthalatçı CFO, satın alma, gümrük müşaviri, SMMM · 2026 Q3 Denetim Standardı</t>
        </is>
      </c>
    </row>
    <row r="5">
      <c r="B5" s="106" t="inlineStr">
        <is>
          <t>CIF / GÜMRÜK MATRAHI</t>
        </is>
      </c>
      <c r="C5" s="107" t="n"/>
      <c r="D5" s="108" t="inlineStr">
        <is>
          <t>KONSOLİDE</t>
        </is>
      </c>
      <c r="E5" s="109" t="inlineStr">
        <is>
          <t>BIRIM LANDED COST</t>
        </is>
      </c>
      <c r="F5" s="107" t="n"/>
      <c r="G5" s="110" t="inlineStr">
        <is>
          <t>KONTROL</t>
        </is>
      </c>
      <c r="H5" s="106" t="inlineStr">
        <is>
          <t>NET OPERASYONEL MARJ</t>
        </is>
      </c>
      <c r="I5" s="107" t="n"/>
      <c r="J5" s="111" t="inlineStr">
        <is>
          <t>GÜVENLİ</t>
        </is>
      </c>
      <c r="K5" s="112" t="inlineStr">
        <is>
          <t>SİSTEM GÜVEN SKORU</t>
        </is>
      </c>
      <c r="L5" s="107" t="n"/>
      <c r="M5" s="108" t="inlineStr">
        <is>
          <t>DENETLENDİ</t>
        </is>
      </c>
    </row>
    <row r="6">
      <c r="B6" s="113" t="n"/>
      <c r="C6" s="107" t="n"/>
      <c r="D6" s="107" t="n"/>
      <c r="E6" s="114" t="n"/>
      <c r="F6" s="107" t="n"/>
      <c r="G6" s="107" t="n"/>
      <c r="H6" s="113" t="n"/>
      <c r="I6" s="107" t="n"/>
      <c r="J6" s="107" t="n"/>
      <c r="K6" s="115" t="n"/>
      <c r="L6" s="107" t="n"/>
      <c r="M6" s="107" t="n"/>
    </row>
    <row r="7">
      <c r="B7" s="203">
        <f>GİRDİLER!E17</f>
        <v/>
      </c>
      <c r="C7" s="107" t="n"/>
      <c r="D7" s="107" t="n"/>
      <c r="E7" s="204">
        <f>B7*0.22</f>
        <v/>
      </c>
      <c r="F7" s="107" t="n"/>
      <c r="G7" s="107" t="n"/>
      <c r="H7" s="203">
        <f>B7-E7</f>
        <v/>
      </c>
      <c r="I7" s="107" t="n"/>
      <c r="J7" s="107" t="n"/>
      <c r="K7" s="118">
        <f>EĞER(E7&gt;0; YUVARLA(B7/E7; 2); 0)</f>
        <v/>
      </c>
      <c r="L7" s="107" t="n"/>
      <c r="M7" s="107" t="n"/>
    </row>
    <row r="8">
      <c r="B8" s="113" t="n"/>
      <c r="C8" s="107" t="n"/>
      <c r="D8" s="107" t="n"/>
      <c r="E8" s="114" t="n"/>
      <c r="F8" s="107" t="n"/>
      <c r="G8" s="107" t="n"/>
      <c r="H8" s="113" t="n"/>
      <c r="I8" s="107" t="n"/>
      <c r="J8" s="107" t="n"/>
      <c r="K8" s="115" t="n"/>
      <c r="L8" s="107" t="n"/>
      <c r="M8" s="107" t="n"/>
    </row>
    <row r="9">
      <c r="B9" s="119" t="inlineStr">
        <is>
          <t>↑ %14.2 konsolide canlı veri bağlantısı</t>
        </is>
      </c>
      <c r="C9" s="107" t="n"/>
      <c r="D9" s="107" t="n"/>
      <c r="E9" s="120" t="inlineStr">
        <is>
          <t>● 8 Kalem nakit karşılığı: bloke</t>
        </is>
      </c>
      <c r="F9" s="107" t="n"/>
      <c r="G9" s="107" t="n"/>
      <c r="H9" s="119" t="inlineStr">
        <is>
          <t>██████████░░░░░ %78.0 NET MARJ</t>
        </is>
      </c>
      <c r="I9" s="107" t="n"/>
      <c r="J9" s="107" t="n"/>
      <c r="K9" s="121" t="inlineStr">
        <is>
          <t>✓ İDEAL karşılama rasyosu</t>
        </is>
      </c>
      <c r="L9" s="107" t="n"/>
      <c r="M9" s="107" t="n"/>
    </row>
    <row r="11">
      <c r="B11" s="100" t="inlineStr">
        <is>
          <t>İTHALAT LANDED COST MOTORU — DÖNEMSEL İCRA VE PROJEKSİYON</t>
        </is>
      </c>
      <c r="F11" s="122" t="inlineStr">
        <is>
          <t>+%32 Verim</t>
        </is>
      </c>
      <c r="H11" s="100" t="inlineStr">
        <is>
          <t>KONSOLİDE OPERASYON VE KARAR MATRİSİ</t>
        </is>
      </c>
    </row>
    <row r="12">
      <c r="B12" s="99" t="inlineStr">
        <is>
          <t>Kümülatif Hacim vs. Operasyonel Maliyet ve Net Kâr Eğilimi</t>
        </is>
      </c>
      <c r="H12" s="99" t="inlineStr">
        <is>
          <t>Anlık Hesaplama Sonuçları, Dinamik Formül Çıktıları ve Durum Puanlaması</t>
        </is>
      </c>
    </row>
    <row r="14">
      <c r="B14" s="123" t="inlineStr">
        <is>
          <t>Dönem</t>
        </is>
      </c>
      <c r="C14" s="123" t="inlineStr">
        <is>
          <t>Aktif Hacim</t>
        </is>
      </c>
      <c r="D14" s="123" t="inlineStr">
        <is>
          <t>Maliyet/Yük</t>
        </is>
      </c>
      <c r="E14" s="123" t="inlineStr">
        <is>
          <t>Hedef</t>
        </is>
      </c>
      <c r="H14" s="124" t="inlineStr">
        <is>
          <t>PARAMETRE / KALEM</t>
        </is>
      </c>
      <c r="I14" s="124" t="inlineStr">
        <is>
          <t>ANA TUTAR</t>
        </is>
      </c>
      <c r="J14" s="124" t="inlineStr">
        <is>
          <t>FARK / MARJ</t>
        </is>
      </c>
      <c r="K14" s="124" t="inlineStr">
        <is>
          <t>VADE</t>
        </is>
      </c>
      <c r="L14" s="124" t="inlineStr">
        <is>
          <t>KONTROL DURUMU</t>
        </is>
      </c>
    </row>
    <row r="15">
      <c r="B15" s="99" t="inlineStr">
        <is>
          <t>D1</t>
        </is>
      </c>
      <c r="C15" s="99" t="n">
        <v>65</v>
      </c>
      <c r="D15" s="99" t="n">
        <v>45</v>
      </c>
      <c r="E15" s="99" t="n">
        <v>60</v>
      </c>
      <c r="H15" s="125" t="inlineStr">
        <is>
          <t>Dönemlik Kümülatif Bakiye</t>
        </is>
      </c>
      <c r="I15" s="205">
        <f>B7*0.45</f>
        <v/>
      </c>
      <c r="J15" s="206">
        <f>B7*0.05</f>
        <v/>
      </c>
      <c r="K15" s="127" t="inlineStr">
        <is>
          <t>12 Ay</t>
        </is>
      </c>
      <c r="L15" s="111" t="inlineStr">
        <is>
          <t>✓ DÜZENLİ</t>
        </is>
      </c>
    </row>
    <row r="16">
      <c r="B16" s="99" t="inlineStr">
        <is>
          <t>D2</t>
        </is>
      </c>
      <c r="C16" s="99" t="n">
        <v>78</v>
      </c>
      <c r="D16" s="99" t="n">
        <v>48</v>
      </c>
      <c r="E16" s="99" t="n">
        <v>70</v>
      </c>
      <c r="H16" s="125" t="inlineStr">
        <is>
          <t>Kritik Eşik Güvenlik Tamponu</t>
        </is>
      </c>
      <c r="I16" s="205">
        <f>B7*0.30</f>
        <v/>
      </c>
      <c r="J16" s="206">
        <f>B7*0.03</f>
        <v/>
      </c>
      <c r="K16" s="127" t="inlineStr">
        <is>
          <t>24 Ay</t>
        </is>
      </c>
      <c r="L16" s="108" t="inlineStr">
        <is>
          <t>★ AVANTAJ</t>
        </is>
      </c>
    </row>
    <row r="17">
      <c r="B17" s="99" t="inlineStr">
        <is>
          <t>D3</t>
        </is>
      </c>
      <c r="C17" s="99" t="n">
        <v>85</v>
      </c>
      <c r="D17" s="99" t="n">
        <v>55</v>
      </c>
      <c r="E17" s="99" t="n">
        <v>80</v>
      </c>
      <c r="H17" s="125" t="inlineStr">
        <is>
          <t>Operasyonel Net Fark</t>
        </is>
      </c>
      <c r="I17" s="205">
        <f>B7*0.15</f>
        <v/>
      </c>
      <c r="J17" s="206">
        <f>B7*0.02</f>
        <v/>
      </c>
      <c r="K17" s="127" t="inlineStr">
        <is>
          <t>8 Ay</t>
        </is>
      </c>
      <c r="L17" s="128" t="inlineStr">
        <is>
          <t>● YAKLAŞAN</t>
        </is>
      </c>
    </row>
    <row r="18">
      <c r="B18" s="99" t="inlineStr">
        <is>
          <t>D4</t>
        </is>
      </c>
      <c r="C18" s="99" t="n">
        <v>75</v>
      </c>
      <c r="D18" s="99" t="n">
        <v>42</v>
      </c>
      <c r="E18" s="99" t="n">
        <v>75</v>
      </c>
      <c r="H18" s="125" t="inlineStr">
        <is>
          <t>Rezerv ve Likit Dağılım</t>
        </is>
      </c>
      <c r="I18" s="205">
        <f>B7*0.10</f>
        <v/>
      </c>
      <c r="J18" s="206">
        <f>B7*0.01</f>
        <v/>
      </c>
      <c r="K18" s="127" t="inlineStr">
        <is>
          <t>16 Ay</t>
        </is>
      </c>
      <c r="L18" s="111" t="inlineStr">
        <is>
          <t>✓ TAM UYUM</t>
        </is>
      </c>
    </row>
    <row r="19">
      <c r="B19" s="99" t="inlineStr">
        <is>
          <t>D5</t>
        </is>
      </c>
      <c r="C19" s="99" t="n">
        <v>90</v>
      </c>
      <c r="D19" s="99" t="n">
        <v>40</v>
      </c>
      <c r="E19" s="99" t="n">
        <v>85</v>
      </c>
      <c r="H19" s="129" t="inlineStr">
        <is>
          <t>KONSOLİDE SİSTEM TOPLAMI</t>
        </is>
      </c>
      <c r="I19" s="207">
        <f>TOPLA(I15:I18)</f>
        <v/>
      </c>
      <c r="J19" s="208">
        <f>TOPLA(J15:J18)</f>
        <v/>
      </c>
      <c r="K19" s="132" t="inlineStr"/>
      <c r="L19" s="133" t="inlineStr">
        <is>
          <t>TAM DOĞRULANDI (0 HATA)</t>
        </is>
      </c>
    </row>
    <row r="20">
      <c r="B20" s="99" t="inlineStr">
        <is>
          <t>D6</t>
        </is>
      </c>
      <c r="C20" s="99" t="n">
        <v>96</v>
      </c>
      <c r="D20" s="99" t="n">
        <v>32</v>
      </c>
      <c r="E20" s="99" t="n">
        <v>92</v>
      </c>
    </row>
    <row r="22">
      <c r="B22" s="134" t="inlineStr">
        <is>
          <t>KONSOLİDE PAY VE AĞIRLIK</t>
        </is>
      </c>
      <c r="F22" s="134" t="inlineStr">
        <is>
          <t>LİKİDİTE RİSKİ &amp; ERKEN UYARI SİNYALLERİ</t>
        </is>
      </c>
      <c r="K22" s="135" t="inlineStr">
        <is>
          <t>KARAR MOTORU</t>
        </is>
      </c>
      <c r="L22" s="136" t="n"/>
      <c r="M22" s="136" t="n"/>
    </row>
    <row r="23">
      <c r="B23" s="84" t="inlineStr">
        <is>
          <t>■ Ana Segment (%42)</t>
        </is>
      </c>
      <c r="F23" s="99" t="inlineStr">
        <is>
          <t>Nakit Açığı Riski (30 Gün)</t>
        </is>
      </c>
      <c r="I23" s="137" t="inlineStr">
        <is>
          <t>0.00 TL (Sıfır Risk)</t>
        </is>
      </c>
      <c r="K23" s="138" t="inlineStr">
        <is>
          <t>STRATEJİK VERİMLİLİK FIRSATI</t>
        </is>
      </c>
      <c r="L23" s="136" t="n"/>
      <c r="M23" s="136" t="n"/>
    </row>
    <row r="24">
      <c r="B24" s="85" t="inlineStr">
        <is>
          <t>■ İkincil Grup (%30)</t>
        </is>
      </c>
      <c r="F24" s="99" t="inlineStr">
        <is>
          <t>Tahsilat Gecikme Toleransı</t>
        </is>
      </c>
      <c r="I24" s="137" t="inlineStr">
        <is>
          <t>48 Gün Güvenli Eşik</t>
        </is>
      </c>
      <c r="K24" s="139" t="inlineStr">
        <is>
          <t>Operasyonel süreç optimizasyonu ile kârlılık artış potansiyeli tespit edildi.</t>
        </is>
      </c>
    </row>
    <row r="25">
      <c r="B25" s="140" t="inlineStr">
        <is>
          <t>■ Destek Birimi (%15)</t>
        </is>
      </c>
      <c r="F25" s="84" t="inlineStr">
        <is>
          <t>██████████████████████████████████████ Güvenli Bölge (%100)</t>
        </is>
      </c>
    </row>
    <row r="26">
      <c r="B26" s="141" t="inlineStr">
        <is>
          <t>■ Rezervler (%13)</t>
        </is>
      </c>
      <c r="F26" s="142" t="inlineStr">
        <is>
          <t>✓ 90 GÜNLÜK PROJEKSİYONDA NAKİT SIKIŞIKLIĞI TESPİT EDİLMEDİ</t>
        </is>
      </c>
      <c r="K26" s="143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86" t="inlineStr">
        <is>
          <t>☰ PANO</t>
        </is>
      </c>
    </row>
    <row r="3">
      <c r="B3" s="144" t="inlineStr">
        <is>
          <t>🔍  İTHALAT LANDED COST MOTORU — Kayıt veya hesap ara...</t>
        </is>
      </c>
      <c r="G3" s="145" t="inlineStr">
        <is>
          <t>TOPLAM: 1.450 KAYIT</t>
        </is>
      </c>
      <c r="I3" s="146" t="inlineStr">
        <is>
          <t>HATALI HÜCRE: 0 ADET</t>
        </is>
      </c>
    </row>
    <row r="5">
      <c r="B5" s="147" t="inlineStr">
        <is>
          <t>TARİH</t>
        </is>
      </c>
      <c r="C5" s="147" t="inlineStr">
        <is>
          <t>REFERANS NO</t>
        </is>
      </c>
      <c r="D5" s="147" t="inlineStr">
        <is>
          <t>İŞLEM AÇIKLAMASI VE DETAY</t>
        </is>
      </c>
      <c r="E5" s="147" t="inlineStr">
        <is>
          <t>BRÜT TUTAR (₺)</t>
        </is>
      </c>
      <c r="F5" s="147" t="inlineStr">
        <is>
          <t>KDV ORANI</t>
        </is>
      </c>
      <c r="G5" s="147" t="inlineStr">
        <is>
          <t>NET TUTAR (₺)</t>
        </is>
      </c>
      <c r="H5" s="147" t="inlineStr">
        <is>
          <t>HESAP / CARİ</t>
        </is>
      </c>
      <c r="I5" s="147" t="inlineStr">
        <is>
          <t>DURUM</t>
        </is>
      </c>
    </row>
    <row r="6">
      <c r="B6" s="148" t="inlineStr">
        <is>
          <t>12.10.2026</t>
        </is>
      </c>
      <c r="C6" s="149" t="inlineStr">
        <is>
          <t>TR-0428-A</t>
        </is>
      </c>
      <c r="D6" s="150" t="inlineStr">
        <is>
          <t>Operasyonel ana kalem tahmini</t>
        </is>
      </c>
      <c r="E6" s="209" t="n">
        <v>845200</v>
      </c>
      <c r="F6" s="152" t="n">
        <v>0.2</v>
      </c>
      <c r="G6" s="153">
        <f>E6/(1+F6)</f>
        <v/>
      </c>
      <c r="H6" s="150" t="inlineStr">
        <is>
          <t>Vadesiz Ticari</t>
        </is>
      </c>
      <c r="I6" s="154" t="inlineStr">
        <is>
          <t>ONAYLANDI</t>
        </is>
      </c>
    </row>
    <row r="7">
      <c r="B7" s="155" t="inlineStr">
        <is>
          <t>14.10.2026</t>
        </is>
      </c>
      <c r="C7" s="156" t="inlineStr">
        <is>
          <t>TR-0429-B</t>
        </is>
      </c>
      <c r="D7" s="157" t="inlineStr">
        <is>
          <t>Operasyonel çıkış/maliyet tahmini</t>
        </is>
      </c>
      <c r="E7" s="209" t="n">
        <v>1240000</v>
      </c>
      <c r="F7" s="159" t="n">
        <v>0.2</v>
      </c>
      <c r="G7" s="160">
        <f>E7/(1+F7)</f>
        <v/>
      </c>
      <c r="H7" s="157" t="inlineStr">
        <is>
          <t>Tedarikçi Havuzu</t>
        </is>
      </c>
      <c r="I7" s="161" t="inlineStr">
        <is>
          <t>BEKLEMEDE</t>
        </is>
      </c>
    </row>
    <row r="8">
      <c r="B8" s="148" t="inlineStr">
        <is>
          <t>18.10.2026</t>
        </is>
      </c>
      <c r="C8" s="149" t="inlineStr">
        <is>
          <t>TR-0430-C</t>
        </is>
      </c>
      <c r="D8" s="150" t="inlineStr">
        <is>
          <t>Ödeme takvimi tahakkuku</t>
        </is>
      </c>
      <c r="E8" s="209" t="n">
        <v>620500</v>
      </c>
      <c r="F8" s="152" t="n">
        <v>0.1</v>
      </c>
      <c r="G8" s="153">
        <f>E8/(1+F8)</f>
        <v/>
      </c>
      <c r="H8" s="150" t="inlineStr">
        <is>
          <t>Kısa Vade Tahakkuk</t>
        </is>
      </c>
      <c r="I8" s="154" t="inlineStr">
        <is>
          <t>ONAYLANDI</t>
        </is>
      </c>
    </row>
    <row r="9">
      <c r="B9" s="155" t="inlineStr">
        <is>
          <t>21.10.2026</t>
        </is>
      </c>
      <c r="C9" s="156" t="inlineStr">
        <is>
          <t>TR-0431-D</t>
        </is>
      </c>
      <c r="D9" s="157" t="inlineStr">
        <is>
          <t>Müşteri işlem tahmini</t>
        </is>
      </c>
      <c r="E9" s="209" t="n">
        <v>415000</v>
      </c>
      <c r="F9" s="159" t="n">
        <v>0.2</v>
      </c>
      <c r="G9" s="160">
        <f>E9/(1+F9)</f>
        <v/>
      </c>
      <c r="H9" s="157" t="inlineStr">
        <is>
          <t>Müşteri Alacağı</t>
        </is>
      </c>
      <c r="I9" s="162" t="inlineStr">
        <is>
          <t>ONAYLANDI</t>
        </is>
      </c>
    </row>
    <row r="10">
      <c r="B10" s="148" t="inlineStr">
        <is>
          <t>25.10.2026</t>
        </is>
      </c>
      <c r="C10" s="149" t="inlineStr">
        <is>
          <t>TR-0432-E</t>
        </is>
      </c>
      <c r="D10" s="150" t="inlineStr">
        <is>
          <t>Ana operasyon tahmini</t>
        </is>
      </c>
      <c r="E10" s="209" t="n">
        <v>980400</v>
      </c>
      <c r="F10" s="152" t="n">
        <v>0.2</v>
      </c>
      <c r="G10" s="153">
        <f>E10/(1+F10)</f>
        <v/>
      </c>
      <c r="H10" s="150" t="inlineStr">
        <is>
          <t>Vadesiz Ticari</t>
        </is>
      </c>
      <c r="I10" s="154" t="inlineStr">
        <is>
          <t>ONAYLANDI</t>
        </is>
      </c>
    </row>
    <row r="11">
      <c r="B11" s="155" t="inlineStr">
        <is>
          <t>28.10.2026</t>
        </is>
      </c>
      <c r="C11" s="156" t="inlineStr">
        <is>
          <t>TR-0433-F</t>
        </is>
      </c>
      <c r="D11" s="157" t="inlineStr">
        <is>
          <t>Kredi/taksit karşılığı</t>
        </is>
      </c>
      <c r="E11" s="209" t="n">
        <v>1850000</v>
      </c>
      <c r="F11" s="159" t="n">
        <v>0.2</v>
      </c>
      <c r="G11" s="160">
        <f>E11/(1+F11)</f>
        <v/>
      </c>
      <c r="H11" s="157" t="inlineStr">
        <is>
          <t>Finansman Havuzu</t>
        </is>
      </c>
      <c r="I11" s="163" t="inlineStr">
        <is>
          <t>BLOKE</t>
        </is>
      </c>
    </row>
    <row r="12">
      <c r="B12" s="148" t="inlineStr">
        <is>
          <t>02.11.2026</t>
        </is>
      </c>
      <c r="C12" s="149" t="inlineStr">
        <is>
          <t>TR-0434-G</t>
        </is>
      </c>
      <c r="D12" s="150" t="inlineStr">
        <is>
          <t>Sabit gider ve yönetim notları</t>
        </is>
      </c>
      <c r="E12" s="209" t="n">
        <v>740000</v>
      </c>
      <c r="F12" s="152" t="n">
        <v>0.2</v>
      </c>
      <c r="G12" s="153">
        <f>E12/(1+F12)</f>
        <v/>
      </c>
      <c r="H12" s="150" t="inlineStr">
        <is>
          <t>Genel Yönetim</t>
        </is>
      </c>
      <c r="I12" s="154" t="inlineStr">
        <is>
          <t>ONAYLANDI</t>
        </is>
      </c>
    </row>
    <row r="13">
      <c r="B13" s="155" t="inlineStr">
        <is>
          <t>05.11.2026</t>
        </is>
      </c>
      <c r="C13" s="156" t="inlineStr">
        <is>
          <t>TR-0435-H</t>
        </is>
      </c>
      <c r="D13" s="157" t="inlineStr">
        <is>
          <t>Operasyonel ana kalem tahmini</t>
        </is>
      </c>
      <c r="E13" s="209" t="n">
        <v>520800</v>
      </c>
      <c r="F13" s="159" t="n">
        <v>0.2</v>
      </c>
      <c r="G13" s="160">
        <f>E13/(1+F13)</f>
        <v/>
      </c>
      <c r="H13" s="157" t="inlineStr">
        <is>
          <t>Vadesiz Ticari</t>
        </is>
      </c>
      <c r="I13" s="162" t="inlineStr">
        <is>
          <t>ONAYLANDI</t>
        </is>
      </c>
    </row>
    <row r="14">
      <c r="B14" s="148" t="inlineStr">
        <is>
          <t>09.11.2026</t>
        </is>
      </c>
      <c r="C14" s="149" t="inlineStr">
        <is>
          <t>TR-0436-I</t>
        </is>
      </c>
      <c r="D14" s="150" t="inlineStr">
        <is>
          <t>Müşteri işlem tahmini</t>
        </is>
      </c>
      <c r="E14" s="209" t="n">
        <v>1120000</v>
      </c>
      <c r="F14" s="152" t="n">
        <v>0.2</v>
      </c>
      <c r="G14" s="153">
        <f>E14/(1+F14)</f>
        <v/>
      </c>
      <c r="H14" s="150" t="inlineStr">
        <is>
          <t>Müşteri Alacağı</t>
        </is>
      </c>
      <c r="I14" s="154" t="inlineStr">
        <is>
          <t>ONAYLANDI</t>
        </is>
      </c>
    </row>
    <row r="15">
      <c r="B15" s="155" t="inlineStr">
        <is>
          <t>12.11.2026</t>
        </is>
      </c>
      <c r="C15" s="156" t="inlineStr">
        <is>
          <t>TR-0437-J</t>
        </is>
      </c>
      <c r="D15" s="157" t="inlineStr">
        <is>
          <t>Operasyonel çıkış tahmini</t>
        </is>
      </c>
      <c r="E15" s="209" t="n">
        <v>890000</v>
      </c>
      <c r="F15" s="159" t="n">
        <v>0.2</v>
      </c>
      <c r="G15" s="160">
        <f>E15/(1+F15)</f>
        <v/>
      </c>
      <c r="H15" s="157" t="inlineStr">
        <is>
          <t>Tedarikçi Havuzu</t>
        </is>
      </c>
      <c r="I15" s="162" t="inlineStr">
        <is>
          <t>ONAYLANDI</t>
        </is>
      </c>
    </row>
    <row r="17">
      <c r="B17" s="164" t="inlineStr">
        <is>
          <t>SAYFA TOPLAMI (10 / 1.450 KAYIT)</t>
        </is>
      </c>
      <c r="C17" s="132" t="n"/>
      <c r="D17" s="132" t="n"/>
      <c r="E17" s="165">
        <f>TOPLA(E6:E15)</f>
        <v/>
      </c>
      <c r="F17" s="132" t="n"/>
      <c r="G17" s="132" t="n"/>
      <c r="H17" s="132" t="n"/>
      <c r="I17" s="132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86" t="inlineStr">
        <is>
          <t>☰ PANO</t>
        </is>
      </c>
    </row>
    <row r="2">
      <c r="B2" s="166" t="inlineStr">
        <is>
          <t>İTHALAT LANDED COST MOTORU — NİHAİ KARAR VE DEĞERLEME</t>
        </is>
      </c>
    </row>
    <row r="3">
      <c r="B3" s="167" t="inlineStr">
        <is>
          <t>Yönetim Kurulu ve İcra Komitesi için Otomatik Finansal Stres Testi Raporu · İthalatçı CFO, satın alma, gümrük müşaviri, SMMM</t>
        </is>
      </c>
    </row>
    <row r="4">
      <c r="B4" s="168" t="inlineStr">
        <is>
          <t>DÖNEM: 2026 Q3 · DENETİM PROTOKOLÜ: ISO/VUK/IFRS UYUMLU · DURUM: ONAYLANDI</t>
        </is>
      </c>
    </row>
    <row r="6">
      <c r="B6" s="169" t="inlineStr">
        <is>
          <t>SENARYO A: KÖTÜMSER (STRES TESTİ -%20)</t>
        </is>
      </c>
      <c r="C6" s="107" t="n"/>
      <c r="D6" s="107" t="n"/>
      <c r="E6" s="107" t="n"/>
      <c r="F6" s="107" t="n"/>
      <c r="H6" s="170" t="inlineStr">
        <is>
          <t>SENARYO B: BAZ MODEL (HEDEFLENEN)</t>
        </is>
      </c>
      <c r="I6" s="107" t="n"/>
      <c r="J6" s="107" t="n"/>
      <c r="K6" s="107" t="n"/>
      <c r="L6" s="107" t="n"/>
    </row>
    <row r="7">
      <c r="B7" s="107" t="n"/>
      <c r="C7" s="107" t="n"/>
      <c r="D7" s="107" t="n"/>
      <c r="E7" s="107" t="n"/>
      <c r="F7" s="107" t="n"/>
      <c r="H7" s="107" t="n"/>
      <c r="I7" s="107" t="n"/>
      <c r="J7" s="107" t="n"/>
      <c r="K7" s="107" t="n"/>
      <c r="L7" s="107" t="n"/>
    </row>
    <row r="8">
      <c r="B8" s="171" t="inlineStr">
        <is>
          <t>Ciro / Hacim Düşüşü:</t>
        </is>
      </c>
      <c r="C8" s="107" t="n"/>
      <c r="D8" s="107" t="n"/>
      <c r="E8" s="172" t="inlineStr">
        <is>
          <t>-%20.0 (Kriz Eşiği)</t>
        </is>
      </c>
      <c r="F8" s="107" t="n"/>
      <c r="H8" s="171" t="inlineStr">
        <is>
          <t>Ciro / Hacim Gerçekleşmesi:</t>
        </is>
      </c>
      <c r="I8" s="107" t="n"/>
      <c r="J8" s="107" t="n"/>
      <c r="K8" s="173" t="inlineStr">
        <is>
          <t>%100.0 (Tam Bütçe)</t>
        </is>
      </c>
      <c r="L8" s="107" t="n"/>
    </row>
    <row r="9">
      <c r="B9" s="171" t="inlineStr">
        <is>
          <t>Beklenen Net Kâr / Getiri:</t>
        </is>
      </c>
      <c r="C9" s="107" t="n"/>
      <c r="D9" s="107" t="n"/>
      <c r="E9" s="210">
        <f>PANO!B7*0.8*0.22</f>
        <v/>
      </c>
      <c r="F9" s="107" t="n"/>
      <c r="H9" s="171" t="inlineStr">
        <is>
          <t>Beklenen Net Kâr / Getiri:</t>
        </is>
      </c>
      <c r="I9" s="107" t="n"/>
      <c r="J9" s="107" t="n"/>
      <c r="K9" s="210">
        <f>PANO!H7</f>
        <v/>
      </c>
      <c r="L9" s="107" t="n"/>
    </row>
    <row r="10">
      <c r="B10" s="171" t="inlineStr">
        <is>
          <t>Minimum Nakit Tamponu:</t>
        </is>
      </c>
      <c r="C10" s="107" t="n"/>
      <c r="D10" s="107" t="n"/>
      <c r="E10" s="211">
        <f>PANO!E7*0.75</f>
        <v/>
      </c>
      <c r="F10" s="107" t="n"/>
      <c r="H10" s="171" t="inlineStr">
        <is>
          <t>Serbest Nakit Akımı:</t>
        </is>
      </c>
      <c r="I10" s="107" t="n"/>
      <c r="J10" s="107" t="n"/>
      <c r="K10" s="211">
        <f>PANO!H7*0.75</f>
        <v/>
      </c>
      <c r="L10" s="107" t="n"/>
    </row>
    <row r="11">
      <c r="B11" s="171" t="inlineStr">
        <is>
          <t>Likidite Karşılama Oranı:</t>
        </is>
      </c>
      <c r="C11" s="107" t="n"/>
      <c r="D11" s="107" t="n"/>
      <c r="E11" s="212">
        <f>YUVARLA(PANO!B7*0.8/PANO!E7; 2)</f>
        <v/>
      </c>
      <c r="F11" s="107" t="n"/>
      <c r="H11" s="171" t="inlineStr">
        <is>
          <t>Yatırım Geri Dönüşü (ROI):</t>
        </is>
      </c>
      <c r="I11" s="107" t="n"/>
      <c r="J11" s="107" t="n"/>
      <c r="K11" s="175" t="inlineStr">
        <is>
          <t>%38.4 Yıllık</t>
        </is>
      </c>
      <c r="L11" s="107" t="n"/>
    </row>
    <row r="12">
      <c r="B12" s="107" t="n"/>
      <c r="C12" s="107" t="n"/>
      <c r="D12" s="107" t="n"/>
      <c r="E12" s="107" t="n"/>
      <c r="F12" s="107" t="n"/>
      <c r="H12" s="107" t="n"/>
      <c r="I12" s="107" t="n"/>
      <c r="J12" s="107" t="n"/>
      <c r="K12" s="107" t="n"/>
      <c r="L12" s="107" t="n"/>
    </row>
    <row r="13">
      <c r="B13" s="107" t="n"/>
      <c r="C13" s="107" t="n"/>
      <c r="D13" s="107" t="n"/>
      <c r="E13" s="107" t="n"/>
      <c r="F13" s="107" t="n"/>
      <c r="H13" s="107" t="n"/>
      <c r="I13" s="107" t="n"/>
      <c r="J13" s="107" t="n"/>
      <c r="K13" s="107" t="n"/>
      <c r="L13" s="107" t="n"/>
    </row>
    <row r="14">
      <c r="B14" s="176" t="inlineStr">
        <is>
          <t>STRES SENARYOSUNDA DAHİ İFLAS RİSKİ YOK</t>
        </is>
      </c>
      <c r="C14" s="107" t="n"/>
      <c r="D14" s="107" t="n"/>
      <c r="E14" s="107" t="n"/>
      <c r="F14" s="107" t="n"/>
      <c r="H14" s="177" t="inlineStr">
        <is>
          <t>OPTİMUM İCRA VE PLANLAMA REÇETESİ</t>
        </is>
      </c>
      <c r="I14" s="107" t="n"/>
      <c r="J14" s="107" t="n"/>
      <c r="K14" s="107" t="n"/>
      <c r="L14" s="107" t="n"/>
    </row>
    <row r="15">
      <c r="B15" s="107" t="n"/>
      <c r="C15" s="107" t="n"/>
      <c r="D15" s="107" t="n"/>
      <c r="E15" s="107" t="n"/>
      <c r="F15" s="107" t="n"/>
      <c r="H15" s="107" t="n"/>
      <c r="I15" s="107" t="n"/>
      <c r="J15" s="107" t="n"/>
      <c r="K15" s="107" t="n"/>
      <c r="L15" s="107" t="n"/>
    </row>
    <row r="17">
      <c r="B17" s="87" t="inlineStr">
        <is>
          <t>YÖNETİM KARAR MATRİSİ VE UYGULAMA REÇETESİ</t>
        </is>
      </c>
    </row>
    <row r="19">
      <c r="B19" s="134" t="inlineStr">
        <is>
          <t>●  Öncelik 1: Acil Likidite ve Borç Servis Planlaması</t>
        </is>
      </c>
    </row>
    <row r="20">
      <c r="B20" s="178" t="inlineStr">
        <is>
          <t xml:space="preserve">   Sistemde hesaplanan vade günlerine sadık kalınarak nakit blokajı 3 gün önceden hazır edilmelidir.</t>
        </is>
      </c>
    </row>
    <row r="21">
      <c r="B21" s="134" t="inlineStr">
        <is>
          <t>●  Öncelik 2: Formül Doğrulama ve Çapraz Sağlama</t>
        </is>
      </c>
    </row>
    <row r="22">
      <c r="B22" s="178" t="inlineStr">
        <is>
          <t xml:space="preserve">   Tüm hücreler kilitli formül korumasında olup girdi sayfalarında sıfır döngüsel başvuru (circular ref) garantilidir.</t>
        </is>
      </c>
    </row>
    <row r="23">
      <c r="B23" s="134" t="inlineStr">
        <is>
          <t>●  Öncelik 3: Resmi Mevzuat ve Vergi Kalkanı Entegrasyonu</t>
        </is>
      </c>
    </row>
    <row r="24">
      <c r="B24" s="178" t="inlineStr">
        <is>
          <t xml:space="preserve">   2026 güncel vergi dilimleri, amortisman ve SGK teşvik parametreleri tam otomatik yansıtılmaktadır.</t>
        </is>
      </c>
    </row>
    <row r="25">
      <c r="B25" s="134" t="inlineStr">
        <is>
          <t>●  Öncelik 4: Yönetici İmzası ve Rapor Paylaşımı</t>
        </is>
      </c>
    </row>
    <row r="26">
      <c r="B26" s="178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84" t="inlineStr">
        <is>
          <t>YÜRÜTME ÇEKİRDEĞİ — ZORUNLU ÜRETİM SIRASI</t>
        </is>
      </c>
    </row>
    <row r="3" ht="24" customHeight="1">
      <c r="A3" s="185" t="inlineStr">
        <is>
          <t>Adım</t>
        </is>
      </c>
      <c r="B3" s="185" t="inlineStr">
        <is>
          <t>Modül</t>
        </is>
      </c>
      <c r="C3" s="185" t="inlineStr">
        <is>
          <t>Tetikleyici</t>
        </is>
      </c>
      <c r="D3" s="185" t="inlineStr">
        <is>
          <t>Zorunlu Kanıt</t>
        </is>
      </c>
      <c r="E3" s="185" t="inlineStr">
        <is>
          <t>GEÇTİ Kuralı</t>
        </is>
      </c>
      <c r="F3" s="185" t="inlineStr">
        <is>
          <t>Hata Durumu</t>
        </is>
      </c>
      <c r="G3" s="185" t="inlineStr">
        <is>
          <t>Sonraki Aşama</t>
        </is>
      </c>
    </row>
    <row r="4">
      <c r="A4" s="186" t="n">
        <v>1</v>
      </c>
      <c r="B4" s="182" t="inlineStr">
        <is>
          <t>Excel Uygunluğu</t>
        </is>
      </c>
      <c r="C4" s="182" t="inlineStr">
        <is>
          <t>Her yeni model</t>
        </is>
      </c>
      <c r="D4" s="182" t="inlineStr">
        <is>
          <t>UYGUNLUK_KARARI</t>
        </is>
      </c>
      <c r="E4" s="182" t="inlineStr">
        <is>
          <t>Excel'in rolü açık</t>
        </is>
      </c>
      <c r="F4" s="182" t="inlineStr">
        <is>
          <t>HATA / BLOKE</t>
        </is>
      </c>
      <c r="G4" s="182" t="inlineStr">
        <is>
          <t>Yönetişim</t>
        </is>
      </c>
    </row>
    <row r="5">
      <c r="A5" s="186" t="n">
        <v>2</v>
      </c>
      <c r="B5" s="182" t="inlineStr">
        <is>
          <t>Yönetişim</t>
        </is>
      </c>
      <c r="C5" s="182" t="inlineStr">
        <is>
          <t>Her model</t>
        </is>
      </c>
      <c r="D5" s="182" t="inlineStr">
        <is>
          <t>Risk seviyesi + etki girdileri</t>
        </is>
      </c>
      <c r="E5" s="182" t="inlineStr">
        <is>
          <t>Seviye hesaplandı</t>
        </is>
      </c>
      <c r="F5" s="182" t="inlineStr">
        <is>
          <t>BLOKE</t>
        </is>
      </c>
      <c r="G5" s="182" t="inlineStr">
        <is>
          <t>Sözleşmeler</t>
        </is>
      </c>
    </row>
    <row r="6">
      <c r="A6" s="186" t="n">
        <v>3</v>
      </c>
      <c r="B6" s="182" t="inlineStr">
        <is>
          <t>Türk Muhasebe Eşlemesi</t>
        </is>
      </c>
      <c r="C6" s="182" t="inlineStr">
        <is>
          <t>Finansal model</t>
        </is>
      </c>
      <c r="D6" s="182" t="inlineStr">
        <is>
          <t>THP hesap eşleme tablosu</t>
        </is>
      </c>
      <c r="E6" s="182" t="inlineStr">
        <is>
          <t>Kritik satırlar THP ile uyumlu</t>
        </is>
      </c>
      <c r="F6" s="182" t="inlineStr">
        <is>
          <t>HATA</t>
        </is>
      </c>
      <c r="G6" s="182" t="inlineStr">
        <is>
          <t>Sözleşmeler</t>
        </is>
      </c>
    </row>
    <row r="7">
      <c r="A7" s="186" t="n">
        <v>4</v>
      </c>
      <c r="B7" s="182" t="inlineStr">
        <is>
          <t>Veri ve Anlam Sözleşmeleri</t>
        </is>
      </c>
      <c r="C7" s="182" t="inlineStr">
        <is>
          <t>Girdi/KPI varsa</t>
        </is>
      </c>
      <c r="D7" s="182" t="inlineStr">
        <is>
          <t>Veri + KPI sözleşmeleri</t>
        </is>
      </c>
      <c r="E7" s="182" t="inlineStr">
        <is>
          <t>Kapsam %100</t>
        </is>
      </c>
      <c r="F7" s="182" t="inlineStr">
        <is>
          <t>HATA</t>
        </is>
      </c>
      <c r="G7" s="182" t="inlineStr">
        <is>
          <t>Üretim</t>
        </is>
      </c>
    </row>
    <row r="8">
      <c r="A8" s="186" t="n">
        <v>5</v>
      </c>
      <c r="B8" s="182" t="inlineStr">
        <is>
          <t>Üretim</t>
        </is>
      </c>
      <c r="C8" s="182" t="inlineStr">
        <is>
          <t>Sözleşmeler GEÇTİ</t>
        </is>
      </c>
      <c r="D8" s="182" t="inlineStr">
        <is>
          <t>Çalışan Excel</t>
        </is>
      </c>
      <c r="E8" s="182" t="inlineStr">
        <is>
          <t>Tek gerçek kaynak korunmuş</t>
        </is>
      </c>
      <c r="F8" s="182" t="inlineStr">
        <is>
          <t>HATA</t>
        </is>
      </c>
      <c r="G8" s="182" t="inlineStr">
        <is>
          <t>Testler</t>
        </is>
      </c>
    </row>
    <row r="9" ht="28" customHeight="1">
      <c r="A9" s="186" t="n">
        <v>6</v>
      </c>
      <c r="B9" s="182" t="inlineStr">
        <is>
          <t>Görsel/Kullanım Katmanı</t>
        </is>
      </c>
      <c r="C9" s="182" t="inlineStr">
        <is>
          <t>Motor hazır</t>
        </is>
      </c>
      <c r="D9" s="182" t="inlineStr">
        <is>
          <t>Başlıklar + renk + grafik + yönlendirme</t>
        </is>
      </c>
      <c r="E9" s="182" t="inlineStr">
        <is>
          <t>Tüm kullanıcı sayfaları standarda uygun</t>
        </is>
      </c>
      <c r="F9" s="182" t="inlineStr">
        <is>
          <t>HATA</t>
        </is>
      </c>
      <c r="G9" s="182" t="inlineStr">
        <is>
          <t>Testler</t>
        </is>
      </c>
    </row>
    <row r="10" ht="28" customHeight="1">
      <c r="A10" s="186" t="n">
        <v>7</v>
      </c>
      <c r="B10" s="182" t="inlineStr">
        <is>
          <t>Testler</t>
        </is>
      </c>
      <c r="C10" s="182" t="inlineStr">
        <is>
          <t>Üretim tamam</t>
        </is>
      </c>
      <c r="D10" s="182" t="inlineStr">
        <is>
          <t>Formül/OOXML/kimlik/oracle/golden/metamorfik</t>
        </is>
      </c>
      <c r="E10" s="182" t="inlineStr">
        <is>
          <t>Uygulanabilir hard gate'ler GEÇTİ</t>
        </is>
      </c>
      <c r="F10" s="182" t="inlineStr">
        <is>
          <t>HATA</t>
        </is>
      </c>
      <c r="G10" s="182" t="inlineStr">
        <is>
          <t>Kanıt</t>
        </is>
      </c>
    </row>
    <row r="11">
      <c r="A11" s="186" t="n">
        <v>8</v>
      </c>
      <c r="B11" s="182" t="inlineStr">
        <is>
          <t>Hata-Kontrol Tutarlılığı</t>
        </is>
      </c>
      <c r="C11" s="182" t="inlineStr">
        <is>
          <t>Test sonucu var</t>
        </is>
      </c>
      <c r="D11" s="182" t="inlineStr">
        <is>
          <t>Hata taraması + kontrol sonuçları</t>
        </is>
      </c>
      <c r="E11" s="182" t="inlineStr">
        <is>
          <t>Formül hatası varken GEÇTİ yok</t>
        </is>
      </c>
      <c r="F11" s="182" t="inlineStr">
        <is>
          <t>HATA</t>
        </is>
      </c>
      <c r="G11" s="182" t="inlineStr">
        <is>
          <t>Kanıt</t>
        </is>
      </c>
    </row>
    <row r="12">
      <c r="A12" s="186" t="n">
        <v>9</v>
      </c>
      <c r="B12" s="182" t="inlineStr">
        <is>
          <t>Kanıt</t>
        </is>
      </c>
      <c r="C12" s="182" t="inlineStr">
        <is>
          <t>Test sonucu var</t>
        </is>
      </c>
      <c r="D12" s="182" t="inlineStr">
        <is>
          <t>Makine okunur artefakt + özet</t>
        </is>
      </c>
      <c r="E12" s="182" t="inlineStr">
        <is>
          <t>Kanıt fiziksel ve tutarlı</t>
        </is>
      </c>
      <c r="F12" s="182" t="inlineStr">
        <is>
          <t>HATA</t>
        </is>
      </c>
      <c r="G12" s="182" t="inlineStr">
        <is>
          <t>Kullanıcı Kabulü</t>
        </is>
      </c>
    </row>
    <row r="13">
      <c r="A13" s="186" t="n">
        <v>10</v>
      </c>
      <c r="B13" s="182" t="inlineStr">
        <is>
          <t>Kullanıcı Kabulü</t>
        </is>
      </c>
      <c r="C13" s="182" t="inlineStr">
        <is>
          <t>Kritik görevler</t>
        </is>
      </c>
      <c r="D13" s="182" t="inlineStr">
        <is>
          <t>Gerçek ekran davranışı</t>
        </is>
      </c>
      <c r="E13" s="182" t="inlineStr">
        <is>
          <t>Kritik görevler %100</t>
        </is>
      </c>
      <c r="F13" s="182" t="inlineStr">
        <is>
          <t>DIŞ_KABUL_GEREKLİ</t>
        </is>
      </c>
      <c r="G13" s="182" t="inlineStr">
        <is>
          <t>Ticari</t>
        </is>
      </c>
    </row>
    <row r="14">
      <c r="A14" s="186" t="n">
        <v>11</v>
      </c>
      <c r="B14" s="182" t="inlineStr">
        <is>
          <t>Ticari Değer</t>
        </is>
      </c>
      <c r="C14" s="182" t="inlineStr">
        <is>
          <t>Ürün satılacaksa</t>
        </is>
      </c>
      <c r="D14" s="182" t="inlineStr">
        <is>
          <t>ROI + demo + kanıt paketi</t>
        </is>
      </c>
      <c r="E14" s="182" t="inlineStr">
        <is>
          <t>Ekonomik değer kanıtlı</t>
        </is>
      </c>
      <c r="F14" s="182" t="inlineStr">
        <is>
          <t>UYARI / HATA</t>
        </is>
      </c>
      <c r="G14" s="182" t="inlineStr">
        <is>
          <t>Pazar Doğrulama</t>
        </is>
      </c>
    </row>
    <row r="15">
      <c r="A15" s="186" t="n">
        <v>12</v>
      </c>
      <c r="B15" s="182" t="inlineStr">
        <is>
          <t>Pazar Doğrulama</t>
        </is>
      </c>
      <c r="C15" s="182" t="inlineStr">
        <is>
          <t>Pazar iddiası varsa</t>
        </is>
      </c>
      <c r="D15" s="182" t="inlineStr">
        <is>
          <t>Ücretli satış/pilot/fiyat kabul kanıtı</t>
        </is>
      </c>
      <c r="E15" s="182" t="inlineStr">
        <is>
          <t>Gerçek fiyat kabul kanıtı</t>
        </is>
      </c>
      <c r="F15" s="182" t="inlineStr">
        <is>
          <t>UYGULANMAZ / HATA</t>
        </is>
      </c>
      <c r="G15" s="182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87" t="inlineStr">
        <is>
          <t>NİHAİ KONTROL LİSTESİ — KANITSIZ GEÇİŞ YOK</t>
        </is>
      </c>
    </row>
    <row r="3" ht="24" customHeight="1">
      <c r="A3" s="188" t="inlineStr">
        <is>
          <t>Kontrol No</t>
        </is>
      </c>
      <c r="B3" s="188" t="inlineStr">
        <is>
          <t>Kontrol</t>
        </is>
      </c>
      <c r="C3" s="188" t="inlineStr">
        <is>
          <t>Beklenen</t>
        </is>
      </c>
      <c r="D3" s="188" t="inlineStr">
        <is>
          <t>Zorunlu Kapı?</t>
        </is>
      </c>
      <c r="E3" s="188" t="inlineStr">
        <is>
          <t>Sonuç</t>
        </is>
      </c>
    </row>
    <row r="4">
      <c r="A4" s="189" t="inlineStr">
        <is>
          <t>K01</t>
        </is>
      </c>
      <c r="B4" s="182" t="inlineStr">
        <is>
          <t>Kullanıcının açık talebi öncelikli mi?</t>
        </is>
      </c>
      <c r="C4" s="182" t="inlineStr">
        <is>
          <t>Evet</t>
        </is>
      </c>
      <c r="D4" s="182" t="inlineStr">
        <is>
          <t>EVET</t>
        </is>
      </c>
    </row>
    <row r="5">
      <c r="A5" s="189" t="inlineStr">
        <is>
          <t>K02</t>
        </is>
      </c>
      <c r="B5" s="182" t="inlineStr">
        <is>
          <t>Mevcut yapı, formüller ve tek gerçek kaynak korunuyor mu?</t>
        </is>
      </c>
      <c r="C5" s="182" t="inlineStr">
        <is>
          <t>Evet, değişiklik gerekçeli</t>
        </is>
      </c>
      <c r="D5" s="182" t="inlineStr">
        <is>
          <t>EVET</t>
        </is>
      </c>
    </row>
    <row r="6">
      <c r="A6" s="189" t="inlineStr">
        <is>
          <t>K03</t>
        </is>
      </c>
      <c r="B6" s="182" t="inlineStr">
        <is>
          <t>Üst aşama HATA ise alt aşama GEÇTİ engelleniyor mu?</t>
        </is>
      </c>
      <c r="C6" s="182" t="inlineStr">
        <is>
          <t>Evet</t>
        </is>
      </c>
      <c r="D6" s="182" t="inlineStr">
        <is>
          <t>EVET</t>
        </is>
      </c>
    </row>
    <row r="7">
      <c r="A7" s="189" t="inlineStr">
        <is>
          <t>K04</t>
        </is>
      </c>
      <c r="B7" s="182" t="inlineStr">
        <is>
          <t>Kanıt fiziksel çıktı ve içerik doğrulaması içeriyor mu?</t>
        </is>
      </c>
      <c r="C7" s="182" t="inlineStr">
        <is>
          <t>Evet</t>
        </is>
      </c>
      <c r="D7" s="182" t="inlineStr">
        <is>
          <t>EVET</t>
        </is>
      </c>
    </row>
    <row r="8">
      <c r="A8" s="189" t="inlineStr">
        <is>
          <t>K05</t>
        </is>
      </c>
      <c r="B8" s="182" t="inlineStr">
        <is>
          <t>Excel GUI erişimi olmadan kullanıcı görünümü GEÇTİ yazılıyor mu?</t>
        </is>
      </c>
      <c r="C8" s="182" t="inlineStr">
        <is>
          <t>Hayır</t>
        </is>
      </c>
      <c r="D8" s="182" t="inlineStr">
        <is>
          <t>EVET</t>
        </is>
      </c>
    </row>
    <row r="9">
      <c r="A9" s="189" t="inlineStr">
        <is>
          <t>K06</t>
        </is>
      </c>
      <c r="B9" s="182" t="inlineStr">
        <is>
          <t>NİHAİ yalnız GEÇTİ / gerekçeli UYGULANMAZ ile mi?</t>
        </is>
      </c>
      <c r="C9" s="182" t="inlineStr">
        <is>
          <t>Evet</t>
        </is>
      </c>
      <c r="D9" s="182" t="inlineStr">
        <is>
          <t>EVET</t>
        </is>
      </c>
    </row>
    <row r="10">
      <c r="A10" s="189" t="inlineStr">
        <is>
          <t>K07</t>
        </is>
      </c>
      <c r="B10" s="182" t="inlineStr">
        <is>
          <t>Ekonomik fiyat savunusu pazar doğrulamasından ayrılmış mı?</t>
        </is>
      </c>
      <c r="C10" s="182" t="inlineStr">
        <is>
          <t>Evet</t>
        </is>
      </c>
      <c r="D10" s="182" t="inlineStr">
        <is>
          <t>EVET</t>
        </is>
      </c>
    </row>
    <row r="11">
      <c r="A11" s="189" t="inlineStr">
        <is>
          <t>K08</t>
        </is>
      </c>
      <c r="B11" s="182" t="inlineStr">
        <is>
          <t>Prestij için gereksiz modül var mı?</t>
        </is>
      </c>
      <c r="C11" s="182" t="inlineStr">
        <is>
          <t>Hayır</t>
        </is>
      </c>
      <c r="D11" s="182" t="inlineStr">
        <is>
          <t>HAYIR</t>
        </is>
      </c>
    </row>
    <row r="12">
      <c r="A12" s="189" t="inlineStr">
        <is>
          <t>K09</t>
        </is>
      </c>
      <c r="B12" s="182" t="inlineStr">
        <is>
          <t>Excel sınırları açık mı?</t>
        </is>
      </c>
      <c r="C12" s="182" t="inlineStr">
        <is>
          <t>Evet</t>
        </is>
      </c>
      <c r="D12" s="182" t="inlineStr">
        <is>
          <t>EVET</t>
        </is>
      </c>
    </row>
    <row r="13">
      <c r="A13" s="189" t="inlineStr">
        <is>
          <t>K10</t>
        </is>
      </c>
      <c r="B13" s="182" t="inlineStr">
        <is>
          <t>Teknik kaynak korunuyor mu?</t>
        </is>
      </c>
      <c r="C13" s="182" t="inlineStr">
        <is>
          <t>Evet</t>
        </is>
      </c>
      <c r="D13" s="182" t="inlineStr">
        <is>
          <t>EVET</t>
        </is>
      </c>
    </row>
    <row r="14">
      <c r="A14" s="189" t="inlineStr">
        <is>
          <t>K11</t>
        </is>
      </c>
      <c r="B14" s="182" t="inlineStr">
        <is>
          <t>Kullanıcıya görünen tüm metinler Türkçe mi?</t>
        </is>
      </c>
      <c r="C14" s="182" t="inlineStr">
        <is>
          <t>Evet</t>
        </is>
      </c>
      <c r="D14" s="182" t="inlineStr">
        <is>
          <t>EVET</t>
        </is>
      </c>
    </row>
    <row r="15">
      <c r="A15" s="189" t="inlineStr">
        <is>
          <t>K12</t>
        </is>
      </c>
      <c r="B15" s="182" t="inlineStr">
        <is>
          <t>Her kullanıcı sayfasında üst başlık var mı?</t>
        </is>
      </c>
      <c r="C15" s="182" t="inlineStr">
        <is>
          <t>Evet</t>
        </is>
      </c>
      <c r="D15" s="182" t="inlineStr">
        <is>
          <t>EVET</t>
        </is>
      </c>
    </row>
    <row r="16">
      <c r="A16" s="189" t="inlineStr">
        <is>
          <t>K13</t>
        </is>
      </c>
      <c r="B16" s="182" t="inlineStr">
        <is>
          <t>Sayfalar arasında tutarlı renk sistemi var mı?</t>
        </is>
      </c>
      <c r="C16" s="182" t="inlineStr">
        <is>
          <t>Evet</t>
        </is>
      </c>
      <c r="D16" s="182" t="inlineStr">
        <is>
          <t>EVET</t>
        </is>
      </c>
    </row>
    <row r="17">
      <c r="A17" s="189" t="inlineStr">
        <is>
          <t>K14</t>
        </is>
      </c>
      <c r="B17" s="182" t="inlineStr">
        <is>
          <t>Alt sayfa sekmeleri işlevine göre renklendirilmiş mi?</t>
        </is>
      </c>
      <c r="C17" s="182" t="inlineStr">
        <is>
          <t>Evet</t>
        </is>
      </c>
      <c r="D17" s="182" t="inlineStr">
        <is>
          <t>EVET</t>
        </is>
      </c>
    </row>
    <row r="18">
      <c r="A18" s="189" t="inlineStr">
        <is>
          <t>K15</t>
        </is>
      </c>
      <c r="B18" s="182" t="inlineStr">
        <is>
          <t>İçerik blokları arasında gereksiz boş kolon var mı?</t>
        </is>
      </c>
      <c r="C18" s="182" t="inlineStr">
        <is>
          <t>Hayır</t>
        </is>
      </c>
      <c r="D18" s="182" t="inlineStr">
        <is>
          <t>EVET</t>
        </is>
      </c>
    </row>
    <row r="19">
      <c r="A19" s="189" t="inlineStr">
        <is>
          <t>K16</t>
        </is>
      </c>
      <c r="B19" s="182" t="inlineStr">
        <is>
          <t>Grafikler premium ve karar odaklı mı?</t>
        </is>
      </c>
      <c r="C19" s="182" t="inlineStr">
        <is>
          <t>Evet</t>
        </is>
      </c>
      <c r="D19" s="182" t="inlineStr">
        <is>
          <t>EVET</t>
        </is>
      </c>
    </row>
    <row r="20">
      <c r="A20" s="189" t="inlineStr">
        <is>
          <t>K17</t>
        </is>
      </c>
      <c r="B20" s="182" t="inlineStr">
        <is>
          <t>Varsayılan Excel grafiği / 3B / dekoratif grafik var mı?</t>
        </is>
      </c>
      <c r="C20" s="182" t="inlineStr">
        <is>
          <t>Hayır</t>
        </is>
      </c>
      <c r="D20" s="182" t="inlineStr">
        <is>
          <t>EVET</t>
        </is>
      </c>
    </row>
    <row r="21">
      <c r="A21" s="189" t="inlineStr">
        <is>
          <t>K18</t>
        </is>
      </c>
      <c r="B21" s="182" t="inlineStr">
        <is>
          <t>Finansal ürün Türkiye Tekdüzen Hesap Planı ile eşleşiyor mu?</t>
        </is>
      </c>
      <c r="C21" s="182" t="inlineStr">
        <is>
          <t>Evet</t>
        </is>
      </c>
      <c r="D21" s="182" t="inlineStr">
        <is>
          <t>EVET</t>
        </is>
      </c>
    </row>
    <row r="22">
      <c r="A22" s="189" t="inlineStr">
        <is>
          <t>K19</t>
        </is>
      </c>
      <c r="B22" s="182" t="inlineStr">
        <is>
          <t>Muhasebe satır adları Türkiye kullanımına uygun mu?</t>
        </is>
      </c>
      <c r="C22" s="182" t="inlineStr">
        <is>
          <t>Evet</t>
        </is>
      </c>
      <c r="D22" s="182" t="inlineStr">
        <is>
          <t>EVET</t>
        </is>
      </c>
    </row>
    <row r="23">
      <c r="A23" s="189" t="inlineStr">
        <is>
          <t>K20</t>
        </is>
      </c>
      <c r="B23" s="182" t="inlineStr">
        <is>
          <t>Formül hatası varken herhangi bir kontrol GEÇTİ gösteriyor mu?</t>
        </is>
      </c>
      <c r="C23" s="182" t="inlineStr">
        <is>
          <t>Hayır</t>
        </is>
      </c>
      <c r="D23" s="182" t="inlineStr">
        <is>
          <t>EVET</t>
        </is>
      </c>
    </row>
    <row r="24">
      <c r="A24" s="189" t="inlineStr">
        <is>
          <t>K21</t>
        </is>
      </c>
      <c r="B24" s="182" t="inlineStr">
        <is>
          <t>Karar Motoru boş veya yalnız başlık düzeyinde mi?</t>
        </is>
      </c>
      <c r="C24" s="182" t="inlineStr">
        <is>
          <t>Hayır</t>
        </is>
      </c>
      <c r="D24" s="182" t="inlineStr">
        <is>
          <t>EVET</t>
        </is>
      </c>
    </row>
    <row r="25">
      <c r="A25" s="189" t="inlineStr">
        <is>
          <t>K22</t>
        </is>
      </c>
      <c r="B25" s="182" t="inlineStr">
        <is>
          <t>Senaryo/Stres modülü gerçekten sonuç değiştiriyor mu?</t>
        </is>
      </c>
      <c r="C25" s="182" t="inlineStr">
        <is>
          <t>Evet</t>
        </is>
      </c>
      <c r="D25" s="182" t="inlineStr">
        <is>
          <t>EVET</t>
        </is>
      </c>
    </row>
    <row r="26">
      <c r="A26" s="189" t="inlineStr">
        <is>
          <t>K23</t>
        </is>
      </c>
      <c r="B26" s="182" t="inlineStr">
        <is>
          <t>Oracle/bağımsız doğrulama gerçek veri üretiyor mu?</t>
        </is>
      </c>
      <c r="C26" s="182" t="inlineStr">
        <is>
          <t>Evet veya gerekçeli UYGULANMAZ</t>
        </is>
      </c>
      <c r="D26" s="182" t="inlineStr">
        <is>
          <t>EVET</t>
        </is>
      </c>
    </row>
    <row r="27">
      <c r="A27" s="189" t="inlineStr">
        <is>
          <t>K24</t>
        </is>
      </c>
      <c r="B27" s="182" t="inlineStr">
        <is>
          <t>Yönetici ekranı 5 saniyede sorunu ve aksiyonu anlatıyor mu?</t>
        </is>
      </c>
      <c r="C27" s="182" t="inlineStr">
        <is>
          <t>Evet</t>
        </is>
      </c>
      <c r="D27" s="182" t="inlineStr">
        <is>
          <t>EVET</t>
        </is>
      </c>
    </row>
    <row r="28">
      <c r="A28" s="189" t="inlineStr">
        <is>
          <t>K25</t>
        </is>
      </c>
      <c r="B28" s="182" t="inlineStr">
        <is>
          <t>Her kritik kararın parasal etkisi ve önerilen aksiyonu var mı?</t>
        </is>
      </c>
      <c r="C28" s="182" t="inlineStr">
        <is>
          <t>Evet</t>
        </is>
      </c>
      <c r="D28" s="182" t="inlineStr">
        <is>
          <t>EVET</t>
        </is>
      </c>
    </row>
    <row r="29">
      <c r="A29" s="189" t="inlineStr">
        <is>
          <t>K26</t>
        </is>
      </c>
      <c r="B29" s="182" t="inlineStr">
        <is>
          <t>Ürün sayfası/ürün içi demo satın alma gerekçesini kanıtlıyor mu?</t>
        </is>
      </c>
      <c r="C29" s="182" t="inlineStr">
        <is>
          <t>Evet</t>
        </is>
      </c>
      <c r="D29" s="182" t="inlineStr">
        <is>
          <t>EVET</t>
        </is>
      </c>
    </row>
    <row r="30" ht="30" customHeight="1">
      <c r="A30" s="190" t="inlineStr">
        <is>
          <t>K27</t>
        </is>
      </c>
      <c r="B30" s="191" t="inlineStr">
        <is>
          <t>Buton görünümü verilen tüm alanlar gerçekten tıklanabilir ve doğru hedefe gidiyor mu?</t>
        </is>
      </c>
      <c r="C30" s="191" t="inlineStr">
        <is>
          <t>Evet</t>
        </is>
      </c>
      <c r="D30" s="182" t="inlineStr">
        <is>
          <t>EVET</t>
        </is>
      </c>
    </row>
    <row r="31" ht="30" customHeight="1">
      <c r="A31" s="190" t="inlineStr">
        <is>
          <t>K28</t>
        </is>
      </c>
      <c r="B31" s="191" t="inlineStr">
        <is>
          <t>Tüm görünür kullanıcı sheet tabları kurumsal kategori rengi taşıyor mu?</t>
        </is>
      </c>
      <c r="C31" s="191" t="inlineStr">
        <is>
          <t>Evet</t>
        </is>
      </c>
      <c r="D31" s="182" t="inlineStr">
        <is>
          <t>EVET</t>
        </is>
      </c>
    </row>
    <row r="32" ht="16" customHeight="1">
      <c r="A32" s="190" t="inlineStr">
        <is>
          <t>K29</t>
        </is>
      </c>
      <c r="B32" s="191" t="inlineStr">
        <is>
          <t>Sheet sırası tanımlı kullanıcı iş akışıyla birebir aynı mı?</t>
        </is>
      </c>
      <c r="C32" s="191" t="inlineStr">
        <is>
          <t>Evet</t>
        </is>
      </c>
      <c r="D32" s="182" t="inlineStr">
        <is>
          <t>EVET</t>
        </is>
      </c>
    </row>
    <row r="33" ht="30" customHeight="1">
      <c r="A33" s="190" t="inlineStr">
        <is>
          <t>K30</t>
        </is>
      </c>
      <c r="B33" s="191" t="inlineStr">
        <is>
          <t>Kurumsal renk paleti tutarlı mı; rastgele/gökkuşağı renk kullanımı var mı?</t>
        </is>
      </c>
      <c r="C33" s="191" t="inlineStr">
        <is>
          <t>Evet / Hayır</t>
        </is>
      </c>
      <c r="D33" s="182" t="inlineStr">
        <is>
          <t>EVET</t>
        </is>
      </c>
    </row>
    <row r="34" ht="30" customHeight="1">
      <c r="A34" s="190" t="inlineStr">
        <is>
          <t>K31</t>
        </is>
      </c>
      <c r="B34" s="191" t="inlineStr">
        <is>
          <t>Premium vitrin, altyapı kadar güçlü ve satış fiyatını destekleyecek seviyede mi?</t>
        </is>
      </c>
      <c r="C34" s="191" t="inlineStr">
        <is>
          <t>Evet</t>
        </is>
      </c>
      <c r="D34" s="182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92" t="inlineStr">
        <is>
          <t>GÖRSEL TASARIM VE PREMIUM EXCEL STANDARDI</t>
        </is>
      </c>
    </row>
    <row r="3" ht="24" customHeight="1">
      <c r="A3" s="193" t="inlineStr">
        <is>
          <t>Alan</t>
        </is>
      </c>
      <c r="B3" s="193" t="inlineStr">
        <is>
          <t>Zorunlu Kural</t>
        </is>
      </c>
      <c r="C3" s="193" t="inlineStr">
        <is>
          <t>Uygulama</t>
        </is>
      </c>
      <c r="D3" s="193" t="inlineStr">
        <is>
          <t>Yasak</t>
        </is>
      </c>
      <c r="E3" s="193" t="inlineStr">
        <is>
          <t>Kontrol</t>
        </is>
      </c>
      <c r="F3" s="193" t="inlineStr">
        <is>
          <t>Durum</t>
        </is>
      </c>
    </row>
    <row r="4" ht="28" customHeight="1">
      <c r="A4" s="194" t="inlineStr">
        <is>
          <t>Sayfa başlığı</t>
        </is>
      </c>
      <c r="B4" s="182" t="inlineStr">
        <is>
          <t>Her kullanıcı sayfasının en üstünde tek ve açık sayfa başlığı</t>
        </is>
      </c>
      <c r="C4" s="182" t="inlineStr">
        <is>
          <t>A1'den başlayan koyu lacivert başlık bandı</t>
        </is>
      </c>
      <c r="D4" s="182" t="inlineStr">
        <is>
          <t>Başlıksız sayfa</t>
        </is>
      </c>
      <c r="E4" s="182" t="inlineStr">
        <is>
          <t>Başlık kapsama = %100</t>
        </is>
      </c>
      <c r="F4" s="195" t="inlineStr">
        <is>
          <t>ZORUNLU</t>
        </is>
      </c>
    </row>
    <row r="5" ht="28" customHeight="1">
      <c r="A5" s="194" t="inlineStr">
        <is>
          <t>Sekme renkleri</t>
        </is>
      </c>
      <c r="B5" s="182" t="inlineStr">
        <is>
          <t>Sayfalar işlevine göre renk kodlanır</t>
        </is>
      </c>
      <c r="C5" s="182" t="inlineStr">
        <is>
          <t>Girdi=mavi, hesap=gri, rapor=lacivert, kontrol=kırmızı, kılavuz=altın</t>
        </is>
      </c>
      <c r="D5" s="182" t="inlineStr">
        <is>
          <t>Rastgele renk</t>
        </is>
      </c>
      <c r="E5" s="182" t="inlineStr">
        <is>
          <t>Renk semantiği tutarlı</t>
        </is>
      </c>
      <c r="F5" s="195" t="inlineStr">
        <is>
          <t>ZORUNLU</t>
        </is>
      </c>
    </row>
    <row r="6" ht="28" customHeight="1">
      <c r="A6" s="194" t="inlineStr">
        <is>
          <t>Kolon düzeni</t>
        </is>
      </c>
      <c r="B6" s="182" t="inlineStr">
        <is>
          <t>Veri blokları bitişik kolonlarda ilerler</t>
        </is>
      </c>
      <c r="C6" s="182" t="inlineStr">
        <is>
          <t>Gereksiz boş kolon bırakma; yalnız gerçek bölüm ayrımı varsa kontrollü boşluk</t>
        </is>
      </c>
      <c r="D6" s="182" t="inlineStr">
        <is>
          <t>A:C veri, D boş, E:F veri gibi parçalı yapı</t>
        </is>
      </c>
      <c r="E6" s="182" t="inlineStr">
        <is>
          <t>Boş kolon taraması</t>
        </is>
      </c>
      <c r="F6" s="195" t="inlineStr">
        <is>
          <t>ZORUNLU</t>
        </is>
      </c>
    </row>
    <row r="7" ht="16" customHeight="1">
      <c r="A7" s="194" t="inlineStr">
        <is>
          <t>Girdi hücreleri</t>
        </is>
      </c>
      <c r="B7" s="182" t="inlineStr">
        <is>
          <t>Kullanıcının değiştireceği alan açıkça görünür</t>
        </is>
      </c>
      <c r="C7" s="182" t="inlineStr">
        <is>
          <t>Açık sarı dolgu + mavi yazı</t>
        </is>
      </c>
      <c r="D7" s="182" t="inlineStr">
        <is>
          <t>Formülle aynı görünüm</t>
        </is>
      </c>
      <c r="E7" s="182" t="inlineStr">
        <is>
          <t>Girdi/formül ayrımı</t>
        </is>
      </c>
      <c r="F7" s="195" t="inlineStr">
        <is>
          <t>ZORUNLU</t>
        </is>
      </c>
    </row>
    <row r="8" ht="16" customHeight="1">
      <c r="A8" s="194" t="inlineStr">
        <is>
          <t>Formüller</t>
        </is>
      </c>
      <c r="B8" s="182" t="inlineStr">
        <is>
          <t>Hesap hücreleri kullanıcı girdisinden ayrılır</t>
        </is>
      </c>
      <c r="C8" s="182" t="inlineStr">
        <is>
          <t>Siyah yazı; sayfalar arası bağlantı yeşil yazı</t>
        </is>
      </c>
      <c r="D8" s="182" t="inlineStr">
        <is>
          <t>Hard-code gizleme</t>
        </is>
      </c>
      <c r="E8" s="182" t="inlineStr">
        <is>
          <t>Formül sınıfı kontrolü</t>
        </is>
      </c>
      <c r="F8" s="195" t="inlineStr">
        <is>
          <t>ZORUNLU</t>
        </is>
      </c>
    </row>
    <row r="9" ht="16" customHeight="1">
      <c r="A9" s="194" t="inlineStr">
        <is>
          <t>Grafik sayısı</t>
        </is>
      </c>
      <c r="B9" s="182" t="inlineStr">
        <is>
          <t>Yönetici ekranında en fazla 3 ana karar grafiği</t>
        </is>
      </c>
      <c r="C9" s="182" t="inlineStr">
        <is>
          <t>Trend, karşılaştırma, köprü/dağılım; iş kararına bağlı</t>
        </is>
      </c>
      <c r="D9" s="182" t="inlineStr">
        <is>
          <t>Grafik kalabalığı</t>
        </is>
      </c>
      <c r="E9" s="182" t="inlineStr">
        <is>
          <t>Grafik başına karar sorusu</t>
        </is>
      </c>
      <c r="F9" s="195" t="inlineStr">
        <is>
          <t>ZORUNLU</t>
        </is>
      </c>
    </row>
    <row r="10" ht="16" customHeight="1">
      <c r="A10" s="194" t="inlineStr">
        <is>
          <t>Grafik stili</t>
        </is>
      </c>
      <c r="B10" s="182" t="inlineStr">
        <is>
          <t>Kurumsal ve yüksek okunabilirlik</t>
        </is>
      </c>
      <c r="C10" s="182" t="inlineStr">
        <is>
          <t>Beyaz zemin, ince gridline, tek vurgu rengi, açık birim/başlık</t>
        </is>
      </c>
      <c r="D10" s="182" t="inlineStr">
        <is>
          <t>3B, gölge, neon, gökkuşağı renkleri</t>
        </is>
      </c>
      <c r="E10" s="182" t="inlineStr">
        <is>
          <t>Görsel inceleme</t>
        </is>
      </c>
      <c r="F10" s="195" t="inlineStr">
        <is>
          <t>ZORUNLU</t>
        </is>
      </c>
    </row>
    <row r="11" ht="16" customHeight="1">
      <c r="A11" s="194" t="inlineStr">
        <is>
          <t>Grafik başlığı</t>
        </is>
      </c>
      <c r="B11" s="182" t="inlineStr">
        <is>
          <t>Grafik 'neyi' değil 'ne anlama geldiğini' söyler</t>
        </is>
      </c>
      <c r="C11" s="182" t="inlineStr">
        <is>
          <t>Örn: 'Nakit 2028'de kritik eşiğin altına iniyor'</t>
        </is>
      </c>
      <c r="D11" s="182" t="inlineStr">
        <is>
          <t>'Nakit Grafiği' gibi anlamsız başlık</t>
        </is>
      </c>
      <c r="E11" s="182" t="inlineStr">
        <is>
          <t>Başlık karar testi</t>
        </is>
      </c>
      <c r="F11" s="195" t="inlineStr">
        <is>
          <t>ZORUNLU</t>
        </is>
      </c>
    </row>
    <row r="12" ht="16" customHeight="1">
      <c r="A12" s="194" t="inlineStr">
        <is>
          <t>Birimler</t>
        </is>
      </c>
      <c r="B12" s="182" t="inlineStr">
        <is>
          <t>Tüm finansal görsellerde birim açık</t>
        </is>
      </c>
      <c r="C12" s="182" t="inlineStr">
        <is>
          <t>TL, bin TL, milyon TL, %, gün, x</t>
        </is>
      </c>
      <c r="D12" s="182" t="inlineStr">
        <is>
          <t>Birim belirsizliği</t>
        </is>
      </c>
      <c r="E12" s="182" t="inlineStr">
        <is>
          <t>Birim kapsama %100</t>
        </is>
      </c>
      <c r="F12" s="195" t="inlineStr">
        <is>
          <t>ZORUNLU</t>
        </is>
      </c>
    </row>
    <row r="13" ht="16" customHeight="1">
      <c r="A13" s="194" t="inlineStr">
        <is>
          <t>Sıfır/negatif</t>
        </is>
      </c>
      <c r="B13" s="182" t="inlineStr">
        <is>
          <t>Finansal format standardı</t>
        </is>
      </c>
      <c r="C13" s="182" t="inlineStr">
        <is>
          <t>Sıfır='-', negatif kırmızı parantez</t>
        </is>
      </c>
      <c r="D13" s="182" t="inlineStr">
        <is>
          <t>-500 veya 0,00 kalabalığı</t>
        </is>
      </c>
      <c r="E13" s="182" t="inlineStr">
        <is>
          <t>Format kontrolü</t>
        </is>
      </c>
      <c r="F13" s="195" t="inlineStr">
        <is>
          <t>ZORUNLU</t>
        </is>
      </c>
    </row>
    <row r="14" ht="16" customHeight="1">
      <c r="A14" s="194" t="inlineStr">
        <is>
          <t>Yazı tipi</t>
        </is>
      </c>
      <c r="B14" s="182" t="inlineStr">
        <is>
          <t>Tek aile</t>
        </is>
      </c>
      <c r="C14" s="182" t="inlineStr">
        <is>
          <t>Aptos veya Segoe UI</t>
        </is>
      </c>
      <c r="D14" s="182" t="inlineStr">
        <is>
          <t>Karışık font</t>
        </is>
      </c>
      <c r="E14" s="182" t="inlineStr">
        <is>
          <t>Tek font kontrolü</t>
        </is>
      </c>
      <c r="F14" s="195" t="inlineStr">
        <is>
          <t>ZORUNLU</t>
        </is>
      </c>
    </row>
    <row r="15" ht="16" customHeight="1">
      <c r="A15" s="194" t="inlineStr">
        <is>
          <t>Izgara</t>
        </is>
      </c>
      <c r="B15" s="182" t="inlineStr">
        <is>
          <t>Kullanıcı sayfalarında kapalı</t>
        </is>
      </c>
      <c r="C15" s="182" t="inlineStr">
        <is>
          <t>Bölüm çizgileri ve kart sınırlarıyla düzen</t>
        </is>
      </c>
      <c r="D15" s="182" t="inlineStr">
        <is>
          <t>Excel varsayılan gridline</t>
        </is>
      </c>
      <c r="E15" s="182" t="inlineStr">
        <is>
          <t>Gridline kontrolü</t>
        </is>
      </c>
      <c r="F15" s="195" t="inlineStr">
        <is>
          <t>ZORUNLU</t>
        </is>
      </c>
    </row>
    <row r="16" ht="16" customHeight="1">
      <c r="A16" s="194" t="inlineStr">
        <is>
          <t>Boş durum</t>
        </is>
      </c>
      <c r="B16" s="182" t="inlineStr">
        <is>
          <t>Veri yokken temiz ve anlaşılır</t>
        </is>
      </c>
      <c r="C16" s="182" t="inlineStr">
        <is>
          <t>'Henüz veri yok' / 'Girdi bekleniyor'</t>
        </is>
      </c>
      <c r="D16" s="182" t="inlineStr">
        <is>
          <t>0 yığını / hata kodu</t>
        </is>
      </c>
      <c r="E16" s="182" t="inlineStr">
        <is>
          <t>Boş veri testi</t>
        </is>
      </c>
      <c r="F16" s="195" t="inlineStr">
        <is>
          <t>ZORUNLU</t>
        </is>
      </c>
    </row>
    <row r="17" ht="28" customHeight="1">
      <c r="A17" s="194" t="inlineStr">
        <is>
          <t>Başlangıç deneyimi</t>
        </is>
      </c>
      <c r="B17" s="182" t="inlineStr">
        <is>
          <t>İlk 5 saniyede ne gireceği ve neye bakacağı anlaşılır</t>
        </is>
      </c>
      <c r="C17" s="182" t="inlineStr">
        <is>
          <t>Girdi → durum → aksiyon akışı</t>
        </is>
      </c>
      <c r="D17" s="182" t="inlineStr">
        <is>
          <t>Kılavuz aramaya zorlama</t>
        </is>
      </c>
      <c r="E17" s="182" t="inlineStr">
        <is>
          <t>5 saniye testi</t>
        </is>
      </c>
      <c r="F17" s="195" t="inlineStr">
        <is>
          <t>ZORUNLU</t>
        </is>
      </c>
    </row>
    <row r="18" ht="30" customHeight="1">
      <c r="A18" s="190" t="inlineStr">
        <is>
          <t>Buton standardı</t>
        </is>
      </c>
      <c r="B18" s="191" t="inlineStr">
        <is>
          <t>Buton görünümü verilen her alan gerçek işlev taşır</t>
        </is>
      </c>
      <c r="C18" s="191" t="inlineStr">
        <is>
          <t>Sayfa içi HYPERLINK / gerçek aksiyon; tıklanınca hedefe gider</t>
        </is>
      </c>
      <c r="D18" s="191" t="inlineStr">
        <is>
          <t>İşlevsiz dekoratif buton / sahte navigasyon</t>
        </is>
      </c>
      <c r="E18" s="191" t="inlineStr">
        <is>
          <t>Butonların %100'ü tıklanabilir ve hedefi doğru</t>
        </is>
      </c>
      <c r="F18" s="195" t="inlineStr">
        <is>
          <t>ZORUNLU</t>
        </is>
      </c>
    </row>
    <row r="19" ht="32" customHeight="1">
      <c r="A19" s="190" t="inlineStr">
        <is>
          <t>Native sayfa sekmesi rengi</t>
        </is>
      </c>
      <c r="B19" s="191" t="inlineStr">
        <is>
          <t>Excel alt sheet tabları kurumsal paletle renklendirilir</t>
        </is>
      </c>
      <c r="C19" s="191" t="inlineStr">
        <is>
          <t>Başlangıç/özet=lacivert; girdiler=mavi; hesap/finans=teal; karar/kontrol=burgundy; doküman=gri</t>
        </is>
      </c>
      <c r="D19" s="191" t="inlineStr">
        <is>
          <t>Renksiz sekmeler veya rastgele/gökkuşağı renkleri</t>
        </is>
      </c>
      <c r="E19" s="191" t="inlineStr">
        <is>
          <t>Tüm görünür kullanıcı sheet tabları renkli</t>
        </is>
      </c>
      <c r="F19" s="195" t="inlineStr">
        <is>
          <t>ZORUNLU</t>
        </is>
      </c>
    </row>
    <row r="20" ht="60" customHeight="1">
      <c r="A20" s="190" t="inlineStr">
        <is>
          <t>İş akışı sıralaması</t>
        </is>
      </c>
      <c r="B20" s="191" t="inlineStr">
        <is>
          <t>Sayfalar kullanıcının çalışma sırasına göre fiziksel olarak dizilir</t>
        </is>
      </c>
      <c r="C20" s="19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91" t="inlineStr">
        <is>
          <t>Teknik oluşturma sırasına göre dağınık sheet dizilimi</t>
        </is>
      </c>
      <c r="E20" s="191" t="inlineStr">
        <is>
          <t>Sheet order = tanımlı workflow</t>
        </is>
      </c>
      <c r="F20" s="195" t="inlineStr">
        <is>
          <t>ZORUNLU</t>
        </is>
      </c>
    </row>
    <row r="21" ht="30" customHeight="1">
      <c r="A21" s="190" t="inlineStr">
        <is>
          <t>Kurumsal renk paleti</t>
        </is>
      </c>
      <c r="B21" s="191" t="inlineStr">
        <is>
          <t>Sekme, başlık, buton ve vurgu renkleri tek kurumsal paletten gelir</t>
        </is>
      </c>
      <c r="C21" s="191" t="inlineStr">
        <is>
          <t>Lacivert + mavi + teal + kontrollü burgundy/gri; kategori semantiği sabit</t>
        </is>
      </c>
      <c r="D21" s="191" t="inlineStr">
        <is>
          <t>Neon, rastgele yüksek doygunluk, her sayfada farklı bağımsız renk</t>
        </is>
      </c>
      <c r="E21" s="191" t="inlineStr">
        <is>
          <t>Palette token kontrolü</t>
        </is>
      </c>
      <c r="F21" s="195" t="inlineStr">
        <is>
          <t>ZORUNLU</t>
        </is>
      </c>
    </row>
    <row r="22" ht="45" customHeight="1">
      <c r="A22" s="190" t="inlineStr">
        <is>
          <t>Premium vitrin</t>
        </is>
      </c>
      <c r="B22" s="191" t="inlineStr">
        <is>
          <t>Görsel kalite ürün değerinin zorunlu parçasıdır</t>
        </is>
      </c>
      <c r="C22" s="191" t="inlineStr">
        <is>
          <t>Kaliteli grafik, gerçek KPI kartı, finansal hiyerarşi, tab rengi, fonksiyonel navigasyon</t>
        </is>
      </c>
      <c r="D22" s="191" t="inlineStr">
        <is>
          <t>Sadece doğru hesap yapıp çıplak/varsayılan Excel görünümü bırakmak</t>
        </is>
      </c>
      <c r="E22" s="191" t="inlineStr">
        <is>
          <t>Görsel release incelemesi</t>
        </is>
      </c>
      <c r="F22" s="195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96" t="inlineStr">
        <is>
          <t>TÜRKİYE MUHASEBE VE TEKDÜZEN HESAP PLANI STANDARDI</t>
        </is>
      </c>
    </row>
    <row r="3" ht="24" customHeight="1">
      <c r="A3" s="197" t="inlineStr">
        <is>
          <t>Konu</t>
        </is>
      </c>
      <c r="B3" s="197" t="inlineStr">
        <is>
          <t>Zorunlu Standart</t>
        </is>
      </c>
      <c r="C3" s="197" t="inlineStr">
        <is>
          <t>Örnek Türkçe Ad</t>
        </is>
      </c>
      <c r="D3" s="197" t="inlineStr">
        <is>
          <t>THP / Mantık</t>
        </is>
      </c>
      <c r="E3" s="197" t="inlineStr">
        <is>
          <t>Hata Riski</t>
        </is>
      </c>
      <c r="F3" s="197" t="inlineStr">
        <is>
          <t>Kontrol</t>
        </is>
      </c>
    </row>
    <row r="4">
      <c r="A4" s="198" t="inlineStr">
        <is>
          <t>Dil</t>
        </is>
      </c>
      <c r="B4" s="182" t="inlineStr">
        <is>
          <t>Kullanıcıya görünen finansal terimler Türkçe</t>
        </is>
      </c>
      <c r="C4" s="182" t="inlineStr">
        <is>
          <t>Hasılat, Satışların Maliyeti, Brüt Kâr, Faaliyet Giderleri</t>
        </is>
      </c>
      <c r="D4" s="182" t="inlineStr">
        <is>
          <t>Türk işletme kullanımına uygun</t>
        </is>
      </c>
      <c r="E4" s="182" t="inlineStr">
        <is>
          <t>İngilizce jargon</t>
        </is>
      </c>
      <c r="F4" s="182" t="inlineStr">
        <is>
          <t>Terminoloji taraması</t>
        </is>
      </c>
    </row>
    <row r="5" ht="28" customHeight="1">
      <c r="A5" s="198" t="inlineStr">
        <is>
          <t>Gelir Tablosu</t>
        </is>
      </c>
      <c r="B5" s="182" t="inlineStr">
        <is>
          <t>Türk sunum sırası kullanılır</t>
        </is>
      </c>
      <c r="C5" s="182" t="inlineStr">
        <is>
          <t>Net Satışlar → Satışların Maliyeti → Brüt Kâr → Faaliyet Giderleri → Faaliyet Kârı</t>
        </is>
      </c>
      <c r="D5" s="182" t="inlineStr">
        <is>
          <t>600/610/611; 620-623; 63x</t>
        </is>
      </c>
      <c r="E5" s="182" t="inlineStr">
        <is>
          <t>Yanlış sınıflama</t>
        </is>
      </c>
      <c r="F5" s="182" t="inlineStr">
        <is>
          <t>Hesap eşleme</t>
        </is>
      </c>
    </row>
    <row r="6" ht="28" customHeight="1">
      <c r="A6" s="198" t="inlineStr">
        <is>
          <t>Bilanço</t>
        </is>
      </c>
      <c r="B6" s="182" t="inlineStr">
        <is>
          <t>Dönen/Duran Varlık ve Kısa/Uzun Vadeli Yükümlülük ayrımı</t>
        </is>
      </c>
      <c r="C6" s="182" t="inlineStr">
        <is>
          <t>Hazır Değerler, Ticari Alacaklar, Stoklar, Mali Borçlar</t>
        </is>
      </c>
      <c r="D6" s="182" t="inlineStr">
        <is>
          <t>1xx / 2xx / 3xx / 4xx / 5xx</t>
        </is>
      </c>
      <c r="E6" s="182" t="inlineStr">
        <is>
          <t>Vade sınıfı hatası</t>
        </is>
      </c>
      <c r="F6" s="182" t="inlineStr">
        <is>
          <t>Bilanço eşitliği</t>
        </is>
      </c>
    </row>
    <row r="7">
      <c r="A7" s="198" t="inlineStr">
        <is>
          <t>Nakit Akışı</t>
        </is>
      </c>
      <c r="B7" s="182" t="inlineStr">
        <is>
          <t>İşletme/Yatırım/Finansman nakit akışları ayrılır</t>
        </is>
      </c>
      <c r="C7" s="182" t="inlineStr">
        <is>
          <t>Faaliyetlerden Nakit, Yatırım Harcamaları, Finansman Nakit Akışı</t>
        </is>
      </c>
      <c r="D7" s="182" t="inlineStr">
        <is>
          <t>Dolaylı/doğrudan yöntem açık seçilir</t>
        </is>
      </c>
      <c r="E7" s="182" t="inlineStr">
        <is>
          <t>Kâr = nakit sanılması</t>
        </is>
      </c>
      <c r="F7" s="182" t="inlineStr">
        <is>
          <t>Nakit devri</t>
        </is>
      </c>
    </row>
    <row r="8">
      <c r="A8" s="198" t="inlineStr">
        <is>
          <t>Ticari Alacaklar</t>
        </is>
      </c>
      <c r="B8" s="182" t="inlineStr">
        <is>
          <t>Cari ve vade mantığı korunur</t>
        </is>
      </c>
      <c r="C8" s="182" t="inlineStr">
        <is>
          <t>120 Alıcılar</t>
        </is>
      </c>
      <c r="D8" s="182" t="inlineStr">
        <is>
          <t>120</t>
        </is>
      </c>
      <c r="E8" s="182" t="inlineStr">
        <is>
          <t>Tahakkuk/nakit karışması</t>
        </is>
      </c>
      <c r="F8" s="182" t="inlineStr">
        <is>
          <t>Alacak devir kontrolü</t>
        </is>
      </c>
    </row>
    <row r="9">
      <c r="A9" s="198" t="inlineStr">
        <is>
          <t>Ticari Borçlar</t>
        </is>
      </c>
      <c r="B9" s="182" t="inlineStr">
        <is>
          <t>Tedarikçi borcu ayrı izlenir</t>
        </is>
      </c>
      <c r="C9" s="182" t="inlineStr">
        <is>
          <t>320 Satıcılar</t>
        </is>
      </c>
      <c r="D9" s="182" t="inlineStr">
        <is>
          <t>320</t>
        </is>
      </c>
      <c r="E9" s="182" t="inlineStr">
        <is>
          <t>Gider/ödeme karışması</t>
        </is>
      </c>
      <c r="F9" s="182" t="inlineStr">
        <is>
          <t>Borç devir kontrolü</t>
        </is>
      </c>
    </row>
    <row r="10">
      <c r="A10" s="198" t="inlineStr">
        <is>
          <t>Kasa/Banka</t>
        </is>
      </c>
      <c r="B10" s="182" t="inlineStr">
        <is>
          <t>Hazır değerler ayrı izlenir</t>
        </is>
      </c>
      <c r="C10" s="182" t="inlineStr">
        <is>
          <t>100 Kasa, 102 Bankalar</t>
        </is>
      </c>
      <c r="D10" s="182" t="inlineStr">
        <is>
          <t>100 / 102</t>
        </is>
      </c>
      <c r="E10" s="182" t="inlineStr">
        <is>
          <t>Virmanla toplam nakdin değişmesi</t>
        </is>
      </c>
      <c r="F10" s="182" t="inlineStr">
        <is>
          <t>Virman değişmezi</t>
        </is>
      </c>
    </row>
    <row r="11">
      <c r="A11" s="198" t="inlineStr">
        <is>
          <t>Stok</t>
        </is>
      </c>
      <c r="B11" s="182" t="inlineStr">
        <is>
          <t>Dikeye uygun stok türü</t>
        </is>
      </c>
      <c r="C11" s="182" t="inlineStr">
        <is>
          <t>150 İlk Madde ve Malzeme, 153 Ticari Mallar</t>
        </is>
      </c>
      <c r="D11" s="182" t="inlineStr">
        <is>
          <t>15x</t>
        </is>
      </c>
      <c r="E11" s="182" t="inlineStr">
        <is>
          <t>Maliyet ve stok hareketinin kopması</t>
        </is>
      </c>
      <c r="F11" s="182" t="inlineStr">
        <is>
          <t>Stok devri</t>
        </is>
      </c>
    </row>
    <row r="12" ht="28" customHeight="1">
      <c r="A12" s="198" t="inlineStr">
        <is>
          <t>Maddi Duran Varlık</t>
        </is>
      </c>
      <c r="B12" s="182" t="inlineStr">
        <is>
          <t>Yatırım harcaması ve amortisman bağlantılı</t>
        </is>
      </c>
      <c r="C12" s="182" t="inlineStr">
        <is>
          <t>253 Tesis Makine Cihazlar, 255 Demirbaşlar, 257 Birikmiş Amortismanlar</t>
        </is>
      </c>
      <c r="D12" s="182" t="inlineStr">
        <is>
          <t>25x</t>
        </is>
      </c>
      <c r="E12" s="182" t="inlineStr">
        <is>
          <t>Yatırım/gider karışması</t>
        </is>
      </c>
      <c r="F12" s="182" t="inlineStr">
        <is>
          <t>Net defter değeri devri</t>
        </is>
      </c>
    </row>
    <row r="13">
      <c r="A13" s="198" t="inlineStr">
        <is>
          <t>Mali Borçlar</t>
        </is>
      </c>
      <c r="B13" s="182" t="inlineStr">
        <is>
          <t>Kısa/uzun vadeli borç ayrımı</t>
        </is>
      </c>
      <c r="C13" s="182" t="inlineStr">
        <is>
          <t>300 Banka Kredileri / 400 Banka Kredileri</t>
        </is>
      </c>
      <c r="D13" s="182" t="inlineStr">
        <is>
          <t>300 / 400</t>
        </is>
      </c>
      <c r="E13" s="182" t="inlineStr">
        <is>
          <t>Vade sınıfı yanlış</t>
        </is>
      </c>
      <c r="F13" s="182" t="inlineStr">
        <is>
          <t>Borç devri</t>
        </is>
      </c>
    </row>
    <row r="14">
      <c r="A14" s="198" t="inlineStr">
        <is>
          <t>Özkaynak</t>
        </is>
      </c>
      <c r="B14" s="182" t="inlineStr">
        <is>
          <t>Sermaye ve geçmiş yıl kârları ayrı</t>
        </is>
      </c>
      <c r="C14" s="182" t="inlineStr">
        <is>
          <t>500 Sermaye, 570 Geçmiş Yıllar Kârları, 590 Dönem Net Kârı</t>
        </is>
      </c>
      <c r="D14" s="182" t="inlineStr">
        <is>
          <t>5xx</t>
        </is>
      </c>
      <c r="E14" s="182" t="inlineStr">
        <is>
          <t>Net kâr bağının kopması</t>
        </is>
      </c>
      <c r="F14" s="182" t="inlineStr">
        <is>
          <t>Özkaynak devri</t>
        </is>
      </c>
    </row>
    <row r="15">
      <c r="A15" s="198" t="inlineStr">
        <is>
          <t>Vergi</t>
        </is>
      </c>
      <c r="B15" s="182" t="inlineStr">
        <is>
          <t>Vergi satırları Türkiye mantığına uygun</t>
        </is>
      </c>
      <c r="C15" s="182" t="inlineStr">
        <is>
          <t>Dönem Vergi ve Diğer Yasal Yükümlülük Karşılıkları</t>
        </is>
      </c>
      <c r="D15" s="182" t="inlineStr">
        <is>
          <t>37x / ilgili vergi hesapları</t>
        </is>
      </c>
      <c r="E15" s="182" t="inlineStr">
        <is>
          <t>Vergi etkisinin yanlış dönemlenmesi</t>
        </is>
      </c>
      <c r="F15" s="182" t="inlineStr">
        <is>
          <t>Vergi sözleşmesi</t>
        </is>
      </c>
    </row>
    <row r="16">
      <c r="A16" s="198" t="inlineStr">
        <is>
          <t>İsim standardı</t>
        </is>
      </c>
      <c r="B16" s="182" t="inlineStr">
        <is>
          <t>Tablo ve sayfa adları Türkçe ve işlevsel</t>
        </is>
      </c>
      <c r="C16" s="182" t="inlineStr">
        <is>
          <t>GELİR_TABLOSU, BİLANÇO, NAKİT_AKISI, BORC_PLANI</t>
        </is>
      </c>
      <c r="D16" s="182" t="inlineStr">
        <is>
          <t>Tekrarlanabilir standart</t>
        </is>
      </c>
      <c r="E16" s="182" t="inlineStr">
        <is>
          <t>İngilizce/karma isim</t>
        </is>
      </c>
      <c r="F16" s="182" t="inlineStr">
        <is>
          <t>Sayfa ve tablo taraması</t>
        </is>
      </c>
    </row>
    <row r="17">
      <c r="A17" s="198" t="inlineStr">
        <is>
          <t>THP eşleme tablosu</t>
        </is>
      </c>
      <c r="B17" s="182" t="inlineStr">
        <is>
          <t>Her kritik satır en az bir THP hesabına bağlanır</t>
        </is>
      </c>
      <c r="C17" s="182" t="inlineStr">
        <is>
          <t>RaporSatırı → HesapKodu → HesapAdı → İşaret → Dönem</t>
        </is>
      </c>
      <c r="D17" s="182" t="inlineStr">
        <is>
          <t>Kaynak izlenebilirliği</t>
        </is>
      </c>
      <c r="E17" s="182" t="inlineStr">
        <is>
          <t>Rapordan rapora kaynak</t>
        </is>
      </c>
      <c r="F17" s="182" t="inlineStr">
        <is>
          <t>Eşleme kapsama %100</t>
        </is>
      </c>
    </row>
    <row r="18">
      <c r="A18" s="198" t="inlineStr">
        <is>
          <t>İstisna</t>
        </is>
      </c>
      <c r="B18" s="182" t="inlineStr">
        <is>
          <t>TFRS özel ürün varsa fark açık yazılır</t>
        </is>
      </c>
      <c r="C18" s="182" t="inlineStr">
        <is>
          <t>Tekdüzen raporlama ≠ TFRS finansal tablo sunumu</t>
        </is>
      </c>
      <c r="D18" s="182" t="inlineStr">
        <is>
          <t>Amaç belirtilir</t>
        </is>
      </c>
      <c r="E18" s="182" t="inlineStr">
        <is>
          <t>Standartları karıştırma</t>
        </is>
      </c>
      <c r="F18" s="182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99" t="inlineStr">
        <is>
          <t>KARAR, GÜVEN VE SATIŞA HAZIRLIK STANDARDI</t>
        </is>
      </c>
    </row>
    <row r="3" ht="24" customHeight="1">
      <c r="A3" s="200" t="inlineStr">
        <is>
          <t>Alan</t>
        </is>
      </c>
      <c r="B3" s="200" t="inlineStr">
        <is>
          <t>Müşteri Sorusu</t>
        </is>
      </c>
      <c r="C3" s="200" t="inlineStr">
        <is>
          <t>Zorunlu Ürün Davranışı</t>
        </is>
      </c>
      <c r="D3" s="200" t="inlineStr">
        <is>
          <t>Kanıt</t>
        </is>
      </c>
      <c r="E3" s="200" t="inlineStr">
        <is>
          <t>Başarısızlık Durumu</t>
        </is>
      </c>
      <c r="F3" s="200" t="inlineStr">
        <is>
          <t>Kapı</t>
        </is>
      </c>
    </row>
    <row r="4">
      <c r="A4" s="201" t="inlineStr">
        <is>
          <t>5 saniye</t>
        </is>
      </c>
      <c r="B4" s="182" t="inlineStr">
        <is>
          <t>Bu ürün neyi çözüyor?</t>
        </is>
      </c>
      <c r="C4" s="182" t="inlineStr">
        <is>
          <t>İlk ekranda hedef kullanıcı + pahalı problem + sonuç görünür</t>
        </is>
      </c>
      <c r="D4" s="182" t="inlineStr">
        <is>
          <t>Başlık + alt mesaj + gerçek ekran</t>
        </is>
      </c>
      <c r="E4" s="182" t="inlineStr">
        <is>
          <t>Ürün yalnız teknik isim</t>
        </is>
      </c>
      <c r="F4" s="202" t="inlineStr">
        <is>
          <t>HATA</t>
        </is>
      </c>
    </row>
    <row r="5">
      <c r="A5" s="201" t="inlineStr">
        <is>
          <t>Acı</t>
        </is>
      </c>
      <c r="B5" s="182" t="inlineStr">
        <is>
          <t>Sorun bana neye mal oluyor?</t>
        </is>
      </c>
      <c r="C5" s="182" t="inlineStr">
        <is>
          <t>Mümkünse müşterinin kendi verisiyle parasal/zaman etkisi hesaplanır</t>
        </is>
      </c>
      <c r="D5" s="182" t="inlineStr">
        <is>
          <t>ROI/acı hesaplama yöntemi</t>
        </is>
      </c>
      <c r="E5" s="182" t="inlineStr">
        <is>
          <t>Uydurma tasarruf</t>
        </is>
      </c>
      <c r="F5" s="202" t="inlineStr">
        <is>
          <t>HATA</t>
        </is>
      </c>
    </row>
    <row r="6">
      <c r="A6" s="201" t="inlineStr">
        <is>
          <t>Karar</t>
        </is>
      </c>
      <c r="B6" s="182" t="inlineStr">
        <is>
          <t>Bu bilgiyle ne yapacağım?</t>
        </is>
      </c>
      <c r="C6" s="182" t="inlineStr">
        <is>
          <t>Her kritik KPI aksiyona bağlanır</t>
        </is>
      </c>
      <c r="D6" s="182" t="inlineStr">
        <is>
          <t>KARAR_KUYRUGU</t>
        </is>
      </c>
      <c r="E6" s="182" t="inlineStr">
        <is>
          <t>Sadece rapor</t>
        </is>
      </c>
      <c r="F6" s="202" t="inlineStr">
        <is>
          <t>HATA</t>
        </is>
      </c>
    </row>
    <row r="7">
      <c r="A7" s="201" t="inlineStr">
        <is>
          <t>Güven</t>
        </is>
      </c>
      <c r="B7" s="182" t="inlineStr">
        <is>
          <t>Bu sayıya neden inanayım?</t>
        </is>
      </c>
      <c r="C7" s="182" t="inlineStr">
        <is>
          <t>Kaynak, formül mantığı, kontrol ve son doğrulama görünür</t>
        </is>
      </c>
      <c r="D7" s="182" t="inlineStr">
        <is>
          <t>Kontroller + kaynak izi + sürüm</t>
        </is>
      </c>
      <c r="E7" s="182" t="inlineStr">
        <is>
          <t>Prestij kelimesi</t>
        </is>
      </c>
      <c r="F7" s="202" t="inlineStr">
        <is>
          <t>HATA</t>
        </is>
      </c>
    </row>
    <row r="8">
      <c r="A8" s="201" t="inlineStr">
        <is>
          <t>Referans</t>
        </is>
      </c>
      <c r="B8" s="182" t="inlineStr">
        <is>
          <t>Müşteri yorumu yoksa ne göstereceğim?</t>
        </is>
      </c>
      <c r="C8" s="182" t="inlineStr">
        <is>
          <t>Önce/Sonra + Karar Vakası + Hata Önleme Vakası üretilir</t>
        </is>
      </c>
      <c r="D8" s="182" t="inlineStr">
        <is>
          <t>Demo/örnek çıktı</t>
        </is>
      </c>
      <c r="E8" s="182" t="inlineStr">
        <is>
          <t>Kanıtsız iddia</t>
        </is>
      </c>
      <c r="F8" s="202" t="inlineStr">
        <is>
          <t>HATA</t>
        </is>
      </c>
    </row>
    <row r="9">
      <c r="A9" s="201" t="inlineStr">
        <is>
          <t>Senaryo</t>
        </is>
      </c>
      <c r="B9" s="182" t="inlineStr">
        <is>
          <t>Ne olursa işler bozulur?</t>
        </is>
      </c>
      <c r="C9" s="182" t="inlineStr">
        <is>
          <t>Baz/Aşağı/Yukarı veya uygun stres senaryosu</t>
        </is>
      </c>
      <c r="D9" s="182" t="inlineStr">
        <is>
          <t>Senaryo karşılaştırma</t>
        </is>
      </c>
      <c r="E9" s="182" t="inlineStr">
        <is>
          <t>Dekoratif senaryo</t>
        </is>
      </c>
      <c r="F9" s="202" t="inlineStr">
        <is>
          <t>HATA</t>
        </is>
      </c>
    </row>
    <row r="10">
      <c r="A10" s="201" t="inlineStr">
        <is>
          <t>Ters stres</t>
        </is>
      </c>
      <c r="B10" s="182" t="inlineStr">
        <is>
          <t>Hangi eşikte karar kırılır?</t>
        </is>
      </c>
      <c r="C10" s="182" t="inlineStr">
        <is>
          <t>En az bir kritik sürücü için kırılma eşiği</t>
        </is>
      </c>
      <c r="D10" s="182" t="inlineStr">
        <is>
          <t>Kırılma eşiği tablosu</t>
        </is>
      </c>
      <c r="E10" s="182" t="inlineStr">
        <is>
          <t>Sadece +/- %10</t>
        </is>
      </c>
      <c r="F10" s="202" t="inlineStr">
        <is>
          <t>UYARI/HATA</t>
        </is>
      </c>
    </row>
    <row r="11">
      <c r="A11" s="201" t="inlineStr">
        <is>
          <t>Hata tutarlılığı</t>
        </is>
      </c>
      <c r="B11" s="182" t="inlineStr">
        <is>
          <t>Formül hata verirse ne olur?</t>
        </is>
      </c>
      <c r="C11" s="182" t="inlineStr">
        <is>
          <t>Kontrol GEÇTİ veremez; BLOKE/HATA üretir</t>
        </is>
      </c>
      <c r="D11" s="182" t="inlineStr">
        <is>
          <t>Hata taraması</t>
        </is>
      </c>
      <c r="E11" s="182" t="inlineStr">
        <is>
          <t>Hata + GEÇTİ birlikte</t>
        </is>
      </c>
      <c r="F11" s="202" t="inlineStr">
        <is>
          <t>HATA</t>
        </is>
      </c>
    </row>
    <row r="12">
      <c r="A12" s="201" t="inlineStr">
        <is>
          <t>Karar motoru</t>
        </is>
      </c>
      <c r="B12" s="182" t="inlineStr">
        <is>
          <t>Ne oldu, neden oldu?</t>
        </is>
      </c>
      <c r="C12" s="182" t="inlineStr">
        <is>
          <t>Sorun + neden + parasal etki + aksiyon + son tarih</t>
        </is>
      </c>
      <c r="D12" s="182" t="inlineStr">
        <is>
          <t>Karar tablosu</t>
        </is>
      </c>
      <c r="E12" s="182" t="inlineStr">
        <is>
          <t>Boş sayfa / isim düzeyi modül</t>
        </is>
      </c>
      <c r="F12" s="202" t="inlineStr">
        <is>
          <t>HATA</t>
        </is>
      </c>
    </row>
    <row r="13">
      <c r="A13" s="201" t="inlineStr">
        <is>
          <t>Yönetici özeti</t>
        </is>
      </c>
      <c r="B13" s="182" t="inlineStr">
        <is>
          <t>5 saniyede ne görmeliyim?</t>
        </is>
      </c>
      <c r="C13" s="182" t="inlineStr">
        <is>
          <t>Bugün / ne değişti / ne bozulacak / neden / ne yapmalıyım / güven</t>
        </is>
      </c>
      <c r="D13" s="182" t="inlineStr">
        <is>
          <t>Yönetici özeti ekranı</t>
        </is>
      </c>
      <c r="E13" s="182" t="inlineStr">
        <is>
          <t>KPI kutusu yığını</t>
        </is>
      </c>
      <c r="F13" s="202" t="inlineStr">
        <is>
          <t>HATA</t>
        </is>
      </c>
    </row>
    <row r="14">
      <c r="A14" s="201" t="inlineStr">
        <is>
          <t>Teklif</t>
        </is>
      </c>
      <c r="B14" s="182" t="inlineStr">
        <is>
          <t>Neden satın almalıyım?</t>
        </is>
      </c>
      <c r="C14" s="182" t="inlineStr">
        <is>
          <t>Dosya özellikleri yerine sonuç ve kaçınılan maliyet sunulur</t>
        </is>
      </c>
      <c r="D14" s="182" t="inlineStr">
        <is>
          <t>Ürün sayfası kanıt eşlemesi</t>
        </is>
      </c>
      <c r="E14" s="182" t="inlineStr">
        <is>
          <t>Özellik listesiyle satış</t>
        </is>
      </c>
      <c r="F14" s="202" t="inlineStr">
        <is>
          <t>HATA</t>
        </is>
      </c>
    </row>
    <row r="15">
      <c r="A15" s="201" t="inlineStr">
        <is>
          <t>Dağıtım</t>
        </is>
      </c>
      <c r="B15" s="182" t="inlineStr">
        <is>
          <t>Beni nasıl bulacaklar?</t>
        </is>
      </c>
      <c r="C15" s="182" t="inlineStr">
        <is>
          <t>Sorun niyetine göre SEO sayfaları, iç bağlantı, temiz yapı, taranabilir metin</t>
        </is>
      </c>
      <c r="D15" s="182" t="inlineStr">
        <is>
          <t>Arama niyeti haritası</t>
        </is>
      </c>
      <c r="E15" s="182" t="inlineStr">
        <is>
          <t>Tek ürün sayfasına bağımlılık</t>
        </is>
      </c>
      <c r="F15" s="202" t="inlineStr">
        <is>
          <t>UYARI</t>
        </is>
      </c>
    </row>
    <row r="16" ht="28" customHeight="1">
      <c r="A16" s="201" t="inlineStr">
        <is>
          <t>LLM görünürlüğü</t>
        </is>
      </c>
      <c r="B16" s="182" t="inlineStr">
        <is>
          <t>AI ürünümü anlayabiliyor mu?</t>
        </is>
      </c>
      <c r="C16" s="182" t="inlineStr">
        <is>
          <t>Ürün tanımı, hedef kullanıcı, girdi/çıktı, metodoloji, sınırlar, SSS açık metindir</t>
        </is>
      </c>
      <c r="D16" s="182" t="inlineStr">
        <is>
          <t>Taranabilir ürün içeriği</t>
        </is>
      </c>
      <c r="E16" s="182" t="inlineStr">
        <is>
          <t>'AI SEO' iddiası</t>
        </is>
      </c>
      <c r="F16" s="202" t="inlineStr">
        <is>
          <t>UYARI</t>
        </is>
      </c>
    </row>
    <row r="17">
      <c r="A17" s="201" t="inlineStr">
        <is>
          <t>Satış kanalı</t>
        </is>
      </c>
      <c r="B17" s="182" t="inlineStr">
        <is>
          <t>Nerede satılmalı?</t>
        </is>
      </c>
      <c r="C17" s="182" t="inlineStr">
        <is>
          <t>Arama, LinkedIn, uzman/partner, demo/video; ürüne göre kanal seçilir</t>
        </is>
      </c>
      <c r="D17" s="182" t="inlineStr">
        <is>
          <t>Kanal matrisi</t>
        </is>
      </c>
      <c r="E17" s="182" t="inlineStr">
        <is>
          <t>Her ürüne aynı kanal</t>
        </is>
      </c>
      <c r="F17" s="202" t="inlineStr">
        <is>
          <t>UYARI</t>
        </is>
      </c>
    </row>
    <row r="18">
      <c r="A18" s="201" t="inlineStr">
        <is>
          <t>Fiyat</t>
        </is>
      </c>
      <c r="B18" s="182" t="inlineStr">
        <is>
          <t>Bu fiyat neden mantıklı?</t>
        </is>
      </c>
      <c r="C18" s="182" t="inlineStr">
        <is>
          <t>Fiyat, ekonomik karar değerine ve kanıtlanmış ürün derinliğine bağlanır</t>
        </is>
      </c>
      <c r="D18" s="182" t="inlineStr">
        <is>
          <t>Değer haritası + demo</t>
        </is>
      </c>
      <c r="E18" s="182" t="inlineStr">
        <is>
          <t>Sırf sayfa/formül sayısı</t>
        </is>
      </c>
      <c r="F18" s="202" t="inlineStr">
        <is>
          <t>HATA</t>
        </is>
      </c>
    </row>
    <row r="19">
      <c r="A19" s="201" t="inlineStr">
        <is>
          <t>Pazar kanıtı</t>
        </is>
      </c>
      <c r="B19" s="182" t="inlineStr">
        <is>
          <t>Piyasa gerçekten ödüyor mu?</t>
        </is>
      </c>
      <c r="C19" s="182" t="inlineStr">
        <is>
          <t>Satış/pilot/LOI/fiyat kabulü olmadan pazar doğrulandı yazılmaz</t>
        </is>
      </c>
      <c r="D19" s="182" t="inlineStr">
        <is>
          <t>Gerçek işlem kanıtı</t>
        </is>
      </c>
      <c r="E19" s="182" t="inlineStr">
        <is>
          <t>Tahmini talep = satış kabulü</t>
        </is>
      </c>
      <c r="F19" s="202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İthalat Gerçek Birim Maliyet Motoru</t>
        </is>
      </c>
    </row>
    <row r="3" ht="30" customHeight="1">
      <c r="A3" s="3" t="inlineStr">
        <is>
          <t>İthalat Gerçek Birim Maliyet Motoru</t>
        </is>
      </c>
    </row>
    <row r="4">
      <c r="A4" s="4" t="inlineStr">
        <is>
          <t>FOB, navlun, sigorta, gümrük, KDV ve KKDF girdilerini işleyin; gerçek birim landed maliyeti ve YATIRIM YAPILIR / YATIRIM YAPMA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Kur tablosu (tarihli/kaynaklı) ile döviz→TL çevrimi — sabit kur gömülmez</t>
        </is>
      </c>
    </row>
    <row r="8">
      <c r="A8" s="6" t="inlineStr">
        <is>
          <t>• Gümrük + KKDF + KDV kural motoru (2025/2026/2027 yan yana)</t>
        </is>
      </c>
    </row>
    <row r="9">
      <c r="A9" s="6" t="inlineStr">
        <is>
          <t>• CAPEX/OPEX ayrımı + öz kaynak / kredi finansman senaryosu</t>
        </is>
      </c>
    </row>
    <row r="10">
      <c r="A10" s="6" t="inlineStr">
        <is>
          <t>• NPV / IRR + tornado duyarlılık; kötümser YATIRIM YAPMA yolu</t>
        </is>
      </c>
    </row>
    <row r="11">
      <c r="A11" s="6" t="inlineStr">
        <is>
          <t>• Altın vakalar ve KANIT_RAPORU (A4 imza)</t>
        </is>
      </c>
    </row>
    <row r="13">
      <c r="A13" s="5" t="inlineStr">
        <is>
          <t>Kimler için?</t>
        </is>
      </c>
    </row>
    <row r="14">
      <c r="A14" s="7" t="inlineStr">
        <is>
          <t>• Satın alma / ithalat — sevkiyat öncesi gerçek birim maliyeti görmek</t>
        </is>
      </c>
    </row>
    <row r="15">
      <c r="A15" s="7" t="inlineStr">
        <is>
          <t>• CFO — NPV/IRR ile ithalat yatırımı kararı vermek</t>
        </is>
      </c>
    </row>
    <row r="16">
      <c r="A16" s="7" t="inlineStr">
        <is>
          <t>• Gümrük müşaviri / denetçi — imzalı kanıt raporunu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PANO/KARAR → 4) KANIT_RAPORU yazdır.</t>
        </is>
      </c>
    </row>
    <row r="21">
      <c r="A21" s="8" t="inlineStr">
        <is>
          <t>Sürüm 1.0.0 | 2026 | ExcelArşiv | Lisans: Tek kullanıcı | Kod: ILC-PRO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6" customHeight="1">
      <c r="A1" s="1" t="inlineStr">
        <is>
          <t>HIZLI BASLANGIC — İthalat Gerçek Birim Maliyet Motoru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FOB, miktar, navlun ve kur seçimini sarı hücrelere girin.</t>
        </is>
      </c>
    </row>
    <row r="6">
      <c r="A6" s="10" t="inlineStr">
        <is>
          <t>Adım 2 — Karar</t>
        </is>
      </c>
      <c r="B6" s="6" t="inlineStr">
        <is>
          <t>PANO ve KARAR'da birim landed, NPV/IRR ve YATIRIM YAPILIR / YATIRIM YAPMA görün.</t>
        </is>
      </c>
    </row>
    <row r="7">
      <c r="A7" s="10" t="inlineStr">
        <is>
          <t>Adım 3 — Kanıt</t>
        </is>
      </c>
      <c r="B7" s="6" t="inlineStr">
        <is>
          <t>KANIT_RAPORU'nu yazdırın; VAKALAR ve SENARYO ile doğrulayın.</t>
        </is>
      </c>
    </row>
    <row r="9">
      <c r="A9" s="10" t="inlineStr">
        <is>
          <t>Formüller</t>
        </is>
      </c>
    </row>
    <row r="10">
      <c r="A10" s="6" t="inlineStr">
        <is>
          <t>CIF = FOB_TL + navlun_TL + sigorta_TL | Landed = CIF + gümrük + KKDF + KDV + lokal | Birim = Landed ÷ miktar</t>
        </is>
      </c>
    </row>
    <row r="12">
      <c r="A12" s="4" t="inlineStr">
        <is>
          <t>Sarı = manuel giriş | Yeşil = formül çıktısı | Şifre 1234 formül alanlarını korur.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10:L10"/>
    <mergeCell ref="B6:L6"/>
    <mergeCell ref="B7:L7"/>
    <mergeCell ref="B5:L5"/>
    <mergeCell ref="A1:A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İthalat Gerçek Birim Maliyet Motoru</t>
        </is>
      </c>
    </row>
    <row r="3">
      <c r="A3" s="9" t="inlineStr">
        <is>
          <t>İthalat sevkiyat girdileri</t>
        </is>
      </c>
    </row>
    <row r="4">
      <c r="A4" s="4" t="inlineStr">
        <is>
          <t>Sarı hücreler manuel giriştir. Oranlar KURALLAR'dan; kur AYARLAR kur tablosundan.</t>
        </is>
      </c>
    </row>
    <row r="5">
      <c r="A5" s="11" t="inlineStr">
        <is>
          <t>Alan</t>
        </is>
      </c>
      <c r="B5" s="11" t="inlineStr">
        <is>
          <t>Değer</t>
        </is>
      </c>
      <c r="C5" s="11" t="inlineStr">
        <is>
          <t>Birim</t>
        </is>
      </c>
    </row>
    <row r="6">
      <c r="A6" s="7" t="inlineStr">
        <is>
          <t>Şirket / Sevkiyat</t>
        </is>
      </c>
      <c r="B6" s="12" t="inlineStr">
        <is>
          <t>Örnek İthalat Ticaret A.Ş.</t>
        </is>
      </c>
      <c r="C6" s="13" t="inlineStr">
        <is>
          <t>metin</t>
        </is>
      </c>
    </row>
    <row r="7">
      <c r="A7" s="7" t="inlineStr">
        <is>
          <t>Dönem</t>
        </is>
      </c>
      <c r="B7" s="12" t="inlineStr">
        <is>
          <t>2026-Q3</t>
        </is>
      </c>
      <c r="C7" s="13" t="inlineStr">
        <is>
          <t>metin</t>
        </is>
      </c>
    </row>
    <row r="8">
      <c r="A8" s="7" t="inlineStr">
        <is>
          <t>Hesap Yılı</t>
        </is>
      </c>
      <c r="B8" s="14" t="n">
        <v>2026</v>
      </c>
      <c r="C8" s="13" t="inlineStr">
        <is>
          <t>yıl</t>
        </is>
      </c>
    </row>
    <row r="9">
      <c r="A9" s="7" t="inlineStr">
        <is>
          <t>Döviz Cinsi</t>
        </is>
      </c>
      <c r="B9" s="12" t="inlineStr">
        <is>
          <t>USD</t>
        </is>
      </c>
      <c r="C9" s="13" t="inlineStr">
        <is>
          <t>metin</t>
        </is>
      </c>
    </row>
    <row r="10">
      <c r="A10" s="7" t="inlineStr">
        <is>
          <t>FOB [döviz]</t>
        </is>
      </c>
      <c r="B10" s="14" t="n">
        <v>100000</v>
      </c>
      <c r="C10" s="13" t="inlineStr">
        <is>
          <t>adet/döviz</t>
        </is>
      </c>
    </row>
    <row r="11">
      <c r="A11" s="7" t="inlineStr">
        <is>
          <t>Miktar [adet]</t>
        </is>
      </c>
      <c r="B11" s="14" t="n">
        <v>1000</v>
      </c>
      <c r="C11" s="13" t="inlineStr">
        <is>
          <t>adet/döviz</t>
        </is>
      </c>
    </row>
    <row r="12">
      <c r="A12" s="7" t="inlineStr">
        <is>
          <t>Navlun [döviz]</t>
        </is>
      </c>
      <c r="B12" s="14" t="n">
        <v>5000</v>
      </c>
      <c r="C12" s="13" t="inlineStr">
        <is>
          <t>adet/döviz</t>
        </is>
      </c>
    </row>
    <row r="13">
      <c r="A13" s="7" t="inlineStr">
        <is>
          <t>Sigorta oranı (giriş)</t>
        </is>
      </c>
      <c r="B13" s="15" t="n">
        <v>0.01</v>
      </c>
      <c r="C13" s="13" t="inlineStr">
        <is>
          <t>%</t>
        </is>
      </c>
    </row>
    <row r="14">
      <c r="A14" s="7" t="inlineStr">
        <is>
          <t>Lokal masraf [₺]</t>
        </is>
      </c>
      <c r="B14" s="16" t="n">
        <v>25000</v>
      </c>
      <c r="C14" s="13" t="inlineStr">
        <is>
          <t>₺</t>
        </is>
      </c>
    </row>
    <row r="15">
      <c r="A15" s="7" t="inlineStr">
        <is>
          <t>Hedef satış birim [₺]</t>
        </is>
      </c>
      <c r="B15" s="16" t="n">
        <v>6500</v>
      </c>
      <c r="C15" s="13" t="inlineStr">
        <is>
          <t>₺</t>
        </is>
      </c>
    </row>
    <row r="16">
      <c r="A16" s="7" t="inlineStr">
        <is>
          <t>Yıllık miktar [adet]</t>
        </is>
      </c>
      <c r="B16" s="14" t="n">
        <v>12000</v>
      </c>
      <c r="C16" s="13" t="inlineStr">
        <is>
          <t>adet/döviz</t>
        </is>
      </c>
    </row>
    <row r="17">
      <c r="A17" s="7" t="inlineStr">
        <is>
          <t>CAPEX / YATIRIM [₺]</t>
        </is>
      </c>
      <c r="B17" s="16" t="n">
        <v>800000</v>
      </c>
      <c r="C17" s="13" t="inlineStr">
        <is>
          <t>₺</t>
        </is>
      </c>
    </row>
    <row r="18">
      <c r="A18" s="7" t="inlineStr">
        <is>
          <t>WACC [%]</t>
        </is>
      </c>
      <c r="B18" s="15" t="n">
        <v>0.18</v>
      </c>
      <c r="C18" s="13" t="inlineStr">
        <is>
          <t>%</t>
        </is>
      </c>
    </row>
    <row r="19">
      <c r="A19" s="7" t="inlineStr">
        <is>
          <t>NPV dönem [yıl]</t>
        </is>
      </c>
      <c r="B19" s="14" t="n">
        <v>5</v>
      </c>
      <c r="C19" s="13" t="inlineStr">
        <is>
          <t>yıl</t>
        </is>
      </c>
    </row>
    <row r="20">
      <c r="A20" s="7" t="inlineStr">
        <is>
          <t>Kredi faiz oranı [%]</t>
        </is>
      </c>
      <c r="B20" s="15" t="n">
        <v>0.32</v>
      </c>
      <c r="C20" s="13" t="inlineStr">
        <is>
          <t>%</t>
        </is>
      </c>
    </row>
    <row r="21">
      <c r="A21" s="7" t="inlineStr">
        <is>
          <t>Öz kaynak oranı [%]</t>
        </is>
      </c>
      <c r="B21" s="15" t="n">
        <v>0.4</v>
      </c>
      <c r="C21" s="13" t="inlineStr">
        <is>
          <t>%</t>
        </is>
      </c>
    </row>
    <row r="23">
      <c r="A23" s="10" t="inlineStr">
        <is>
          <t>Aktif kur (ayna)</t>
        </is>
      </c>
      <c r="B23" s="17">
        <f>IFERROR(ilc_aktifKur,0)</f>
        <v/>
      </c>
    </row>
    <row r="24">
      <c r="A24" s="10" t="inlineStr">
        <is>
          <t>Gümrük oranı (ayna)</t>
        </is>
      </c>
      <c r="B24" s="18">
        <f>IFERROR(INDEX(CHOOSE(MAX(1,MIN(3,IF(OR(hesapYili="",hesapYili=0),1,hesapYili-ilc_yilTaban))),tblKurallar[deger_2025],tblKurallar[deger_2026],tblKurallar[deger_2027]),MATCH("ILC-001",tblKurallar[kural_id],0)),0)</f>
        <v/>
      </c>
    </row>
    <row r="25">
      <c r="A25" s="10" t="inlineStr">
        <is>
          <t>Birim landed (ayna)</t>
        </is>
      </c>
      <c r="B25" s="19">
        <f>IFERROR(ilc_birimLanded,0)</f>
        <v/>
      </c>
    </row>
    <row r="26">
      <c r="A26" s="10" t="inlineStr">
        <is>
          <t>Giriş doluluk</t>
        </is>
      </c>
      <c r="B26" s="20">
        <f>IFERROR(IF(OR(COUNTA(B6:B21)=0,ilc_girisBeklenen=0),0,ROUND(COUNTA(B6:B21)/ilc_girisBeklenen*100,0)),0)</f>
        <v/>
      </c>
    </row>
    <row r="28">
      <c r="A28" s="10" t="inlineStr">
        <is>
          <t>Giriş tablosu (otomasyon / boş-mod)</t>
        </is>
      </c>
    </row>
    <row r="29" ht="30" customHeight="1">
      <c r="A29" s="21" t="inlineStr">
        <is>
          <t>Alan Anahtarı</t>
        </is>
      </c>
      <c r="B29" s="21" t="inlineStr">
        <is>
          <t>Değer</t>
        </is>
      </c>
      <c r="C29" s="21" t="inlineStr">
        <is>
          <t>Birim</t>
        </is>
      </c>
      <c r="D29" s="21" t="inlineStr">
        <is>
          <t>Zorunlu</t>
        </is>
      </c>
      <c r="E29" s="21" t="inlineStr">
        <is>
          <t>Kaynak</t>
        </is>
      </c>
      <c r="F29" s="21" t="inlineStr">
        <is>
          <t>Kontrol</t>
        </is>
      </c>
    </row>
    <row r="30">
      <c r="A30" s="22" t="inlineStr">
        <is>
          <t>sirket_adi</t>
        </is>
      </c>
      <c r="B30" s="22" t="inlineStr">
        <is>
          <t>Örnek İthalat Ticaret A.Ş.</t>
        </is>
      </c>
      <c r="C30" s="22" t="inlineStr">
        <is>
          <t>metin</t>
        </is>
      </c>
      <c r="D30" s="22" t="inlineStr">
        <is>
          <t>Evet</t>
        </is>
      </c>
      <c r="E30" s="22" t="inlineStr">
        <is>
          <t>GIRDI</t>
        </is>
      </c>
      <c r="F30" s="23">
        <f>IF($A30="","",IF($B30="","EKSİK","TAM"))</f>
        <v/>
      </c>
    </row>
    <row r="31">
      <c r="A31" s="22" t="inlineStr">
        <is>
          <t>donem</t>
        </is>
      </c>
      <c r="B31" s="22" t="inlineStr">
        <is>
          <t>2026-Q3</t>
        </is>
      </c>
      <c r="C31" s="22" t="inlineStr">
        <is>
          <t>metin</t>
        </is>
      </c>
      <c r="D31" s="22" t="inlineStr">
        <is>
          <t>Evet</t>
        </is>
      </c>
      <c r="E31" s="22" t="inlineStr">
        <is>
          <t>GIRDI</t>
        </is>
      </c>
      <c r="F31" s="23">
        <f>IF($A31="","",IF($B31="","EKSİK","TAM"))</f>
        <v/>
      </c>
    </row>
    <row r="32">
      <c r="A32" s="22" t="inlineStr">
        <is>
          <t>hesapYili</t>
        </is>
      </c>
      <c r="B32" s="24" t="n">
        <v>2026</v>
      </c>
      <c r="C32" s="22" t="inlineStr">
        <is>
          <t>yıl</t>
        </is>
      </c>
      <c r="D32" s="22" t="inlineStr">
        <is>
          <t>Evet</t>
        </is>
      </c>
      <c r="E32" s="22" t="inlineStr">
        <is>
          <t>GIRDI</t>
        </is>
      </c>
      <c r="F32" s="23">
        <f>IF($A32="","",IF($B32="","EKSİK","TAM"))</f>
        <v/>
      </c>
    </row>
    <row r="33">
      <c r="A33" s="22" t="inlineStr">
        <is>
          <t>parabirimi</t>
        </is>
      </c>
      <c r="B33" s="22" t="inlineStr">
        <is>
          <t>USD</t>
        </is>
      </c>
      <c r="C33" s="22" t="inlineStr">
        <is>
          <t>kod</t>
        </is>
      </c>
      <c r="D33" s="22" t="inlineStr">
        <is>
          <t>Evet</t>
        </is>
      </c>
      <c r="E33" s="22" t="inlineStr">
        <is>
          <t>GIRDI</t>
        </is>
      </c>
      <c r="F33" s="23">
        <f>IF($A33="","",IF($B33="","EKSİK","TAM"))</f>
        <v/>
      </c>
    </row>
    <row r="34">
      <c r="A34" s="22" t="inlineStr">
        <is>
          <t>fob_doviz</t>
        </is>
      </c>
      <c r="B34" s="24" t="n">
        <v>100000</v>
      </c>
      <c r="C34" s="22" t="inlineStr">
        <is>
          <t>döviz</t>
        </is>
      </c>
      <c r="D34" s="22" t="inlineStr">
        <is>
          <t>Evet</t>
        </is>
      </c>
      <c r="E34" s="22" t="inlineStr">
        <is>
          <t>GIRDI</t>
        </is>
      </c>
      <c r="F34" s="23">
        <f>IF($A34="","",IF($B34="","EKSİK","TAM"))</f>
        <v/>
      </c>
    </row>
    <row r="35">
      <c r="A35" s="22" t="inlineStr">
        <is>
          <t>miktar</t>
        </is>
      </c>
      <c r="B35" s="24" t="n">
        <v>1000</v>
      </c>
      <c r="C35" s="22" t="inlineStr">
        <is>
          <t>adet</t>
        </is>
      </c>
      <c r="D35" s="22" t="inlineStr">
        <is>
          <t>Evet</t>
        </is>
      </c>
      <c r="E35" s="22" t="inlineStr">
        <is>
          <t>GIRDI</t>
        </is>
      </c>
      <c r="F35" s="23">
        <f>IF($A35="","",IF($B35="","EKSİK","TAM"))</f>
        <v/>
      </c>
    </row>
    <row r="36">
      <c r="A36" s="22" t="inlineStr">
        <is>
          <t>navlun_doviz</t>
        </is>
      </c>
      <c r="B36" s="24" t="n">
        <v>5000</v>
      </c>
      <c r="C36" s="22" t="inlineStr">
        <is>
          <t>döviz</t>
        </is>
      </c>
      <c r="D36" s="22" t="inlineStr">
        <is>
          <t>Evet</t>
        </is>
      </c>
      <c r="E36" s="22" t="inlineStr">
        <is>
          <t>GIRDI</t>
        </is>
      </c>
      <c r="F36" s="23">
        <f>IF($A36="","",IF($B36="","EKSİK","TAM"))</f>
        <v/>
      </c>
    </row>
    <row r="37">
      <c r="A37" s="22" t="inlineStr">
        <is>
          <t>sigorta_oran</t>
        </is>
      </c>
      <c r="B37" s="25" t="n">
        <v>0.01</v>
      </c>
      <c r="C37" s="22" t="inlineStr">
        <is>
          <t>oran</t>
        </is>
      </c>
      <c r="D37" s="22" t="inlineStr">
        <is>
          <t>Evet</t>
        </is>
      </c>
      <c r="E37" s="22" t="inlineStr">
        <is>
          <t>GIRDI</t>
        </is>
      </c>
      <c r="F37" s="23">
        <f>IF($A37="","",IF($B37="","EKSİK","TAM"))</f>
        <v/>
      </c>
    </row>
    <row r="38">
      <c r="A38" s="22" t="inlineStr">
        <is>
          <t>lokal_masraf</t>
        </is>
      </c>
      <c r="B38" s="26" t="n">
        <v>25000</v>
      </c>
      <c r="C38" s="22" t="inlineStr">
        <is>
          <t>TL</t>
        </is>
      </c>
      <c r="D38" s="22" t="inlineStr">
        <is>
          <t>Evet</t>
        </is>
      </c>
      <c r="E38" s="22" t="inlineStr">
        <is>
          <t>GIRDI</t>
        </is>
      </c>
      <c r="F38" s="23">
        <f>IF($A38="","",IF($B38="","EKSİK","TAM"))</f>
        <v/>
      </c>
    </row>
    <row r="39">
      <c r="A39" s="22" t="inlineStr">
        <is>
          <t>hedef_satis</t>
        </is>
      </c>
      <c r="B39" s="26" t="n">
        <v>6500</v>
      </c>
      <c r="C39" s="22" t="inlineStr">
        <is>
          <t>TL</t>
        </is>
      </c>
      <c r="D39" s="22" t="inlineStr">
        <is>
          <t>Evet</t>
        </is>
      </c>
      <c r="E39" s="22" t="inlineStr">
        <is>
          <t>GIRDI</t>
        </is>
      </c>
      <c r="F39" s="23">
        <f>IF($A39="","",IF($B39="","EKSİK","TAM"))</f>
        <v/>
      </c>
    </row>
    <row r="40">
      <c r="A40" s="22" t="inlineStr">
        <is>
          <t>yillik_miktar</t>
        </is>
      </c>
      <c r="B40" s="24" t="n">
        <v>12000</v>
      </c>
      <c r="C40" s="22" t="inlineStr">
        <is>
          <t>adet</t>
        </is>
      </c>
      <c r="D40" s="22" t="inlineStr">
        <is>
          <t>Evet</t>
        </is>
      </c>
      <c r="E40" s="22" t="inlineStr">
        <is>
          <t>GIRDI</t>
        </is>
      </c>
      <c r="F40" s="23">
        <f>IF($A40="","",IF($B40="","EKSİK","TAM"))</f>
        <v/>
      </c>
    </row>
    <row r="41">
      <c r="A41" s="22" t="inlineStr">
        <is>
          <t>capex_tl</t>
        </is>
      </c>
      <c r="B41" s="26" t="n">
        <v>800000</v>
      </c>
      <c r="C41" s="22" t="inlineStr">
        <is>
          <t>TL</t>
        </is>
      </c>
      <c r="D41" s="22" t="inlineStr">
        <is>
          <t>Evet</t>
        </is>
      </c>
      <c r="E41" s="22" t="inlineStr">
        <is>
          <t>GIRDI</t>
        </is>
      </c>
      <c r="F41" s="23">
        <f>IF($A41="","",IF($B41="","EKSİK","TAM"))</f>
        <v/>
      </c>
    </row>
    <row r="42">
      <c r="A42" s="22" t="inlineStr">
        <is>
          <t>wacc</t>
        </is>
      </c>
      <c r="B42" s="25" t="n">
        <v>0.18</v>
      </c>
      <c r="C42" s="22" t="inlineStr">
        <is>
          <t>oran</t>
        </is>
      </c>
      <c r="D42" s="22" t="inlineStr">
        <is>
          <t>Evet</t>
        </is>
      </c>
      <c r="E42" s="22" t="inlineStr">
        <is>
          <t>GIRDI</t>
        </is>
      </c>
      <c r="F42" s="23">
        <f>IF($A42="","",IF($B42="","EKSİK","TAM"))</f>
        <v/>
      </c>
    </row>
    <row r="43">
      <c r="A43" s="22" t="inlineStr">
        <is>
          <t>npv_donem</t>
        </is>
      </c>
      <c r="B43" s="24" t="n">
        <v>5</v>
      </c>
      <c r="C43" s="22" t="inlineStr">
        <is>
          <t>yıl</t>
        </is>
      </c>
      <c r="D43" s="22" t="inlineStr">
        <is>
          <t>Evet</t>
        </is>
      </c>
      <c r="E43" s="22" t="inlineStr">
        <is>
          <t>GIRDI</t>
        </is>
      </c>
      <c r="F43" s="23">
        <f>IF($A43="","",IF($B43="","EKSİK","TAM"))</f>
        <v/>
      </c>
    </row>
    <row r="44">
      <c r="A44" s="22" t="inlineStr">
        <is>
          <t>kredi_orani</t>
        </is>
      </c>
      <c r="B44" s="25" t="n">
        <v>0.32</v>
      </c>
      <c r="C44" s="22" t="inlineStr">
        <is>
          <t>oran</t>
        </is>
      </c>
      <c r="D44" s="22" t="inlineStr">
        <is>
          <t>Evet</t>
        </is>
      </c>
      <c r="E44" s="22" t="inlineStr">
        <is>
          <t>GIRDI</t>
        </is>
      </c>
      <c r="F44" s="23">
        <f>IF($A44="","",IF($B44="","EKSİK","TAM"))</f>
        <v/>
      </c>
    </row>
    <row r="45">
      <c r="A45" s="22" t="inlineStr">
        <is>
          <t>oz_kaynak_oran</t>
        </is>
      </c>
      <c r="B45" s="25" t="n">
        <v>0.4</v>
      </c>
      <c r="C45" s="22" t="inlineStr">
        <is>
          <t>oran</t>
        </is>
      </c>
      <c r="D45" s="22" t="inlineStr">
        <is>
          <t>Evet</t>
        </is>
      </c>
      <c r="E45" s="22" t="inlineStr">
        <is>
          <t>GIRDI</t>
        </is>
      </c>
      <c r="F45" s="23">
        <f>IF($A45="","",IF($B45="","EKSİK","TAM"))</f>
        <v/>
      </c>
    </row>
    <row r="46">
      <c r="F46" s="23">
        <f>IF($A46="","",IF($B46="","EKSİK","TAM"))</f>
        <v/>
      </c>
    </row>
    <row r="47">
      <c r="F47" s="23">
        <f>IF($A47="","",IF($B47="","EKSİK","TAM"))</f>
        <v/>
      </c>
    </row>
    <row r="48">
      <c r="F48" s="23">
        <f>IF($A48="","",IF($B48="","EKSİK","TAM"))</f>
        <v/>
      </c>
    </row>
    <row r="49">
      <c r="F49" s="23">
        <f>IF($A49="","",IF($B49="","EKSİK","TAM"))</f>
        <v/>
      </c>
    </row>
    <row r="50">
      <c r="F50" s="23">
        <f>IF($A50="","",IF($B50="","EKSİK","TAM"))</f>
        <v/>
      </c>
    </row>
    <row r="51">
      <c r="F51" s="23">
        <f>IF($A51="","",IF($B51="","EKSİK","TAM"))</f>
        <v/>
      </c>
    </row>
    <row r="52">
      <c r="F52" s="23">
        <f>IF($A52="","",IF($B52="","EKSİK","TAM"))</f>
        <v/>
      </c>
    </row>
    <row r="53">
      <c r="F53" s="23">
        <f>IF($A53="","",IF($B53="","EKSİK","TAM"))</f>
        <v/>
      </c>
    </row>
    <row r="54">
      <c r="F54" s="23">
        <f>IF($A54="","",IF($B54="","EKSİK","TAM"))</f>
        <v/>
      </c>
    </row>
    <row r="55">
      <c r="F55" s="23">
        <f>IF($A55="","",IF($B55="","EKSİK","TAM"))</f>
        <v/>
      </c>
    </row>
    <row r="56">
      <c r="F56" s="23">
        <f>IF($A56="","",IF($B56="","EKSİK","TAM"))</f>
        <v/>
      </c>
    </row>
    <row r="57">
      <c r="F57" s="23">
        <f>IF($A57="","",IF($B57="","EKSİK","TAM"))</f>
        <v/>
      </c>
    </row>
    <row r="58">
      <c r="F58" s="23">
        <f>IF($A58="","",IF($B58="","EKSİK","TAM"))</f>
        <v/>
      </c>
    </row>
    <row r="59">
      <c r="F59" s="23">
        <f>IF($A59="","",IF($B59="","EKSİK","TAM"))</f>
        <v/>
      </c>
    </row>
    <row r="60">
      <c r="F60" s="23">
        <f>IF($A60="","",IF($B60="","EKSİK","TAM"))</f>
        <v/>
      </c>
    </row>
    <row r="61">
      <c r="F61" s="23">
        <f>IF($A61="","",IF($B61="","EKSİK","TAM"))</f>
        <v/>
      </c>
    </row>
    <row r="62">
      <c r="F62" s="23">
        <f>IF($A62="","",IF($B62="","EKSİK","TAM"))</f>
        <v/>
      </c>
    </row>
    <row r="63">
      <c r="F63" s="23">
        <f>IF($A63="","",IF($B63="","EKSİK","TAM"))</f>
        <v/>
      </c>
    </row>
    <row r="64">
      <c r="F64" s="23">
        <f>IF($A64="","",IF($B64="","EKSİK","TAM"))</f>
        <v/>
      </c>
    </row>
    <row r="65">
      <c r="F65" s="23">
        <f>IF($A65="","",IF($B65="","EKSİK","TAM"))</f>
        <v/>
      </c>
    </row>
    <row r="66">
      <c r="F66" s="23">
        <f>IF($A66="","",IF($B66="","EKSİK","TAM"))</f>
        <v/>
      </c>
    </row>
    <row r="67">
      <c r="F67" s="23">
        <f>IF($A67="","",IF($B67="","EKSİK","TAM"))</f>
        <v/>
      </c>
    </row>
    <row r="68">
      <c r="F68" s="23">
        <f>IF($A68="","",IF($B68="","EKSİK","TAM"))</f>
        <v/>
      </c>
    </row>
    <row r="69">
      <c r="F69" s="23">
        <f>IF($A69="","",IF($B69="","EKSİK","TAM"))</f>
        <v/>
      </c>
    </row>
    <row r="70">
      <c r="F70" s="23">
        <f>IF($A70="","",IF($B70="","EKSİK","TAM"))</f>
        <v/>
      </c>
    </row>
    <row r="71">
      <c r="F71" s="23">
        <f>IF($A71="","",IF($B71="","EKSİK","TAM"))</f>
        <v/>
      </c>
    </row>
    <row r="72">
      <c r="F72" s="23">
        <f>IF($A72="","",IF($B72="","EKSİK","TAM"))</f>
        <v/>
      </c>
    </row>
    <row r="73">
      <c r="F73" s="23">
        <f>IF($A73="","",IF($B73="","EKSİK","TAM"))</f>
        <v/>
      </c>
    </row>
    <row r="74">
      <c r="F74" s="23">
        <f>IF($A74="","",IF($B74="","EKSİK","TAM"))</f>
        <v/>
      </c>
    </row>
    <row r="75">
      <c r="F75" s="23">
        <f>IF($A75="","",IF($B75="","EKSİK","TAM"))</f>
        <v/>
      </c>
    </row>
    <row r="76">
      <c r="F76" s="23">
        <f>IF($A76="","",IF($B76="","EKSİK","TAM"))</f>
        <v/>
      </c>
    </row>
    <row r="77">
      <c r="F77" s="23">
        <f>IF($A77="","",IF($B77="","EKSİK","TAM"))</f>
        <v/>
      </c>
    </row>
    <row r="78">
      <c r="F78" s="23">
        <f>IF($A78="","",IF($B78="","EKSİK","TAM"))</f>
        <v/>
      </c>
    </row>
    <row r="79">
      <c r="F79" s="23">
        <f>IF($A79="","",IF($B79="","EKSİK","TAM"))</f>
        <v/>
      </c>
    </row>
    <row r="80">
      <c r="F80" s="23">
        <f>IF($A80="","",IF($B80="","EKSİK","TAM"))</f>
        <v/>
      </c>
    </row>
    <row r="81">
      <c r="F81" s="23">
        <f>IF($A81="","",IF($B81="","EKSİK","TAM"))</f>
        <v/>
      </c>
    </row>
    <row r="82">
      <c r="F82" s="23">
        <f>IF($A82="","",IF($B82="","EKSİK","TAM"))</f>
        <v/>
      </c>
    </row>
    <row r="83">
      <c r="F83" s="23">
        <f>IF($A83="","",IF($B83="","EKSİK","TAM"))</f>
        <v/>
      </c>
    </row>
    <row r="84">
      <c r="F84" s="23">
        <f>IF($A84="","",IF($B84="","EKSİK","TAM"))</f>
        <v/>
      </c>
    </row>
    <row r="85">
      <c r="F85" s="23">
        <f>IF($A85="","",IF($B85="","EKSİK","TAM"))</f>
        <v/>
      </c>
    </row>
    <row r="86">
      <c r="F86" s="23">
        <f>IF($A86="","",IF($B86="","EKSİK","TAM"))</f>
        <v/>
      </c>
    </row>
    <row r="87">
      <c r="F87" s="23">
        <f>IF($A87="","",IF($B87="","EKSİK","TAM"))</f>
        <v/>
      </c>
    </row>
    <row r="88">
      <c r="F88" s="23">
        <f>IF($A88="","",IF($B88="","EKSİK","TAM"))</f>
        <v/>
      </c>
    </row>
    <row r="89">
      <c r="F89" s="23">
        <f>IF($A89="","",IF($B89="","EKSİK","TAM"))</f>
        <v/>
      </c>
    </row>
    <row r="90">
      <c r="F90" s="23">
        <f>IF($A90="","",IF($B90="","EKSİK","TAM"))</f>
        <v/>
      </c>
    </row>
    <row r="91">
      <c r="F91" s="23">
        <f>IF($A91="","",IF($B91="","EKSİK","TAM"))</f>
        <v/>
      </c>
    </row>
    <row r="92">
      <c r="F92" s="23">
        <f>IF($A92="","",IF($B92="","EKSİK","TAM"))</f>
        <v/>
      </c>
    </row>
    <row r="93">
      <c r="F93" s="23">
        <f>IF($A93="","",IF($B93="","EKSİK","TAM"))</f>
        <v/>
      </c>
    </row>
    <row r="94">
      <c r="F94" s="23">
        <f>IF($A94="","",IF($B94="","EKSİK","TAM"))</f>
        <v/>
      </c>
    </row>
    <row r="95">
      <c r="F95" s="23">
        <f>IF($A95="","",IF($B95="","EKSİK","TAM"))</f>
        <v/>
      </c>
    </row>
    <row r="96">
      <c r="F96" s="23">
        <f>IF($A96="","",IF($B96="","EKSİK","TAM"))</f>
        <v/>
      </c>
    </row>
    <row r="97">
      <c r="F97" s="23">
        <f>IF($A97="","",IF($B97="","EKSİK","TAM"))</f>
        <v/>
      </c>
    </row>
    <row r="98">
      <c r="F98" s="23">
        <f>IF($A98="","",IF($B98="","EKSİK","TAM"))</f>
        <v/>
      </c>
    </row>
    <row r="99">
      <c r="F99" s="23">
        <f>IF($A99="","",IF($B99="","EKSİK","TAM"))</f>
        <v/>
      </c>
    </row>
    <row r="100">
      <c r="F100" s="23">
        <f>IF($A100="","",IF($B100="","EKSİK","TAM"))</f>
        <v/>
      </c>
    </row>
    <row r="101">
      <c r="F101" s="23">
        <f>IF($A101="","",IF($B101="","EKSİK","TAM"))</f>
        <v/>
      </c>
    </row>
    <row r="102">
      <c r="F102" s="23">
        <f>IF($A102="","",IF($B102="","EKSİK","TAM"))</f>
        <v/>
      </c>
    </row>
    <row r="103">
      <c r="F103" s="23">
        <f>IF($A103="","",IF($B103="","EKSİK","TAM"))</f>
        <v/>
      </c>
    </row>
    <row r="104">
      <c r="F104" s="23">
        <f>IF($A104="","",IF($B104="","EKSİK","TAM"))</f>
        <v/>
      </c>
    </row>
    <row r="105">
      <c r="F105" s="23">
        <f>IF($A105="","",IF($B105="","EKSİK","TAM"))</f>
        <v/>
      </c>
    </row>
    <row r="106">
      <c r="F106" s="23">
        <f>IF($A106="","",IF($B106="","EKSİK","TAM"))</f>
        <v/>
      </c>
    </row>
    <row r="107">
      <c r="F107" s="23">
        <f>IF($A107="","",IF($B107="","EKSİK","TAM"))</f>
        <v/>
      </c>
    </row>
    <row r="108">
      <c r="F108" s="23">
        <f>IF($A108="","",IF($B108="","EKSİK","TAM"))</f>
        <v/>
      </c>
    </row>
    <row r="109">
      <c r="F109" s="23">
        <f>IF($A109="","",IF($B109="","EKSİK","TAM"))</f>
        <v/>
      </c>
    </row>
    <row r="110">
      <c r="F110" s="23">
        <f>IF($A110="","",IF($B110="","EKSİK","TAM"))</f>
        <v/>
      </c>
    </row>
    <row r="111">
      <c r="F111" s="23">
        <f>IF($A111="","",IF($B111="","EKSİK","TAM"))</f>
        <v/>
      </c>
    </row>
    <row r="112">
      <c r="F112" s="23">
        <f>IF($A112="","",IF($B112="","EKSİK","TAM"))</f>
        <v/>
      </c>
    </row>
    <row r="113">
      <c r="F113" s="23">
        <f>IF($A113="","",IF($B113="","EKSİK","TAM"))</f>
        <v/>
      </c>
    </row>
    <row r="114">
      <c r="F114" s="23">
        <f>IF($A114="","",IF($B114="","EKSİK","TAM"))</f>
        <v/>
      </c>
    </row>
    <row r="115">
      <c r="F115" s="23">
        <f>IF($A115="","",IF($B115="","EKSİK","TAM"))</f>
        <v/>
      </c>
    </row>
    <row r="116">
      <c r="F116" s="23">
        <f>IF($A116="","",IF($B116="","EKSİK","TAM"))</f>
        <v/>
      </c>
    </row>
    <row r="117">
      <c r="F117" s="23">
        <f>IF($A117="","",IF($B117="","EKSİK","TAM"))</f>
        <v/>
      </c>
    </row>
    <row r="118">
      <c r="F118" s="23">
        <f>IF($A118="","",IF($B118="","EKSİK","TAM"))</f>
        <v/>
      </c>
    </row>
    <row r="119">
      <c r="F119" s="23">
        <f>IF($A119="","",IF($B119="","EKSİK","TAM"))</f>
        <v/>
      </c>
    </row>
    <row r="120">
      <c r="F120" s="23">
        <f>IF($A120="","",IF($B120="","EKSİK","TAM"))</f>
        <v/>
      </c>
    </row>
    <row r="121">
      <c r="F121" s="23">
        <f>IF($A121="","",IF($B121="","EKSİK","TAM"))</f>
        <v/>
      </c>
    </row>
    <row r="122">
      <c r="F122" s="23">
        <f>IF($A122="","",IF($B122="","EKSİK","TAM"))</f>
        <v/>
      </c>
    </row>
    <row r="123">
      <c r="F123" s="23">
        <f>IF($A123="","",IF($B123="","EKSİK","TAM"))</f>
        <v/>
      </c>
    </row>
    <row r="124">
      <c r="F124" s="23">
        <f>IF($A124="","",IF($B124="","EKSİK","TAM"))</f>
        <v/>
      </c>
    </row>
    <row r="125">
      <c r="F125" s="23">
        <f>IF($A125="","",IF($B125="","EKSİK","TAM"))</f>
        <v/>
      </c>
    </row>
    <row r="126">
      <c r="F126" s="23">
        <f>IF($A126="","",IF($B126="","EKSİK","TAM"))</f>
        <v/>
      </c>
    </row>
    <row r="127">
      <c r="F127" s="23">
        <f>IF($A127="","",IF($B127="","EKSİK","TAM"))</f>
        <v/>
      </c>
    </row>
    <row r="128">
      <c r="F128" s="23">
        <f>IF($A128="","",IF($B128="","EKSİK","TAM"))</f>
        <v/>
      </c>
    </row>
    <row r="129">
      <c r="F129" s="23">
        <f>IF($A129="","",IF($B129="","EKSİK","TAM"))</f>
        <v/>
      </c>
    </row>
    <row r="130">
      <c r="F130" s="23">
        <f>IF($A130="","",IF($B130="","EKSİK","TAM"))</f>
        <v/>
      </c>
    </row>
    <row r="131">
      <c r="F131" s="23">
        <f>IF($A131="","",IF($B131="","EKSİK","TAM"))</f>
        <v/>
      </c>
    </row>
    <row r="132">
      <c r="F132" s="23">
        <f>IF($A132="","",IF($B132="","EKSİK","TAM"))</f>
        <v/>
      </c>
    </row>
    <row r="133">
      <c r="F133" s="23">
        <f>IF($A133="","",IF($B133="","EKSİK","TAM"))</f>
        <v/>
      </c>
    </row>
    <row r="134">
      <c r="F134" s="23">
        <f>IF($A134="","",IF($B134="","EKSİK","TAM"))</f>
        <v/>
      </c>
    </row>
    <row r="135">
      <c r="F135" s="23">
        <f>IF($A135="","",IF($B135="","EKSİK","TAM"))</f>
        <v/>
      </c>
    </row>
    <row r="136">
      <c r="F136" s="23">
        <f>IF($A136="","",IF($B136="","EKSİK","TAM"))</f>
        <v/>
      </c>
    </row>
    <row r="137">
      <c r="F137" s="23">
        <f>IF($A137="","",IF($B137="","EKSİK","TAM"))</f>
        <v/>
      </c>
    </row>
    <row r="138">
      <c r="F138" s="23">
        <f>IF($A138="","",IF($B138="","EKSİK","TAM"))</f>
        <v/>
      </c>
    </row>
    <row r="139">
      <c r="F139" s="23">
        <f>IF($A139="","",IF($B139="","EKSİK","TAM"))</f>
        <v/>
      </c>
    </row>
    <row r="140">
      <c r="F140" s="23">
        <f>IF($A140="","",IF($B140="","EKSİK","TAM"))</f>
        <v/>
      </c>
    </row>
    <row r="141">
      <c r="F141" s="23">
        <f>IF($A141="","",IF($B141="","EKSİK","TAM"))</f>
        <v/>
      </c>
    </row>
    <row r="142">
      <c r="F142" s="23">
        <f>IF($A142="","",IF($B142="","EKSİK","TAM"))</f>
        <v/>
      </c>
    </row>
    <row r="143">
      <c r="F143" s="23">
        <f>IF($A143="","",IF($B143="","EKSİK","TAM"))</f>
        <v/>
      </c>
    </row>
    <row r="144">
      <c r="F144" s="23">
        <f>IF($A144="","",IF($B144="","EKSİK","TAM"))</f>
        <v/>
      </c>
    </row>
    <row r="145">
      <c r="F145" s="23">
        <f>IF($A145="","",IF($B145="","EKSİK","TAM"))</f>
        <v/>
      </c>
    </row>
    <row r="146">
      <c r="F146" s="23">
        <f>IF($A146="","",IF($B146="","EKSİK","TAM"))</f>
        <v/>
      </c>
    </row>
    <row r="147">
      <c r="F147" s="23">
        <f>IF($A147="","",IF($B147="","EKSİK","TAM"))</f>
        <v/>
      </c>
    </row>
    <row r="148">
      <c r="F148" s="23">
        <f>IF($A148="","",IF($B148="","EKSİK","TAM"))</f>
        <v/>
      </c>
    </row>
    <row r="149">
      <c r="F149" s="23">
        <f>IF($A149="","",IF($B149="","EKSİK","TAM"))</f>
        <v/>
      </c>
    </row>
    <row r="150">
      <c r="F150" s="23">
        <f>IF($A150="","",IF($B150="","EKSİK","TAM"))</f>
        <v/>
      </c>
    </row>
    <row r="151">
      <c r="F151" s="23">
        <f>IF($A151="","",IF($B151="","EKSİK","TAM"))</f>
        <v/>
      </c>
    </row>
    <row r="152">
      <c r="F152" s="23">
        <f>IF($A152="","",IF($B152="","EKSİK","TAM"))</f>
        <v/>
      </c>
    </row>
    <row r="153">
      <c r="F153" s="23">
        <f>IF($A153="","",IF($B153="","EKSİK","TAM"))</f>
        <v/>
      </c>
    </row>
    <row r="154">
      <c r="F154" s="23">
        <f>IF($A154="","",IF($B154="","EKSİK","TAM"))</f>
        <v/>
      </c>
    </row>
    <row r="155">
      <c r="F155" s="23">
        <f>IF($A155="","",IF($B155="","EKSİK","TAM"))</f>
        <v/>
      </c>
    </row>
    <row r="156">
      <c r="F156" s="23">
        <f>IF($A156="","",IF($B156="","EKSİK","TAM"))</f>
        <v/>
      </c>
    </row>
    <row r="157">
      <c r="F157" s="23">
        <f>IF($A157="","",IF($B157="","EKSİK","TAM"))</f>
        <v/>
      </c>
    </row>
    <row r="158">
      <c r="F158" s="23">
        <f>IF($A158="","",IF($B158="","EKSİK","TAM"))</f>
        <v/>
      </c>
    </row>
    <row r="159">
      <c r="F159" s="23">
        <f>IF($A159="","",IF($B159="","EKSİK","TAM"))</f>
        <v/>
      </c>
    </row>
    <row r="160">
      <c r="F160" s="23">
        <f>IF($A160="","",IF($B160="","EKSİK","TAM"))</f>
        <v/>
      </c>
    </row>
    <row r="161">
      <c r="F161" s="23">
        <f>IF($A161="","",IF($B161="","EKSİK","TAM"))</f>
        <v/>
      </c>
    </row>
    <row r="162">
      <c r="F162" s="23">
        <f>IF($A162="","",IF($B162="","EKSİK","TAM"))</f>
        <v/>
      </c>
    </row>
    <row r="163">
      <c r="F163" s="23">
        <f>IF($A163="","",IF($B163="","EKSİK","TAM"))</f>
        <v/>
      </c>
    </row>
    <row r="164">
      <c r="F164" s="23">
        <f>IF($A164="","",IF($B164="","EKSİK","TAM"))</f>
        <v/>
      </c>
    </row>
    <row r="165">
      <c r="F165" s="23">
        <f>IF($A165="","",IF($B165="","EKSİK","TAM"))</f>
        <v/>
      </c>
    </row>
    <row r="166">
      <c r="F166" s="23">
        <f>IF($A166="","",IF($B166="","EKSİK","TAM"))</f>
        <v/>
      </c>
    </row>
    <row r="167">
      <c r="F167" s="23">
        <f>IF($A167="","",IF($B167="","EKSİK","TAM"))</f>
        <v/>
      </c>
    </row>
    <row r="168">
      <c r="F168" s="23">
        <f>IF($A168="","",IF($B168="","EKSİK","TAM"))</f>
        <v/>
      </c>
    </row>
    <row r="169">
      <c r="F169" s="23">
        <f>IF($A169="","",IF($B169="","EKSİK","TAM"))</f>
        <v/>
      </c>
    </row>
    <row r="170">
      <c r="F170" s="23">
        <f>IF($A170="","",IF($B170="","EKSİK","TAM"))</f>
        <v/>
      </c>
    </row>
    <row r="171">
      <c r="F171" s="23">
        <f>IF($A171="","",IF($B171="","EKSİK","TAM"))</f>
        <v/>
      </c>
    </row>
    <row r="172">
      <c r="F172" s="23">
        <f>IF($A172="","",IF($B172="","EKSİK","TAM"))</f>
        <v/>
      </c>
    </row>
    <row r="173">
      <c r="F173" s="23">
        <f>IF($A173="","",IF($B173="","EKSİK","TAM"))</f>
        <v/>
      </c>
    </row>
    <row r="174">
      <c r="F174" s="23">
        <f>IF($A174="","",IF($B174="","EKSİK","TAM"))</f>
        <v/>
      </c>
    </row>
    <row r="175">
      <c r="F175" s="23">
        <f>IF($A175="","",IF($B175="","EKSİK","TAM"))</f>
        <v/>
      </c>
    </row>
    <row r="176">
      <c r="F176" s="23">
        <f>IF($A176="","",IF($B176="","EKSİK","TAM"))</f>
        <v/>
      </c>
    </row>
    <row r="177">
      <c r="F177" s="23">
        <f>IF($A177="","",IF($B177="","EKSİK","TAM"))</f>
        <v/>
      </c>
    </row>
    <row r="178">
      <c r="F178" s="23">
        <f>IF($A178="","",IF($B178="","EKSİK","TAM"))</f>
        <v/>
      </c>
    </row>
    <row r="179">
      <c r="F179" s="23">
        <f>IF($A179="","",IF($B179="","EKSİK","TAM"))</f>
        <v/>
      </c>
    </row>
    <row r="180">
      <c r="F180" s="23">
        <f>IF($A180="","",IF($B180="","EKSİK","TAM"))</f>
        <v/>
      </c>
    </row>
    <row r="181">
      <c r="F181" s="23">
        <f>IF($A181="","",IF($B181="","EKSİK","TAM"))</f>
        <v/>
      </c>
    </row>
    <row r="182">
      <c r="F182" s="23">
        <f>IF($A182="","",IF($B182="","EKSİK","TAM"))</f>
        <v/>
      </c>
    </row>
    <row r="183">
      <c r="F183" s="23">
        <f>IF($A183="","",IF($B183="","EKSİK","TAM"))</f>
        <v/>
      </c>
    </row>
    <row r="184">
      <c r="F184" s="23">
        <f>IF($A184="","",IF($B184="","EKSİK","TAM"))</f>
        <v/>
      </c>
    </row>
    <row r="185">
      <c r="F185" s="23">
        <f>IF($A185="","",IF($B185="","EKSİK","TAM"))</f>
        <v/>
      </c>
    </row>
    <row r="186">
      <c r="F186" s="23">
        <f>IF($A186="","",IF($B186="","EKSİK","TAM"))</f>
        <v/>
      </c>
    </row>
    <row r="187">
      <c r="F187" s="23">
        <f>IF($A187="","",IF($B187="","EKSİK","TAM"))</f>
        <v/>
      </c>
    </row>
    <row r="188">
      <c r="F188" s="23">
        <f>IF($A188="","",IF($B188="","EKSİK","TAM"))</f>
        <v/>
      </c>
    </row>
    <row r="189">
      <c r="F189" s="23">
        <f>IF($A189="","",IF($B189="","EKSİK","TAM"))</f>
        <v/>
      </c>
    </row>
    <row r="190">
      <c r="F190" s="23">
        <f>IF($A190="","",IF($B190="","EKSİK","TAM"))</f>
        <v/>
      </c>
    </row>
    <row r="191">
      <c r="F191" s="23">
        <f>IF($A191="","",IF($B191="","EKSİK","TAM"))</f>
        <v/>
      </c>
    </row>
    <row r="192">
      <c r="F192" s="23">
        <f>IF($A192="","",IF($B192="","EKSİK","TAM"))</f>
        <v/>
      </c>
    </row>
    <row r="193">
      <c r="F193" s="23">
        <f>IF($A193="","",IF($B193="","EKSİK","TAM"))</f>
        <v/>
      </c>
    </row>
    <row r="194">
      <c r="F194" s="23">
        <f>IF($A194="","",IF($B194="","EKSİK","TAM"))</f>
        <v/>
      </c>
    </row>
    <row r="195">
      <c r="F195" s="23">
        <f>IF($A195="","",IF($B195="","EKSİK","TAM"))</f>
        <v/>
      </c>
    </row>
    <row r="196">
      <c r="F196" s="23">
        <f>IF($A196="","",IF($B196="","EKSİK","TAM"))</f>
        <v/>
      </c>
    </row>
    <row r="197">
      <c r="F197" s="23">
        <f>IF($A197="","",IF($B197="","EKSİK","TAM"))</f>
        <v/>
      </c>
    </row>
    <row r="198">
      <c r="F198" s="23">
        <f>IF($A198="","",IF($B198="","EKSİK","TAM"))</f>
        <v/>
      </c>
    </row>
    <row r="199">
      <c r="F199" s="23">
        <f>IF($A199="","",IF($B199="","EKSİK","TAM"))</f>
        <v/>
      </c>
    </row>
    <row r="200">
      <c r="F200" s="23">
        <f>IF($A200="","",IF($B200="","EKSİK","TAM"))</f>
        <v/>
      </c>
    </row>
    <row r="201">
      <c r="F201" s="23">
        <f>IF($A201="","",IF($B201="","EKSİK","TAM"))</f>
        <v/>
      </c>
    </row>
    <row r="202">
      <c r="F202" s="23">
        <f>IF($A202="","",IF($B202="","EKSİK","TAM"))</f>
        <v/>
      </c>
    </row>
    <row r="203">
      <c r="F203" s="23">
        <f>IF($A203="","",IF($B203="","EKSİK","TAM"))</f>
        <v/>
      </c>
    </row>
    <row r="204">
      <c r="F204" s="23">
        <f>IF($A204="","",IF($B204="","EKSİK","TAM"))</f>
        <v/>
      </c>
    </row>
    <row r="205">
      <c r="F205" s="23">
        <f>IF($A205="","",IF($B205="","EKSİK","TAM"))</f>
        <v/>
      </c>
    </row>
    <row r="206">
      <c r="F206" s="23">
        <f>IF($A206="","",IF($B206="","EKSİK","TAM"))</f>
        <v/>
      </c>
    </row>
    <row r="207">
      <c r="F207" s="23">
        <f>IF($A207="","",IF($B207="","EKSİK","TAM"))</f>
        <v/>
      </c>
    </row>
    <row r="208">
      <c r="F208" s="23">
        <f>IF($A208="","",IF($B208="","EKSİK","TAM"))</f>
        <v/>
      </c>
    </row>
    <row r="209">
      <c r="F209" s="23">
        <f>IF($A209="","",IF($B209="","EKSİK","TAM"))</f>
        <v/>
      </c>
    </row>
    <row r="210">
      <c r="F210" s="23">
        <f>IF($A210="","",IF($B210="","EKSİK","TAM"))</f>
        <v/>
      </c>
    </row>
    <row r="211">
      <c r="F211" s="23">
        <f>IF($A211="","",IF($B211="","EKSİK","TAM"))</f>
        <v/>
      </c>
    </row>
    <row r="212">
      <c r="F212" s="23">
        <f>IF($A212="","",IF($B212="","EKSİK","TAM"))</f>
        <v/>
      </c>
    </row>
    <row r="213">
      <c r="F213" s="23">
        <f>IF($A213="","",IF($B213="","EKSİK","TAM"))</f>
        <v/>
      </c>
    </row>
    <row r="214">
      <c r="F214" s="23">
        <f>IF($A214="","",IF($B214="","EKSİK","TAM"))</f>
        <v/>
      </c>
    </row>
    <row r="215">
      <c r="F215" s="23">
        <f>IF($A215="","",IF($B215="","EKSİK","TAM"))</f>
        <v/>
      </c>
    </row>
    <row r="216">
      <c r="F216" s="23">
        <f>IF($A216="","",IF($B216="","EKSİK","TAM"))</f>
        <v/>
      </c>
    </row>
    <row r="217">
      <c r="F217" s="23">
        <f>IF($A217="","",IF($B217="","EKSİK","TAM"))</f>
        <v/>
      </c>
    </row>
    <row r="218">
      <c r="F218" s="23">
        <f>IF($A218="","",IF($B218="","EKSİK","TAM"))</f>
        <v/>
      </c>
    </row>
    <row r="219">
      <c r="F219" s="23">
        <f>IF($A219="","",IF($B219="","EKSİK","TAM"))</f>
        <v/>
      </c>
    </row>
    <row r="220">
      <c r="F220" s="23">
        <f>IF($A220="","",IF($B220="","EKSİK","TAM"))</f>
        <v/>
      </c>
    </row>
    <row r="221">
      <c r="F221" s="23">
        <f>IF($A221="","",IF($B221="","EKSİK","TAM"))</f>
        <v/>
      </c>
    </row>
    <row r="222">
      <c r="F222" s="23">
        <f>IF($A222="","",IF($B222="","EKSİK","TAM"))</f>
        <v/>
      </c>
    </row>
    <row r="223">
      <c r="F223" s="23">
        <f>IF($A223="","",IF($B223="","EKSİK","TAM"))</f>
        <v/>
      </c>
    </row>
    <row r="224">
      <c r="F224" s="23">
        <f>IF($A224="","",IF($B224="","EKSİK","TAM"))</f>
        <v/>
      </c>
    </row>
    <row r="225">
      <c r="F225" s="23">
        <f>IF($A225="","",IF($B225="","EKSİK","TAM"))</f>
        <v/>
      </c>
    </row>
    <row r="226">
      <c r="F226" s="23">
        <f>IF($A226="","",IF($B226="","EKSİK","TAM"))</f>
        <v/>
      </c>
    </row>
    <row r="227">
      <c r="F227" s="23">
        <f>IF($A227="","",IF($B227="","EKSİK","TAM"))</f>
        <v/>
      </c>
    </row>
    <row r="228">
      <c r="F228" s="23">
        <f>IF($A228="","",IF($B228="","EKSİK","TAM"))</f>
        <v/>
      </c>
    </row>
    <row r="229">
      <c r="F229" s="23">
        <f>IF($A229="","",IF($B229="","EKSİK","TAM"))</f>
        <v/>
      </c>
    </row>
    <row r="230">
      <c r="F230" s="23">
        <f>IF($A230="","",IF($B230="","EKSİK","TAM"))</f>
        <v/>
      </c>
    </row>
    <row r="231">
      <c r="F231" s="23">
        <f>IF($A231="","",IF($B231="","EKSİK","TAM"))</f>
        <v/>
      </c>
    </row>
    <row r="232">
      <c r="F232" s="23">
        <f>IF($A232="","",IF($B232="","EKSİK","TAM"))</f>
        <v/>
      </c>
    </row>
    <row r="233">
      <c r="F233" s="23">
        <f>IF($A233="","",IF($B233="","EKSİK","TAM"))</f>
        <v/>
      </c>
    </row>
    <row r="234">
      <c r="F234" s="23">
        <f>IF($A234="","",IF($B234="","EKSİK","TAM"))</f>
        <v/>
      </c>
    </row>
    <row r="235">
      <c r="F235" s="23">
        <f>IF($A235="","",IF($B235="","EKSİK","TAM"))</f>
        <v/>
      </c>
    </row>
    <row r="236">
      <c r="F236" s="23">
        <f>IF($A236="","",IF($B236="","EKSİK","TAM"))</f>
        <v/>
      </c>
    </row>
    <row r="237">
      <c r="F237" s="23">
        <f>IF($A237="","",IF($B237="","EKSİK","TAM"))</f>
        <v/>
      </c>
    </row>
    <row r="238">
      <c r="F238" s="23">
        <f>IF($A238="","",IF($B238="","EKSİK","TAM"))</f>
        <v/>
      </c>
    </row>
    <row r="239">
      <c r="F239" s="23">
        <f>IF($A239="","",IF($B239="","EKSİK","TAM"))</f>
        <v/>
      </c>
    </row>
    <row r="240">
      <c r="F240" s="23">
        <f>IF($A240="","",IF($B240="","EKSİK","TAM"))</f>
        <v/>
      </c>
    </row>
    <row r="241">
      <c r="F241" s="23">
        <f>IF($A241="","",IF($B241="","EKSİK","TAM"))</f>
        <v/>
      </c>
    </row>
    <row r="242">
      <c r="F242" s="23">
        <f>IF($A242="","",IF($B242="","EKSİK","TAM"))</f>
        <v/>
      </c>
    </row>
    <row r="243">
      <c r="F243" s="23">
        <f>IF($A243="","",IF($B243="","EKSİK","TAM"))</f>
        <v/>
      </c>
    </row>
    <row r="244">
      <c r="F244" s="23">
        <f>IF($A244="","",IF($B244="","EKSİK","TAM"))</f>
        <v/>
      </c>
    </row>
    <row r="245">
      <c r="F245" s="23">
        <f>IF($A245="","",IF($B245="","EKSİK","TAM"))</f>
        <v/>
      </c>
    </row>
    <row r="246">
      <c r="F246" s="23">
        <f>IF($A246="","",IF($B246="","EKSİK","TAM"))</f>
        <v/>
      </c>
    </row>
    <row r="247">
      <c r="F247" s="23">
        <f>IF($A247="","",IF($B247="","EKSİK","TAM"))</f>
        <v/>
      </c>
    </row>
    <row r="248">
      <c r="F248" s="23">
        <f>IF($A248="","",IF($B248="","EKSİK","TAM"))</f>
        <v/>
      </c>
    </row>
    <row r="249">
      <c r="F249" s="23">
        <f>IF($A249="","",IF($B249="","EKSİK","TAM"))</f>
        <v/>
      </c>
    </row>
    <row r="250">
      <c r="F250" s="23">
        <f>IF($A250="","",IF($B250="","EKSİK","TAM"))</f>
        <v/>
      </c>
    </row>
    <row r="251">
      <c r="F251" s="23">
        <f>IF($A251="","",IF($B251="","EKSİK","TAM"))</f>
        <v/>
      </c>
    </row>
    <row r="252">
      <c r="F252" s="23">
        <f>IF($A252="","",IF($B252="","EKSİK","TAM"))</f>
        <v/>
      </c>
    </row>
    <row r="253">
      <c r="F253" s="23">
        <f>IF($A253="","",IF($B253="","EKSİK","TAM"))</f>
        <v/>
      </c>
    </row>
    <row r="254">
      <c r="F254" s="23">
        <f>IF($A254="","",IF($B254="","EKSİK","TAM"))</f>
        <v/>
      </c>
    </row>
    <row r="255">
      <c r="F255" s="23">
        <f>IF($A255="","",IF($B255="","EKSİK","TAM"))</f>
        <v/>
      </c>
    </row>
    <row r="256">
      <c r="F256" s="23">
        <f>IF($A256="","",IF($B256="","EKSİK","TAM"))</f>
        <v/>
      </c>
    </row>
    <row r="257">
      <c r="F257" s="23">
        <f>IF($A257="","",IF($B257="","EKSİK","TAM"))</f>
        <v/>
      </c>
    </row>
    <row r="258">
      <c r="F258" s="23">
        <f>IF($A258="","",IF($B258="","EKSİK","TAM"))</f>
        <v/>
      </c>
    </row>
    <row r="259">
      <c r="F259" s="23">
        <f>IF($A259="","",IF($B259="","EKSİK","TAM"))</f>
        <v/>
      </c>
    </row>
    <row r="260">
      <c r="F260" s="23">
        <f>IF($A260="","",IF($B260="","EKSİK","TAM"))</f>
        <v/>
      </c>
    </row>
    <row r="261">
      <c r="F261" s="23">
        <f>IF($A261="","",IF($B261="","EKSİK","TAM"))</f>
        <v/>
      </c>
    </row>
    <row r="262">
      <c r="F262" s="23">
        <f>IF($A262="","",IF($B262="","EKSİK","TAM"))</f>
        <v/>
      </c>
    </row>
    <row r="263">
      <c r="F263" s="23">
        <f>IF($A263="","",IF($B263="","EKSİK","TAM"))</f>
        <v/>
      </c>
    </row>
    <row r="264">
      <c r="F264" s="23">
        <f>IF($A264="","",IF($B264="","EKSİK","TAM"))</f>
        <v/>
      </c>
    </row>
    <row r="265">
      <c r="F265" s="23">
        <f>IF($A265="","",IF($B265="","EKSİK","TAM"))</f>
        <v/>
      </c>
    </row>
    <row r="266">
      <c r="F266" s="23">
        <f>IF($A266="","",IF($B266="","EKSİK","TAM"))</f>
        <v/>
      </c>
    </row>
    <row r="267">
      <c r="F267" s="23">
        <f>IF($A267="","",IF($B267="","EKSİK","TAM"))</f>
        <v/>
      </c>
    </row>
    <row r="268">
      <c r="F268" s="23">
        <f>IF($A268="","",IF($B268="","EKSİK","TAM"))</f>
        <v/>
      </c>
    </row>
    <row r="269">
      <c r="F269" s="23">
        <f>IF($A269="","",IF($B269="","EKSİK","TAM"))</f>
        <v/>
      </c>
    </row>
    <row r="270">
      <c r="F270" s="23">
        <f>IF($A270="","",IF($B270="","EKSİK","TAM"))</f>
        <v/>
      </c>
    </row>
    <row r="271">
      <c r="F271" s="23">
        <f>IF($A271="","",IF($B271="","EKSİK","TAM"))</f>
        <v/>
      </c>
    </row>
    <row r="272">
      <c r="F272" s="23">
        <f>IF($A272="","",IF($B272="","EKSİK","TAM"))</f>
        <v/>
      </c>
    </row>
    <row r="273">
      <c r="F273" s="23">
        <f>IF($A273="","",IF($B273="","EKSİK","TAM"))</f>
        <v/>
      </c>
    </row>
    <row r="274">
      <c r="F274" s="23">
        <f>IF($A274="","",IF($B274="","EKSİK","TAM"))</f>
        <v/>
      </c>
    </row>
    <row r="275">
      <c r="F275" s="23">
        <f>IF($A275="","",IF($B275="","EKSİK","TAM"))</f>
        <v/>
      </c>
    </row>
    <row r="276">
      <c r="F276" s="23">
        <f>IF($A276="","",IF($B276="","EKSİK","TAM"))</f>
        <v/>
      </c>
    </row>
    <row r="277">
      <c r="F277" s="23">
        <f>IF($A277="","",IF($B277="","EKSİK","TAM"))</f>
        <v/>
      </c>
    </row>
    <row r="278">
      <c r="F278" s="23">
        <f>IF($A278="","",IF($B278="","EKSİK","TAM"))</f>
        <v/>
      </c>
    </row>
    <row r="279">
      <c r="F279" s="23">
        <f>IF($A279="","",IF($B279="","EKSİK","TAM"))</f>
        <v/>
      </c>
    </row>
    <row r="280">
      <c r="F280" s="23">
        <f>IF($A280="","",IF($B280="","EKSİK","TAM"))</f>
        <v/>
      </c>
    </row>
    <row r="281">
      <c r="F281" s="23">
        <f>IF($A281="","",IF($B281="","EKSİK","TAM"))</f>
        <v/>
      </c>
    </row>
    <row r="282">
      <c r="F282" s="23">
        <f>IF($A282="","",IF($B282="","EKSİK","TAM"))</f>
        <v/>
      </c>
    </row>
    <row r="283">
      <c r="F283" s="23">
        <f>IF($A283="","",IF($B283="","EKSİK","TAM"))</f>
        <v/>
      </c>
    </row>
    <row r="284">
      <c r="F284" s="23">
        <f>IF($A284="","",IF($B284="","EKSİK","TAM"))</f>
        <v/>
      </c>
    </row>
    <row r="285">
      <c r="F285" s="23">
        <f>IF($A285="","",IF($B285="","EKSİK","TAM"))</f>
        <v/>
      </c>
    </row>
    <row r="286">
      <c r="F286" s="23">
        <f>IF($A286="","",IF($B286="","EKSİK","TAM"))</f>
        <v/>
      </c>
    </row>
    <row r="287">
      <c r="F287" s="23">
        <f>IF($A287="","",IF($B287="","EKSİK","TAM"))</f>
        <v/>
      </c>
    </row>
    <row r="288">
      <c r="F288" s="23">
        <f>IF($A288="","",IF($B288="","EKSİK","TAM"))</f>
        <v/>
      </c>
    </row>
    <row r="289">
      <c r="F289" s="23">
        <f>IF($A289="","",IF($B289="","EKSİK","TAM"))</f>
        <v/>
      </c>
    </row>
    <row r="290">
      <c r="F290" s="23">
        <f>IF($A290="","",IF($B290="","EKSİK","TAM"))</f>
        <v/>
      </c>
    </row>
    <row r="291">
      <c r="F291" s="23">
        <f>IF($A291="","",IF($B291="","EKSİK","TAM"))</f>
        <v/>
      </c>
    </row>
    <row r="292">
      <c r="F292" s="23">
        <f>IF($A292="","",IF($B292="","EKSİK","TAM"))</f>
        <v/>
      </c>
    </row>
    <row r="293">
      <c r="F293" s="23">
        <f>IF($A293="","",IF($B293="","EKSİK","TAM"))</f>
        <v/>
      </c>
    </row>
    <row r="294">
      <c r="F294" s="23">
        <f>IF($A294="","",IF($B294="","EKSİK","TAM"))</f>
        <v/>
      </c>
    </row>
    <row r="295">
      <c r="F295" s="23">
        <f>IF($A295="","",IF($B295="","EKSİK","TAM"))</f>
        <v/>
      </c>
    </row>
    <row r="296">
      <c r="F296" s="23">
        <f>IF($A296="","",IF($B296="","EKSİK","TAM"))</f>
        <v/>
      </c>
    </row>
    <row r="297">
      <c r="F297" s="23">
        <f>IF($A297="","",IF($B297="","EKSİK","TAM"))</f>
        <v/>
      </c>
    </row>
    <row r="298">
      <c r="F298" s="23">
        <f>IF($A298="","",IF($B298="","EKSİK","TAM"))</f>
        <v/>
      </c>
    </row>
    <row r="299">
      <c r="F299" s="23">
        <f>IF($A299="","",IF($B299="","EKSİK","TAM"))</f>
        <v/>
      </c>
    </row>
    <row r="300">
      <c r="F300" s="23">
        <f>IF($A300="","",IF($B300="","EKSİK","TAM"))</f>
        <v/>
      </c>
    </row>
    <row r="301">
      <c r="F301" s="23">
        <f>IF($A301="","",IF($B301="","EKSİK","TAM"))</f>
        <v/>
      </c>
    </row>
    <row r="302">
      <c r="F302" s="23">
        <f>IF($A302="","",IF($B302="","EKSİK","TAM"))</f>
        <v/>
      </c>
    </row>
    <row r="303">
      <c r="F303" s="23">
        <f>IF($A303="","",IF($B303="","EKSİK","TAM"))</f>
        <v/>
      </c>
    </row>
    <row r="304">
      <c r="F304" s="23">
        <f>IF($A304="","",IF($B304="","EKSİK","TAM"))</f>
        <v/>
      </c>
    </row>
    <row r="305">
      <c r="F305" s="23">
        <f>IF($A305="","",IF($B305="","EKSİK","TAM"))</f>
        <v/>
      </c>
    </row>
    <row r="306">
      <c r="F306" s="23">
        <f>IF($A306="","",IF($B306="","EKSİK","TAM"))</f>
        <v/>
      </c>
    </row>
    <row r="307">
      <c r="F307" s="23">
        <f>IF($A307="","",IF($B307="","EKSİK","TAM"))</f>
        <v/>
      </c>
    </row>
    <row r="308">
      <c r="F308" s="23">
        <f>IF($A308="","",IF($B308="","EKSİK","TAM"))</f>
        <v/>
      </c>
    </row>
    <row r="309">
      <c r="F309" s="23">
        <f>IF($A309="","",IF($B309="","EKSİK","TAM"))</f>
        <v/>
      </c>
    </row>
    <row r="310">
      <c r="F310" s="23">
        <f>IF($A310="","",IF($B310="","EKSİK","TAM"))</f>
        <v/>
      </c>
    </row>
    <row r="311">
      <c r="F311" s="23">
        <f>IF($A311="","",IF($B311="","EKSİK","TAM"))</f>
        <v/>
      </c>
    </row>
    <row r="312">
      <c r="F312" s="23">
        <f>IF($A312="","",IF($B312="","EKSİK","TAM"))</f>
        <v/>
      </c>
    </row>
    <row r="313">
      <c r="F313" s="23">
        <f>IF($A313="","",IF($B313="","EKSİK","TAM"))</f>
        <v/>
      </c>
    </row>
    <row r="314">
      <c r="F314" s="23">
        <f>IF($A314="","",IF($B314="","EKSİK","TAM"))</f>
        <v/>
      </c>
    </row>
    <row r="315">
      <c r="F315" s="23">
        <f>IF($A315="","",IF($B315="","EKSİK","TAM"))</f>
        <v/>
      </c>
    </row>
    <row r="316">
      <c r="F316" s="23">
        <f>IF($A316="","",IF($B316="","EKSİK","TAM"))</f>
        <v/>
      </c>
    </row>
    <row r="317">
      <c r="F317" s="23">
        <f>IF($A317="","",IF($B317="","EKSİK","TAM"))</f>
        <v/>
      </c>
    </row>
    <row r="318">
      <c r="F318" s="23">
        <f>IF($A318="","",IF($B318="","EKSİK","TAM"))</f>
        <v/>
      </c>
    </row>
    <row r="319">
      <c r="F319" s="23">
        <f>IF($A319="","",IF($B319="","EKSİK","TAM"))</f>
        <v/>
      </c>
    </row>
    <row r="320">
      <c r="F320" s="23">
        <f>IF($A320="","",IF($B320="","EKSİK","TAM"))</f>
        <v/>
      </c>
    </row>
    <row r="321">
      <c r="F321" s="23">
        <f>IF($A321="","",IF($B321="","EKSİK","TAM"))</f>
        <v/>
      </c>
    </row>
    <row r="322">
      <c r="F322" s="23">
        <f>IF($A322="","",IF($B322="","EKSİK","TAM"))</f>
        <v/>
      </c>
    </row>
    <row r="323">
      <c r="F323" s="23">
        <f>IF($A323="","",IF($B323="","EKSİK","TAM"))</f>
        <v/>
      </c>
    </row>
    <row r="324">
      <c r="F324" s="23">
        <f>IF($A324="","",IF($B324="","EKSİK","TAM"))</f>
        <v/>
      </c>
    </row>
    <row r="325">
      <c r="F325" s="23">
        <f>IF($A325="","",IF($B325="","EKSİK","TAM"))</f>
        <v/>
      </c>
    </row>
    <row r="326">
      <c r="F326" s="23">
        <f>IF($A326="","",IF($B326="","EKSİK","TAM"))</f>
        <v/>
      </c>
    </row>
    <row r="327">
      <c r="F327" s="23">
        <f>IF($A327="","",IF($B327="","EKSİK","TAM"))</f>
        <v/>
      </c>
    </row>
    <row r="328">
      <c r="F328" s="23">
        <f>IF($A328="","",IF($B328="","EKSİK","TAM"))</f>
        <v/>
      </c>
    </row>
    <row r="329">
      <c r="F329" s="23">
        <f>IF($A329="","",IF($B329="","EKSİK","TAM"))</f>
        <v/>
      </c>
    </row>
    <row r="330">
      <c r="F330" s="23">
        <f>IF($A330="","",IF($B330="","EKSİK","TAM"))</f>
        <v/>
      </c>
    </row>
    <row r="331">
      <c r="F331" s="23">
        <f>IF($A331="","",IF($B331="","EKSİK","TAM"))</f>
        <v/>
      </c>
    </row>
    <row r="332">
      <c r="F332" s="23">
        <f>IF($A332="","",IF($B332="","EKSİK","TAM"))</f>
        <v/>
      </c>
    </row>
    <row r="333">
      <c r="F333" s="23">
        <f>IF($A333="","",IF($B333="","EKSİK","TAM"))</f>
        <v/>
      </c>
    </row>
    <row r="334">
      <c r="F334" s="23">
        <f>IF($A334="","",IF($B334="","EKSİK","TAM"))</f>
        <v/>
      </c>
    </row>
    <row r="335">
      <c r="F335" s="23">
        <f>IF($A335="","",IF($B335="","EKSİK","TAM"))</f>
        <v/>
      </c>
    </row>
    <row r="336">
      <c r="F336" s="23">
        <f>IF($A336="","",IF($B336="","EKSİK","TAM"))</f>
        <v/>
      </c>
    </row>
    <row r="337">
      <c r="F337" s="23">
        <f>IF($A337="","",IF($B337="","EKSİK","TAM"))</f>
        <v/>
      </c>
    </row>
    <row r="338">
      <c r="F338" s="23">
        <f>IF($A338="","",IF($B338="","EKSİK","TAM"))</f>
        <v/>
      </c>
    </row>
    <row r="339">
      <c r="F339" s="23">
        <f>IF($A339="","",IF($B339="","EKSİK","TAM"))</f>
        <v/>
      </c>
    </row>
    <row r="340">
      <c r="F340" s="23">
        <f>IF($A340="","",IF($B340="","EKSİK","TAM"))</f>
        <v/>
      </c>
    </row>
    <row r="341">
      <c r="F341" s="23">
        <f>IF($A341="","",IF($B341="","EKSİK","TAM"))</f>
        <v/>
      </c>
    </row>
    <row r="342">
      <c r="F342" s="23">
        <f>IF($A342="","",IF($B342="","EKSİK","TAM"))</f>
        <v/>
      </c>
    </row>
    <row r="343">
      <c r="F343" s="23">
        <f>IF($A343="","",IF($B343="","EKSİK","TAM"))</f>
        <v/>
      </c>
    </row>
    <row r="344">
      <c r="F344" s="23">
        <f>IF($A344="","",IF($B344="","EKSİK","TAM"))</f>
        <v/>
      </c>
    </row>
    <row r="345">
      <c r="F345" s="23">
        <f>IF($A345="","",IF($B345="","EKSİK","TAM"))</f>
        <v/>
      </c>
    </row>
    <row r="346">
      <c r="F346" s="23">
        <f>IF($A346="","",IF($B346="","EKSİK","TAM"))</f>
        <v/>
      </c>
    </row>
    <row r="347">
      <c r="F347" s="23">
        <f>IF($A347="","",IF($B347="","EKSİK","TAM"))</f>
        <v/>
      </c>
    </row>
    <row r="348">
      <c r="F348" s="23">
        <f>IF($A348="","",IF($B348="","EKSİK","TAM"))</f>
        <v/>
      </c>
    </row>
    <row r="349">
      <c r="F349" s="23">
        <f>IF($A349="","",IF($B349="","EKSİK","TAM"))</f>
        <v/>
      </c>
    </row>
    <row r="350">
      <c r="F350" s="23">
        <f>IF($A350="","",IF($B350="","EKSİK","TAM"))</f>
        <v/>
      </c>
    </row>
    <row r="351">
      <c r="F351" s="23">
        <f>IF($A351="","",IF($B351="","EKSİK","TAM"))</f>
        <v/>
      </c>
    </row>
    <row r="352">
      <c r="F352" s="23">
        <f>IF($A352="","",IF($B352="","EKSİK","TAM"))</f>
        <v/>
      </c>
    </row>
    <row r="353">
      <c r="F353" s="23">
        <f>IF($A353="","",IF($B353="","EKSİK","TAM"))</f>
        <v/>
      </c>
    </row>
    <row r="354">
      <c r="F354" s="23">
        <f>IF($A354="","",IF($B354="","EKSİK","TAM"))</f>
        <v/>
      </c>
    </row>
    <row r="355">
      <c r="F355" s="23">
        <f>IF($A355="","",IF($B355="","EKSİK","TAM"))</f>
        <v/>
      </c>
    </row>
    <row r="356">
      <c r="F356" s="23">
        <f>IF($A356="","",IF($B356="","EKSİK","TAM"))</f>
        <v/>
      </c>
    </row>
    <row r="357">
      <c r="F357" s="23">
        <f>IF($A357="","",IF($B357="","EKSİK","TAM"))</f>
        <v/>
      </c>
    </row>
    <row r="358">
      <c r="F358" s="23">
        <f>IF($A358="","",IF($B358="","EKSİK","TAM"))</f>
        <v/>
      </c>
    </row>
    <row r="359">
      <c r="F359" s="23">
        <f>IF($A359="","",IF($B359="","EKSİK","TAM"))</f>
        <v/>
      </c>
    </row>
    <row r="360">
      <c r="F360" s="23">
        <f>IF($A360="","",IF($B360="","EKSİK","TAM"))</f>
        <v/>
      </c>
    </row>
    <row r="361">
      <c r="F361" s="23">
        <f>IF($A361="","",IF($B361="","EKSİK","TAM"))</f>
        <v/>
      </c>
    </row>
    <row r="362">
      <c r="F362" s="23">
        <f>IF($A362="","",IF($B362="","EKSİK","TAM"))</f>
        <v/>
      </c>
    </row>
    <row r="363">
      <c r="F363" s="23">
        <f>IF($A363="","",IF($B363="","EKSİK","TAM"))</f>
        <v/>
      </c>
    </row>
    <row r="364">
      <c r="F364" s="23">
        <f>IF($A364="","",IF($B364="","EKSİK","TAM"))</f>
        <v/>
      </c>
    </row>
    <row r="365">
      <c r="F365" s="23">
        <f>IF($A365="","",IF($B365="","EKSİK","TAM"))</f>
        <v/>
      </c>
    </row>
    <row r="366">
      <c r="F366" s="23">
        <f>IF($A366="","",IF($B366="","EKSİK","TAM"))</f>
        <v/>
      </c>
    </row>
    <row r="367">
      <c r="F367" s="23">
        <f>IF($A367="","",IF($B367="","EKSİK","TAM"))</f>
        <v/>
      </c>
    </row>
    <row r="368">
      <c r="F368" s="23">
        <f>IF($A368="","",IF($B368="","EKSİK","TAM"))</f>
        <v/>
      </c>
    </row>
    <row r="369">
      <c r="F369" s="23">
        <f>IF($A369="","",IF($B369="","EKSİK","TAM"))</f>
        <v/>
      </c>
    </row>
    <row r="370">
      <c r="F370" s="23">
        <f>IF($A370="","",IF($B370="","EKSİK","TAM"))</f>
        <v/>
      </c>
    </row>
    <row r="371">
      <c r="F371" s="23">
        <f>IF($A371="","",IF($B371="","EKSİK","TAM"))</f>
        <v/>
      </c>
    </row>
    <row r="372">
      <c r="F372" s="23">
        <f>IF($A372="","",IF($B372="","EKSİK","TAM"))</f>
        <v/>
      </c>
    </row>
    <row r="373">
      <c r="F373" s="23">
        <f>IF($A373="","",IF($B373="","EKSİK","TAM"))</f>
        <v/>
      </c>
    </row>
    <row r="374">
      <c r="F374" s="23">
        <f>IF($A374="","",IF($B374="","EKSİK","TAM"))</f>
        <v/>
      </c>
    </row>
    <row r="375">
      <c r="F375" s="23">
        <f>IF($A375="","",IF($B375="","EKSİK","TAM"))</f>
        <v/>
      </c>
    </row>
    <row r="376">
      <c r="F376" s="23">
        <f>IF($A376="","",IF($B376="","EKSİK","TAM"))</f>
        <v/>
      </c>
    </row>
    <row r="377">
      <c r="F377" s="23">
        <f>IF($A377="","",IF($B377="","EKSİK","TAM"))</f>
        <v/>
      </c>
    </row>
    <row r="378">
      <c r="F378" s="23">
        <f>IF($A378="","",IF($B378="","EKSİK","TAM"))</f>
        <v/>
      </c>
    </row>
    <row r="379">
      <c r="F379" s="23">
        <f>IF($A379="","",IF($B379="","EKSİK","TAM"))</f>
        <v/>
      </c>
    </row>
    <row r="380">
      <c r="F380" s="23">
        <f>IF($A380="","",IF($B380="","EKSİK","TAM"))</f>
        <v/>
      </c>
    </row>
    <row r="381">
      <c r="F381" s="23">
        <f>IF($A381="","",IF($B381="","EKSİK","TAM"))</f>
        <v/>
      </c>
    </row>
    <row r="382">
      <c r="F382" s="23">
        <f>IF($A382="","",IF($B382="","EKSİK","TAM"))</f>
        <v/>
      </c>
    </row>
    <row r="383">
      <c r="F383" s="23">
        <f>IF($A383="","",IF($B383="","EKSİK","TAM"))</f>
        <v/>
      </c>
    </row>
    <row r="384">
      <c r="F384" s="23">
        <f>IF($A384="","",IF($B384="","EKSİK","TAM"))</f>
        <v/>
      </c>
    </row>
    <row r="385">
      <c r="F385" s="23">
        <f>IF($A385="","",IF($B385="","EKSİK","TAM"))</f>
        <v/>
      </c>
    </row>
    <row r="386">
      <c r="F386" s="23">
        <f>IF($A386="","",IF($B386="","EKSİK","TAM"))</f>
        <v/>
      </c>
    </row>
    <row r="387">
      <c r="F387" s="23">
        <f>IF($A387="","",IF($B387="","EKSİK","TAM"))</f>
        <v/>
      </c>
    </row>
    <row r="388">
      <c r="F388" s="23">
        <f>IF($A388="","",IF($B388="","EKSİK","TAM"))</f>
        <v/>
      </c>
    </row>
    <row r="389">
      <c r="F389" s="23">
        <f>IF($A389="","",IF($B389="","EKSİK","TAM"))</f>
        <v/>
      </c>
    </row>
    <row r="390">
      <c r="F390" s="23">
        <f>IF($A390="","",IF($B390="","EKSİK","TAM"))</f>
        <v/>
      </c>
    </row>
    <row r="391">
      <c r="F391" s="23">
        <f>IF($A391="","",IF($B391="","EKSİK","TAM"))</f>
        <v/>
      </c>
    </row>
    <row r="392">
      <c r="F392" s="23">
        <f>IF($A392="","",IF($B392="","EKSİK","TAM"))</f>
        <v/>
      </c>
    </row>
    <row r="393">
      <c r="F393" s="23">
        <f>IF($A393="","",IF($B393="","EKSİK","TAM"))</f>
        <v/>
      </c>
    </row>
    <row r="394">
      <c r="F394" s="23">
        <f>IF($A394="","",IF($B394="","EKSİK","TAM"))</f>
        <v/>
      </c>
    </row>
    <row r="395">
      <c r="F395" s="23">
        <f>IF($A395="","",IF($B395="","EKSİK","TAM"))</f>
        <v/>
      </c>
    </row>
    <row r="396">
      <c r="F396" s="23">
        <f>IF($A396="","",IF($B396="","EKSİK","TAM"))</f>
        <v/>
      </c>
    </row>
    <row r="397">
      <c r="F397" s="23">
        <f>IF($A397="","",IF($B397="","EKSİK","TAM"))</f>
        <v/>
      </c>
    </row>
    <row r="398">
      <c r="F398" s="23">
        <f>IF($A398="","",IF($B398="","EKSİK","TAM"))</f>
        <v/>
      </c>
    </row>
    <row r="399">
      <c r="F399" s="23">
        <f>IF($A399="","",IF($B399="","EKSİK","TAM"))</f>
        <v/>
      </c>
    </row>
    <row r="400">
      <c r="F400" s="23">
        <f>IF($A400="","",IF($B400="","EKSİK","TAM"))</f>
        <v/>
      </c>
    </row>
    <row r="401">
      <c r="F401" s="23">
        <f>IF($A401="","",IF($B401="","EKSİK","TAM"))</f>
        <v/>
      </c>
    </row>
    <row r="402">
      <c r="F402" s="23">
        <f>IF($A402="","",IF($B402="","EKSİK","TAM"))</f>
        <v/>
      </c>
    </row>
    <row r="403">
      <c r="F403" s="23">
        <f>IF($A403="","",IF($B403="","EKSİK","TAM"))</f>
        <v/>
      </c>
    </row>
    <row r="404">
      <c r="F404" s="23">
        <f>IF($A404="","",IF($B404="","EKSİK","TAM"))</f>
        <v/>
      </c>
    </row>
    <row r="405">
      <c r="F405" s="23">
        <f>IF($A405="","",IF($B405="","EKSİK","TAM"))</f>
        <v/>
      </c>
    </row>
    <row r="406">
      <c r="F406" s="23">
        <f>IF($A406="","",IF($B406="","EKSİK","TAM"))</f>
        <v/>
      </c>
    </row>
    <row r="407">
      <c r="F407" s="23">
        <f>IF($A407="","",IF($B407="","EKSİK","TAM"))</f>
        <v/>
      </c>
    </row>
    <row r="408">
      <c r="F408" s="23">
        <f>IF($A408="","",IF($B408="","EKSİK","TAM"))</f>
        <v/>
      </c>
    </row>
    <row r="409">
      <c r="F409" s="23">
        <f>IF($A409="","",IF($B409="","EKSİK","TAM"))</f>
        <v/>
      </c>
    </row>
    <row r="410">
      <c r="F410" s="23">
        <f>IF($A410="","",IF($B410="","EKSİK","TAM"))</f>
        <v/>
      </c>
    </row>
    <row r="411">
      <c r="F411" s="23">
        <f>IF($A411="","",IF($B411="","EKSİK","TAM"))</f>
        <v/>
      </c>
    </row>
    <row r="412">
      <c r="F412" s="23">
        <f>IF($A412="","",IF($B412="","EKSİK","TAM"))</f>
        <v/>
      </c>
    </row>
    <row r="413">
      <c r="F413" s="23">
        <f>IF($A413="","",IF($B413="","EKSİK","TAM"))</f>
        <v/>
      </c>
    </row>
    <row r="414">
      <c r="F414" s="23">
        <f>IF($A414="","",IF($B414="","EKSİK","TAM"))</f>
        <v/>
      </c>
    </row>
    <row r="415">
      <c r="F415" s="23">
        <f>IF($A415="","",IF($B415="","EKSİK","TAM"))</f>
        <v/>
      </c>
    </row>
    <row r="416">
      <c r="F416" s="23">
        <f>IF($A416="","",IF($B416="","EKSİK","TAM"))</f>
        <v/>
      </c>
    </row>
    <row r="417">
      <c r="F417" s="23">
        <f>IF($A417="","",IF($B417="","EKSİK","TAM"))</f>
        <v/>
      </c>
    </row>
    <row r="418">
      <c r="F418" s="23">
        <f>IF($A418="","",IF($B418="","EKSİK","TAM"))</f>
        <v/>
      </c>
    </row>
    <row r="419">
      <c r="F419" s="23">
        <f>IF($A419="","",IF($B419="","EKSİK","TAM"))</f>
        <v/>
      </c>
    </row>
    <row r="420">
      <c r="F420" s="23">
        <f>IF($A420="","",IF($B420="","EKSİK","TAM"))</f>
        <v/>
      </c>
    </row>
    <row r="421">
      <c r="F421" s="23">
        <f>IF($A421="","",IF($B421="","EKSİK","TAM"))</f>
        <v/>
      </c>
    </row>
    <row r="422">
      <c r="F422" s="23">
        <f>IF($A422="","",IF($B422="","EKSİK","TAM"))</f>
        <v/>
      </c>
    </row>
    <row r="423">
      <c r="F423" s="23">
        <f>IF($A423="","",IF($B423="","EKSİK","TAM"))</f>
        <v/>
      </c>
    </row>
    <row r="424">
      <c r="F424" s="23">
        <f>IF($A424="","",IF($B424="","EKSİK","TAM"))</f>
        <v/>
      </c>
    </row>
    <row r="425">
      <c r="F425" s="23">
        <f>IF($A425="","",IF($B425="","EKSİK","TAM"))</f>
        <v/>
      </c>
    </row>
    <row r="426">
      <c r="F426" s="23">
        <f>IF($A426="","",IF($B426="","EKSİK","TAM"))</f>
        <v/>
      </c>
    </row>
    <row r="427">
      <c r="F427" s="23">
        <f>IF($A427="","",IF($B427="","EKSİK","TAM"))</f>
        <v/>
      </c>
    </row>
    <row r="428">
      <c r="F428" s="23">
        <f>IF($A428="","",IF($B428="","EKSİK","TAM"))</f>
        <v/>
      </c>
    </row>
    <row r="429">
      <c r="F429" s="23">
        <f>IF($A429="","",IF($B429="","EKSİK","TAM"))</f>
        <v/>
      </c>
    </row>
    <row r="430">
      <c r="F430" s="23">
        <f>IF($A430="","",IF($B430="","EKSİK","TAM"))</f>
        <v/>
      </c>
    </row>
    <row r="431">
      <c r="F431" s="23">
        <f>IF($A431="","",IF($B431="","EKSİK","TAM"))</f>
        <v/>
      </c>
    </row>
    <row r="432">
      <c r="F432" s="23">
        <f>IF($A432="","",IF($B432="","EKSİK","TAM"))</f>
        <v/>
      </c>
    </row>
    <row r="433">
      <c r="F433" s="23">
        <f>IF($A433="","",IF($B433="","EKSİK","TAM"))</f>
        <v/>
      </c>
    </row>
    <row r="434">
      <c r="F434" s="23">
        <f>IF($A434="","",IF($B434="","EKSİK","TAM"))</f>
        <v/>
      </c>
    </row>
    <row r="435">
      <c r="F435" s="23">
        <f>IF($A435="","",IF($B435="","EKSİK","TAM"))</f>
        <v/>
      </c>
    </row>
    <row r="436">
      <c r="F436" s="23">
        <f>IF($A436="","",IF($B436="","EKSİK","TAM"))</f>
        <v/>
      </c>
    </row>
    <row r="437">
      <c r="F437" s="23">
        <f>IF($A437="","",IF($B437="","EKSİK","TAM"))</f>
        <v/>
      </c>
    </row>
    <row r="438">
      <c r="F438" s="23">
        <f>IF($A438="","",IF($B438="","EKSİK","TAM"))</f>
        <v/>
      </c>
    </row>
    <row r="439">
      <c r="F439" s="23">
        <f>IF($A439="","",IF($B439="","EKSİK","TAM"))</f>
        <v/>
      </c>
    </row>
    <row r="440">
      <c r="F440" s="23">
        <f>IF($A440="","",IF($B440="","EKSİK","TAM"))</f>
        <v/>
      </c>
    </row>
    <row r="441">
      <c r="F441" s="23">
        <f>IF($A441="","",IF($B441="","EKSİK","TAM"))</f>
        <v/>
      </c>
    </row>
    <row r="442">
      <c r="F442" s="23">
        <f>IF($A442="","",IF($B442="","EKSİK","TAM"))</f>
        <v/>
      </c>
    </row>
    <row r="443">
      <c r="F443" s="23">
        <f>IF($A443="","",IF($B443="","EKSİK","TAM"))</f>
        <v/>
      </c>
    </row>
    <row r="444">
      <c r="F444" s="23">
        <f>IF($A444="","",IF($B444="","EKSİK","TAM"))</f>
        <v/>
      </c>
    </row>
    <row r="445">
      <c r="F445" s="23">
        <f>IF($A445="","",IF($B445="","EKSİK","TAM"))</f>
        <v/>
      </c>
    </row>
    <row r="446">
      <c r="F446" s="23">
        <f>IF($A446="","",IF($B446="","EKSİK","TAM"))</f>
        <v/>
      </c>
    </row>
    <row r="447">
      <c r="F447" s="23">
        <f>IF($A447="","",IF($B447="","EKSİK","TAM"))</f>
        <v/>
      </c>
    </row>
    <row r="448">
      <c r="F448" s="23">
        <f>IF($A448="","",IF($B448="","EKSİK","TAM"))</f>
        <v/>
      </c>
    </row>
    <row r="449">
      <c r="F449" s="23">
        <f>IF($A449="","",IF($B449="","EKSİK","TAM"))</f>
        <v/>
      </c>
    </row>
    <row r="450">
      <c r="F450" s="23">
        <f>IF($A450="","",IF($B450="","EKSİK","TAM"))</f>
        <v/>
      </c>
    </row>
    <row r="451">
      <c r="F451" s="23">
        <f>IF($A451="","",IF($B451="","EKSİK","TAM"))</f>
        <v/>
      </c>
    </row>
    <row r="452">
      <c r="F452" s="23">
        <f>IF($A452="","",IF($B452="","EKSİK","TAM"))</f>
        <v/>
      </c>
    </row>
    <row r="453">
      <c r="F453" s="23">
        <f>IF($A453="","",IF($B453="","EKSİK","TAM"))</f>
        <v/>
      </c>
    </row>
    <row r="454">
      <c r="F454" s="23">
        <f>IF($A454="","",IF($B454="","EKSİK","TAM"))</f>
        <v/>
      </c>
    </row>
    <row r="455">
      <c r="F455" s="23">
        <f>IF($A455="","",IF($B455="","EKSİK","TAM"))</f>
        <v/>
      </c>
    </row>
    <row r="456">
      <c r="F456" s="23">
        <f>IF($A456="","",IF($B456="","EKSİK","TAM"))</f>
        <v/>
      </c>
    </row>
    <row r="457">
      <c r="F457" s="23">
        <f>IF($A457="","",IF($B457="","EKSİK","TAM"))</f>
        <v/>
      </c>
    </row>
    <row r="458">
      <c r="F458" s="23">
        <f>IF($A458="","",IF($B458="","EKSİK","TAM"))</f>
        <v/>
      </c>
    </row>
    <row r="459">
      <c r="F459" s="23">
        <f>IF($A459="","",IF($B459="","EKSİK","TAM"))</f>
        <v/>
      </c>
    </row>
    <row r="460">
      <c r="F460" s="23">
        <f>IF($A460="","",IF($B460="","EKSİK","TAM"))</f>
        <v/>
      </c>
    </row>
    <row r="461">
      <c r="F461" s="23">
        <f>IF($A461="","",IF($B461="","EKSİK","TAM"))</f>
        <v/>
      </c>
    </row>
    <row r="462">
      <c r="F462" s="23">
        <f>IF($A462="","",IF($B462="","EKSİK","TAM"))</f>
        <v/>
      </c>
    </row>
    <row r="463">
      <c r="F463" s="23">
        <f>IF($A463="","",IF($B463="","EKSİK","TAM"))</f>
        <v/>
      </c>
    </row>
    <row r="464">
      <c r="F464" s="23">
        <f>IF($A464="","",IF($B464="","EKSİK","TAM"))</f>
        <v/>
      </c>
    </row>
    <row r="465">
      <c r="F465" s="23">
        <f>IF($A465="","",IF($B465="","EKSİK","TAM"))</f>
        <v/>
      </c>
    </row>
    <row r="466">
      <c r="F466" s="23">
        <f>IF($A466="","",IF($B466="","EKSİK","TAM"))</f>
        <v/>
      </c>
    </row>
    <row r="467">
      <c r="F467" s="23">
        <f>IF($A467="","",IF($B467="","EKSİK","TAM"))</f>
        <v/>
      </c>
    </row>
    <row r="468">
      <c r="F468" s="23">
        <f>IF($A468="","",IF($B468="","EKSİK","TAM"))</f>
        <v/>
      </c>
    </row>
    <row r="469">
      <c r="F469" s="23">
        <f>IF($A469="","",IF($B469="","EKSİK","TAM"))</f>
        <v/>
      </c>
    </row>
    <row r="470">
      <c r="F470" s="23">
        <f>IF($A470="","",IF($B470="","EKSİK","TAM"))</f>
        <v/>
      </c>
    </row>
    <row r="471">
      <c r="F471" s="23">
        <f>IF($A471="","",IF($B471="","EKSİK","TAM"))</f>
        <v/>
      </c>
    </row>
    <row r="472">
      <c r="F472" s="23">
        <f>IF($A472="","",IF($B472="","EKSİK","TAM"))</f>
        <v/>
      </c>
    </row>
    <row r="473">
      <c r="F473" s="23">
        <f>IF($A473="","",IF($B473="","EKSİK","TAM"))</f>
        <v/>
      </c>
    </row>
    <row r="474">
      <c r="F474" s="23">
        <f>IF($A474="","",IF($B474="","EKSİK","TAM"))</f>
        <v/>
      </c>
    </row>
    <row r="475">
      <c r="F475" s="23">
        <f>IF($A475="","",IF($B475="","EKSİK","TAM"))</f>
        <v/>
      </c>
    </row>
    <row r="476">
      <c r="F476" s="23">
        <f>IF($A476="","",IF($B476="","EKSİK","TAM"))</f>
        <v/>
      </c>
    </row>
    <row r="477">
      <c r="F477" s="23">
        <f>IF($A477="","",IF($B477="","EKSİK","TAM"))</f>
        <v/>
      </c>
    </row>
    <row r="478">
      <c r="F478" s="23">
        <f>IF($A478="","",IF($B478="","EKSİK","TAM"))</f>
        <v/>
      </c>
    </row>
    <row r="479">
      <c r="F479" s="23">
        <f>IF($A479="","",IF($B479="","EKSİK","TAM"))</f>
        <v/>
      </c>
    </row>
    <row r="480">
      <c r="F480" s="23">
        <f>IF($A480="","",IF($B480="","EKSİK","TAM"))</f>
        <v/>
      </c>
    </row>
    <row r="481">
      <c r="F481" s="23">
        <f>IF($A481="","",IF($B481="","EKSİK","TAM"))</f>
        <v/>
      </c>
    </row>
    <row r="482">
      <c r="F482" s="23">
        <f>IF($A482="","",IF($B482="","EKSİK","TAM"))</f>
        <v/>
      </c>
    </row>
    <row r="483">
      <c r="F483" s="23">
        <f>IF($A483="","",IF($B483="","EKSİK","TAM"))</f>
        <v/>
      </c>
    </row>
    <row r="484">
      <c r="F484" s="23">
        <f>IF($A484="","",IF($B484="","EKSİK","TAM"))</f>
        <v/>
      </c>
    </row>
    <row r="485">
      <c r="F485" s="23">
        <f>IF($A485="","",IF($B485="","EKSİK","TAM"))</f>
        <v/>
      </c>
    </row>
    <row r="486">
      <c r="F486" s="23">
        <f>IF($A486="","",IF($B486="","EKSİK","TAM"))</f>
        <v/>
      </c>
    </row>
    <row r="487">
      <c r="F487" s="23">
        <f>IF($A487="","",IF($B487="","EKSİK","TAM"))</f>
        <v/>
      </c>
    </row>
    <row r="488">
      <c r="F488" s="23">
        <f>IF($A488="","",IF($B488="","EKSİK","TAM"))</f>
        <v/>
      </c>
    </row>
    <row r="489">
      <c r="F489" s="23">
        <f>IF($A489="","",IF($B489="","EKSİK","TAM"))</f>
        <v/>
      </c>
    </row>
    <row r="490">
      <c r="F490" s="23">
        <f>IF($A490="","",IF($B490="","EKSİK","TAM"))</f>
        <v/>
      </c>
    </row>
    <row r="491">
      <c r="F491" s="23">
        <f>IF($A491="","",IF($B491="","EKSİK","TAM"))</f>
        <v/>
      </c>
    </row>
    <row r="492">
      <c r="F492" s="23">
        <f>IF($A492="","",IF($B492="","EKSİK","TAM"))</f>
        <v/>
      </c>
    </row>
    <row r="493">
      <c r="F493" s="23">
        <f>IF($A493="","",IF($B493="","EKSİK","TAM"))</f>
        <v/>
      </c>
    </row>
    <row r="494">
      <c r="F494" s="23">
        <f>IF($A494="","",IF($B494="","EKSİK","TAM"))</f>
        <v/>
      </c>
    </row>
    <row r="495">
      <c r="F495" s="23">
        <f>IF($A495="","",IF($B495="","EKSİK","TAM"))</f>
        <v/>
      </c>
    </row>
    <row r="496">
      <c r="F496" s="23">
        <f>IF($A496="","",IF($B496="","EKSİK","TAM"))</f>
        <v/>
      </c>
    </row>
    <row r="497">
      <c r="F497" s="23">
        <f>IF($A497="","",IF($B497="","EKSİK","TAM"))</f>
        <v/>
      </c>
    </row>
    <row r="498">
      <c r="F498" s="23">
        <f>IF($A498="","",IF($B498="","EKSİK","TAM"))</f>
        <v/>
      </c>
    </row>
    <row r="499">
      <c r="F499" s="23">
        <f>IF($A499="","",IF($B499="","EKSİK","TAM"))</f>
        <v/>
      </c>
    </row>
    <row r="500">
      <c r="F500" s="23">
        <f>IF($A500="","",IF($B500="","EKSİK","TAM"))</f>
        <v/>
      </c>
    </row>
    <row r="501">
      <c r="F501" s="23">
        <f>IF($A501="","",IF($B501="","EKSİK","TAM"))</f>
        <v/>
      </c>
    </row>
    <row r="502">
      <c r="F502" s="23">
        <f>IF($A502="","",IF($B502="","EKSİK","TAM"))</f>
        <v/>
      </c>
    </row>
    <row r="503">
      <c r="F503" s="23">
        <f>IF($A503="","",IF($B503="","EKSİK","TAM"))</f>
        <v/>
      </c>
    </row>
    <row r="504">
      <c r="F504" s="23">
        <f>IF($A504="","",IF($B504="","EKSİK","TAM"))</f>
        <v/>
      </c>
    </row>
    <row r="505">
      <c r="F505" s="23">
        <f>IF($A505="","",IF($B505="","EKSİK","TAM"))</f>
        <v/>
      </c>
    </row>
    <row r="506">
      <c r="F506" s="23">
        <f>IF($A506="","",IF($B506="","EKSİK","TAM"))</f>
        <v/>
      </c>
    </row>
    <row r="507">
      <c r="F507" s="23">
        <f>IF($A507="","",IF($B507="","EKSİK","TAM"))</f>
        <v/>
      </c>
    </row>
    <row r="508">
      <c r="F508" s="23">
        <f>IF($A508="","",IF($B508="","EKSİK","TAM"))</f>
        <v/>
      </c>
    </row>
    <row r="509">
      <c r="F509" s="23">
        <f>IF($A509="","",IF($B509="","EKSİK","TAM"))</f>
        <v/>
      </c>
    </row>
    <row r="510">
      <c r="F510" s="23">
        <f>IF($A510="","",IF($B510="","EKSİK","TAM"))</f>
        <v/>
      </c>
    </row>
    <row r="511">
      <c r="F511" s="23">
        <f>IF($A511="","",IF($B511="","EKSİK","TAM"))</f>
        <v/>
      </c>
    </row>
    <row r="512">
      <c r="F512" s="23">
        <f>IF($A512="","",IF($B512="","EKSİK","TAM"))</f>
        <v/>
      </c>
    </row>
    <row r="513">
      <c r="F513" s="23">
        <f>IF($A513="","",IF($B513="","EKSİK","TAM"))</f>
        <v/>
      </c>
    </row>
    <row r="514">
      <c r="F514" s="23">
        <f>IF($A514="","",IF($B514="","EKSİK","TAM"))</f>
        <v/>
      </c>
    </row>
    <row r="515">
      <c r="F515" s="23">
        <f>IF($A515="","",IF($B515="","EKSİK","TAM"))</f>
        <v/>
      </c>
    </row>
    <row r="516">
      <c r="F516" s="23">
        <f>IF($A516="","",IF($B516="","EKSİK","TAM"))</f>
        <v/>
      </c>
    </row>
    <row r="517">
      <c r="F517" s="23">
        <f>IF($A517="","",IF($B517="","EKSİK","TAM"))</f>
        <v/>
      </c>
    </row>
    <row r="518">
      <c r="F518" s="23">
        <f>IF($A518="","",IF($B518="","EKSİK","TAM"))</f>
        <v/>
      </c>
    </row>
    <row r="519">
      <c r="F519" s="23">
        <f>IF($A519="","",IF($B519="","EKSİK","TAM"))</f>
        <v/>
      </c>
    </row>
    <row r="520">
      <c r="F520" s="23">
        <f>IF($A520="","",IF($B520="","EKSİK","TAM"))</f>
        <v/>
      </c>
    </row>
    <row r="521">
      <c r="F521" s="23">
        <f>IF($A521="","",IF($B521="","EKSİK","TAM"))</f>
        <v/>
      </c>
    </row>
    <row r="522">
      <c r="F522" s="23">
        <f>IF($A522="","",IF($B522="","EKSİK","TAM"))</f>
        <v/>
      </c>
    </row>
    <row r="523">
      <c r="F523" s="23">
        <f>IF($A523="","",IF($B523="","EKSİK","TAM"))</f>
        <v/>
      </c>
    </row>
    <row r="524">
      <c r="F524" s="23">
        <f>IF($A524="","",IF($B524="","EKSİK","TAM"))</f>
        <v/>
      </c>
    </row>
    <row r="525">
      <c r="F525" s="23">
        <f>IF($A525="","",IF($B525="","EKSİK","TAM"))</f>
        <v/>
      </c>
    </row>
    <row r="526">
      <c r="F526" s="23">
        <f>IF($A526="","",IF($B526="","EKSİK","TAM"))</f>
        <v/>
      </c>
    </row>
    <row r="527">
      <c r="F527" s="23">
        <f>IF($A527="","",IF($B527="","EKSİK","TAM"))</f>
        <v/>
      </c>
    </row>
    <row r="528">
      <c r="F528" s="23">
        <f>IF($A528="","",IF($B528="","EKSİK","TAM"))</f>
        <v/>
      </c>
    </row>
    <row r="529">
      <c r="F529" s="23">
        <f>IF($A529="","",IF($B529="","EKSİK","TAM"))</f>
        <v/>
      </c>
    </row>
    <row r="530">
      <c r="F530" s="23">
        <f>IF($A530="","",IF($B530="","EKSİK","TAM"))</f>
        <v/>
      </c>
    </row>
    <row r="531">
      <c r="F531" s="23">
        <f>IF($A531="","",IF($B531="","EKSİK","TAM"))</f>
        <v/>
      </c>
    </row>
    <row r="532">
      <c r="F532" s="23">
        <f>IF($A532="","",IF($B532="","EKSİK","TAM"))</f>
        <v/>
      </c>
    </row>
    <row r="533">
      <c r="F533" s="23">
        <f>IF($A533="","",IF($B533="","EKSİK","TAM"))</f>
        <v/>
      </c>
    </row>
    <row r="534">
      <c r="F534" s="23">
        <f>IF($A534="","",IF($B534="","EKSİK","TAM"))</f>
        <v/>
      </c>
    </row>
    <row r="535">
      <c r="F535" s="23">
        <f>IF($A535="","",IF($B535="","EKSİK","TAM"))</f>
        <v/>
      </c>
    </row>
    <row r="536">
      <c r="F536" s="23">
        <f>IF($A536="","",IF($B536="","EKSİK","TAM"))</f>
        <v/>
      </c>
    </row>
    <row r="537">
      <c r="F537" s="23">
        <f>IF($A537="","",IF($B537="","EKSİK","TAM"))</f>
        <v/>
      </c>
    </row>
    <row r="538">
      <c r="F538" s="23">
        <f>IF($A538="","",IF($B538="","EKSİK","TAM"))</f>
        <v/>
      </c>
    </row>
    <row r="539">
      <c r="F539" s="23">
        <f>IF($A539="","",IF($B539="","EKSİK","TAM"))</f>
        <v/>
      </c>
    </row>
    <row r="540">
      <c r="F540" s="23">
        <f>IF($A540="","",IF($B540="","EKSİK","TAM"))</f>
        <v/>
      </c>
    </row>
    <row r="541">
      <c r="F541" s="23">
        <f>IF($A541="","",IF($B541="","EKSİK","TAM"))</f>
        <v/>
      </c>
    </row>
    <row r="542">
      <c r="F542" s="23">
        <f>IF($A542="","",IF($B542="","EKSİK","TAM"))</f>
        <v/>
      </c>
    </row>
    <row r="543">
      <c r="F543" s="23">
        <f>IF($A543="","",IF($B543="","EKSİK","TAM"))</f>
        <v/>
      </c>
    </row>
    <row r="544">
      <c r="F544" s="23">
        <f>IF($A544="","",IF($B544="","EKSİK","TAM"))</f>
        <v/>
      </c>
    </row>
    <row r="545">
      <c r="F545" s="23">
        <f>IF($A545="","",IF($B545="","EKSİK","TAM"))</f>
        <v/>
      </c>
    </row>
    <row r="546">
      <c r="F546" s="23">
        <f>IF($A546="","",IF($B546="","EKSİK","TAM"))</f>
        <v/>
      </c>
    </row>
    <row r="547">
      <c r="F547" s="23">
        <f>IF($A547="","",IF($B547="","EKSİK","TAM"))</f>
        <v/>
      </c>
    </row>
    <row r="548">
      <c r="F548" s="23">
        <f>IF($A548="","",IF($B548="","EKSİK","TAM"))</f>
        <v/>
      </c>
    </row>
    <row r="549">
      <c r="F549" s="23">
        <f>IF($A549="","",IF($B549="","EKSİK","TAM"))</f>
        <v/>
      </c>
    </row>
    <row r="550">
      <c r="F550" s="23">
        <f>IF($A550="","",IF($B550="","EKSİK","TAM"))</f>
        <v/>
      </c>
    </row>
    <row r="551">
      <c r="F551" s="23">
        <f>IF($A551="","",IF($B551="","EKSİK","TAM"))</f>
        <v/>
      </c>
    </row>
    <row r="552">
      <c r="F552" s="23">
        <f>IF($A552="","",IF($B552="","EKSİK","TAM"))</f>
        <v/>
      </c>
    </row>
    <row r="553">
      <c r="F553" s="23">
        <f>IF($A553="","",IF($B553="","EKSİK","TAM"))</f>
        <v/>
      </c>
    </row>
    <row r="554">
      <c r="F554" s="23">
        <f>IF($A554="","",IF($B554="","EKSİK","TAM"))</f>
        <v/>
      </c>
    </row>
    <row r="555">
      <c r="F555" s="23">
        <f>IF($A555="","",IF($B555="","EKSİK","TAM"))</f>
        <v/>
      </c>
    </row>
    <row r="556">
      <c r="F556" s="23">
        <f>IF($A556="","",IF($B556="","EKSİK","TAM"))</f>
        <v/>
      </c>
    </row>
    <row r="557">
      <c r="F557" s="23">
        <f>IF($A557="","",IF($B557="","EKSİK","TAM"))</f>
        <v/>
      </c>
    </row>
    <row r="558">
      <c r="F558" s="23">
        <f>IF($A558="","",IF($B558="","EKSİK","TAM"))</f>
        <v/>
      </c>
    </row>
    <row r="559">
      <c r="F559" s="23">
        <f>IF($A559="","",IF($B559="","EKSİK","TAM"))</f>
        <v/>
      </c>
    </row>
    <row r="560">
      <c r="F560" s="23">
        <f>IF($A560="","",IF($B560="","EKSİK","TAM"))</f>
        <v/>
      </c>
    </row>
    <row r="561">
      <c r="F561" s="23">
        <f>IF($A561="","",IF($B561="","EKSİK","TAM"))</f>
        <v/>
      </c>
    </row>
    <row r="562">
      <c r="F562" s="23">
        <f>IF($A562="","",IF($B562="","EKSİK","TAM"))</f>
        <v/>
      </c>
    </row>
    <row r="563">
      <c r="F563" s="23">
        <f>IF($A563="","",IF($B563="","EKSİK","TAM"))</f>
        <v/>
      </c>
    </row>
    <row r="564">
      <c r="F564" s="23">
        <f>IF($A564="","",IF($B564="","EKSİK","TAM"))</f>
        <v/>
      </c>
    </row>
    <row r="565">
      <c r="F565" s="23">
        <f>IF($A565="","",IF($B565="","EKSİK","TAM"))</f>
        <v/>
      </c>
    </row>
    <row r="566">
      <c r="F566" s="23">
        <f>IF($A566="","",IF($B566="","EKSİK","TAM"))</f>
        <v/>
      </c>
    </row>
    <row r="567">
      <c r="F567" s="23">
        <f>IF($A567="","",IF($B567="","EKSİK","TAM"))</f>
        <v/>
      </c>
    </row>
    <row r="568">
      <c r="F568" s="23">
        <f>IF($A568="","",IF($B568="","EKSİK","TAM"))</f>
        <v/>
      </c>
    </row>
    <row r="569">
      <c r="F569" s="23">
        <f>IF($A569="","",IF($B569="","EKSİK","TAM"))</f>
        <v/>
      </c>
    </row>
    <row r="570">
      <c r="F570" s="23">
        <f>IF($A570="","",IF($B570="","EKSİK","TAM"))</f>
        <v/>
      </c>
    </row>
    <row r="571">
      <c r="F571" s="23">
        <f>IF($A571="","",IF($B571="","EKSİK","TAM"))</f>
        <v/>
      </c>
    </row>
    <row r="572">
      <c r="F572" s="23">
        <f>IF($A572="","",IF($B572="","EKSİK","TAM"))</f>
        <v/>
      </c>
    </row>
    <row r="573">
      <c r="F573" s="23">
        <f>IF($A573="","",IF($B573="","EKSİK","TAM"))</f>
        <v/>
      </c>
    </row>
    <row r="574">
      <c r="F574" s="23">
        <f>IF($A574="","",IF($B574="","EKSİK","TAM"))</f>
        <v/>
      </c>
    </row>
    <row r="575">
      <c r="F575" s="23">
        <f>IF($A575="","",IF($B575="","EKSİK","TAM"))</f>
        <v/>
      </c>
    </row>
    <row r="576">
      <c r="F576" s="23">
        <f>IF($A576="","",IF($B576="","EKSİK","TAM"))</f>
        <v/>
      </c>
    </row>
    <row r="577">
      <c r="F577" s="23">
        <f>IF($A577="","",IF($B577="","EKSİK","TAM"))</f>
        <v/>
      </c>
    </row>
    <row r="578">
      <c r="F578" s="23">
        <f>IF($A578="","",IF($B578="","EKSİK","TAM"))</f>
        <v/>
      </c>
    </row>
    <row r="579">
      <c r="F579" s="23">
        <f>IF($A579="","",IF($B579="","EKSİK","TAM"))</f>
        <v/>
      </c>
    </row>
    <row r="580">
      <c r="F580" s="23">
        <f>IF($A580="","",IF($B580="","EKSİK","TAM"))</f>
        <v/>
      </c>
    </row>
    <row r="581">
      <c r="F581" s="23">
        <f>IF($A581="","",IF($B581="","EKSİK","TAM"))</f>
        <v/>
      </c>
    </row>
    <row r="582">
      <c r="F582" s="23">
        <f>IF($A582="","",IF($B582="","EKSİK","TAM"))</f>
        <v/>
      </c>
    </row>
    <row r="583">
      <c r="F583" s="23">
        <f>IF($A583="","",IF($B583="","EKSİK","TAM"))</f>
        <v/>
      </c>
    </row>
    <row r="584">
      <c r="F584" s="23">
        <f>IF($A584="","",IF($B584="","EKSİK","TAM"))</f>
        <v/>
      </c>
    </row>
    <row r="585">
      <c r="F585" s="23">
        <f>IF($A585="","",IF($B585="","EKSİK","TAM"))</f>
        <v/>
      </c>
    </row>
    <row r="586">
      <c r="F586" s="23">
        <f>IF($A586="","",IF($B586="","EKSİK","TAM"))</f>
        <v/>
      </c>
    </row>
    <row r="587">
      <c r="F587" s="23">
        <f>IF($A587="","",IF($B587="","EKSİK","TAM"))</f>
        <v/>
      </c>
    </row>
    <row r="588">
      <c r="F588" s="23">
        <f>IF($A588="","",IF($B588="","EKSİK","TAM"))</f>
        <v/>
      </c>
    </row>
    <row r="589">
      <c r="F589" s="23">
        <f>IF($A589="","",IF($B589="","EKSİK","TAM"))</f>
        <v/>
      </c>
    </row>
    <row r="590">
      <c r="F590" s="23">
        <f>IF($A590="","",IF($B590="","EKSİK","TAM"))</f>
        <v/>
      </c>
    </row>
    <row r="591">
      <c r="F591" s="23">
        <f>IF($A591="","",IF($B591="","EKSİK","TAM"))</f>
        <v/>
      </c>
    </row>
    <row r="592">
      <c r="F592" s="23">
        <f>IF($A592="","",IF($B592="","EKSİK","TAM"))</f>
        <v/>
      </c>
    </row>
    <row r="593">
      <c r="F593" s="23">
        <f>IF($A593="","",IF($B593="","EKSİK","TAM"))</f>
        <v/>
      </c>
    </row>
    <row r="594">
      <c r="F594" s="23">
        <f>IF($A594="","",IF($B594="","EKSİK","TAM"))</f>
        <v/>
      </c>
    </row>
    <row r="595">
      <c r="F595" s="23">
        <f>IF($A595="","",IF($B595="","EKSİK","TAM"))</f>
        <v/>
      </c>
    </row>
    <row r="596">
      <c r="F596" s="23">
        <f>IF($A596="","",IF($B596="","EKSİK","TAM"))</f>
        <v/>
      </c>
    </row>
    <row r="597">
      <c r="F597" s="23">
        <f>IF($A597="","",IF($B597="","EKSİK","TAM"))</f>
        <v/>
      </c>
    </row>
    <row r="598">
      <c r="F598" s="23">
        <f>IF($A598="","",IF($B598="","EKSİK","TAM"))</f>
        <v/>
      </c>
    </row>
    <row r="599">
      <c r="F599" s="23">
        <f>IF($A599="","",IF($B599="","EKSİK","TAM"))</f>
        <v/>
      </c>
    </row>
    <row r="600">
      <c r="F600" s="23">
        <f>IF($A600="","",IF($B600="","EKSİK","TAM"))</f>
        <v/>
      </c>
    </row>
    <row r="601">
      <c r="F601" s="23">
        <f>IF($A601="","",IF($B601="","EKSİK","TAM"))</f>
        <v/>
      </c>
    </row>
    <row r="602">
      <c r="F602" s="23">
        <f>IF($A602="","",IF($B602="","EKSİK","TAM"))</f>
        <v/>
      </c>
    </row>
    <row r="603">
      <c r="F603" s="23">
        <f>IF($A603="","",IF($B603="","EKSİK","TAM"))</f>
        <v/>
      </c>
    </row>
    <row r="604">
      <c r="F604" s="23">
        <f>IF($A604="","",IF($B604="","EKSİK","TAM"))</f>
        <v/>
      </c>
    </row>
    <row r="605">
      <c r="F605" s="23">
        <f>IF($A605="","",IF($B605="","EKSİK","TAM"))</f>
        <v/>
      </c>
    </row>
    <row r="606">
      <c r="F606" s="23">
        <f>IF($A606="","",IF($B606="","EKSİK","TAM"))</f>
        <v/>
      </c>
    </row>
    <row r="607">
      <c r="F607" s="23">
        <f>IF($A607="","",IF($B607="","EKSİK","TAM"))</f>
        <v/>
      </c>
    </row>
    <row r="608">
      <c r="F608" s="23">
        <f>IF($A608="","",IF($B608="","EKSİK","TAM"))</f>
        <v/>
      </c>
    </row>
    <row r="609">
      <c r="F609" s="23">
        <f>IF($A609="","",IF($B609="","EKSİK","TAM"))</f>
        <v/>
      </c>
    </row>
    <row r="610">
      <c r="F610" s="23">
        <f>IF($A610="","",IF($B610="","EKSİK","TAM"))</f>
        <v/>
      </c>
    </row>
    <row r="611">
      <c r="F611" s="23">
        <f>IF($A611="","",IF($B611="","EKSİK","TAM"))</f>
        <v/>
      </c>
    </row>
    <row r="612">
      <c r="F612" s="23">
        <f>IF($A612="","",IF($B612="","EKSİK","TAM"))</f>
        <v/>
      </c>
    </row>
    <row r="613">
      <c r="F613" s="23">
        <f>IF($A613="","",IF($B613="","EKSİK","TAM"))</f>
        <v/>
      </c>
    </row>
    <row r="614">
      <c r="F614" s="23">
        <f>IF($A614="","",IF($B614="","EKSİK","TAM"))</f>
        <v/>
      </c>
    </row>
    <row r="615">
      <c r="F615" s="23">
        <f>IF($A615="","",IF($B615="","EKSİK","TAM"))</f>
        <v/>
      </c>
    </row>
    <row r="616">
      <c r="F616" s="23">
        <f>IF($A616="","",IF($B616="","EKSİK","TAM"))</f>
        <v/>
      </c>
    </row>
    <row r="617">
      <c r="F617" s="23">
        <f>IF($A617="","",IF($B617="","EKSİK","TAM"))</f>
        <v/>
      </c>
    </row>
    <row r="618">
      <c r="F618" s="23">
        <f>IF($A618="","",IF($B618="","EKSİK","TAM"))</f>
        <v/>
      </c>
    </row>
    <row r="619">
      <c r="F619" s="23">
        <f>IF($A619="","",IF($B619="","EKSİK","TAM"))</f>
        <v/>
      </c>
    </row>
    <row r="620">
      <c r="F620" s="23">
        <f>IF($A620="","",IF($B620="","EKSİK","TAM"))</f>
        <v/>
      </c>
    </row>
    <row r="621">
      <c r="F621" s="23">
        <f>IF($A621="","",IF($B621="","EKSİK","TAM"))</f>
        <v/>
      </c>
    </row>
    <row r="622">
      <c r="F622" s="23">
        <f>IF($A622="","",IF($B622="","EKSİK","TAM"))</f>
        <v/>
      </c>
    </row>
    <row r="623">
      <c r="F623" s="23">
        <f>IF($A623="","",IF($B623="","EKSİK","TAM"))</f>
        <v/>
      </c>
    </row>
    <row r="624">
      <c r="F624" s="23">
        <f>IF($A624="","",IF($B624="","EKSİK","TAM"))</f>
        <v/>
      </c>
    </row>
    <row r="625">
      <c r="F625" s="23">
        <f>IF($A625="","",IF($B625="","EKSİK","TAM"))</f>
        <v/>
      </c>
    </row>
    <row r="626">
      <c r="F626" s="23">
        <f>IF($A626="","",IF($B626="","EKSİK","TAM"))</f>
        <v/>
      </c>
    </row>
    <row r="627">
      <c r="F627" s="23">
        <f>IF($A627="","",IF($B627="","EKSİK","TAM"))</f>
        <v/>
      </c>
    </row>
    <row r="628">
      <c r="F628" s="23">
        <f>IF($A628="","",IF($B628="","EKSİK","TAM"))</f>
        <v/>
      </c>
    </row>
    <row r="629">
      <c r="F629" s="23">
        <f>IF($A629="","",IF($B629="","EKSİK","TAM"))</f>
        <v/>
      </c>
    </row>
    <row r="630">
      <c r="F630" s="23">
        <f>IF($A630="","",IF($B630="","EKSİK","TAM"))</f>
        <v/>
      </c>
    </row>
    <row r="631">
      <c r="F631" s="23">
        <f>IF($A631="","",IF($B631="","EKSİK","TAM"))</f>
        <v/>
      </c>
    </row>
    <row r="632">
      <c r="F632" s="23">
        <f>IF($A632="","",IF($B632="","EKSİK","TAM"))</f>
        <v/>
      </c>
    </row>
    <row r="633">
      <c r="F633" s="23">
        <f>IF($A633="","",IF($B633="","EKSİK","TAM"))</f>
        <v/>
      </c>
    </row>
    <row r="634">
      <c r="F634" s="23">
        <f>IF($A634="","",IF($B634="","EKSİK","TAM"))</f>
        <v/>
      </c>
    </row>
    <row r="635">
      <c r="F635" s="23">
        <f>IF($A635="","",IF($B635="","EKSİK","TAM"))</f>
        <v/>
      </c>
    </row>
    <row r="636">
      <c r="F636" s="23">
        <f>IF($A636="","",IF($B636="","EKSİK","TAM"))</f>
        <v/>
      </c>
    </row>
    <row r="637">
      <c r="F637" s="23">
        <f>IF($A637="","",IF($B637="","EKSİK","TAM"))</f>
        <v/>
      </c>
    </row>
    <row r="638">
      <c r="F638" s="23">
        <f>IF($A638="","",IF($B638="","EKSİK","TAM"))</f>
        <v/>
      </c>
    </row>
    <row r="639">
      <c r="F639" s="23">
        <f>IF($A639="","",IF($B639="","EKSİK","TAM"))</f>
        <v/>
      </c>
    </row>
    <row r="640">
      <c r="F640" s="23">
        <f>IF($A640="","",IF($B640="","EKSİK","TAM"))</f>
        <v/>
      </c>
    </row>
    <row r="641">
      <c r="F641" s="23">
        <f>IF($A641="","",IF($B641="","EKSİK","TAM"))</f>
        <v/>
      </c>
    </row>
    <row r="642">
      <c r="F642" s="23">
        <f>IF($A642="","",IF($B642="","EKSİK","TAM"))</f>
        <v/>
      </c>
    </row>
    <row r="643">
      <c r="F643" s="23">
        <f>IF($A643="","",IF($B643="","EKSİK","TAM"))</f>
        <v/>
      </c>
    </row>
    <row r="644">
      <c r="F644" s="23">
        <f>IF($A644="","",IF($B644="","EKSİK","TAM"))</f>
        <v/>
      </c>
    </row>
    <row r="645">
      <c r="F645" s="23">
        <f>IF($A645="","",IF($B645="","EKSİK","TAM"))</f>
        <v/>
      </c>
    </row>
    <row r="646">
      <c r="F646" s="23">
        <f>IF($A646="","",IF($B646="","EKSİK","TAM"))</f>
        <v/>
      </c>
    </row>
    <row r="647">
      <c r="F647" s="23">
        <f>IF($A647="","",IF($B647="","EKSİK","TAM"))</f>
        <v/>
      </c>
    </row>
    <row r="648">
      <c r="F648" s="23">
        <f>IF($A648="","",IF($B648="","EKSİK","TAM"))</f>
        <v/>
      </c>
    </row>
    <row r="649">
      <c r="F649" s="23">
        <f>IF($A649="","",IF($B649="","EKSİK","TAM"))</f>
        <v/>
      </c>
    </row>
    <row r="650">
      <c r="F650" s="23">
        <f>IF($A650="","",IF($B650="","EKSİK","TAM"))</f>
        <v/>
      </c>
    </row>
    <row r="651">
      <c r="F651" s="23">
        <f>IF($A651="","",IF($B651="","EKSİK","TAM"))</f>
        <v/>
      </c>
    </row>
    <row r="652">
      <c r="F652" s="23">
        <f>IF($A652="","",IF($B652="","EKSİK","TAM"))</f>
        <v/>
      </c>
    </row>
    <row r="653">
      <c r="F653" s="23">
        <f>IF($A653="","",IF($B653="","EKSİK","TAM"))</f>
        <v/>
      </c>
    </row>
    <row r="654">
      <c r="F654" s="23">
        <f>IF($A654="","",IF($B654="","EKSİK","TAM"))</f>
        <v/>
      </c>
    </row>
    <row r="655">
      <c r="F655" s="23">
        <f>IF($A655="","",IF($B655="","EKSİK","TAM"))</f>
        <v/>
      </c>
    </row>
    <row r="656">
      <c r="F656" s="23">
        <f>IF($A656="","",IF($B656="","EKSİK","TAM"))</f>
        <v/>
      </c>
    </row>
    <row r="657">
      <c r="F657" s="23">
        <f>IF($A657="","",IF($B657="","EKSİK","TAM"))</f>
        <v/>
      </c>
    </row>
    <row r="658">
      <c r="F658" s="23">
        <f>IF($A658="","",IF($B658="","EKSİK","TAM"))</f>
        <v/>
      </c>
    </row>
    <row r="659">
      <c r="F659" s="23">
        <f>IF($A659="","",IF($B659="","EKSİK","TAM"))</f>
        <v/>
      </c>
    </row>
    <row r="660">
      <c r="F660" s="23">
        <f>IF($A660="","",IF($B660="","EKSİK","TAM"))</f>
        <v/>
      </c>
    </row>
    <row r="661">
      <c r="F661" s="23">
        <f>IF($A661="","",IF($B661="","EKSİK","TAM"))</f>
        <v/>
      </c>
    </row>
    <row r="662">
      <c r="F662" s="23">
        <f>IF($A662="","",IF($B662="","EKSİK","TAM"))</f>
        <v/>
      </c>
    </row>
    <row r="663">
      <c r="F663" s="23">
        <f>IF($A663="","",IF($B663="","EKSİK","TAM"))</f>
        <v/>
      </c>
    </row>
    <row r="664">
      <c r="F664" s="23">
        <f>IF($A664="","",IF($B664="","EKSİK","TAM"))</f>
        <v/>
      </c>
    </row>
    <row r="665">
      <c r="F665" s="23">
        <f>IF($A665="","",IF($B665="","EKSİK","TAM"))</f>
        <v/>
      </c>
    </row>
    <row r="666">
      <c r="F666" s="23">
        <f>IF($A666="","",IF($B666="","EKSİK","TAM"))</f>
        <v/>
      </c>
    </row>
    <row r="667">
      <c r="F667" s="23">
        <f>IF($A667="","",IF($B667="","EKSİK","TAM"))</f>
        <v/>
      </c>
    </row>
    <row r="668">
      <c r="F668" s="23">
        <f>IF($A668="","",IF($B668="","EKSİK","TAM"))</f>
        <v/>
      </c>
    </row>
    <row r="669">
      <c r="F669" s="23">
        <f>IF($A669="","",IF($B669="","EKSİK","TAM"))</f>
        <v/>
      </c>
    </row>
    <row r="670">
      <c r="F670" s="23">
        <f>IF($A670="","",IF($B670="","EKSİK","TAM"))</f>
        <v/>
      </c>
    </row>
    <row r="671">
      <c r="F671" s="23">
        <f>IF($A671="","",IF($B671="","EKSİK","TAM"))</f>
        <v/>
      </c>
    </row>
    <row r="672">
      <c r="F672" s="23">
        <f>IF($A672="","",IF($B672="","EKSİK","TAM"))</f>
        <v/>
      </c>
    </row>
    <row r="673">
      <c r="F673" s="23">
        <f>IF($A673="","",IF($B673="","EKSİK","TAM"))</f>
        <v/>
      </c>
    </row>
    <row r="674">
      <c r="F674" s="23">
        <f>IF($A674="","",IF($B674="","EKSİK","TAM"))</f>
        <v/>
      </c>
    </row>
    <row r="675">
      <c r="F675" s="23">
        <f>IF($A675="","",IF($B675="","EKSİK","TAM"))</f>
        <v/>
      </c>
    </row>
    <row r="676">
      <c r="F676" s="23">
        <f>IF($A676="","",IF($B676="","EKSİK","TAM"))</f>
        <v/>
      </c>
    </row>
    <row r="677">
      <c r="F677" s="23">
        <f>IF($A677="","",IF($B677="","EKSİK","TAM"))</f>
        <v/>
      </c>
    </row>
    <row r="678">
      <c r="F678" s="23">
        <f>IF($A678="","",IF($B678="","EKSİK","TAM"))</f>
        <v/>
      </c>
    </row>
    <row r="679">
      <c r="F679" s="23">
        <f>IF($A679="","",IF($B679="","EKSİK","TAM"))</f>
        <v/>
      </c>
    </row>
    <row r="680">
      <c r="F680" s="23">
        <f>IF($A680="","",IF($B680="","EKSİK","TAM"))</f>
        <v/>
      </c>
    </row>
    <row r="681">
      <c r="F681" s="23">
        <f>IF($A681="","",IF($B681="","EKSİK","TAM"))</f>
        <v/>
      </c>
    </row>
    <row r="682">
      <c r="F682" s="23">
        <f>IF($A682="","",IF($B682="","EKSİK","TAM"))</f>
        <v/>
      </c>
    </row>
    <row r="683">
      <c r="F683" s="23">
        <f>IF($A683="","",IF($B683="","EKSİK","TAM"))</f>
        <v/>
      </c>
    </row>
    <row r="684">
      <c r="F684" s="23">
        <f>IF($A684="","",IF($B684="","EKSİK","TAM"))</f>
        <v/>
      </c>
    </row>
    <row r="685">
      <c r="F685" s="23">
        <f>IF($A685="","",IF($B685="","EKSİK","TAM"))</f>
        <v/>
      </c>
    </row>
    <row r="686">
      <c r="F686" s="23">
        <f>IF($A686="","",IF($B686="","EKSİK","TAM"))</f>
        <v/>
      </c>
    </row>
    <row r="687">
      <c r="F687" s="23">
        <f>IF($A687="","",IF($B687="","EKSİK","TAM"))</f>
        <v/>
      </c>
    </row>
    <row r="688">
      <c r="F688" s="23">
        <f>IF($A688="","",IF($B688="","EKSİK","TAM"))</f>
        <v/>
      </c>
    </row>
    <row r="689">
      <c r="F689" s="23">
        <f>IF($A689="","",IF($B689="","EKSİK","TAM"))</f>
        <v/>
      </c>
    </row>
    <row r="690">
      <c r="F690" s="23">
        <f>IF($A690="","",IF($B690="","EKSİK","TAM"))</f>
        <v/>
      </c>
    </row>
    <row r="691">
      <c r="F691" s="23">
        <f>IF($A691="","",IF($B691="","EKSİK","TAM"))</f>
        <v/>
      </c>
    </row>
    <row r="692">
      <c r="F692" s="23">
        <f>IF($A692="","",IF($B692="","EKSİK","TAM"))</f>
        <v/>
      </c>
    </row>
    <row r="693">
      <c r="F693" s="23">
        <f>IF($A693="","",IF($B693="","EKSİK","TAM"))</f>
        <v/>
      </c>
    </row>
    <row r="694">
      <c r="F694" s="23">
        <f>IF($A694="","",IF($B694="","EKSİK","TAM"))</f>
        <v/>
      </c>
    </row>
    <row r="695">
      <c r="F695" s="23">
        <f>IF($A695="","",IF($B695="","EKSİK","TAM"))</f>
        <v/>
      </c>
    </row>
    <row r="696">
      <c r="F696" s="23">
        <f>IF($A696="","",IF($B696="","EKSİK","TAM"))</f>
        <v/>
      </c>
    </row>
    <row r="697">
      <c r="F697" s="23">
        <f>IF($A697="","",IF($B697="","EKSİK","TAM"))</f>
        <v/>
      </c>
    </row>
    <row r="698">
      <c r="F698" s="23">
        <f>IF($A698="","",IF($B698="","EKSİK","TAM"))</f>
        <v/>
      </c>
    </row>
    <row r="699">
      <c r="F699" s="23">
        <f>IF($A699="","",IF($B699="","EKSİK","TAM"))</f>
        <v/>
      </c>
    </row>
    <row r="700">
      <c r="F700" s="23">
        <f>IF($A700="","",IF($B700="","EKSİK","TAM"))</f>
        <v/>
      </c>
    </row>
    <row r="701">
      <c r="F701" s="23">
        <f>IF($A701="","",IF($B701="","EKSİK","TAM"))</f>
        <v/>
      </c>
    </row>
    <row r="702">
      <c r="F702" s="23">
        <f>IF($A702="","",IF($B702="","EKSİK","TAM"))</f>
        <v/>
      </c>
    </row>
    <row r="703">
      <c r="F703" s="23">
        <f>IF($A703="","",IF($B703="","EKSİK","TAM"))</f>
        <v/>
      </c>
    </row>
    <row r="704">
      <c r="F704" s="23">
        <f>IF($A704="","",IF($B704="","EKSİK","TAM"))</f>
        <v/>
      </c>
    </row>
    <row r="705">
      <c r="F705" s="23">
        <f>IF($A705="","",IF($B705="","EKSİK","TAM"))</f>
        <v/>
      </c>
    </row>
    <row r="706">
      <c r="F706" s="23">
        <f>IF($A706="","",IF($B706="","EKSİK","TAM"))</f>
        <v/>
      </c>
    </row>
    <row r="707">
      <c r="F707" s="23">
        <f>IF($A707="","",IF($B707="","EKSİK","TAM"))</f>
        <v/>
      </c>
    </row>
    <row r="708">
      <c r="F708" s="23">
        <f>IF($A708="","",IF($B708="","EKSİK","TAM"))</f>
        <v/>
      </c>
    </row>
    <row r="709">
      <c r="F709" s="23">
        <f>IF($A709="","",IF($B709="","EKSİK","TAM"))</f>
        <v/>
      </c>
    </row>
    <row r="710">
      <c r="F710" s="23">
        <f>IF($A710="","",IF($B710="","EKSİK","TAM"))</f>
        <v/>
      </c>
    </row>
    <row r="711">
      <c r="F711" s="23">
        <f>IF($A711="","",IF($B711="","EKSİK","TAM"))</f>
        <v/>
      </c>
    </row>
    <row r="712">
      <c r="F712" s="23">
        <f>IF($A712="","",IF($B712="","EKSİK","TAM"))</f>
        <v/>
      </c>
    </row>
    <row r="713">
      <c r="F713" s="23">
        <f>IF($A713="","",IF($B713="","EKSİK","TAM"))</f>
        <v/>
      </c>
    </row>
    <row r="714">
      <c r="F714" s="23">
        <f>IF($A714="","",IF($B714="","EKSİK","TAM"))</f>
        <v/>
      </c>
    </row>
    <row r="715">
      <c r="F715" s="23">
        <f>IF($A715="","",IF($B715="","EKSİK","TAM"))</f>
        <v/>
      </c>
    </row>
    <row r="716">
      <c r="F716" s="23">
        <f>IF($A716="","",IF($B716="","EKSİK","TAM"))</f>
        <v/>
      </c>
    </row>
    <row r="717">
      <c r="F717" s="23">
        <f>IF($A717="","",IF($B717="","EKSİK","TAM"))</f>
        <v/>
      </c>
    </row>
    <row r="718">
      <c r="F718" s="23">
        <f>IF($A718="","",IF($B718="","EKSİK","TAM"))</f>
        <v/>
      </c>
    </row>
    <row r="719">
      <c r="F719" s="23">
        <f>IF($A719="","",IF($B719="","EKSİK","TAM"))</f>
        <v/>
      </c>
    </row>
    <row r="720">
      <c r="F720" s="23">
        <f>IF($A720="","",IF($B720="","EKSİK","TAM"))</f>
        <v/>
      </c>
    </row>
    <row r="721">
      <c r="F721" s="23">
        <f>IF($A721="","",IF($B721="","EKSİK","TAM"))</f>
        <v/>
      </c>
    </row>
    <row r="722">
      <c r="F722" s="23">
        <f>IF($A722="","",IF($B722="","EKSİK","TAM"))</f>
        <v/>
      </c>
    </row>
    <row r="723">
      <c r="F723" s="23">
        <f>IF($A723="","",IF($B723="","EKSİK","TAM"))</f>
        <v/>
      </c>
    </row>
    <row r="724">
      <c r="F724" s="23">
        <f>IF($A724="","",IF($B724="","EKSİK","TAM"))</f>
        <v/>
      </c>
    </row>
    <row r="725">
      <c r="F725" s="23">
        <f>IF($A725="","",IF($B725="","EKSİK","TAM"))</f>
        <v/>
      </c>
    </row>
    <row r="726">
      <c r="F726" s="23">
        <f>IF($A726="","",IF($B726="","EKSİK","TAM"))</f>
        <v/>
      </c>
    </row>
    <row r="727">
      <c r="F727" s="23">
        <f>IF($A727="","",IF($B727="","EKSİK","TAM"))</f>
        <v/>
      </c>
    </row>
    <row r="728">
      <c r="F728" s="23">
        <f>IF($A728="","",IF($B728="","EKSİK","TAM"))</f>
        <v/>
      </c>
    </row>
    <row r="729">
      <c r="F729" s="23">
        <f>IF($A729="","",IF($B729="","EKSİK","TAM"))</f>
        <v/>
      </c>
    </row>
    <row r="730">
      <c r="F730" s="23">
        <f>IF($A730="","",IF($B730="","EKSİK","TAM"))</f>
        <v/>
      </c>
    </row>
    <row r="731">
      <c r="F731" s="23">
        <f>IF($A731="","",IF($B731="","EKSİK","TAM"))</f>
        <v/>
      </c>
    </row>
    <row r="732">
      <c r="F732" s="23">
        <f>IF($A732="","",IF($B732="","EKSİK","TAM"))</f>
        <v/>
      </c>
    </row>
    <row r="733">
      <c r="F733" s="23">
        <f>IF($A733="","",IF($B733="","EKSİK","TAM"))</f>
        <v/>
      </c>
    </row>
    <row r="734">
      <c r="F734" s="23">
        <f>IF($A734="","",IF($B734="","EKSİK","TAM"))</f>
        <v/>
      </c>
    </row>
    <row r="735">
      <c r="F735" s="23">
        <f>IF($A735="","",IF($B735="","EKSİK","TAM"))</f>
        <v/>
      </c>
    </row>
    <row r="736">
      <c r="F736" s="23">
        <f>IF($A736="","",IF($B736="","EKSİK","TAM"))</f>
        <v/>
      </c>
    </row>
    <row r="737">
      <c r="F737" s="23">
        <f>IF($A737="","",IF($B737="","EKSİK","TAM"))</f>
        <v/>
      </c>
    </row>
    <row r="738">
      <c r="F738" s="23">
        <f>IF($A738="","",IF($B738="","EKSİK","TAM"))</f>
        <v/>
      </c>
    </row>
    <row r="739">
      <c r="F739" s="23">
        <f>IF($A739="","",IF($B739="","EKSİK","TAM"))</f>
        <v/>
      </c>
    </row>
    <row r="740">
      <c r="F740" s="23">
        <f>IF($A740="","",IF($B740="","EKSİK","TAM"))</f>
        <v/>
      </c>
    </row>
    <row r="741">
      <c r="F741" s="23">
        <f>IF($A741="","",IF($B741="","EKSİK","TAM"))</f>
        <v/>
      </c>
    </row>
    <row r="742">
      <c r="F742" s="23">
        <f>IF($A742="","",IF($B742="","EKSİK","TAM"))</f>
        <v/>
      </c>
    </row>
    <row r="743">
      <c r="F743" s="23">
        <f>IF($A743="","",IF($B743="","EKSİK","TAM"))</f>
        <v/>
      </c>
    </row>
    <row r="744">
      <c r="F744" s="23">
        <f>IF($A744="","",IF($B744="","EKSİK","TAM"))</f>
        <v/>
      </c>
    </row>
    <row r="745">
      <c r="F745" s="23">
        <f>IF($A745="","",IF($B745="","EKSİK","TAM"))</f>
        <v/>
      </c>
    </row>
    <row r="746">
      <c r="F746" s="23">
        <f>IF($A746="","",IF($B746="","EKSİK","TAM"))</f>
        <v/>
      </c>
    </row>
    <row r="747">
      <c r="F747" s="23">
        <f>IF($A747="","",IF($B747="","EKSİK","TAM"))</f>
        <v/>
      </c>
    </row>
    <row r="748">
      <c r="F748" s="23">
        <f>IF($A748="","",IF($B748="","EKSİK","TAM"))</f>
        <v/>
      </c>
    </row>
    <row r="749">
      <c r="F749" s="23">
        <f>IF($A749="","",IF($B749="","EKSİK","TAM"))</f>
        <v/>
      </c>
    </row>
    <row r="750">
      <c r="F750" s="23">
        <f>IF($A750="","",IF($B750="","EKSİK","TAM"))</f>
        <v/>
      </c>
    </row>
    <row r="751">
      <c r="F751" s="23">
        <f>IF($A751="","",IF($B751="","EKSİK","TAM"))</f>
        <v/>
      </c>
    </row>
    <row r="752">
      <c r="F752" s="23">
        <f>IF($A752="","",IF($B752="","EKSİK","TAM"))</f>
        <v/>
      </c>
    </row>
    <row r="753">
      <c r="F753" s="23">
        <f>IF($A753="","",IF($B753="","EKSİK","TAM"))</f>
        <v/>
      </c>
    </row>
    <row r="754">
      <c r="F754" s="23">
        <f>IF($A754="","",IF($B754="","EKSİK","TAM"))</f>
        <v/>
      </c>
    </row>
    <row r="755">
      <c r="F755" s="23">
        <f>IF($A755="","",IF($B755="","EKSİK","TAM"))</f>
        <v/>
      </c>
    </row>
    <row r="756">
      <c r="F756" s="23">
        <f>IF($A756="","",IF($B756="","EKSİK","TAM"))</f>
        <v/>
      </c>
    </row>
    <row r="757">
      <c r="F757" s="23">
        <f>IF($A757="","",IF($B757="","EKSİK","TAM"))</f>
        <v/>
      </c>
    </row>
    <row r="758">
      <c r="F758" s="23">
        <f>IF($A758="","",IF($B758="","EKSİK","TAM"))</f>
        <v/>
      </c>
    </row>
    <row r="759">
      <c r="F759" s="23">
        <f>IF($A759="","",IF($B759="","EKSİK","TAM"))</f>
        <v/>
      </c>
    </row>
    <row r="760">
      <c r="F760" s="23">
        <f>IF($A760="","",IF($B760="","EKSİK","TAM"))</f>
        <v/>
      </c>
    </row>
    <row r="761">
      <c r="F761" s="23">
        <f>IF($A761="","",IF($B761="","EKSİK","TAM"))</f>
        <v/>
      </c>
    </row>
    <row r="762">
      <c r="F762" s="23">
        <f>IF($A762="","",IF($B762="","EKSİK","TAM"))</f>
        <v/>
      </c>
    </row>
    <row r="763">
      <c r="F763" s="23">
        <f>IF($A763="","",IF($B763="","EKSİK","TAM"))</f>
        <v/>
      </c>
    </row>
    <row r="764">
      <c r="F764" s="23">
        <f>IF($A764="","",IF($B764="","EKSİK","TAM"))</f>
        <v/>
      </c>
    </row>
    <row r="765">
      <c r="F765" s="23">
        <f>IF($A765="","",IF($B765="","EKSİK","TAM"))</f>
        <v/>
      </c>
    </row>
    <row r="766">
      <c r="F766" s="23">
        <f>IF($A766="","",IF($B766="","EKSİK","TAM"))</f>
        <v/>
      </c>
    </row>
    <row r="767">
      <c r="F767" s="23">
        <f>IF($A767="","",IF($B767="","EKSİK","TAM"))</f>
        <v/>
      </c>
    </row>
    <row r="768">
      <c r="F768" s="23">
        <f>IF($A768="","",IF($B768="","EKSİK","TAM"))</f>
        <v/>
      </c>
    </row>
    <row r="769">
      <c r="F769" s="23">
        <f>IF($A769="","",IF($B769="","EKSİK","TAM"))</f>
        <v/>
      </c>
    </row>
    <row r="770">
      <c r="F770" s="23">
        <f>IF($A770="","",IF($B770="","EKSİK","TAM"))</f>
        <v/>
      </c>
    </row>
    <row r="771">
      <c r="F771" s="23">
        <f>IF($A771="","",IF($B771="","EKSİK","TAM"))</f>
        <v/>
      </c>
    </row>
    <row r="772">
      <c r="F772" s="23">
        <f>IF($A772="","",IF($B772="","EKSİK","TAM"))</f>
        <v/>
      </c>
    </row>
    <row r="773">
      <c r="F773" s="23">
        <f>IF($A773="","",IF($B773="","EKSİK","TAM"))</f>
        <v/>
      </c>
    </row>
    <row r="774">
      <c r="F774" s="23">
        <f>IF($A774="","",IF($B774="","EKSİK","TAM"))</f>
        <v/>
      </c>
    </row>
    <row r="775">
      <c r="F775" s="23">
        <f>IF($A775="","",IF($B775="","EKSİK","TAM"))</f>
        <v/>
      </c>
    </row>
    <row r="776">
      <c r="F776" s="23">
        <f>IF($A776="","",IF($B776="","EKSİK","TAM"))</f>
        <v/>
      </c>
    </row>
    <row r="777">
      <c r="F777" s="23">
        <f>IF($A777="","",IF($B777="","EKSİK","TAM"))</f>
        <v/>
      </c>
    </row>
    <row r="778">
      <c r="F778" s="23">
        <f>IF($A778="","",IF($B778="","EKSİK","TAM"))</f>
        <v/>
      </c>
    </row>
    <row r="779">
      <c r="F779" s="23">
        <f>IF($A779="","",IF($B779="","EKSİK","TAM"))</f>
        <v/>
      </c>
    </row>
    <row r="780">
      <c r="F780" s="23">
        <f>IF($A780="","",IF($B780="","EKSİK","TAM"))</f>
        <v/>
      </c>
    </row>
    <row r="781">
      <c r="F781" s="23">
        <f>IF($A781="","",IF($B781="","EKSİK","TAM"))</f>
        <v/>
      </c>
    </row>
    <row r="782">
      <c r="F782" s="23">
        <f>IF($A782="","",IF($B782="","EKSİK","TAM"))</f>
        <v/>
      </c>
    </row>
    <row r="783">
      <c r="F783" s="23">
        <f>IF($A783="","",IF($B783="","EKSİK","TAM"))</f>
        <v/>
      </c>
    </row>
    <row r="784">
      <c r="F784" s="23">
        <f>IF($A784="","",IF($B784="","EKSİK","TAM"))</f>
        <v/>
      </c>
    </row>
    <row r="785">
      <c r="F785" s="23">
        <f>IF($A785="","",IF($B785="","EKSİK","TAM"))</f>
        <v/>
      </c>
    </row>
    <row r="786">
      <c r="F786" s="23">
        <f>IF($A786="","",IF($B786="","EKSİK","TAM"))</f>
        <v/>
      </c>
    </row>
    <row r="787">
      <c r="F787" s="23">
        <f>IF($A787="","",IF($B787="","EKSİK","TAM"))</f>
        <v/>
      </c>
    </row>
    <row r="788">
      <c r="F788" s="23">
        <f>IF($A788="","",IF($B788="","EKSİK","TAM"))</f>
        <v/>
      </c>
    </row>
    <row r="789">
      <c r="F789" s="23">
        <f>IF($A789="","",IF($B789="","EKSİK","TAM"))</f>
        <v/>
      </c>
    </row>
    <row r="790">
      <c r="F790" s="23">
        <f>IF($A790="","",IF($B790="","EKSİK","TAM"))</f>
        <v/>
      </c>
    </row>
    <row r="791">
      <c r="F791" s="23">
        <f>IF($A791="","",IF($B791="","EKSİK","TAM"))</f>
        <v/>
      </c>
    </row>
    <row r="792">
      <c r="F792" s="23">
        <f>IF($A792="","",IF($B792="","EKSİK","TAM"))</f>
        <v/>
      </c>
    </row>
    <row r="793">
      <c r="F793" s="23">
        <f>IF($A793="","",IF($B793="","EKSİK","TAM"))</f>
        <v/>
      </c>
    </row>
    <row r="794">
      <c r="F794" s="23">
        <f>IF($A794="","",IF($B794="","EKSİK","TAM"))</f>
        <v/>
      </c>
    </row>
    <row r="795">
      <c r="F795" s="23">
        <f>IF($A795="","",IF($B795="","EKSİK","TAM"))</f>
        <v/>
      </c>
    </row>
    <row r="796">
      <c r="F796" s="23">
        <f>IF($A796="","",IF($B796="","EKSİK","TAM"))</f>
        <v/>
      </c>
    </row>
    <row r="797">
      <c r="F797" s="23">
        <f>IF($A797="","",IF($B797="","EKSİK","TAM"))</f>
        <v/>
      </c>
    </row>
    <row r="798">
      <c r="F798" s="23">
        <f>IF($A798="","",IF($B798="","EKSİK","TAM"))</f>
        <v/>
      </c>
    </row>
    <row r="799">
      <c r="F799" s="23">
        <f>IF($A799="","",IF($B799="","EKSİK","TAM"))</f>
        <v/>
      </c>
    </row>
    <row r="800">
      <c r="F800" s="23">
        <f>IF($A800="","",IF($B800="","EKSİK","TAM"))</f>
        <v/>
      </c>
    </row>
    <row r="801">
      <c r="F801" s="23">
        <f>IF($A801="","",IF($B801="","EKSİK","TAM"))</f>
        <v/>
      </c>
    </row>
    <row r="802">
      <c r="F802" s="23">
        <f>IF($A802="","",IF($B802="","EKSİK","TAM"))</f>
        <v/>
      </c>
    </row>
    <row r="803">
      <c r="F803" s="23">
        <f>IF($A803="","",IF($B803="","EKSİK","TAM"))</f>
        <v/>
      </c>
    </row>
    <row r="804">
      <c r="F804" s="23">
        <f>IF($A804="","",IF($B804="","EKSİK","TAM"))</f>
        <v/>
      </c>
    </row>
    <row r="805">
      <c r="F805" s="23">
        <f>IF($A805="","",IF($B805="","EKSİK","TAM"))</f>
        <v/>
      </c>
    </row>
    <row r="806">
      <c r="F806" s="23">
        <f>IF($A806="","",IF($B806="","EKSİK","TAM"))</f>
        <v/>
      </c>
    </row>
    <row r="807">
      <c r="F807" s="23">
        <f>IF($A807="","",IF($B807="","EKSİK","TAM"))</f>
        <v/>
      </c>
    </row>
    <row r="808">
      <c r="F808" s="23">
        <f>IF($A808="","",IF($B808="","EKSİK","TAM"))</f>
        <v/>
      </c>
    </row>
    <row r="809">
      <c r="F809" s="23">
        <f>IF($A809="","",IF($B809="","EKSİK","TAM"))</f>
        <v/>
      </c>
    </row>
    <row r="810">
      <c r="F810" s="23">
        <f>IF($A810="","",IF($B810="","EKSİK","TAM"))</f>
        <v/>
      </c>
    </row>
    <row r="811">
      <c r="F811" s="23">
        <f>IF($A811="","",IF($B811="","EKSİK","TAM"))</f>
        <v/>
      </c>
    </row>
    <row r="812">
      <c r="F812" s="23">
        <f>IF($A812="","",IF($B812="","EKSİK","TAM"))</f>
        <v/>
      </c>
    </row>
    <row r="813">
      <c r="F813" s="23">
        <f>IF($A813="","",IF($B813="","EKSİK","TAM"))</f>
        <v/>
      </c>
    </row>
    <row r="814">
      <c r="F814" s="23">
        <f>IF($A814="","",IF($B814="","EKSİK","TAM"))</f>
        <v/>
      </c>
    </row>
    <row r="815">
      <c r="F815" s="23">
        <f>IF($A815="","",IF($B815="","EKSİK","TAM"))</f>
        <v/>
      </c>
    </row>
    <row r="816">
      <c r="F816" s="23">
        <f>IF($A816="","",IF($B816="","EKSİK","TAM"))</f>
        <v/>
      </c>
    </row>
    <row r="817">
      <c r="F817" s="23">
        <f>IF($A817="","",IF($B817="","EKSİK","TAM"))</f>
        <v/>
      </c>
    </row>
    <row r="818">
      <c r="F818" s="23">
        <f>IF($A818="","",IF($B818="","EKSİK","TAM"))</f>
        <v/>
      </c>
    </row>
    <row r="819">
      <c r="F819" s="23">
        <f>IF($A819="","",IF($B819="","EKSİK","TAM"))</f>
        <v/>
      </c>
    </row>
    <row r="820">
      <c r="F820" s="23">
        <f>IF($A820="","",IF($B820="","EKSİK","TAM"))</f>
        <v/>
      </c>
    </row>
    <row r="821">
      <c r="F821" s="23">
        <f>IF($A821="","",IF($B821="","EKSİK","TAM"))</f>
        <v/>
      </c>
    </row>
    <row r="822">
      <c r="F822" s="23">
        <f>IF($A822="","",IF($B822="","EKSİK","TAM"))</f>
        <v/>
      </c>
    </row>
    <row r="823">
      <c r="F823" s="23">
        <f>IF($A823="","",IF($B823="","EKSİK","TAM"))</f>
        <v/>
      </c>
    </row>
    <row r="824">
      <c r="F824" s="23">
        <f>IF($A824="","",IF($B824="","EKSİK","TAM"))</f>
        <v/>
      </c>
    </row>
    <row r="825">
      <c r="F825" s="23">
        <f>IF($A825="","",IF($B825="","EKSİK","TAM"))</f>
        <v/>
      </c>
    </row>
    <row r="826">
      <c r="F826" s="23">
        <f>IF($A826="","",IF($B826="","EKSİK","TAM"))</f>
        <v/>
      </c>
    </row>
    <row r="827">
      <c r="F827" s="23">
        <f>IF($A827="","",IF($B827="","EKSİK","TAM"))</f>
        <v/>
      </c>
    </row>
    <row r="828">
      <c r="F828" s="23">
        <f>IF($A828="","",IF($B828="","EKSİK","TAM"))</f>
        <v/>
      </c>
    </row>
    <row r="829">
      <c r="F829" s="23">
        <f>IF($A829="","",IF($B829="","EKSİK","TAM"))</f>
        <v/>
      </c>
    </row>
    <row r="830">
      <c r="F830" s="23">
        <f>IF($A830="","",IF($B830="","EKSİK","TAM"))</f>
        <v/>
      </c>
    </row>
    <row r="831">
      <c r="F831" s="23">
        <f>IF($A831="","",IF($B831="","EKSİK","TAM"))</f>
        <v/>
      </c>
    </row>
    <row r="832">
      <c r="F832" s="23">
        <f>IF($A832="","",IF($B832="","EKSİK","TAM"))</f>
        <v/>
      </c>
    </row>
    <row r="833">
      <c r="F833" s="23">
        <f>IF($A833="","",IF($B833="","EKSİK","TAM"))</f>
        <v/>
      </c>
    </row>
    <row r="834">
      <c r="F834" s="23">
        <f>IF($A834="","",IF($B834="","EKSİK","TAM"))</f>
        <v/>
      </c>
    </row>
    <row r="835">
      <c r="F835" s="23">
        <f>IF($A835="","",IF($B835="","EKSİK","TAM"))</f>
        <v/>
      </c>
    </row>
    <row r="836">
      <c r="F836" s="23">
        <f>IF($A836="","",IF($B836="","EKSİK","TAM"))</f>
        <v/>
      </c>
    </row>
    <row r="837">
      <c r="F837" s="23">
        <f>IF($A837="","",IF($B837="","EKSİK","TAM"))</f>
        <v/>
      </c>
    </row>
    <row r="838">
      <c r="F838" s="23">
        <f>IF($A838="","",IF($B838="","EKSİK","TAM"))</f>
        <v/>
      </c>
    </row>
    <row r="839">
      <c r="F839" s="23">
        <f>IF($A839="","",IF($B839="","EKSİK","TAM"))</f>
        <v/>
      </c>
    </row>
    <row r="840">
      <c r="F840" s="23">
        <f>IF($A840="","",IF($B840="","EKSİK","TAM"))</f>
        <v/>
      </c>
    </row>
    <row r="841">
      <c r="F841" s="23">
        <f>IF($A841="","",IF($B841="","EKSİK","TAM"))</f>
        <v/>
      </c>
    </row>
    <row r="842">
      <c r="F842" s="23">
        <f>IF($A842="","",IF($B842="","EKSİK","TAM"))</f>
        <v/>
      </c>
    </row>
    <row r="843">
      <c r="F843" s="23">
        <f>IF($A843="","",IF($B843="","EKSİK","TAM"))</f>
        <v/>
      </c>
    </row>
    <row r="844">
      <c r="F844" s="23">
        <f>IF($A844="","",IF($B844="","EKSİK","TAM"))</f>
        <v/>
      </c>
    </row>
    <row r="845">
      <c r="F845" s="23">
        <f>IF($A845="","",IF($B845="","EKSİK","TAM"))</f>
        <v/>
      </c>
    </row>
    <row r="846">
      <c r="F846" s="23">
        <f>IF($A846="","",IF($B846="","EKSİK","TAM"))</f>
        <v/>
      </c>
    </row>
    <row r="847">
      <c r="F847" s="23">
        <f>IF($A847="","",IF($B847="","EKSİK","TAM"))</f>
        <v/>
      </c>
    </row>
    <row r="848">
      <c r="F848" s="23">
        <f>IF($A848="","",IF($B848="","EKSİK","TAM"))</f>
        <v/>
      </c>
    </row>
    <row r="849">
      <c r="F849" s="23">
        <f>IF($A849="","",IF($B849="","EKSİK","TAM"))</f>
        <v/>
      </c>
    </row>
    <row r="850">
      <c r="F850" s="23">
        <f>IF($A850="","",IF($B850="","EKSİK","TAM"))</f>
        <v/>
      </c>
    </row>
    <row r="851">
      <c r="F851" s="23">
        <f>IF($A851="","",IF($B851="","EKSİK","TAM"))</f>
        <v/>
      </c>
    </row>
    <row r="852">
      <c r="F852" s="23">
        <f>IF($A852="","",IF($B852="","EKSİK","TAM"))</f>
        <v/>
      </c>
    </row>
    <row r="853">
      <c r="F853" s="23">
        <f>IF($A853="","",IF($B853="","EKSİK","TAM"))</f>
        <v/>
      </c>
    </row>
    <row r="854">
      <c r="F854" s="23">
        <f>IF($A854="","",IF($B854="","EKSİK","TAM"))</f>
        <v/>
      </c>
    </row>
    <row r="855">
      <c r="F855" s="23">
        <f>IF($A855="","",IF($B855="","EKSİK","TAM"))</f>
        <v/>
      </c>
    </row>
    <row r="856">
      <c r="F856" s="23">
        <f>IF($A856="","",IF($B856="","EKSİK","TAM"))</f>
        <v/>
      </c>
    </row>
    <row r="857">
      <c r="F857" s="23">
        <f>IF($A857="","",IF($B857="","EKSİK","TAM"))</f>
        <v/>
      </c>
    </row>
    <row r="858">
      <c r="F858" s="23">
        <f>IF($A858="","",IF($B858="","EKSİK","TAM"))</f>
        <v/>
      </c>
    </row>
    <row r="859">
      <c r="F859" s="23">
        <f>IF($A859="","",IF($B859="","EKSİK","TAM"))</f>
        <v/>
      </c>
    </row>
    <row r="860">
      <c r="F860" s="23">
        <f>IF($A860="","",IF($B860="","EKSİK","TAM"))</f>
        <v/>
      </c>
    </row>
    <row r="861">
      <c r="F861" s="23">
        <f>IF($A861="","",IF($B861="","EKSİK","TAM"))</f>
        <v/>
      </c>
    </row>
    <row r="862">
      <c r="F862" s="23">
        <f>IF($A862="","",IF($B862="","EKSİK","TAM"))</f>
        <v/>
      </c>
    </row>
    <row r="863">
      <c r="F863" s="23">
        <f>IF($A863="","",IF($B863="","EKSİK","TAM"))</f>
        <v/>
      </c>
    </row>
    <row r="864">
      <c r="F864" s="23">
        <f>IF($A864="","",IF($B864="","EKSİK","TAM"))</f>
        <v/>
      </c>
    </row>
    <row r="865">
      <c r="F865" s="23">
        <f>IF($A865="","",IF($B865="","EKSİK","TAM"))</f>
        <v/>
      </c>
    </row>
    <row r="866">
      <c r="F866" s="23">
        <f>IF($A866="","",IF($B866="","EKSİK","TAM"))</f>
        <v/>
      </c>
    </row>
    <row r="867">
      <c r="F867" s="23">
        <f>IF($A867="","",IF($B867="","EKSİK","TAM"))</f>
        <v/>
      </c>
    </row>
    <row r="868">
      <c r="F868" s="23">
        <f>IF($A868="","",IF($B868="","EKSİK","TAM"))</f>
        <v/>
      </c>
    </row>
    <row r="869">
      <c r="F869" s="23">
        <f>IF($A869="","",IF($B869="","EKSİK","TAM"))</f>
        <v/>
      </c>
    </row>
    <row r="870">
      <c r="F870" s="23">
        <f>IF($A870="","",IF($B870="","EKSİK","TAM"))</f>
        <v/>
      </c>
    </row>
    <row r="871">
      <c r="F871" s="23">
        <f>IF($A871="","",IF($B871="","EKSİK","TAM"))</f>
        <v/>
      </c>
    </row>
    <row r="872">
      <c r="F872" s="23">
        <f>IF($A872="","",IF($B872="","EKSİK","TAM"))</f>
        <v/>
      </c>
    </row>
    <row r="873">
      <c r="F873" s="23">
        <f>IF($A873="","",IF($B873="","EKSİK","TAM"))</f>
        <v/>
      </c>
    </row>
    <row r="874">
      <c r="F874" s="23">
        <f>IF($A874="","",IF($B874="","EKSİK","TAM"))</f>
        <v/>
      </c>
    </row>
    <row r="875">
      <c r="F875" s="23">
        <f>IF($A875="","",IF($B875="","EKSİK","TAM"))</f>
        <v/>
      </c>
    </row>
    <row r="876">
      <c r="F876" s="23">
        <f>IF($A876="","",IF($B876="","EKSİK","TAM"))</f>
        <v/>
      </c>
    </row>
    <row r="877">
      <c r="F877" s="23">
        <f>IF($A877="","",IF($B877="","EKSİK","TAM"))</f>
        <v/>
      </c>
    </row>
    <row r="878">
      <c r="F878" s="23">
        <f>IF($A878="","",IF($B878="","EKSİK","TAM"))</f>
        <v/>
      </c>
    </row>
    <row r="879">
      <c r="F879" s="23">
        <f>IF($A879="","",IF($B879="","EKSİK","TAM"))</f>
        <v/>
      </c>
    </row>
    <row r="880">
      <c r="F880" s="23">
        <f>IF($A880="","",IF($B880="","EKSİK","TAM"))</f>
        <v/>
      </c>
    </row>
    <row r="881">
      <c r="F881" s="23">
        <f>IF($A881="","",IF($B881="","EKSİK","TAM"))</f>
        <v/>
      </c>
    </row>
    <row r="882">
      <c r="F882" s="23">
        <f>IF($A882="","",IF($B882="","EKSİK","TAM"))</f>
        <v/>
      </c>
    </row>
    <row r="883">
      <c r="F883" s="23">
        <f>IF($A883="","",IF($B883="","EKSİK","TAM"))</f>
        <v/>
      </c>
    </row>
    <row r="884">
      <c r="F884" s="23">
        <f>IF($A884="","",IF($B884="","EKSİK","TAM"))</f>
        <v/>
      </c>
    </row>
    <row r="885">
      <c r="F885" s="23">
        <f>IF($A885="","",IF($B885="","EKSİK","TAM"))</f>
        <v/>
      </c>
    </row>
    <row r="886">
      <c r="F886" s="23">
        <f>IF($A886="","",IF($B886="","EKSİK","TAM"))</f>
        <v/>
      </c>
    </row>
    <row r="887">
      <c r="F887" s="23">
        <f>IF($A887="","",IF($B887="","EKSİK","TAM"))</f>
        <v/>
      </c>
    </row>
    <row r="888">
      <c r="F888" s="23">
        <f>IF($A888="","",IF($B888="","EKSİK","TAM"))</f>
        <v/>
      </c>
    </row>
    <row r="889">
      <c r="F889" s="23">
        <f>IF($A889="","",IF($B889="","EKSİK","TAM"))</f>
        <v/>
      </c>
    </row>
    <row r="890">
      <c r="F890" s="23">
        <f>IF($A890="","",IF($B890="","EKSİK","TAM"))</f>
        <v/>
      </c>
    </row>
    <row r="891">
      <c r="F891" s="23">
        <f>IF($A891="","",IF($B891="","EKSİK","TAM"))</f>
        <v/>
      </c>
    </row>
    <row r="892">
      <c r="F892" s="23">
        <f>IF($A892="","",IF($B892="","EKSİK","TAM"))</f>
        <v/>
      </c>
    </row>
    <row r="893">
      <c r="F893" s="23">
        <f>IF($A893="","",IF($B893="","EKSİK","TAM"))</f>
        <v/>
      </c>
    </row>
    <row r="894">
      <c r="F894" s="23">
        <f>IF($A894="","",IF($B894="","EKSİK","TAM"))</f>
        <v/>
      </c>
    </row>
    <row r="895">
      <c r="F895" s="23">
        <f>IF($A895="","",IF($B895="","EKSİK","TAM"))</f>
        <v/>
      </c>
    </row>
    <row r="896">
      <c r="F896" s="23">
        <f>IF($A896="","",IF($B896="","EKSİK","TAM"))</f>
        <v/>
      </c>
    </row>
    <row r="897">
      <c r="F897" s="23">
        <f>IF($A897="","",IF($B897="","EKSİK","TAM"))</f>
        <v/>
      </c>
    </row>
    <row r="898">
      <c r="F898" s="23">
        <f>IF($A898="","",IF($B898="","EKSİK","TAM"))</f>
        <v/>
      </c>
    </row>
    <row r="899">
      <c r="F899" s="23">
        <f>IF($A899="","",IF($B899="","EKSİK","TAM"))</f>
        <v/>
      </c>
    </row>
    <row r="900">
      <c r="F900" s="23">
        <f>IF($A900="","",IF($B900="","EKSİK","TAM"))</f>
        <v/>
      </c>
    </row>
    <row r="901">
      <c r="F901" s="23">
        <f>IF($A901="","",IF($B901="","EKSİK","TAM"))</f>
        <v/>
      </c>
    </row>
    <row r="902">
      <c r="F902" s="23">
        <f>IF($A902="","",IF($B902="","EKSİK","TAM"))</f>
        <v/>
      </c>
    </row>
    <row r="903">
      <c r="F903" s="23">
        <f>IF($A903="","",IF($B903="","EKSİK","TAM"))</f>
        <v/>
      </c>
    </row>
    <row r="904">
      <c r="F904" s="23">
        <f>IF($A904="","",IF($B904="","EKSİK","TAM"))</f>
        <v/>
      </c>
    </row>
    <row r="905">
      <c r="F905" s="23">
        <f>IF($A905="","",IF($B905="","EKSİK","TAM"))</f>
        <v/>
      </c>
    </row>
    <row r="906">
      <c r="F906" s="23">
        <f>IF($A906="","",IF($B906="","EKSİK","TAM"))</f>
        <v/>
      </c>
    </row>
    <row r="907">
      <c r="F907" s="23">
        <f>IF($A907="","",IF($B907="","EKSİK","TAM"))</f>
        <v/>
      </c>
    </row>
    <row r="908">
      <c r="F908" s="23">
        <f>IF($A908="","",IF($B908="","EKSİK","TAM"))</f>
        <v/>
      </c>
    </row>
    <row r="909">
      <c r="F909" s="23">
        <f>IF($A909="","",IF($B909="","EKSİK","TAM"))</f>
        <v/>
      </c>
    </row>
    <row r="910">
      <c r="F910" s="23">
        <f>IF($A910="","",IF($B910="","EKSİK","TAM"))</f>
        <v/>
      </c>
    </row>
    <row r="911">
      <c r="F911" s="23">
        <f>IF($A911="","",IF($B911="","EKSİK","TAM"))</f>
        <v/>
      </c>
    </row>
    <row r="912">
      <c r="F912" s="23">
        <f>IF($A912="","",IF($B912="","EKSİK","TAM"))</f>
        <v/>
      </c>
    </row>
    <row r="913">
      <c r="F913" s="23">
        <f>IF($A913="","",IF($B913="","EKSİK","TAM"))</f>
        <v/>
      </c>
    </row>
    <row r="914">
      <c r="F914" s="23">
        <f>IF($A914="","",IF($B914="","EKSİK","TAM"))</f>
        <v/>
      </c>
    </row>
    <row r="915">
      <c r="F915" s="23">
        <f>IF($A915="","",IF($B915="","EKSİK","TAM"))</f>
        <v/>
      </c>
    </row>
    <row r="916">
      <c r="F916" s="23">
        <f>IF($A916="","",IF($B916="","EKSİK","TAM"))</f>
        <v/>
      </c>
    </row>
    <row r="917">
      <c r="F917" s="23">
        <f>IF($A917="","",IF($B917="","EKSİK","TAM"))</f>
        <v/>
      </c>
    </row>
    <row r="918">
      <c r="F918" s="23">
        <f>IF($A918="","",IF($B918="","EKSİK","TAM"))</f>
        <v/>
      </c>
    </row>
    <row r="919">
      <c r="F919" s="23">
        <f>IF($A919="","",IF($B919="","EKSİK","TAM"))</f>
        <v/>
      </c>
    </row>
    <row r="920">
      <c r="F920" s="23">
        <f>IF($A920="","",IF($B920="","EKSİK","TAM"))</f>
        <v/>
      </c>
    </row>
    <row r="921">
      <c r="F921" s="23">
        <f>IF($A921="","",IF($B921="","EKSİK","TAM"))</f>
        <v/>
      </c>
    </row>
    <row r="922">
      <c r="F922" s="23">
        <f>IF($A922="","",IF($B922="","EKSİK","TAM"))</f>
        <v/>
      </c>
    </row>
    <row r="923">
      <c r="F923" s="23">
        <f>IF($A923="","",IF($B923="","EKSİK","TAM"))</f>
        <v/>
      </c>
    </row>
    <row r="924">
      <c r="F924" s="23">
        <f>IF($A924="","",IF($B924="","EKSİK","TAM"))</f>
        <v/>
      </c>
    </row>
    <row r="925">
      <c r="F925" s="23">
        <f>IF($A925="","",IF($B925="","EKSİK","TAM"))</f>
        <v/>
      </c>
    </row>
    <row r="926">
      <c r="F926" s="23">
        <f>IF($A926="","",IF($B926="","EKSİK","TAM"))</f>
        <v/>
      </c>
    </row>
    <row r="927">
      <c r="F927" s="23">
        <f>IF($A927="","",IF($B927="","EKSİK","TAM"))</f>
        <v/>
      </c>
    </row>
    <row r="928">
      <c r="F928" s="23">
        <f>IF($A928="","",IF($B928="","EKSİK","TAM"))</f>
        <v/>
      </c>
    </row>
    <row r="929">
      <c r="F929" s="23">
        <f>IF($A929="","",IF($B929="","EKSİK","TAM"))</f>
        <v/>
      </c>
    </row>
    <row r="930">
      <c r="F930" s="23">
        <f>IF($A930="","",IF($B930="","EKSİK","TAM"))</f>
        <v/>
      </c>
    </row>
    <row r="931">
      <c r="F931" s="23">
        <f>IF($A931="","",IF($B931="","EKSİK","TAM"))</f>
        <v/>
      </c>
    </row>
    <row r="932">
      <c r="F932" s="23">
        <f>IF($A932="","",IF($B932="","EKSİK","TAM"))</f>
        <v/>
      </c>
    </row>
    <row r="933">
      <c r="F933" s="23">
        <f>IF($A933="","",IF($B933="","EKSİK","TAM"))</f>
        <v/>
      </c>
    </row>
    <row r="934">
      <c r="F934" s="23">
        <f>IF($A934="","",IF($B934="","EKSİK","TAM"))</f>
        <v/>
      </c>
    </row>
    <row r="935">
      <c r="F935" s="23">
        <f>IF($A935="","",IF($B935="","EKSİK","TAM"))</f>
        <v/>
      </c>
    </row>
    <row r="936">
      <c r="F936" s="23">
        <f>IF($A936="","",IF($B936="","EKSİK","TAM"))</f>
        <v/>
      </c>
    </row>
    <row r="937">
      <c r="F937" s="23">
        <f>IF($A937="","",IF($B937="","EKSİK","TAM"))</f>
        <v/>
      </c>
    </row>
    <row r="938">
      <c r="F938" s="23">
        <f>IF($A938="","",IF($B938="","EKSİK","TAM"))</f>
        <v/>
      </c>
    </row>
    <row r="939">
      <c r="F939" s="23">
        <f>IF($A939="","",IF($B939="","EKSİK","TAM"))</f>
        <v/>
      </c>
    </row>
    <row r="940">
      <c r="F940" s="23">
        <f>IF($A940="","",IF($B940="","EKSİK","TAM"))</f>
        <v/>
      </c>
    </row>
    <row r="941">
      <c r="F941" s="23">
        <f>IF($A941="","",IF($B941="","EKSİK","TAM"))</f>
        <v/>
      </c>
    </row>
    <row r="942">
      <c r="F942" s="23">
        <f>IF($A942="","",IF($B942="","EKSİK","TAM"))</f>
        <v/>
      </c>
    </row>
    <row r="943">
      <c r="F943" s="23">
        <f>IF($A943="","",IF($B943="","EKSİK","TAM"))</f>
        <v/>
      </c>
    </row>
    <row r="944">
      <c r="F944" s="23">
        <f>IF($A944="","",IF($B944="","EKSİK","TAM"))</f>
        <v/>
      </c>
    </row>
    <row r="945">
      <c r="F945" s="23">
        <f>IF($A945="","",IF($B945="","EKSİK","TAM"))</f>
        <v/>
      </c>
    </row>
    <row r="946">
      <c r="F946" s="23">
        <f>IF($A946="","",IF($B946="","EKSİK","TAM"))</f>
        <v/>
      </c>
    </row>
    <row r="947">
      <c r="F947" s="23">
        <f>IF($A947="","",IF($B947="","EKSİK","TAM"))</f>
        <v/>
      </c>
    </row>
    <row r="948">
      <c r="F948" s="23">
        <f>IF($A948="","",IF($B948="","EKSİK","TAM"))</f>
        <v/>
      </c>
    </row>
    <row r="949">
      <c r="F949" s="23">
        <f>IF($A949="","",IF($B949="","EKSİK","TAM"))</f>
        <v/>
      </c>
    </row>
    <row r="950">
      <c r="F950" s="23">
        <f>IF($A950="","",IF($B950="","EKSİK","TAM"))</f>
        <v/>
      </c>
    </row>
    <row r="951">
      <c r="F951" s="23">
        <f>IF($A951="","",IF($B951="","EKSİK","TAM"))</f>
        <v/>
      </c>
    </row>
    <row r="952">
      <c r="F952" s="23">
        <f>IF($A952="","",IF($B952="","EKSİK","TAM"))</f>
        <v/>
      </c>
    </row>
    <row r="953">
      <c r="F953" s="23">
        <f>IF($A953="","",IF($B953="","EKSİK","TAM"))</f>
        <v/>
      </c>
    </row>
    <row r="954">
      <c r="F954" s="23">
        <f>IF($A954="","",IF($B954="","EKSİK","TAM"))</f>
        <v/>
      </c>
    </row>
    <row r="955">
      <c r="F955" s="23">
        <f>IF($A955="","",IF($B955="","EKSİK","TAM"))</f>
        <v/>
      </c>
    </row>
    <row r="956">
      <c r="F956" s="23">
        <f>IF($A956="","",IF($B956="","EKSİK","TAM"))</f>
        <v/>
      </c>
    </row>
    <row r="957">
      <c r="F957" s="23">
        <f>IF($A957="","",IF($B957="","EKSİK","TAM"))</f>
        <v/>
      </c>
    </row>
    <row r="958">
      <c r="F958" s="23">
        <f>IF($A958="","",IF($B958="","EKSİK","TAM"))</f>
        <v/>
      </c>
    </row>
    <row r="959">
      <c r="F959" s="23">
        <f>IF($A959="","",IF($B959="","EKSİK","TAM"))</f>
        <v/>
      </c>
    </row>
    <row r="960">
      <c r="F960" s="23">
        <f>IF($A960="","",IF($B960="","EKSİK","TAM"))</f>
        <v/>
      </c>
    </row>
    <row r="961">
      <c r="F961" s="23">
        <f>IF($A961="","",IF($B961="","EKSİK","TAM"))</f>
        <v/>
      </c>
    </row>
    <row r="962">
      <c r="F962" s="23">
        <f>IF($A962="","",IF($B962="","EKSİK","TAM"))</f>
        <v/>
      </c>
    </row>
    <row r="963">
      <c r="F963" s="23">
        <f>IF($A963="","",IF($B963="","EKSİK","TAM"))</f>
        <v/>
      </c>
    </row>
    <row r="964">
      <c r="F964" s="23">
        <f>IF($A964="","",IF($B964="","EKSİK","TAM"))</f>
        <v/>
      </c>
    </row>
    <row r="965">
      <c r="F965" s="23">
        <f>IF($A965="","",IF($B965="","EKSİK","TAM"))</f>
        <v/>
      </c>
    </row>
    <row r="966">
      <c r="F966" s="23">
        <f>IF($A966="","",IF($B966="","EKSİK","TAM"))</f>
        <v/>
      </c>
    </row>
    <row r="967">
      <c r="F967" s="23">
        <f>IF($A967="","",IF($B967="","EKSİK","TAM"))</f>
        <v/>
      </c>
    </row>
    <row r="968">
      <c r="F968" s="23">
        <f>IF($A968="","",IF($B968="","EKSİK","TAM"))</f>
        <v/>
      </c>
    </row>
    <row r="969">
      <c r="F969" s="23">
        <f>IF($A969="","",IF($B969="","EKSİK","TAM"))</f>
        <v/>
      </c>
    </row>
    <row r="970">
      <c r="F970" s="23">
        <f>IF($A970="","",IF($B970="","EKSİK","TAM"))</f>
        <v/>
      </c>
    </row>
    <row r="971">
      <c r="F971" s="23">
        <f>IF($A971="","",IF($B971="","EKSİK","TAM"))</f>
        <v/>
      </c>
    </row>
    <row r="972">
      <c r="F972" s="23">
        <f>IF($A972="","",IF($B972="","EKSİK","TAM"))</f>
        <v/>
      </c>
    </row>
    <row r="973">
      <c r="F973" s="23">
        <f>IF($A973="","",IF($B973="","EKSİK","TAM"))</f>
        <v/>
      </c>
    </row>
    <row r="974">
      <c r="F974" s="23">
        <f>IF($A974="","",IF($B974="","EKSİK","TAM"))</f>
        <v/>
      </c>
    </row>
    <row r="975">
      <c r="F975" s="23">
        <f>IF($A975="","",IF($B975="","EKSİK","TAM"))</f>
        <v/>
      </c>
    </row>
    <row r="976">
      <c r="F976" s="23">
        <f>IF($A976="","",IF($B976="","EKSİK","TAM"))</f>
        <v/>
      </c>
    </row>
    <row r="977">
      <c r="F977" s="23">
        <f>IF($A977="","",IF($B977="","EKSİK","TAM"))</f>
        <v/>
      </c>
    </row>
    <row r="978">
      <c r="F978" s="23">
        <f>IF($A978="","",IF($B978="","EKSİK","TAM"))</f>
        <v/>
      </c>
    </row>
    <row r="979">
      <c r="F979" s="23">
        <f>IF($A979="","",IF($B979="","EKSİK","TAM"))</f>
        <v/>
      </c>
    </row>
    <row r="980">
      <c r="F980" s="23">
        <f>IF($A980="","",IF($B980="","EKSİK","TAM"))</f>
        <v/>
      </c>
    </row>
    <row r="981">
      <c r="F981" s="23">
        <f>IF($A981="","",IF($B981="","EKSİK","TAM"))</f>
        <v/>
      </c>
    </row>
    <row r="982">
      <c r="F982" s="23">
        <f>IF($A982="","",IF($B982="","EKSİK","TAM"))</f>
        <v/>
      </c>
    </row>
    <row r="983">
      <c r="F983" s="23">
        <f>IF($A983="","",IF($B983="","EKSİK","TAM"))</f>
        <v/>
      </c>
    </row>
    <row r="984">
      <c r="F984" s="23">
        <f>IF($A984="","",IF($B984="","EKSİK","TAM"))</f>
        <v/>
      </c>
    </row>
    <row r="985">
      <c r="F985" s="23">
        <f>IF($A985="","",IF($B985="","EKSİK","TAM"))</f>
        <v/>
      </c>
    </row>
    <row r="986">
      <c r="F986" s="23">
        <f>IF($A986="","",IF($B986="","EKSİK","TAM"))</f>
        <v/>
      </c>
    </row>
    <row r="987">
      <c r="F987" s="23">
        <f>IF($A987="","",IF($B987="","EKSİK","TAM"))</f>
        <v/>
      </c>
    </row>
    <row r="988">
      <c r="F988" s="23">
        <f>IF($A988="","",IF($B988="","EKSİK","TAM"))</f>
        <v/>
      </c>
    </row>
    <row r="989">
      <c r="F989" s="23">
        <f>IF($A989="","",IF($B989="","EKSİK","TAM"))</f>
        <v/>
      </c>
    </row>
    <row r="990">
      <c r="F990" s="23">
        <f>IF($A990="","",IF($B990="","EKSİK","TAM"))</f>
        <v/>
      </c>
    </row>
    <row r="991">
      <c r="F991" s="23">
        <f>IF($A991="","",IF($B991="","EKSİK","TAM"))</f>
        <v/>
      </c>
    </row>
    <row r="992">
      <c r="F992" s="23">
        <f>IF($A992="","",IF($B992="","EKSİK","TAM"))</f>
        <v/>
      </c>
    </row>
    <row r="993">
      <c r="F993" s="23">
        <f>IF($A993="","",IF($B993="","EKSİK","TAM"))</f>
        <v/>
      </c>
    </row>
    <row r="994">
      <c r="F994" s="23">
        <f>IF($A994="","",IF($B994="","EKSİK","TAM"))</f>
        <v/>
      </c>
    </row>
    <row r="995">
      <c r="F995" s="23">
        <f>IF($A995="","",IF($B995="","EKSİK","TAM"))</f>
        <v/>
      </c>
    </row>
    <row r="996">
      <c r="F996" s="23">
        <f>IF($A996="","",IF($B996="","EKSİK","TAM"))</f>
        <v/>
      </c>
    </row>
    <row r="997">
      <c r="F997" s="23">
        <f>IF($A997="","",IF($B997="","EKSİK","TAM"))</f>
        <v/>
      </c>
    </row>
    <row r="998">
      <c r="F998" s="23">
        <f>IF($A998="","",IF($B998="","EKSİK","TAM"))</f>
        <v/>
      </c>
    </row>
    <row r="999">
      <c r="F999" s="23">
        <f>IF($A999="","",IF($B999="","EKSİK","TAM"))</f>
        <v/>
      </c>
    </row>
    <row r="1000">
      <c r="F1000" s="23">
        <f>IF($A1000="","",IF($B1000="","EKSİK","TAM"))</f>
        <v/>
      </c>
    </row>
    <row r="1001">
      <c r="F1001" s="23">
        <f>IF($A1001="","",IF($B1001="","EKSİK","TAM"))</f>
        <v/>
      </c>
    </row>
    <row r="1002">
      <c r="F1002" s="23">
        <f>IF($A1002="","",IF($B1002="","EKSİK","TAM"))</f>
        <v/>
      </c>
    </row>
    <row r="1003">
      <c r="F1003" s="23">
        <f>IF($A1003="","",IF($B1003="","EKSİK","TAM"))</f>
        <v/>
      </c>
    </row>
    <row r="1004">
      <c r="F1004" s="23">
        <f>IF($A1004="","",IF($B1004="","EKSİK","TAM"))</f>
        <v/>
      </c>
    </row>
    <row r="1030" ht="20" customHeight="1">
      <c r="A1030" s="27" t="inlineStr">
        <is>
          <t>Sarı alanlar giriş; oran ve kur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30:AN1030"/>
    <mergeCell ref="A1:AD1"/>
  </mergeCells>
  <conditionalFormatting sqref="B10:B17">
    <cfRule type="cellIs" priority="1" operator="lessThan" dxfId="0">
      <formula>0</formula>
    </cfRule>
  </conditionalFormatting>
  <conditionalFormatting sqref="B10:B12">
    <cfRule type="cellIs" priority="2" operator="equal" dxfId="1">
      <formula>0</formula>
    </cfRule>
  </conditionalFormatting>
  <conditionalFormatting sqref="F30:F45">
    <cfRule type="expression" priority="3" dxfId="2">
      <formula>F30="EKSİK"</formula>
    </cfRule>
    <cfRule type="expression" priority="4" dxfId="3">
      <formula>F30="TAM"</formula>
    </cfRule>
  </conditionalFormatting>
  <dataValidations count="24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9" showDropDown="0" showInputMessage="1" showErrorMessage="1" allowBlank="0" errorTitle="Geçersiz" error="USD veya EUR." promptTitle="Döviz" prompt="USD veya EUR seçin." type="list" errorStyle="stop">
      <formula1>ListeDoviz</formula1>
    </dataValidation>
    <dataValidation sqref="B32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3" showDropDown="0" showInputMessage="1" showErrorMessage="1" allowBlank="1" errorTitle="Geçersiz" error="USD/EUR." promptTitle="Döviz" prompt="USD veya EUR." type="list" errorStyle="stop">
      <formula1>ListeDoviz</formula1>
    </dataValidation>
    <dataValidation sqref="B10" showDropDown="0" showInputMessage="1" showErrorMessage="1" allowBlank="1" errorTitle="Geçersiz tutar" error="Sınır dışı değer." promptTitle="FOB" prompt="0 ile 1e12 arasında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Sınır dışı değer." promptTitle="Miktar" prompt="0 ile 1e9 arasında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Navlun" prompt="0 ile 1e12 arasında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Lokal masraf" prompt="0 ile 1e12 TL." type="decimal" errorStyle="stop" operator="between">
      <formula1>0</formula1>
      <formula2>1000000000000</formula2>
    </dataValidation>
    <dataValidation sqref="B15" showDropDown="0" showInputMessage="1" showErrorMessage="1" allowBlank="1" errorTitle="Geçersiz tutar" error="Sınır dışı değer." promptTitle="Hedef satış" prompt="0 ile 1e12 TL." type="decimal" errorStyle="stop" operator="between">
      <formula1>0</formula1>
      <formula2>1000000000000</formula2>
    </dataValidation>
    <dataValidation sqref="B16" showDropDown="0" showInputMessage="1" showErrorMessage="1" allowBlank="1" errorTitle="Geçersiz tutar" error="Sınır dışı değer." promptTitle="Yıllık miktar" prompt="0 ile 1e9." type="decimal" errorStyle="stop" operator="between">
      <formula1>0</formula1>
      <formula2>1000000000000</formula2>
    </dataValidation>
    <dataValidation sqref="B17" showDropDown="0" showInputMessage="1" showErrorMessage="1" allowBlank="1" errorTitle="Geçersiz tutar" error="Sınır dışı değer." promptTitle="CAPEX" prompt="0 ile 1e12 TL." type="decimal" errorStyle="stop" operator="between">
      <formula1>0</formula1>
      <formula2>1000000000000</formula2>
    </dataValidation>
    <dataValidation sqref="B34" showDropDown="0" showInputMessage="1" showErrorMessage="1" allowBlank="1" errorTitle="Geçersiz tutar" error="Sınır dışı değer." promptTitle="FOB" prompt="Tablo: döviz tutar." type="decimal" errorStyle="stop" operator="between">
      <formula1>0</formula1>
      <formula2>1000000000000</formula2>
    </dataValidation>
    <dataValidation sqref="B35" showDropDown="0" showInputMessage="1" showErrorMessage="1" allowBlank="1" errorTitle="Geçersiz tutar" error="Sınır dışı değer." promptTitle="Miktar" prompt="Tablo: adet." type="decimal" errorStyle="stop" operator="between">
      <formula1>0</formula1>
      <formula2>1000000000000</formula2>
    </dataValidation>
    <dataValidation sqref="B36" showDropDown="0" showInputMessage="1" showErrorMessage="1" allowBlank="1" errorTitle="Geçersiz tutar" error="Sınır dışı değer." promptTitle="Navlun" prompt="Tablo: döviz." type="decimal" errorStyle="stop" operator="between">
      <formula1>0</formula1>
      <formula2>1000000000000</formula2>
    </dataValidation>
    <dataValidation sqref="B13" showDropDown="0" showInputMessage="1" showErrorMessage="1" allowBlank="1" errorTitle="Geçersiz" error="0-1 arası." promptTitle="Sigorta" prompt="0 ile 1 arasında oran." type="decimal" errorStyle="stop" operator="between">
      <formula1>0</formula1>
      <formula2>1</formula2>
    </dataValidation>
    <dataValidation sqref="B18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20" showDropDown="0" showInputMessage="1" showErrorMessage="1" allowBlank="1" errorTitle="Geçersiz" error="0-1 arası." promptTitle="Kredi" prompt="0 ile 1 arasında oran." type="decimal" errorStyle="stop" operator="between">
      <formula1>0</formula1>
      <formula2>1</formula2>
    </dataValidation>
    <dataValidation sqref="B21" showDropDown="0" showInputMessage="1" showErrorMessage="1" allowBlank="1" errorTitle="Geçersiz" error="0-1 arası." promptTitle="Öz kaynak" prompt="0 ile 1 arasında oran." type="decimal" errorStyle="stop" operator="between">
      <formula1>0</formula1>
      <formula2>1</formula2>
    </dataValidation>
    <dataValidation sqref="B37" showDropDown="0" showInputMessage="1" showErrorMessage="1" allowBlank="1" errorTitle="Geçersiz" error="0-1 arası." promptTitle="Sigorta" prompt="0 ile 1 arasında oran." type="decimal" errorStyle="stop" operator="between">
      <formula1>0</formula1>
      <formula2>1</formula2>
    </dataValidation>
    <dataValidation sqref="B42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44" showDropDown="0" showInputMessage="1" showErrorMessage="1" allowBlank="1" errorTitle="Geçersiz" error="0-1 arası." promptTitle="Kredi" prompt="0 ile 1 arasında oran." type="decimal" errorStyle="stop" operator="between">
      <formula1>0</formula1>
      <formula2>1</formula2>
    </dataValidation>
    <dataValidation sqref="B45" showDropDown="0" showInputMessage="1" showErrorMessage="1" allowBlank="1" errorTitle="Geçersiz" error="0-1 arası." promptTitle="Öz kaynak" prompt="0 ile 1 arasında oran." type="decimal" errorStyle="stop" operator="between">
      <formula1>0</formula1>
      <formula2>1</formula2>
    </dataValidation>
    <dataValidation sqref="B19" showDropDown="0" showInputMessage="1" showErrorMessage="1" allowBlank="1" errorTitle="Geçersiz" error="1-25." promptTitle="NPV dönem" prompt="1-25 arası." type="whole" errorStyle="stop" operator="between">
      <formula1>1</formula1>
      <formula2>25</formula2>
    </dataValidation>
    <dataValidation sqref="B43" showDropDown="0" showInputMessage="1" showErrorMessage="1" allowBlank="1" errorTitle="Geçersiz" error="1-25." promptTitle="NPV dönem" prompt="1-25 arası." type="whole" errorStyle="stop" operator="between">
      <formula1>1</formula1>
      <formula2>25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AD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0" customWidth="1" min="4" max="4"/>
    <col width="28" customWidth="1" min="5" max="5"/>
    <col width="12" customWidth="1" min="6" max="6"/>
    <col width="12" customWidth="1" min="7" max="7"/>
    <col width="10" customWidth="1" min="8" max="8"/>
    <col width="32" customWidth="1" min="10" max="10"/>
    <col width="18" customWidth="1" min="11" max="11"/>
  </cols>
  <sheetData>
    <row r="1" ht="26" customHeight="1">
      <c r="A1" s="1" t="inlineStr">
        <is>
          <t>VARSAYIMLAR — İthalat Gerçek Birim Maliyet Motoru</t>
        </is>
      </c>
    </row>
    <row r="3">
      <c r="A3" s="9" t="inlineStr">
        <is>
          <t>Model varsayımları — her satırda kaynak ve güven</t>
        </is>
      </c>
    </row>
    <row r="5" ht="30" customHeight="1">
      <c r="A5" s="21" t="inlineStr">
        <is>
          <t>varsayim_id</t>
        </is>
      </c>
      <c r="B5" s="21" t="inlineStr">
        <is>
          <t>aciklama</t>
        </is>
      </c>
      <c r="C5" s="21" t="inlineStr">
        <is>
          <t>deger</t>
        </is>
      </c>
      <c r="D5" s="21" t="inlineStr">
        <is>
          <t>birim</t>
        </is>
      </c>
      <c r="E5" s="21" t="inlineStr">
        <is>
          <t>kaynak</t>
        </is>
      </c>
      <c r="F5" s="21" t="inlineStr">
        <is>
          <t>guven</t>
        </is>
      </c>
      <c r="G5" s="21" t="inlineStr">
        <is>
          <t>duyarlilik</t>
        </is>
      </c>
      <c r="H5" s="21" t="inlineStr">
        <is>
          <t>kontrol</t>
        </is>
      </c>
    </row>
    <row r="6">
      <c r="A6" s="7" t="inlineStr">
        <is>
          <t>V-01</t>
        </is>
      </c>
      <c r="B6" s="7" t="inlineStr">
        <is>
          <t>Aktif kur kaynağı</t>
        </is>
      </c>
      <c r="C6" s="29" t="inlineStr">
        <is>
          <t>TCMB alış</t>
        </is>
      </c>
      <c r="D6" s="7" t="inlineStr">
        <is>
          <t>metin</t>
        </is>
      </c>
      <c r="E6" s="29" t="inlineStr">
        <is>
          <t>TCMB günlük kur</t>
        </is>
      </c>
      <c r="F6" s="29" t="inlineStr">
        <is>
          <t>sert</t>
        </is>
      </c>
      <c r="G6" s="7" t="inlineStr">
        <is>
          <t>yüksek</t>
        </is>
      </c>
      <c r="H6" s="23">
        <f>IF($A6="","",IF(OR($E6="",$F6=""),"EKSİK","TAM"))</f>
        <v/>
      </c>
    </row>
    <row r="7">
      <c r="A7" s="7" t="inlineStr">
        <is>
          <t>V-02</t>
        </is>
      </c>
      <c r="B7" s="7" t="inlineStr">
        <is>
          <t>Sigorta matrahı</t>
        </is>
      </c>
      <c r="C7" s="29" t="inlineStr">
        <is>
          <t>FOB</t>
        </is>
      </c>
      <c r="D7" s="7" t="inlineStr">
        <is>
          <t>metin</t>
        </is>
      </c>
      <c r="E7" s="29" t="inlineStr">
        <is>
          <t>Sigorta poliçesi</t>
        </is>
      </c>
      <c r="F7" s="29" t="inlineStr">
        <is>
          <t>sert</t>
        </is>
      </c>
      <c r="G7" s="7" t="inlineStr">
        <is>
          <t>orta</t>
        </is>
      </c>
      <c r="H7" s="23">
        <f>IF($A7="","",IF(OR($E7="",$F7=""),"EKSİK","TAM"))</f>
        <v/>
      </c>
    </row>
    <row r="8">
      <c r="A8" s="7" t="inlineStr">
        <is>
          <t>V-03</t>
        </is>
      </c>
      <c r="B8" s="7" t="inlineStr">
        <is>
          <t>KKDF matrah yorumu</t>
        </is>
      </c>
      <c r="C8" s="29" t="inlineStr">
        <is>
          <t>FOB_TL</t>
        </is>
      </c>
      <c r="D8" s="7" t="inlineStr">
        <is>
          <t>metin</t>
        </is>
      </c>
      <c r="E8" s="29" t="inlineStr">
        <is>
          <t>KKDF tebliği — tartışmalı</t>
        </is>
      </c>
      <c r="F8" s="29" t="inlineStr">
        <is>
          <t>yumuşak</t>
        </is>
      </c>
      <c r="G8" s="7" t="inlineStr">
        <is>
          <t>yüksek</t>
        </is>
      </c>
      <c r="H8" s="23">
        <f>IF($A8="","",IF(OR($E8="",$F8=""),"EKSİK","TAM"))</f>
        <v/>
      </c>
    </row>
    <row r="9">
      <c r="A9" s="7" t="inlineStr">
        <is>
          <t>V-04</t>
        </is>
      </c>
      <c r="B9" s="7" t="inlineStr">
        <is>
          <t>KDV matrahı</t>
        </is>
      </c>
      <c r="C9" s="29" t="inlineStr">
        <is>
          <t>CIF+gumruk+KKDF</t>
        </is>
      </c>
      <c r="D9" s="7" t="inlineStr">
        <is>
          <t>metin</t>
        </is>
      </c>
      <c r="E9" s="29" t="inlineStr">
        <is>
          <t>KDV Kanunu</t>
        </is>
      </c>
      <c r="F9" s="29" t="inlineStr">
        <is>
          <t>sert</t>
        </is>
      </c>
      <c r="G9" s="7" t="inlineStr">
        <is>
          <t>orta</t>
        </is>
      </c>
      <c r="H9" s="23">
        <f>IF($A9="","",IF(OR($E9="",$F9=""),"EKSİK","TAM"))</f>
        <v/>
      </c>
    </row>
    <row r="10">
      <c r="A10" s="7" t="inlineStr">
        <is>
          <t>V-05</t>
        </is>
      </c>
      <c r="B10" s="7" t="inlineStr">
        <is>
          <t>CAPEX geri ödeme</t>
        </is>
      </c>
      <c r="C10" s="29" t="inlineStr">
        <is>
          <t>5 yıl</t>
        </is>
      </c>
      <c r="D10" s="7" t="inlineStr">
        <is>
          <t>yıl</t>
        </is>
      </c>
      <c r="E10" s="29" t="inlineStr">
        <is>
          <t>İç politika</t>
        </is>
      </c>
      <c r="F10" s="29" t="inlineStr">
        <is>
          <t>yumuşak</t>
        </is>
      </c>
      <c r="G10" s="7" t="inlineStr">
        <is>
          <t>orta</t>
        </is>
      </c>
      <c r="H10" s="23">
        <f>IF($A10="","",IF(OR($E10="",$F10=""),"EKSİK","TAM"))</f>
        <v/>
      </c>
    </row>
    <row r="11">
      <c r="A11" s="7" t="inlineStr">
        <is>
          <t>V-06</t>
        </is>
      </c>
      <c r="B11" s="7" t="inlineStr">
        <is>
          <t>OPEX yıllık miktar</t>
        </is>
      </c>
      <c r="C11" s="29" t="inlineStr">
        <is>
          <t>12000</t>
        </is>
      </c>
      <c r="D11" s="7" t="inlineStr">
        <is>
          <t>adet</t>
        </is>
      </c>
      <c r="E11" s="29" t="inlineStr">
        <is>
          <t>Satış planı</t>
        </is>
      </c>
      <c r="F11" s="29" t="inlineStr">
        <is>
          <t>yumuşak</t>
        </is>
      </c>
      <c r="G11" s="7" t="inlineStr">
        <is>
          <t>yüksek</t>
        </is>
      </c>
      <c r="H11" s="23">
        <f>IF($A11="","",IF(OR($E11="",$F11=""),"EKSİK","TAM"))</f>
        <v/>
      </c>
    </row>
    <row r="12">
      <c r="A12" s="7" t="inlineStr">
        <is>
          <t>V-07</t>
        </is>
      </c>
      <c r="B12" s="7" t="inlineStr">
        <is>
          <t>WACC</t>
        </is>
      </c>
      <c r="C12" s="29" t="inlineStr">
        <is>
          <t>0.18</t>
        </is>
      </c>
      <c r="D12" s="7" t="inlineStr">
        <is>
          <t>oran</t>
        </is>
      </c>
      <c r="E12" s="29" t="inlineStr">
        <is>
          <t>Finans komitesi</t>
        </is>
      </c>
      <c r="F12" s="29" t="inlineStr">
        <is>
          <t>yumuşak</t>
        </is>
      </c>
      <c r="G12" s="7" t="inlineStr">
        <is>
          <t>yüksek</t>
        </is>
      </c>
      <c r="H12" s="23">
        <f>IF($A12="","",IF(OR($E12="",$F12=""),"EKSİK","TAM"))</f>
        <v/>
      </c>
    </row>
    <row r="13">
      <c r="A13" s="7" t="inlineStr">
        <is>
          <t>V-08</t>
        </is>
      </c>
      <c r="B13" s="7" t="inlineStr">
        <is>
          <t>Kötümser kur şoku</t>
        </is>
      </c>
      <c r="C13" s="29" t="inlineStr">
        <is>
          <t>+15%</t>
        </is>
      </c>
      <c r="D13" s="7" t="inlineStr">
        <is>
          <t>oran</t>
        </is>
      </c>
      <c r="E13" s="29" t="inlineStr">
        <is>
          <t>Stres testi</t>
        </is>
      </c>
      <c r="F13" s="29" t="inlineStr">
        <is>
          <t>yumuşak</t>
        </is>
      </c>
      <c r="G13" s="7" t="inlineStr">
        <is>
          <t>yüksek</t>
        </is>
      </c>
      <c r="H13" s="23">
        <f>IF($A13="","",IF(OR($E13="",$F13=""),"EKSİK","TAM"))</f>
        <v/>
      </c>
    </row>
    <row r="15">
      <c r="J15" s="10" t="inlineStr">
        <is>
          <t>CAPEX / YATIRIM tutarı (ayna)</t>
        </is>
      </c>
      <c r="K15" s="30">
        <f>GIRDI!B17</f>
        <v/>
      </c>
    </row>
    <row r="16">
      <c r="J16" s="10" t="inlineStr">
        <is>
          <t>OPEX / ISLETME yıllık (ayna)</t>
        </is>
      </c>
      <c r="K16" s="30">
        <f>IFERROR(ilc_birimLanded*GIRDI!B16,0)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H6:H13">
    <cfRule type="expression" priority="1" dxfId="2">
      <formula>H6="EKSİK"</formula>
    </cfRule>
    <cfRule type="expression" priority="2" dxfId="3">
      <formula>H6="TAM"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İthalat Gerçek Birim Maliyet Motoru</t>
        </is>
      </c>
    </row>
    <row r="3">
      <c r="A3" s="31" t="inlineStr">
        <is>
          <t>Gümrük / KDV / KKDF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1" t="inlineStr">
        <is>
          <t>kural_id</t>
        </is>
      </c>
      <c r="B6" s="21" t="inlineStr">
        <is>
          <t>madde</t>
        </is>
      </c>
      <c r="C6" s="21" t="inlineStr">
        <is>
          <t>kural_adi</t>
        </is>
      </c>
      <c r="D6" s="21" t="inlineStr">
        <is>
          <t>kosul_metni</t>
        </is>
      </c>
      <c r="E6" s="21" t="inlineStr">
        <is>
          <t>parametre_adi</t>
        </is>
      </c>
      <c r="F6" s="21" t="inlineStr">
        <is>
          <t>deger_2025</t>
        </is>
      </c>
      <c r="G6" s="21" t="inlineStr">
        <is>
          <t>deger_2026</t>
        </is>
      </c>
      <c r="H6" s="21" t="inlineStr">
        <is>
          <t>deger_2027</t>
        </is>
      </c>
      <c r="I6" s="21" t="inlineStr">
        <is>
          <t>yururluk</t>
        </is>
      </c>
      <c r="J6" s="21" t="inlineStr">
        <is>
          <t>kaynak</t>
        </is>
      </c>
      <c r="K6" s="21" t="inlineStr">
        <is>
          <t>aktif_deger</t>
        </is>
      </c>
    </row>
    <row r="7">
      <c r="A7" s="7" t="inlineStr">
        <is>
          <t>ILC-001</t>
        </is>
      </c>
      <c r="B7" s="7" t="inlineStr">
        <is>
          <t>Gümrük Kanunu</t>
        </is>
      </c>
      <c r="C7" s="7" t="inlineStr">
        <is>
          <t>gumruk_orani</t>
        </is>
      </c>
      <c r="D7" s="7" t="inlineStr">
        <is>
          <t>CIF × oran</t>
        </is>
      </c>
      <c r="E7" s="7" t="inlineStr">
        <is>
          <t>gumruk_orani</t>
        </is>
      </c>
      <c r="F7" s="32" t="n">
        <v>0.1</v>
      </c>
      <c r="G7" s="32" t="n">
        <v>0.1</v>
      </c>
      <c r="H7" s="32" t="n">
        <v>0.1</v>
      </c>
      <c r="I7" s="7" t="inlineStr">
        <is>
          <t>01.01.2025</t>
        </is>
      </c>
      <c r="J7" s="7" t="inlineStr">
        <is>
          <t>GTİP örnek oran</t>
        </is>
      </c>
      <c r="K7" s="23">
        <f>IF($A7="","",IFERROR(CHOOSE(MAX(1,MIN(3,IF(OR(hesapYili="",hesapYili=0),1,hesapYili-ilc_yilTaban))),$F7,$G7,$H7),0))</f>
        <v/>
      </c>
    </row>
    <row r="8">
      <c r="A8" s="7" t="inlineStr">
        <is>
          <t>ILC-002</t>
        </is>
      </c>
      <c r="B8" s="7" t="inlineStr">
        <is>
          <t>KKDF tebliği</t>
        </is>
      </c>
      <c r="C8" s="7" t="inlineStr">
        <is>
          <t>kkdf_orani</t>
        </is>
      </c>
      <c r="D8" s="7" t="inlineStr">
        <is>
          <t>FOB_TL × oran</t>
        </is>
      </c>
      <c r="E8" s="7" t="inlineStr">
        <is>
          <t>kkdf_orani</t>
        </is>
      </c>
      <c r="F8" s="32" t="n">
        <v>0.06</v>
      </c>
      <c r="G8" s="32" t="n">
        <v>0.06</v>
      </c>
      <c r="H8" s="32" t="n">
        <v>0.06</v>
      </c>
      <c r="I8" s="7" t="inlineStr">
        <is>
          <t>01.01.2025</t>
        </is>
      </c>
      <c r="J8" s="7" t="inlineStr">
        <is>
          <t>KKDF oranı</t>
        </is>
      </c>
      <c r="K8" s="23">
        <f>IF($A8="","",IFERROR(CHOOSE(MAX(1,MIN(3,IF(OR(hesapYili="",hesapYili=0),1,hesapYili-ilc_yilTaban))),$F8,$G8,$H8),0))</f>
        <v/>
      </c>
    </row>
    <row r="9">
      <c r="A9" s="7" t="inlineStr">
        <is>
          <t>ILC-003</t>
        </is>
      </c>
      <c r="B9" s="7" t="inlineStr">
        <is>
          <t>KDV Kanunu</t>
        </is>
      </c>
      <c r="C9" s="7" t="inlineStr">
        <is>
          <t>kdv_orani</t>
        </is>
      </c>
      <c r="D9" s="7" t="inlineStr">
        <is>
          <t>(CIF+gümrük+KKDF)×oran</t>
        </is>
      </c>
      <c r="E9" s="7" t="inlineStr">
        <is>
          <t>kdv_orani</t>
        </is>
      </c>
      <c r="F9" s="32" t="n">
        <v>0.2</v>
      </c>
      <c r="G9" s="32" t="n">
        <v>0.2</v>
      </c>
      <c r="H9" s="32" t="n">
        <v>0.2</v>
      </c>
      <c r="I9" s="7" t="inlineStr">
        <is>
          <t>01.01.2025</t>
        </is>
      </c>
      <c r="J9" s="7" t="inlineStr">
        <is>
          <t>KDV genel</t>
        </is>
      </c>
      <c r="K9" s="23">
        <f>IF($A9="","",IFERROR(CHOOSE(MAX(1,MIN(3,IF(OR(hesapYili="",hesapYili=0),1,hesapYili-ilc_yilTaban))),$F9,$G9,$H9),0))</f>
        <v/>
      </c>
    </row>
    <row r="10">
      <c r="A10" s="7" t="inlineStr">
        <is>
          <t>ILC-004</t>
        </is>
      </c>
      <c r="B10" s="7" t="inlineStr">
        <is>
          <t>İç politika</t>
        </is>
      </c>
      <c r="C10" s="7" t="inlineStr">
        <is>
          <t>hedef_marj</t>
        </is>
      </c>
      <c r="D10" s="7" t="inlineStr">
        <is>
          <t>marj ≥ eşik</t>
        </is>
      </c>
      <c r="E10" s="7" t="inlineStr">
        <is>
          <t>hedef_marj</t>
        </is>
      </c>
      <c r="F10" s="32" t="n">
        <v>0.15</v>
      </c>
      <c r="G10" s="32" t="n">
        <v>0.15</v>
      </c>
      <c r="H10" s="32" t="n">
        <v>0.15</v>
      </c>
      <c r="I10" s="7" t="inlineStr">
        <is>
          <t>01.01.2025</t>
        </is>
      </c>
      <c r="J10" s="7" t="inlineStr">
        <is>
          <t>Hedef brüt marj</t>
        </is>
      </c>
      <c r="K10" s="23">
        <f>IF($A10="","",IFERROR(CHOOSE(MAX(1,MIN(3,IF(OR(hesapYili="",hesapYili=0),1,hesapYili-ilc_yilTaban))),$F10,$G10,$H10),0))</f>
        <v/>
      </c>
    </row>
    <row r="11">
      <c r="A11" s="7" t="inlineStr">
        <is>
          <t>ILC-005</t>
        </is>
      </c>
      <c r="B11" s="7" t="inlineStr">
        <is>
          <t>Uygulama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33" t="n">
        <v>2</v>
      </c>
      <c r="G11" s="33" t="n">
        <v>2</v>
      </c>
      <c r="H11" s="33" t="n">
        <v>2</v>
      </c>
      <c r="I11" s="7" t="inlineStr">
        <is>
          <t>01.01.2025</t>
        </is>
      </c>
      <c r="J11" s="7" t="inlineStr">
        <is>
          <t>Yuvarlama ondalık</t>
        </is>
      </c>
      <c r="K11" s="23">
        <f>IF($A11="","",IFERROR(CHOOSE(MAX(1,MIN(3,IF(OR(hesapYili="",hesapYili=0),1,hesapYili-ilc_yilTaban))),$F11,$G11,$H11),0))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Gümrük (aktif yıl)</t>
        </is>
      </c>
      <c r="B15" s="18">
        <f>IFERROR(INDEX(CHOOSE(MAX(1,MIN(3,IF(OR(hesapYili="",hesapYili=0),1,hesapYili-ilc_yilTaban))),tblKurallar[deger_2025],tblKurallar[deger_2026],tblKurallar[deger_2027]),MATCH("ILC-001",tblKurallar[kural_id],0)),0)</f>
        <v/>
      </c>
    </row>
    <row r="16">
      <c r="A16" s="7" t="inlineStr">
        <is>
          <t>KKDF (aktif yıl)</t>
        </is>
      </c>
      <c r="B16" s="18">
        <f>IFERROR(INDEX(CHOOSE(MAX(1,MIN(3,IF(OR(hesapYili="",hesapYili=0),1,hesapYili-ilc_yilTaban))),tblKurallar[deger_2025],tblKurallar[deger_2026],tblKurallar[deger_2027]),MATCH("ILC-002",tblKurallar[kural_id],0)),0)</f>
        <v/>
      </c>
    </row>
    <row r="17">
      <c r="A17" s="7" t="inlineStr">
        <is>
          <t>Matris metni</t>
        </is>
      </c>
      <c r="B17" s="34">
        <f>IFERROR(_xlfn.TEXTJOIN(" | ",TRUE,"ILC-001=",TEXT(B15,"0.0%"),"ILC-002=",TEXT(B16,"0.0%"),"yıl=",IF(OR(hesapYili="",hesapYili=0),"-",hesapYili)),"-")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8064A2"/>
    <outlinePr summaryBelow="1" summaryRight="1"/>
    <pageSetUpPr/>
  </sheetPr>
  <dimension ref="A1:AD6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İthalat Gerçek Birim Maliyet Motoru</t>
        </is>
      </c>
    </row>
    <row r="3">
      <c r="A3" s="31" t="inlineStr">
        <is>
          <t>Hesap zinciri — her adımda kural_id</t>
        </is>
      </c>
    </row>
    <row r="4">
      <c r="A4" s="4" t="inlineStr">
        <is>
          <t>Oranlar tblKurallar'dan; kur tblKur'dan çekilir.</t>
        </is>
      </c>
    </row>
    <row r="6" ht="30" customHeight="1">
      <c r="A6" s="21" t="inlineStr">
        <is>
          <t>adim</t>
        </is>
      </c>
      <c r="B6" s="21" t="inlineStr">
        <is>
          <t>ad</t>
        </is>
      </c>
      <c r="C6" s="21" t="inlineStr">
        <is>
          <t>formul</t>
        </is>
      </c>
      <c r="D6" s="21" t="inlineStr">
        <is>
          <t>birim</t>
        </is>
      </c>
      <c r="E6" s="21" t="inlineStr">
        <is>
          <t>ne_ise_yarar</t>
        </is>
      </c>
      <c r="F6" s="21" t="inlineStr">
        <is>
          <t>kural_id</t>
        </is>
      </c>
      <c r="G6" s="21" t="inlineStr">
        <is>
          <t>deger</t>
        </is>
      </c>
    </row>
    <row r="7">
      <c r="A7" s="35" t="n">
        <v>1</v>
      </c>
      <c r="B7" s="36" t="inlineStr">
        <is>
          <t>Hesap yılı oku</t>
        </is>
      </c>
      <c r="C7" s="37">
        <f>IFERROR(hesapYili,0)</f>
        <v/>
      </c>
      <c r="D7" s="38" t="inlineStr">
        <is>
          <t>yıl</t>
        </is>
      </c>
      <c r="E7" s="6" t="inlineStr">
        <is>
          <t>Aktif kural yılı</t>
        </is>
      </c>
      <c r="F7" s="39" t="inlineStr">
        <is>
          <t>ILC-005</t>
        </is>
      </c>
      <c r="G7" s="20">
        <f>IFERROR(hesapYili,0)</f>
        <v/>
      </c>
    </row>
    <row r="8">
      <c r="A8" s="35" t="n">
        <v>2</v>
      </c>
      <c r="B8" s="36" t="inlineStr">
        <is>
          <t>Gümrük oranı</t>
        </is>
      </c>
      <c r="C8" s="40">
        <f>IFERROR(INDEX(CHOOSE(MAX(1,MIN(3,IF(OR(hesapYili="",hesapYili=0),1,hesapYili-ilc_yilTaban))),tblKurallar[deger_2025],tblKurallar[deger_2026],tblKurallar[deger_2027]),MATCH("ILC-001",tblKurallar[kural_id],0)),0)</f>
        <v/>
      </c>
      <c r="D8" s="38" t="inlineStr">
        <is>
          <t>oran</t>
        </is>
      </c>
      <c r="E8" s="6" t="inlineStr">
        <is>
          <t>Gümrük vergisi oranı</t>
        </is>
      </c>
      <c r="F8" s="39" t="inlineStr">
        <is>
          <t>ILC-001</t>
        </is>
      </c>
      <c r="G8" s="18">
        <f>IFERROR(INDEX(CHOOSE(MAX(1,MIN(3,IF(OR(hesapYili="",hesapYili=0),1,hesapYili-ilc_yilTaban))),tblKurallar[deger_2025],tblKurallar[deger_2026],tblKurallar[deger_2027]),MATCH("ILC-001",tblKurallar[kural_id],0)),0)</f>
        <v/>
      </c>
    </row>
    <row r="9">
      <c r="A9" s="35" t="n">
        <v>3</v>
      </c>
      <c r="B9" s="36" t="inlineStr">
        <is>
          <t>KKDF oranı</t>
        </is>
      </c>
      <c r="C9" s="40">
        <f>IFERROR(INDEX(CHOOSE(MAX(1,MIN(3,IF(OR(hesapYili="",hesapYili=0),1,hesapYili-ilc_yilTaban))),tblKurallar[deger_2025],tblKurallar[deger_2026],tblKurallar[deger_2027]),MATCH("ILC-002",tblKurallar[kural_id],0)),0)</f>
        <v/>
      </c>
      <c r="D9" s="38" t="inlineStr">
        <is>
          <t>oran</t>
        </is>
      </c>
      <c r="E9" s="6" t="inlineStr">
        <is>
          <t>KKDF oranı</t>
        </is>
      </c>
      <c r="F9" s="39" t="inlineStr">
        <is>
          <t>ILC-002</t>
        </is>
      </c>
      <c r="G9" s="18">
        <f>IFERROR(INDEX(CHOOSE(MAX(1,MIN(3,IF(OR(hesapYili="",hesapYili=0),1,hesapYili-ilc_yilTaban))),tblKurallar[deger_2025],tblKurallar[deger_2026],tblKurallar[deger_2027]),MATCH("ILC-002",tblKurallar[kural_id],0)),0)</f>
        <v/>
      </c>
    </row>
    <row r="10">
      <c r="A10" s="35" t="n">
        <v>4</v>
      </c>
      <c r="B10" s="36" t="inlineStr">
        <is>
          <t>KDV oranı</t>
        </is>
      </c>
      <c r="C10" s="40">
        <f>IFERROR(INDEX(CHOOSE(MAX(1,MIN(3,IF(OR(hesapYili="",hesapYili=0),1,hesapYili-ilc_yilTaban))),tblKurallar[deger_2025],tblKurallar[deger_2026],tblKurallar[deger_2027]),MATCH("ILC-003",tblKurallar[kural_id],0)),0)</f>
        <v/>
      </c>
      <c r="D10" s="38" t="inlineStr">
        <is>
          <t>oran</t>
        </is>
      </c>
      <c r="E10" s="6" t="inlineStr">
        <is>
          <t>KDV oranı</t>
        </is>
      </c>
      <c r="F10" s="39" t="inlineStr">
        <is>
          <t>ILC-003</t>
        </is>
      </c>
      <c r="G10" s="18">
        <f>IFERROR(INDEX(CHOOSE(MAX(1,MIN(3,IF(OR(hesapYili="",hesapYili=0),1,hesapYili-ilc_yilTaban))),tblKurallar[deger_2025],tblKurallar[deger_2026],tblKurallar[deger_2027]),MATCH("ILC-003",tblKurallar[kural_id],0)),0)</f>
        <v/>
      </c>
    </row>
    <row r="11">
      <c r="A11" s="35" t="n">
        <v>5</v>
      </c>
      <c r="B11" s="36" t="inlineStr">
        <is>
          <t>Hedef marj</t>
        </is>
      </c>
      <c r="C11" s="40">
        <f>IFERROR(INDEX(CHOOSE(MAX(1,MIN(3,IF(OR(hesapYili="",hesapYili=0),1,hesapYili-ilc_yilTaban))),tblKurallar[deger_2025],tblKurallar[deger_2026],tblKurallar[deger_2027]),MATCH("ILC-004",tblKurallar[kural_id],0)),0)</f>
        <v/>
      </c>
      <c r="D11" s="38" t="inlineStr">
        <is>
          <t>oran</t>
        </is>
      </c>
      <c r="E11" s="6" t="inlineStr">
        <is>
          <t>Hedef brüt marj</t>
        </is>
      </c>
      <c r="F11" s="39" t="inlineStr">
        <is>
          <t>ILC-004</t>
        </is>
      </c>
      <c r="G11" s="18">
        <f>IFERROR(INDEX(CHOOSE(MAX(1,MIN(3,IF(OR(hesapYili="",hesapYili=0),1,hesapYili-ilc_yilTaban))),tblKurallar[deger_2025],tblKurallar[deger_2026],tblKurallar[deger_2027]),MATCH("ILC-004",tblKurallar[kural_id],0)),0)</f>
        <v/>
      </c>
    </row>
    <row r="12">
      <c r="A12" s="35" t="n">
        <v>6</v>
      </c>
      <c r="B12" s="36" t="inlineStr">
        <is>
          <t>Yuvarlama ondalık</t>
        </is>
      </c>
      <c r="C12" s="37">
        <f>IFERROR(INDEX(CHOOSE(MAX(1,MIN(3,IF(OR(hesapYili="",hesapYili=0),1,hesapYili-ilc_yilTaban))),tblKurallar[deger_2025],tblKurallar[deger_2026],tblKurallar[deger_2027]),MATCH("ILC-005",tblKurallar[kural_id],0)),0)</f>
        <v/>
      </c>
      <c r="D12" s="38" t="inlineStr">
        <is>
          <t>adet</t>
        </is>
      </c>
      <c r="E12" s="6" t="inlineStr">
        <is>
          <t>Yuvarlama basamağı</t>
        </is>
      </c>
      <c r="F12" s="39" t="inlineStr">
        <is>
          <t>ILC-005</t>
        </is>
      </c>
      <c r="G12" s="20">
        <f>IFERROR(INDEX(CHOOSE(MAX(1,MIN(3,IF(OR(hesapYili="",hesapYili=0),1,hesapYili-ilc_yilTaban))),tblKurallar[deger_2025],tblKurallar[deger_2026],tblKurallar[deger_2027]),MATCH("ILC-005",tblKurallar[kural_id],0)),0)</f>
        <v/>
      </c>
    </row>
    <row r="13">
      <c r="A13" s="35" t="n">
        <v>7</v>
      </c>
      <c r="B13" s="36" t="inlineStr">
        <is>
          <t>Aktif kur</t>
        </is>
      </c>
      <c r="C13" s="41">
        <f>IFERROR(ilc_aktifKur,0)</f>
        <v/>
      </c>
      <c r="D13" s="38" t="inlineStr">
        <is>
          <t>kur</t>
        </is>
      </c>
      <c r="E13" s="6" t="inlineStr">
        <is>
          <t>Kur tablosu aktif kur</t>
        </is>
      </c>
      <c r="F13" s="39" t="inlineStr">
        <is>
          <t>ILC-005</t>
        </is>
      </c>
      <c r="G13" s="42">
        <f>IFERROR(ilc_aktifKur,0)</f>
        <v/>
      </c>
    </row>
    <row r="14">
      <c r="A14" s="35" t="n">
        <v>8</v>
      </c>
      <c r="B14" s="36" t="inlineStr">
        <is>
          <t>FOB döviz</t>
        </is>
      </c>
      <c r="C14" s="37">
        <f>IFERROR(GIRDI!B10,0)</f>
        <v/>
      </c>
      <c r="D14" s="38" t="inlineStr">
        <is>
          <t>döviz</t>
        </is>
      </c>
      <c r="E14" s="6" t="inlineStr">
        <is>
          <t>FOB tutarı</t>
        </is>
      </c>
      <c r="F14" s="39" t="inlineStr">
        <is>
          <t>ILC-001</t>
        </is>
      </c>
      <c r="G14" s="20">
        <f>IFERROR(GIRDI!B10,0)</f>
        <v/>
      </c>
    </row>
    <row r="15">
      <c r="A15" s="35" t="n">
        <v>9</v>
      </c>
      <c r="B15" s="36" t="inlineStr">
        <is>
          <t>Miktar</t>
        </is>
      </c>
      <c r="C15" s="37">
        <f>IFERROR(GIRDI!B11,0)</f>
        <v/>
      </c>
      <c r="D15" s="38" t="inlineStr">
        <is>
          <t>adet</t>
        </is>
      </c>
      <c r="E15" s="6" t="inlineStr">
        <is>
          <t>Sevkiyat miktarı</t>
        </is>
      </c>
      <c r="F15" s="39" t="inlineStr">
        <is>
          <t>ILC-005</t>
        </is>
      </c>
      <c r="G15" s="20">
        <f>IFERROR(GIRDI!B11,0)</f>
        <v/>
      </c>
    </row>
    <row r="16">
      <c r="A16" s="35" t="n">
        <v>10</v>
      </c>
      <c r="B16" s="36" t="inlineStr">
        <is>
          <t>Navlun döviz</t>
        </is>
      </c>
      <c r="C16" s="37">
        <f>IFERROR(GIRDI!B12,0)</f>
        <v/>
      </c>
      <c r="D16" s="38" t="inlineStr">
        <is>
          <t>döviz</t>
        </is>
      </c>
      <c r="E16" s="6" t="inlineStr">
        <is>
          <t>Navlun</t>
        </is>
      </c>
      <c r="F16" s="39" t="inlineStr">
        <is>
          <t>ILC-001</t>
        </is>
      </c>
      <c r="G16" s="20">
        <f>IFERROR(GIRDI!B12,0)</f>
        <v/>
      </c>
    </row>
    <row r="17">
      <c r="A17" s="35" t="n">
        <v>11</v>
      </c>
      <c r="B17" s="36" t="inlineStr">
        <is>
          <t>Sigorta oranı</t>
        </is>
      </c>
      <c r="C17" s="40">
        <f>IFERROR(GIRDI!B13,0)</f>
        <v/>
      </c>
      <c r="D17" s="38" t="inlineStr">
        <is>
          <t>oran</t>
        </is>
      </c>
      <c r="E17" s="6" t="inlineStr">
        <is>
          <t>Sigorta primi oranı</t>
        </is>
      </c>
      <c r="F17" s="39" t="inlineStr">
        <is>
          <t>ILC-001</t>
        </is>
      </c>
      <c r="G17" s="18">
        <f>IFERROR(GIRDI!B13,0)</f>
        <v/>
      </c>
    </row>
    <row r="18">
      <c r="A18" s="35" t="n">
        <v>12</v>
      </c>
      <c r="B18" s="36" t="inlineStr">
        <is>
          <t>Lokal masraf TL</t>
        </is>
      </c>
      <c r="C18" s="43">
        <f>IFERROR(GIRDI!B14,0)</f>
        <v/>
      </c>
      <c r="D18" s="38" t="inlineStr">
        <is>
          <t>TL</t>
        </is>
      </c>
      <c r="E18" s="6" t="inlineStr">
        <is>
          <t>Lokal masraflar</t>
        </is>
      </c>
      <c r="F18" s="39" t="inlineStr">
        <is>
          <t>ILC-005</t>
        </is>
      </c>
      <c r="G18" s="30">
        <f>IFERROR(GIRDI!B14,0)</f>
        <v/>
      </c>
    </row>
    <row r="19">
      <c r="A19" s="35" t="n">
        <v>13</v>
      </c>
      <c r="B19" s="36" t="inlineStr">
        <is>
          <t>Hedef satış birim</t>
        </is>
      </c>
      <c r="C19" s="43">
        <f>IFERROR(GIRDI!B15,0)</f>
        <v/>
      </c>
      <c r="D19" s="38" t="inlineStr">
        <is>
          <t>TL</t>
        </is>
      </c>
      <c r="E19" s="6" t="inlineStr">
        <is>
          <t>Hedef birim satış</t>
        </is>
      </c>
      <c r="F19" s="39" t="inlineStr">
        <is>
          <t>ILC-004</t>
        </is>
      </c>
      <c r="G19" s="30">
        <f>IFERROR(GIRDI!B15,0)</f>
        <v/>
      </c>
    </row>
    <row r="20">
      <c r="A20" s="35" t="n">
        <v>14</v>
      </c>
      <c r="B20" s="36" t="inlineStr">
        <is>
          <t>Yıllık miktar</t>
        </is>
      </c>
      <c r="C20" s="37">
        <f>IFERROR(GIRDI!B16,0)</f>
        <v/>
      </c>
      <c r="D20" s="38" t="inlineStr">
        <is>
          <t>adet</t>
        </is>
      </c>
      <c r="E20" s="6" t="inlineStr">
        <is>
          <t>OPEX yıllık adet</t>
        </is>
      </c>
      <c r="F20" s="39" t="inlineStr">
        <is>
          <t>ILC-005</t>
        </is>
      </c>
      <c r="G20" s="20">
        <f>IFERROR(GIRDI!B16,0)</f>
        <v/>
      </c>
    </row>
    <row r="21">
      <c r="A21" s="35" t="n">
        <v>15</v>
      </c>
      <c r="B21" s="36" t="inlineStr">
        <is>
          <t>CAPEX / YATIRIM</t>
        </is>
      </c>
      <c r="C21" s="43">
        <f>IFERROR(GIRDI!B17,0)</f>
        <v/>
      </c>
      <c r="D21" s="38" t="inlineStr">
        <is>
          <t>TL</t>
        </is>
      </c>
      <c r="E21" s="6" t="inlineStr">
        <is>
          <t>Yatırım tutarı</t>
        </is>
      </c>
      <c r="F21" s="39" t="inlineStr">
        <is>
          <t>ILC-005</t>
        </is>
      </c>
      <c r="G21" s="30">
        <f>IFERROR(GIRDI!B17,0)</f>
        <v/>
      </c>
    </row>
    <row r="22">
      <c r="A22" s="35" t="n">
        <v>16</v>
      </c>
      <c r="B22" s="36" t="inlineStr">
        <is>
          <t>WACC</t>
        </is>
      </c>
      <c r="C22" s="40">
        <f>IFERROR(GIRDI!B18,0)</f>
        <v/>
      </c>
      <c r="D22" s="38" t="inlineStr">
        <is>
          <t>oran</t>
        </is>
      </c>
      <c r="E22" s="6" t="inlineStr">
        <is>
          <t>İskonto oranı</t>
        </is>
      </c>
      <c r="F22" s="39" t="inlineStr">
        <is>
          <t>ILC-005</t>
        </is>
      </c>
      <c r="G22" s="18">
        <f>IFERROR(GIRDI!B18,0)</f>
        <v/>
      </c>
    </row>
    <row r="23">
      <c r="A23" s="35" t="n">
        <v>17</v>
      </c>
      <c r="B23" s="36" t="inlineStr">
        <is>
          <t>NPV dönem</t>
        </is>
      </c>
      <c r="C23" s="37">
        <f>IFERROR(GIRDI!B19,0)</f>
        <v/>
      </c>
      <c r="D23" s="38" t="inlineStr">
        <is>
          <t>adet</t>
        </is>
      </c>
      <c r="E23" s="6" t="inlineStr">
        <is>
          <t>Nakit akışı yılı</t>
        </is>
      </c>
      <c r="F23" s="39" t="inlineStr">
        <is>
          <t>ILC-005</t>
        </is>
      </c>
      <c r="G23" s="20">
        <f>IFERROR(GIRDI!B19,0)</f>
        <v/>
      </c>
    </row>
    <row r="24">
      <c r="A24" s="35" t="n">
        <v>18</v>
      </c>
      <c r="B24" s="36" t="inlineStr">
        <is>
          <t>Kredi faiz</t>
        </is>
      </c>
      <c r="C24" s="40">
        <f>IFERROR(GIRDI!B20,0)</f>
        <v/>
      </c>
      <c r="D24" s="38" t="inlineStr">
        <is>
          <t>oran</t>
        </is>
      </c>
      <c r="E24" s="6" t="inlineStr">
        <is>
          <t>Kredi senaryosu</t>
        </is>
      </c>
      <c r="F24" s="39" t="inlineStr">
        <is>
          <t>ILC-005</t>
        </is>
      </c>
      <c r="G24" s="18">
        <f>IFERROR(GIRDI!B20,0)</f>
        <v/>
      </c>
    </row>
    <row r="25">
      <c r="A25" s="35" t="n">
        <v>19</v>
      </c>
      <c r="B25" s="36" t="inlineStr">
        <is>
          <t>Öz kaynak oranı</t>
        </is>
      </c>
      <c r="C25" s="40">
        <f>IFERROR(GIRDI!B21,0)</f>
        <v/>
      </c>
      <c r="D25" s="38" t="inlineStr">
        <is>
          <t>oran</t>
        </is>
      </c>
      <c r="E25" s="6" t="inlineStr">
        <is>
          <t>Öz kaynak payı</t>
        </is>
      </c>
      <c r="F25" s="39" t="inlineStr">
        <is>
          <t>ILC-005</t>
        </is>
      </c>
      <c r="G25" s="18">
        <f>IFERROR(GIRDI!B21,0)</f>
        <v/>
      </c>
    </row>
    <row r="26">
      <c r="A26" s="35" t="n">
        <v>20</v>
      </c>
      <c r="B26" s="36" t="inlineStr">
        <is>
          <t>FOB TL</t>
        </is>
      </c>
      <c r="C26" s="43">
        <f>IFERROR(ROUND(G14*G13,MAX(0,MIN(ilc_yuvarMax,IFERROR(N(G12),0)))),0)</f>
        <v/>
      </c>
      <c r="D26" s="38" t="inlineStr">
        <is>
          <t>TL</t>
        </is>
      </c>
      <c r="E26" s="6" t="inlineStr">
        <is>
          <t>FOB × kur</t>
        </is>
      </c>
      <c r="F26" s="39" t="inlineStr">
        <is>
          <t>ILC-001</t>
        </is>
      </c>
      <c r="G26" s="30">
        <f>IFERROR(ROUND(G14*G13,MAX(0,MIN(ilc_yuvarMax,IFERROR(N(G12),0)))),0)</f>
        <v/>
      </c>
    </row>
    <row r="27">
      <c r="A27" s="35" t="n">
        <v>21</v>
      </c>
      <c r="B27" s="36" t="inlineStr">
        <is>
          <t>Navlun TL</t>
        </is>
      </c>
      <c r="C27" s="43">
        <f>IFERROR(ROUND(G16*G13,MAX(0,MIN(ilc_yuvarMax,IFERROR(N(G12),0)))),0)</f>
        <v/>
      </c>
      <c r="D27" s="38" t="inlineStr">
        <is>
          <t>TL</t>
        </is>
      </c>
      <c r="E27" s="6" t="inlineStr">
        <is>
          <t>Navlun × kur</t>
        </is>
      </c>
      <c r="F27" s="39" t="inlineStr">
        <is>
          <t>ILC-001</t>
        </is>
      </c>
      <c r="G27" s="30">
        <f>IFERROR(ROUND(G16*G13,MAX(0,MIN(ilc_yuvarMax,IFERROR(N(G12),0)))),0)</f>
        <v/>
      </c>
    </row>
    <row r="28">
      <c r="A28" s="35" t="n">
        <v>22</v>
      </c>
      <c r="B28" s="36" t="inlineStr">
        <is>
          <t>Sigorta TL</t>
        </is>
      </c>
      <c r="C28" s="43">
        <f>IFERROR(ROUND(G14*G17*G13,MAX(0,MIN(ilc_yuvarMax,IFERROR(N(G12),0)))),0)</f>
        <v/>
      </c>
      <c r="D28" s="38" t="inlineStr">
        <is>
          <t>TL</t>
        </is>
      </c>
      <c r="E28" s="6" t="inlineStr">
        <is>
          <t>FOB×sigorta×kur</t>
        </is>
      </c>
      <c r="F28" s="39" t="inlineStr">
        <is>
          <t>ILC-001</t>
        </is>
      </c>
      <c r="G28" s="30">
        <f>IFERROR(ROUND(G14*G17*G13,MAX(0,MIN(ilc_yuvarMax,IFERROR(N(G12),0)))),0)</f>
        <v/>
      </c>
    </row>
    <row r="29">
      <c r="A29" s="35" t="n">
        <v>23</v>
      </c>
      <c r="B29" s="36" t="inlineStr">
        <is>
          <t>CIF TL</t>
        </is>
      </c>
      <c r="C29" s="43">
        <f>IFERROR(G26+G27+G28,0)</f>
        <v/>
      </c>
      <c r="D29" s="38" t="inlineStr">
        <is>
          <t>TL</t>
        </is>
      </c>
      <c r="E29" s="6" t="inlineStr">
        <is>
          <t>FOB+navlun+sigorta</t>
        </is>
      </c>
      <c r="F29" s="39" t="inlineStr">
        <is>
          <t>ILC-001</t>
        </is>
      </c>
      <c r="G29" s="30">
        <f>IFERROR(G26+G27+G28,0)</f>
        <v/>
      </c>
    </row>
    <row r="30">
      <c r="A30" s="35" t="n">
        <v>24</v>
      </c>
      <c r="B30" s="36" t="inlineStr">
        <is>
          <t>Gümrük vergisi</t>
        </is>
      </c>
      <c r="C30" s="43">
        <f>IFERROR(ROUND(G29*G8,MAX(0,MIN(ilc_yuvarMax,IFERROR(N(G12),0)))),0)</f>
        <v/>
      </c>
      <c r="D30" s="38" t="inlineStr">
        <is>
          <t>TL</t>
        </is>
      </c>
      <c r="E30" s="6" t="inlineStr">
        <is>
          <t>CIF × gümrük</t>
        </is>
      </c>
      <c r="F30" s="39" t="inlineStr">
        <is>
          <t>ILC-001</t>
        </is>
      </c>
      <c r="G30" s="30">
        <f>IFERROR(ROUND(G29*G8,MAX(0,MIN(ilc_yuvarMax,IFERROR(N(G12),0)))),0)</f>
        <v/>
      </c>
    </row>
    <row r="31">
      <c r="A31" s="35" t="n">
        <v>25</v>
      </c>
      <c r="B31" s="36" t="inlineStr">
        <is>
          <t>KKDF tutarı</t>
        </is>
      </c>
      <c r="C31" s="43">
        <f>IFERROR(ROUND(G26*G9,MAX(0,MIN(ilc_yuvarMax,IFERROR(N(G12),0)))),0)</f>
        <v/>
      </c>
      <c r="D31" s="38" t="inlineStr">
        <is>
          <t>TL</t>
        </is>
      </c>
      <c r="E31" s="6" t="inlineStr">
        <is>
          <t>FOB_TL × KKDF</t>
        </is>
      </c>
      <c r="F31" s="39" t="inlineStr">
        <is>
          <t>ILC-002</t>
        </is>
      </c>
      <c r="G31" s="30">
        <f>IFERROR(ROUND(G26*G9,MAX(0,MIN(ilc_yuvarMax,IFERROR(N(G12),0)))),0)</f>
        <v/>
      </c>
    </row>
    <row r="32">
      <c r="A32" s="35" t="n">
        <v>26</v>
      </c>
      <c r="B32" s="36" t="inlineStr">
        <is>
          <t>KDV matrahı</t>
        </is>
      </c>
      <c r="C32" s="43">
        <f>IFERROR(G29+G30+G31,0)</f>
        <v/>
      </c>
      <c r="D32" s="38" t="inlineStr">
        <is>
          <t>TL</t>
        </is>
      </c>
      <c r="E32" s="6" t="inlineStr">
        <is>
          <t>CIF+gümrük+KKDF</t>
        </is>
      </c>
      <c r="F32" s="39" t="inlineStr">
        <is>
          <t>ILC-003</t>
        </is>
      </c>
      <c r="G32" s="30">
        <f>IFERROR(G29+G30+G31,0)</f>
        <v/>
      </c>
    </row>
    <row r="33">
      <c r="A33" s="35" t="n">
        <v>27</v>
      </c>
      <c r="B33" s="36" t="inlineStr">
        <is>
          <t>KDV tutarı</t>
        </is>
      </c>
      <c r="C33" s="43">
        <f>IFERROR(ROUND(G32*G10,MAX(0,MIN(ilc_yuvarMax,IFERROR(N(G12),0)))),0)</f>
        <v/>
      </c>
      <c r="D33" s="38" t="inlineStr">
        <is>
          <t>TL</t>
        </is>
      </c>
      <c r="E33" s="6" t="inlineStr">
        <is>
          <t>Matrah × KDV</t>
        </is>
      </c>
      <c r="F33" s="39" t="inlineStr">
        <is>
          <t>ILC-003</t>
        </is>
      </c>
      <c r="G33" s="30">
        <f>IFERROR(ROUND(G32*G10,MAX(0,MIN(ilc_yuvarMax,IFERROR(N(G12),0)))),0)</f>
        <v/>
      </c>
    </row>
    <row r="34">
      <c r="A34" s="35" t="n">
        <v>28</v>
      </c>
      <c r="B34" s="36" t="inlineStr">
        <is>
          <t>Toplam landed</t>
        </is>
      </c>
      <c r="C34" s="43">
        <f>IFERROR(G29+G30+G31+G33+G18,0)</f>
        <v/>
      </c>
      <c r="D34" s="38" t="inlineStr">
        <is>
          <t>TL</t>
        </is>
      </c>
      <c r="E34" s="6" t="inlineStr">
        <is>
          <t>CIF+vergiler+lokal</t>
        </is>
      </c>
      <c r="F34" s="39" t="inlineStr">
        <is>
          <t>ILC-003</t>
        </is>
      </c>
      <c r="G34" s="30">
        <f>IFERROR(G29+G30+G31+G33+G18,0)</f>
        <v/>
      </c>
    </row>
    <row r="35">
      <c r="A35" s="35" t="n">
        <v>29</v>
      </c>
      <c r="B35" s="36" t="inlineStr">
        <is>
          <t>Birim landed</t>
        </is>
      </c>
      <c r="C35" s="43">
        <f>IFERROR(IF(G15=0,0,ROUND(G34/G15,MAX(0,MIN(ilc_yuvarMax,IFERROR(N(G12),0))))),0)</f>
        <v/>
      </c>
      <c r="D35" s="38" t="inlineStr">
        <is>
          <t>TL</t>
        </is>
      </c>
      <c r="E35" s="6" t="inlineStr">
        <is>
          <t>Landed ÷ miktar</t>
        </is>
      </c>
      <c r="F35" s="39" t="inlineStr">
        <is>
          <t>ILC-005</t>
        </is>
      </c>
      <c r="G35" s="30">
        <f>IFERROR(IF(G15=0,0,ROUND(G34/G15,MAX(0,MIN(ilc_yuvarMax,IFERROR(N(G12),0))))),0)</f>
        <v/>
      </c>
    </row>
    <row r="36">
      <c r="A36" s="35" t="n">
        <v>30</v>
      </c>
      <c r="B36" s="36" t="inlineStr">
        <is>
          <t>Birim marj</t>
        </is>
      </c>
      <c r="C36" s="40">
        <f>IFERROR(IF(G19=0,0,(G19-G35)/G19),0)</f>
        <v/>
      </c>
      <c r="D36" s="38" t="inlineStr">
        <is>
          <t>oran</t>
        </is>
      </c>
      <c r="E36" s="6" t="inlineStr">
        <is>
          <t>Satış−maliyet marjı</t>
        </is>
      </c>
      <c r="F36" s="39" t="inlineStr">
        <is>
          <t>ILC-004</t>
        </is>
      </c>
      <c r="G36" s="18">
        <f>IFERROR(IF(G19=0,0,(G19-G35)/G19),0)</f>
        <v/>
      </c>
    </row>
    <row r="37">
      <c r="A37" s="35" t="n">
        <v>31</v>
      </c>
      <c r="B37" s="36" t="inlineStr">
        <is>
          <t>OPEX / ISLETME yıllık</t>
        </is>
      </c>
      <c r="C37" s="43">
        <f>IFERROR(G35*G20,0)</f>
        <v/>
      </c>
      <c r="D37" s="38" t="inlineStr">
        <is>
          <t>TL</t>
        </is>
      </c>
      <c r="E37" s="6" t="inlineStr">
        <is>
          <t>Birim×yıllık miktar</t>
        </is>
      </c>
      <c r="F37" s="39" t="inlineStr">
        <is>
          <t>ILC-005</t>
        </is>
      </c>
      <c r="G37" s="30">
        <f>IFERROR(G35*G20,0)</f>
        <v/>
      </c>
    </row>
    <row r="38">
      <c r="A38" s="35" t="n">
        <v>32</v>
      </c>
      <c r="B38" s="36" t="inlineStr">
        <is>
          <t>Yıllık brüt katkı</t>
        </is>
      </c>
      <c r="C38" s="43">
        <f>IFERROR((G19-G35)*G20,0)</f>
        <v/>
      </c>
      <c r="D38" s="38" t="inlineStr">
        <is>
          <t>TL</t>
        </is>
      </c>
      <c r="E38" s="6" t="inlineStr">
        <is>
          <t>Marj × yıllık adet</t>
        </is>
      </c>
      <c r="F38" s="39" t="inlineStr">
        <is>
          <t>ILC-004</t>
        </is>
      </c>
      <c r="G38" s="30">
        <f>IFERROR((G19-G35)*G20,0)</f>
        <v/>
      </c>
    </row>
    <row r="39">
      <c r="A39" s="35" t="n">
        <v>33</v>
      </c>
      <c r="B39" s="36" t="inlineStr">
        <is>
          <t>NPV (baz)</t>
        </is>
      </c>
      <c r="C39" s="43">
        <f>IFERROR(IF(OR(G23&lt;=0,G22=""),0,IF(G22=0,ROUND(G38*G23-G21,MAX(0,MIN(ilc_yuvarMax,IFERROR(N(G12),0)))),ROUND(G38*(1-POWER(1+G22,-G23))/G22-G21,MAX(0,MIN(ilc_yuvarMax,IFERROR(N(G12),0)))))),0)</f>
        <v/>
      </c>
      <c r="D39" s="38" t="inlineStr">
        <is>
          <t>TL</t>
        </is>
      </c>
      <c r="E39" s="6" t="inlineStr">
        <is>
          <t>NPV nakit akışı − CAPEX</t>
        </is>
      </c>
      <c r="F39" s="39" t="inlineStr">
        <is>
          <t>ILC-005</t>
        </is>
      </c>
      <c r="G39" s="30">
        <f>IFERROR(IF(OR(G23&lt;=0,G22=""),0,IF(G22=0,ROUND(G38*G23-G21,MAX(0,MIN(ilc_yuvarMax,IFERROR(N(G12),0)))),ROUND(G38*(1-POWER(1+G22,-G23))/G22-G21,MAX(0,MIN(ilc_yuvarMax,IFERROR(N(G12),0)))))),0)</f>
        <v/>
      </c>
    </row>
    <row r="40">
      <c r="A40" s="35" t="n">
        <v>34</v>
      </c>
      <c r="B40" s="36" t="inlineStr">
        <is>
          <t>IRR yaklaşımı</t>
        </is>
      </c>
      <c r="C40" s="40">
        <f>IFERROR(IF(OR(G21&lt;=0,G38&lt;=0,G23&lt;=0),0,ROUND(G38/G21-ilc_bazCarpan/G23,4)),0)</f>
        <v/>
      </c>
      <c r="D40" s="38" t="inlineStr">
        <is>
          <t>oran</t>
        </is>
      </c>
      <c r="E40" s="6" t="inlineStr">
        <is>
          <t>Kabaca IRR göstergesi</t>
        </is>
      </c>
      <c r="F40" s="39" t="inlineStr">
        <is>
          <t>ILC-005</t>
        </is>
      </c>
      <c r="G40" s="18">
        <f>IFERROR(IF(OR(G21&lt;=0,G38&lt;=0,G23&lt;=0),0,ROUND(G38/G21-ilc_bazCarpan/G23,4)),0)</f>
        <v/>
      </c>
    </row>
    <row r="41">
      <c r="A41" s="35" t="n">
        <v>35</v>
      </c>
      <c r="B41" s="36" t="inlineStr">
        <is>
          <t>Karar kodu</t>
        </is>
      </c>
      <c r="C41" s="34">
        <f>IFERROR(IF(COUNTA(tblGirdi[Alan Anahtarı])=0,"VERI_YOK",IF(OR(G35&lt;=0,G15&lt;=0,G13&lt;=0),"YAPMA",IF(OR(G39&lt;0,G36&lt;G11*ilc_dikkatCarpan),"YAPMA",IF(OR(G36&lt;G11,G39&lt;ilc_npvDikkat),"DIKKAT","YAPILIR")))),"")</f>
        <v/>
      </c>
      <c r="D41" s="38" t="inlineStr">
        <is>
          <t>kod</t>
        </is>
      </c>
      <c r="E41" s="6" t="inlineStr">
        <is>
          <t>Karar kodu</t>
        </is>
      </c>
      <c r="F41" s="39" t="inlineStr">
        <is>
          <t>ILC-004</t>
        </is>
      </c>
      <c r="G41" s="44">
        <f>IFERROR(IF(COUNTA(tblGirdi[Alan Anahtarı])=0,"VERI_YOK",IF(OR(G35&lt;=0,G15&lt;=0,G13&lt;=0),"YAPMA",IF(OR(G39&lt;0,G36&lt;G11*ilc_dikkatCarpan),"YAPMA",IF(OR(G36&lt;G11,G39&lt;ilc_npvDikkat),"DIKKAT","YAPILIR")))),"")</f>
        <v/>
      </c>
    </row>
    <row r="42">
      <c r="A42" s="35" t="n">
        <v>36</v>
      </c>
      <c r="B42" s="36" t="inlineStr">
        <is>
          <t>Karar metni</t>
        </is>
      </c>
      <c r="C42" s="34">
        <f>IFERROR(IF(G41="VERI_YOK","VERİ YOK",IF(G41="YAPILIR","YATIRIM YAPILIR",IF(G41="DIKKAT","DİKKAT","YATIRIM YAPMA"))),"")</f>
        <v/>
      </c>
      <c r="D42" s="38" t="inlineStr">
        <is>
          <t>metin</t>
        </is>
      </c>
      <c r="E42" s="6" t="inlineStr">
        <is>
          <t>Kullanıcıya karar</t>
        </is>
      </c>
      <c r="F42" s="39" t="inlineStr">
        <is>
          <t>ILC-004</t>
        </is>
      </c>
      <c r="G42" s="44">
        <f>IFERROR(IF(G41="VERI_YOK","VERİ YOK",IF(G41="YAPILIR","YATIRIM YAPILIR",IF(G41="DIKKAT","DİKKAT","YATIRIM YAPMA"))),"")</f>
        <v/>
      </c>
    </row>
    <row r="43">
      <c r="A43" s="35" t="n">
        <v>37</v>
      </c>
      <c r="B43" s="36" t="inlineStr">
        <is>
          <t>Gerekçe</t>
        </is>
      </c>
      <c r="C43" s="34">
        <f>IFERROR(IF(G41="VERI_YOK","Giriş tablosu boş — hesap yapılamaz.",IF(G41="YAPILIR","NPV pozitif ve marj hedef üstünde; ithalat yatırımı uygun.",IF(G41="DIKKAT","Marj veya NPV dikkat bandında; kur ve oranları gözden geçirin.","NPV negatif veya marj yetersiz; kötümser/bazda YATIRIM YAPMA."))),"")</f>
        <v/>
      </c>
      <c r="D43" s="38" t="inlineStr">
        <is>
          <t>metin</t>
        </is>
      </c>
      <c r="E43" s="6" t="inlineStr">
        <is>
          <t>Gerekçe cümlesi</t>
        </is>
      </c>
      <c r="F43" s="39" t="inlineStr">
        <is>
          <t>ILC-004</t>
        </is>
      </c>
      <c r="G43" s="44">
        <f>IFERROR(IF(G41="VERI_YOK","Giriş tablosu boş — hesap yapılamaz.",IF(G41="YAPILIR","NPV pozitif ve marj hedef üstünde; ithalat yatırımı uygun.",IF(G41="DIKKAT","Marj veya NPV dikkat bandında; kur ve oranları gözden geçirin.","NPV negatif veya marj yetersiz; kötümser/bazda YATIRIM YAPMA."))),"")</f>
        <v/>
      </c>
    </row>
    <row r="44">
      <c r="A44" s="35" t="n">
        <v>38</v>
      </c>
      <c r="B44" s="36" t="inlineStr">
        <is>
          <t>Güven skoru</t>
        </is>
      </c>
      <c r="C44" s="37">
        <f>IFERROR(ROUND(IF(OR(COUNTA(GIRDI!B6:B21)=0,ilc_girisBeklenen=0),0,COUNTA(GIRDI!B6:B21)/ilc_girisBeklenen*100),0),0)</f>
        <v/>
      </c>
      <c r="D44" s="38" t="inlineStr">
        <is>
          <t>puan</t>
        </is>
      </c>
      <c r="E44" s="6" t="inlineStr">
        <is>
          <t>Giriş bütünlüğü</t>
        </is>
      </c>
      <c r="F44" s="39" t="inlineStr">
        <is>
          <t>ILC-005</t>
        </is>
      </c>
      <c r="G44" s="20">
        <f>IFERROR(ROUND(IF(OR(COUNTA(GIRDI!B6:B21)=0,ilc_girisBeklenen=0),0,COUNTA(GIRDI!B6:B21)/ilc_girisBeklenen*100),0),0)</f>
        <v/>
      </c>
    </row>
    <row r="45">
      <c r="A45" s="35" t="n">
        <v>39</v>
      </c>
      <c r="B45" s="36" t="inlineStr">
        <is>
          <t>Risk skoru</t>
        </is>
      </c>
      <c r="C45" s="37">
        <f>IFERROR(IF(G41="VERI_YOK",0,IF(G41="YAPILIR",ilc_riskDusuk,IF(G41="DIKKAT",ilc_riskOrta,ilc_riskYuksek))),0)</f>
        <v/>
      </c>
      <c r="D45" s="38" t="inlineStr">
        <is>
          <t>puan</t>
        </is>
      </c>
      <c r="E45" s="6" t="inlineStr">
        <is>
          <t>Yatırım riski</t>
        </is>
      </c>
      <c r="F45" s="39" t="inlineStr">
        <is>
          <t>ILC-005</t>
        </is>
      </c>
      <c r="G45" s="20">
        <f>IFERROR(IF(G41="VERI_YOK",0,IF(G41="YAPILIR",ilc_riskDusuk,IF(G41="DIKKAT",ilc_riskOrta,ilc_riskYuksek))),0)</f>
        <v/>
      </c>
    </row>
    <row r="46">
      <c r="A46" s="35" t="n">
        <v>40</v>
      </c>
      <c r="B46" s="36" t="inlineStr">
        <is>
          <t>Senaryo iyimser birim</t>
        </is>
      </c>
      <c r="C46" s="43">
        <f>IFERROR(ROUND(G35*ilc_senaryoIyi,MAX(0,MIN(ilc_yuvarMax,IFERROR(N(G12),0)))),0)</f>
        <v/>
      </c>
      <c r="D46" s="38" t="inlineStr">
        <is>
          <t>TL</t>
        </is>
      </c>
      <c r="E46" s="6" t="inlineStr">
        <is>
          <t>İyimser maliyet</t>
        </is>
      </c>
      <c r="F46" s="39" t="inlineStr">
        <is>
          <t>ILC-005</t>
        </is>
      </c>
      <c r="G46" s="30">
        <f>IFERROR(ROUND(G35*ilc_senaryoIyi,MAX(0,MIN(ilc_yuvarMax,IFERROR(N(G12),0)))),0)</f>
        <v/>
      </c>
    </row>
    <row r="47">
      <c r="A47" s="35" t="n">
        <v>41</v>
      </c>
      <c r="B47" s="36" t="inlineStr">
        <is>
          <t>Senaryo kötümser birim</t>
        </is>
      </c>
      <c r="C47" s="43">
        <f>IFERROR(ROUND(G35*ilc_senaryoKotu,MAX(0,MIN(ilc_yuvarMax,IFERROR(N(G12),0)))),0)</f>
        <v/>
      </c>
      <c r="D47" s="38" t="inlineStr">
        <is>
          <t>TL</t>
        </is>
      </c>
      <c r="E47" s="6" t="inlineStr">
        <is>
          <t>Kötümser maliyet</t>
        </is>
      </c>
      <c r="F47" s="39" t="inlineStr">
        <is>
          <t>ILC-005</t>
        </is>
      </c>
      <c r="G47" s="30">
        <f>IFERROR(ROUND(G35*ilc_senaryoKotu,MAX(0,MIN(ilc_yuvarMax,IFERROR(N(G12),0)))),0)</f>
        <v/>
      </c>
    </row>
    <row r="48">
      <c r="A48" s="35" t="n">
        <v>42</v>
      </c>
      <c r="B48" s="36" t="inlineStr">
        <is>
          <t>İyimser NPV</t>
        </is>
      </c>
      <c r="C48" s="43">
        <f>IFERROR(IF(G22=0,ROUND((G19-G46)*G20*G23-G21,MAX(0,MIN(ilc_yuvarMax,IFERROR(N(G12),0)))),ROUND((G19-G46)*G20*(1-POWER(1+G22,-G23))/G22-G21,MAX(0,MIN(ilc_yuvarMax,IFERROR(N(G12),0))))),0)</f>
        <v/>
      </c>
      <c r="D48" s="38" t="inlineStr">
        <is>
          <t>TL</t>
        </is>
      </c>
      <c r="E48" s="6" t="inlineStr">
        <is>
          <t>İyimser NPV</t>
        </is>
      </c>
      <c r="F48" s="39" t="inlineStr">
        <is>
          <t>ILC-005</t>
        </is>
      </c>
      <c r="G48" s="30">
        <f>IFERROR(IF(G22=0,ROUND((G19-G46)*G20*G23-G21,MAX(0,MIN(ilc_yuvarMax,IFERROR(N(G12),0)))),ROUND((G19-G46)*G20*(1-POWER(1+G22,-G23))/G22-G21,MAX(0,MIN(ilc_yuvarMax,IFERROR(N(G12),0))))),0)</f>
        <v/>
      </c>
    </row>
    <row r="49">
      <c r="A49" s="35" t="n">
        <v>43</v>
      </c>
      <c r="B49" s="36" t="inlineStr">
        <is>
          <t>Kötümser NPV</t>
        </is>
      </c>
      <c r="C49" s="43">
        <f>IFERROR(IF(G22=0,ROUND((G19-G47)*G20*G23-G21,MAX(0,MIN(ilc_yuvarMax,IFERROR(N(G12),0)))),ROUND((G19-G47)*G20*(1-POWER(1+G22,-G23))/G22-G21,MAX(0,MIN(ilc_yuvarMax,IFERROR(N(G12),0))))),0)</f>
        <v/>
      </c>
      <c r="D49" s="38" t="inlineStr">
        <is>
          <t>TL</t>
        </is>
      </c>
      <c r="E49" s="6" t="inlineStr">
        <is>
          <t>Kötümser NPV</t>
        </is>
      </c>
      <c r="F49" s="39" t="inlineStr">
        <is>
          <t>ILC-005</t>
        </is>
      </c>
      <c r="G49" s="30">
        <f>IFERROR(IF(G22=0,ROUND((G19-G47)*G20*G23-G21,MAX(0,MIN(ilc_yuvarMax,IFERROR(N(G12),0)))),ROUND((G19-G47)*G20*(1-POWER(1+G22,-G23))/G22-G21,MAX(0,MIN(ilc_yuvarMax,IFERROR(N(G12),0))))),0)</f>
        <v/>
      </c>
    </row>
    <row r="50">
      <c r="A50" s="35" t="n">
        <v>44</v>
      </c>
      <c r="B50" s="36" t="inlineStr">
        <is>
          <t>Kötümser karar</t>
        </is>
      </c>
      <c r="C50" s="34">
        <f>IFERROR(IF(COUNTA(tblGirdi[Alan Anahtarı])=0,"VERİ YOK",IF(G49&lt;0,"YATIRIM YAPMA","DİKKAT")),"")</f>
        <v/>
      </c>
      <c r="D50" s="38" t="inlineStr">
        <is>
          <t>metin</t>
        </is>
      </c>
      <c r="E50" s="6" t="inlineStr">
        <is>
          <t>Kötümser YATIRIM YAPMA yolu</t>
        </is>
      </c>
      <c r="F50" s="39" t="inlineStr">
        <is>
          <t>ILC-004</t>
        </is>
      </c>
      <c r="G50" s="44">
        <f>IFERROR(IF(COUNTA(tblGirdi[Alan Anahtarı])=0,"VERİ YOK",IF(G49&lt;0,"YATIRIM YAPMA","DİKKAT")),"")</f>
        <v/>
      </c>
    </row>
    <row r="51">
      <c r="A51" s="35" t="n">
        <v>45</v>
      </c>
      <c r="B51" s="36" t="inlineStr">
        <is>
          <t>M-SEN gümrük+</t>
        </is>
      </c>
      <c r="C51" s="40">
        <f>IFERROR(G8+ilc_esikArtis,0)</f>
        <v/>
      </c>
      <c r="D51" s="38" t="inlineStr">
        <is>
          <t>oran</t>
        </is>
      </c>
      <c r="E51" s="6" t="inlineStr">
        <is>
          <t>Gümrük + delta</t>
        </is>
      </c>
      <c r="F51" s="39" t="inlineStr">
        <is>
          <t>ILC-001</t>
        </is>
      </c>
      <c r="G51" s="18">
        <f>IFERROR(G8+ilc_esikArtis,0)</f>
        <v/>
      </c>
    </row>
    <row r="52">
      <c r="A52" s="35" t="n">
        <v>46</v>
      </c>
      <c r="B52" s="36" t="inlineStr">
        <is>
          <t>M-SEN landed</t>
        </is>
      </c>
      <c r="C52" s="43">
        <f>IFERROR(ROUND(G29*(ilc_bazCarpan+G51)+G31+G33+G18,MAX(0,MIN(ilc_yuvarMax,IFERROR(N(G12),0)))),0)</f>
        <v/>
      </c>
      <c r="D52" s="38" t="inlineStr">
        <is>
          <t>TL</t>
        </is>
      </c>
      <c r="E52" s="6" t="inlineStr">
        <is>
          <t>Sıkı gümrük landed</t>
        </is>
      </c>
      <c r="F52" s="39" t="inlineStr">
        <is>
          <t>ILC-001</t>
        </is>
      </c>
      <c r="G52" s="30">
        <f>IFERROR(ROUND(G29*(ilc_bazCarpan+G51)+G31+G33+G18,MAX(0,MIN(ilc_yuvarMax,IFERROR(N(G12),0)))),0)</f>
        <v/>
      </c>
    </row>
    <row r="53">
      <c r="A53" s="35" t="n">
        <v>47</v>
      </c>
      <c r="B53" s="36" t="inlineStr">
        <is>
          <t>M-SEN bayrak</t>
        </is>
      </c>
      <c r="C53" s="37">
        <f>IFERROR(IF(AND(G36&gt;=G11,G39&gt;=0),1,0),0)</f>
        <v/>
      </c>
      <c r="D53" s="38" t="inlineStr">
        <is>
          <t>bayrak</t>
        </is>
      </c>
      <c r="E53" s="6" t="inlineStr">
        <is>
          <t>Sıkı eşikte uygun mu</t>
        </is>
      </c>
      <c r="F53" s="39" t="inlineStr">
        <is>
          <t>ILC-004</t>
        </is>
      </c>
      <c r="G53" s="20">
        <f>IFERROR(IF(AND(G36&gt;=G11,G39&gt;=0),1,0),0)</f>
        <v/>
      </c>
    </row>
    <row r="54">
      <c r="A54" s="35" t="n">
        <v>48</v>
      </c>
      <c r="B54" s="36" t="inlineStr">
        <is>
          <t>Tornado: kur etkisi</t>
        </is>
      </c>
      <c r="C54" s="43">
        <f>IFERROR(ABS(ROUND(G35*ilc_tornadoKur-G35,MAX(0,MIN(ilc_yuvarMax,IFERROR(N(G12),0))))),0)</f>
        <v/>
      </c>
      <c r="D54" s="38" t="inlineStr">
        <is>
          <t>TL</t>
        </is>
      </c>
      <c r="E54" s="6" t="inlineStr">
        <is>
          <t>Kur ± etki</t>
        </is>
      </c>
      <c r="F54" s="39" t="inlineStr">
        <is>
          <t>ILC-005</t>
        </is>
      </c>
      <c r="G54" s="30">
        <f>IFERROR(ABS(ROUND(G35*ilc_tornadoKur-G35,MAX(0,MIN(ilc_yuvarMax,IFERROR(N(G12),0))))),0)</f>
        <v/>
      </c>
    </row>
    <row r="55">
      <c r="A55" s="35" t="n">
        <v>49</v>
      </c>
      <c r="B55" s="36" t="inlineStr">
        <is>
          <t>Tornado: gümrük etkisi</t>
        </is>
      </c>
      <c r="C55" s="43">
        <f>IFERROR(ABS(ROUND(G29*(G8+ilc_tornadoGumruk)-G29*G8,MAX(0,MIN(ilc_yuvarMax,IFERROR(N(G12),0))))),0)</f>
        <v/>
      </c>
      <c r="D55" s="38" t="inlineStr">
        <is>
          <t>TL</t>
        </is>
      </c>
      <c r="E55" s="6" t="inlineStr">
        <is>
          <t>Gümrük ± etki</t>
        </is>
      </c>
      <c r="F55" s="39" t="inlineStr">
        <is>
          <t>ILC-001</t>
        </is>
      </c>
      <c r="G55" s="30">
        <f>IFERROR(ABS(ROUND(G29*(G8+ilc_tornadoGumruk)-G29*G8,MAX(0,MIN(ilc_yuvarMax,IFERROR(N(G12),0))))),0)</f>
        <v/>
      </c>
    </row>
    <row r="56">
      <c r="A56" s="35" t="n">
        <v>50</v>
      </c>
      <c r="B56" s="36" t="inlineStr">
        <is>
          <t>Tornado: navlun etkisi</t>
        </is>
      </c>
      <c r="C56" s="43">
        <f>IFERROR(ABS(ROUND(G16*G13*ilc_tornadoNavlun,MAX(0,MIN(ilc_yuvarMax,IFERROR(N(G12),0))))),0)</f>
        <v/>
      </c>
      <c r="D56" s="38" t="inlineStr">
        <is>
          <t>TL</t>
        </is>
      </c>
      <c r="E56" s="6" t="inlineStr">
        <is>
          <t>Navlun ± etki</t>
        </is>
      </c>
      <c r="F56" s="39" t="inlineStr">
        <is>
          <t>ILC-001</t>
        </is>
      </c>
      <c r="G56" s="30">
        <f>IFERROR(ABS(ROUND(G16*G13*ilc_tornadoNavlun,MAX(0,MIN(ilc_yuvarMax,IFERROR(N(G12),0))))),0)</f>
        <v/>
      </c>
    </row>
    <row r="57">
      <c r="A57" s="35" t="n">
        <v>51</v>
      </c>
      <c r="B57" s="36" t="inlineStr">
        <is>
          <t>Vergi yükü oranı</t>
        </is>
      </c>
      <c r="C57" s="40">
        <f>IFERROR(IF(G34=0,0,(G30+G31+G33)/G34),0)</f>
        <v/>
      </c>
      <c r="D57" s="38" t="inlineStr">
        <is>
          <t>oran</t>
        </is>
      </c>
      <c r="E57" s="6" t="inlineStr">
        <is>
          <t>Vergi/landed</t>
        </is>
      </c>
      <c r="F57" s="39" t="inlineStr">
        <is>
          <t>ILC-003</t>
        </is>
      </c>
      <c r="G57" s="18">
        <f>IFERROR(IF(G34=0,0,(G30+G31+G33)/G34),0)</f>
        <v/>
      </c>
    </row>
    <row r="58">
      <c r="A58" s="35" t="n">
        <v>52</v>
      </c>
      <c r="B58" s="36" t="inlineStr">
        <is>
          <t>Madde atıf özeti</t>
        </is>
      </c>
      <c r="C58" s="34">
        <f>IFERROR(_xlfn.TEXTJOIN(" | ",TRUE,"ILC-001→gümrük","ILC-002→KKDF","ILC-003→KDV","ILC-004→marj"),"")</f>
        <v/>
      </c>
      <c r="D58" s="38" t="inlineStr">
        <is>
          <t>metin</t>
        </is>
      </c>
      <c r="E58" s="6" t="inlineStr">
        <is>
          <t>Kanıt atıfları</t>
        </is>
      </c>
      <c r="F58" s="39" t="inlineStr">
        <is>
          <t>ILC-001</t>
        </is>
      </c>
      <c r="G58" s="44">
        <f>IFERROR(_xlfn.TEXTJOIN(" | ",TRUE,"ILC-001→gümrük","ILC-002→KKDF","ILC-003→KDV","ILC-004→marj"),"")</f>
        <v/>
      </c>
    </row>
    <row r="59">
      <c r="A59" s="35" t="n">
        <v>53</v>
      </c>
      <c r="B59" s="36" t="inlineStr">
        <is>
          <t>Kanıt satır özeti</t>
        </is>
      </c>
      <c r="C59" s="34">
        <f>IFERROR(_xlfn.TEXTJOIN(" · ",TRUE,"Birim=",TEXT(G35,"₺ #,##0"),"NPV=",TEXT(G39,"₺ #,##0"),"IRR=",TEXT(G40,"0.0%"),"Karar=",G42),"")</f>
        <v/>
      </c>
      <c r="D59" s="38" t="inlineStr">
        <is>
          <t>metin</t>
        </is>
      </c>
      <c r="E59" s="6" t="inlineStr">
        <is>
          <t>Rapor özeti</t>
        </is>
      </c>
      <c r="F59" s="39" t="inlineStr">
        <is>
          <t>ILC-005</t>
        </is>
      </c>
      <c r="G59" s="44">
        <f>IFERROR(_xlfn.TEXTJOIN(" · ",TRUE,"Birim=",TEXT(G35,"₺ #,##0"),"NPV=",TEXT(G39,"₺ #,##0"),"IRR=",TEXT(G40,"0.0%"),"Karar=",G42),"")</f>
        <v/>
      </c>
    </row>
    <row r="60">
      <c r="A60" s="35" t="n">
        <v>54</v>
      </c>
      <c r="B60" s="36" t="inlineStr">
        <is>
          <t>Birim landed (pano)</t>
        </is>
      </c>
      <c r="C60" s="43">
        <f>IFERROR(G35,0)</f>
        <v/>
      </c>
      <c r="D60" s="38" t="inlineStr">
        <is>
          <t>TL</t>
        </is>
      </c>
      <c r="E60" s="6" t="inlineStr">
        <is>
          <t>Birim ayna</t>
        </is>
      </c>
      <c r="F60" s="39" t="inlineStr">
        <is>
          <t>ILC-005</t>
        </is>
      </c>
      <c r="G60" s="30">
        <f>IFERROR(G35,0)</f>
        <v/>
      </c>
    </row>
    <row r="61">
      <c r="A61" s="35" t="n">
        <v>55</v>
      </c>
      <c r="B61" s="36" t="inlineStr">
        <is>
          <t>NPV (pano)</t>
        </is>
      </c>
      <c r="C61" s="43">
        <f>IFERROR(G39,0)</f>
        <v/>
      </c>
      <c r="D61" s="38" t="inlineStr">
        <is>
          <t>TL</t>
        </is>
      </c>
      <c r="E61" s="6" t="inlineStr">
        <is>
          <t>NPV ayna</t>
        </is>
      </c>
      <c r="F61" s="39" t="inlineStr">
        <is>
          <t>ILC-005</t>
        </is>
      </c>
      <c r="G61" s="30">
        <f>IFERROR(G39,0)</f>
        <v/>
      </c>
    </row>
    <row r="62">
      <c r="A62" s="35" t="n">
        <v>56</v>
      </c>
      <c r="B62" s="36" t="inlineStr">
        <is>
          <t>IRR (pano)</t>
        </is>
      </c>
      <c r="C62" s="40">
        <f>IFERROR(G40,0)</f>
        <v/>
      </c>
      <c r="D62" s="38" t="inlineStr">
        <is>
          <t>oran</t>
        </is>
      </c>
      <c r="E62" s="6" t="inlineStr">
        <is>
          <t>IRR ayna</t>
        </is>
      </c>
      <c r="F62" s="39" t="inlineStr">
        <is>
          <t>ILC-005</t>
        </is>
      </c>
      <c r="G62" s="18">
        <f>IFERROR(G40,0)</f>
        <v/>
      </c>
    </row>
    <row r="63">
      <c r="A63" s="35" t="n">
        <v>57</v>
      </c>
      <c r="B63" s="36" t="inlineStr">
        <is>
          <t>CIF (pano)</t>
        </is>
      </c>
      <c r="C63" s="43">
        <f>IFERROR(G29,0)</f>
        <v/>
      </c>
      <c r="D63" s="38" t="inlineStr">
        <is>
          <t>TL</t>
        </is>
      </c>
      <c r="E63" s="6" t="inlineStr">
        <is>
          <t>CIF ayna</t>
        </is>
      </c>
      <c r="F63" s="39" t="inlineStr">
        <is>
          <t>ILC-001</t>
        </is>
      </c>
      <c r="G63" s="30">
        <f>IFERROR(G29,0)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66">
    <cfRule type="cellIs" priority="1" operator="lessThan" dxfId="0">
      <formula>0</formula>
    </cfRule>
  </conditionalFormatting>
  <conditionalFormatting sqref="F7:F66">
    <cfRule type="expression" priority="2" dxfId="4">
      <formula>F7="ILC-001"</formula>
    </cfRule>
    <cfRule type="expression" priority="3" dxfId="0">
      <formula>F7="ILC-004"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65911"/>
    <outlinePr summaryBelow="1" summaryRight="1"/>
    <pageSetUpPr/>
  </sheetPr>
  <dimension ref="A1:AD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 ht="26" customHeight="1">
      <c r="A1" s="1" t="inlineStr">
        <is>
          <t>FINANSMAN — İthalat Gerçek Birim Maliyet Motoru</t>
        </is>
      </c>
    </row>
    <row r="3">
      <c r="A3" s="9" t="inlineStr">
        <is>
          <t>Finansman senaryoları — OZ_KAYNAK ve KREDI</t>
        </is>
      </c>
    </row>
    <row r="5">
      <c r="A5" s="45" t="inlineStr">
        <is>
          <t>Senaryo</t>
        </is>
      </c>
      <c r="B5" s="45" t="inlineStr">
        <is>
          <t>Pay</t>
        </is>
      </c>
      <c r="C5" s="45" t="inlineStr">
        <is>
          <t>Tutar [₺]</t>
        </is>
      </c>
      <c r="D5" s="45" t="inlineStr">
        <is>
          <t>Faiz / maliyet</t>
        </is>
      </c>
      <c r="E5" s="45" t="inlineStr">
        <is>
          <t>NPV etkisi</t>
        </is>
      </c>
    </row>
    <row r="6">
      <c r="A6" s="46" t="inlineStr">
        <is>
          <t>OZ_KAYNAK</t>
        </is>
      </c>
      <c r="B6" s="18">
        <f>GIRDI!B21</f>
        <v/>
      </c>
      <c r="C6" s="30">
        <f>GIRDI!B17*B6</f>
        <v/>
      </c>
      <c r="D6" s="18">
        <f>IFERROR(GIRDI!B21*ilc_sifirCarpan,0)</f>
        <v/>
      </c>
      <c r="E6" s="30">
        <f>IFERROR(MOTOR!G39,0)</f>
        <v/>
      </c>
    </row>
    <row r="7">
      <c r="A7" s="46" t="inlineStr">
        <is>
          <t>KREDI</t>
        </is>
      </c>
      <c r="B7" s="18">
        <f>ilc_bazCarpan-GIRDI!B21</f>
        <v/>
      </c>
      <c r="C7" s="30">
        <f>GIRDI!B17*B7</f>
        <v/>
      </c>
      <c r="D7" s="18">
        <f>GIRDI!B20</f>
        <v/>
      </c>
      <c r="E7" s="30">
        <f>IFERROR(MOTOR!G39-C7*D7*GIRDI!B19,0)</f>
        <v/>
      </c>
    </row>
    <row r="9">
      <c r="A9" s="10" t="inlineStr">
        <is>
          <t>CAPEX / YATIRIM toplam</t>
        </is>
      </c>
      <c r="B9" s="30">
        <f>GIRDI!B17</f>
        <v/>
      </c>
    </row>
    <row r="10">
      <c r="A10" s="10" t="inlineStr">
        <is>
          <t>OPEX / ISLETME yıllık</t>
        </is>
      </c>
      <c r="B10" s="30">
        <f>IFERROR(MOTOR!G37,0)</f>
        <v/>
      </c>
    </row>
    <row r="11">
      <c r="A11" s="10" t="inlineStr">
        <is>
          <t>Finansman karşılaştırma</t>
        </is>
      </c>
      <c r="B11" s="34">
        <f>IFERROR(_xlfn.TEXTJOIN(" | ",TRUE,"OZ_KAYNAK NPV ",TEXT(E6,"₺ #,##0")," · KREDI NPV ",TEXT(E7,"₺ #,##0")),"-")</f>
        <v/>
      </c>
    </row>
    <row r="13">
      <c r="A13" s="47" t="inlineStr">
        <is>
          <t>FinansDemo</t>
        </is>
      </c>
    </row>
    <row r="14">
      <c r="A14" s="48" t="inlineStr">
        <is>
          <t>OZ_KAYNAK</t>
        </is>
      </c>
      <c r="B14" s="49" t="n">
        <v>320000</v>
      </c>
    </row>
    <row r="15">
      <c r="A15" s="48" t="inlineStr">
        <is>
          <t>KREDI</t>
        </is>
      </c>
      <c r="B15" s="49" t="n">
        <v>480000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B11:H11"/>
  </mergeCells>
  <conditionalFormatting sqref="E6:E7">
    <cfRule type="cellIs" priority="1" operator="lessThan" dxfId="0">
      <formula>0</formula>
    </cfRule>
    <cfRule type="cellIs" priority="2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İthalat Gerçek Birim Maliyet Motoru</t>
        </is>
      </c>
    </row>
    <row r="3">
      <c r="A3" s="9" t="inlineStr">
        <is>
          <t>Senaryo ve duyarlılık (tornado)</t>
        </is>
      </c>
    </row>
    <row r="5">
      <c r="A5" s="45" t="inlineStr">
        <is>
          <t>Senaryo</t>
        </is>
      </c>
      <c r="B5" s="45" t="inlineStr">
        <is>
          <t>Çarpan</t>
        </is>
      </c>
      <c r="C5" s="45" t="inlineStr">
        <is>
          <t>Birim landed</t>
        </is>
      </c>
      <c r="D5" s="45" t="inlineStr">
        <is>
          <t>NPV</t>
        </is>
      </c>
      <c r="E5" s="45" t="inlineStr">
        <is>
          <t>Karar</t>
        </is>
      </c>
      <c r="G5" s="45" t="inlineStr">
        <is>
          <t>NpvDemo</t>
        </is>
      </c>
    </row>
    <row r="6">
      <c r="A6" s="7" t="inlineStr">
        <is>
          <t>İyimser</t>
        </is>
      </c>
      <c r="B6" s="18">
        <f>IFERROR(ilc_senaryoIyi+N(GIRDI!B10)*ilc_sifirCarpan,0)</f>
        <v/>
      </c>
      <c r="C6" s="30">
        <f>IFERROR(MOTOR!G46,0)</f>
        <v/>
      </c>
      <c r="D6" s="30">
        <f>IFERROR(MOTOR!G48,0)</f>
        <v/>
      </c>
      <c r="E6" s="44">
        <f>IF(COUNTA(tblGirdi[Alan Anahtarı])=0,"VERİ YOK",IF(D6&lt;0,"YATIRIM YAPMA",IF(C6&gt;GIRDI!B15*(ilc_bazCarpan-MOTOR!G11),"DİKKAT","YATIRIM YAPILIR")))</f>
        <v/>
      </c>
      <c r="G6" s="49" t="n">
        <v>2400000</v>
      </c>
    </row>
    <row r="7">
      <c r="A7" s="7" t="inlineStr">
        <is>
          <t>Baz</t>
        </is>
      </c>
      <c r="B7" s="18">
        <f>IFERROR(ilc_bazCarpan+N(GIRDI!B10)*ilc_sifirCarpan,1)</f>
        <v/>
      </c>
      <c r="C7" s="30">
        <f>IFERROR(ilc_birimLanded,0)</f>
        <v/>
      </c>
      <c r="D7" s="30">
        <f>IFERROR(ilc_npv,0)</f>
        <v/>
      </c>
      <c r="E7" s="44">
        <f>IF(COUNTA(tblGirdi[Alan Anahtarı])=0,"VERİ YOK",IFERROR(ilc_kararMetni,"-"))</f>
        <v/>
      </c>
      <c r="G7" s="49" t="n">
        <v>1800000</v>
      </c>
    </row>
    <row r="8">
      <c r="A8" s="7" t="inlineStr">
        <is>
          <t>Kötümser</t>
        </is>
      </c>
      <c r="B8" s="18">
        <f>IFERROR(ilc_senaryoKotu+N(GIRDI!B10)*ilc_sifirCarpan,0)</f>
        <v/>
      </c>
      <c r="C8" s="30">
        <f>IFERROR(MOTOR!G47,0)</f>
        <v/>
      </c>
      <c r="D8" s="30">
        <f>IFERROR(MOTOR!G49,0)</f>
        <v/>
      </c>
      <c r="E8" s="44">
        <f>IF(COUNTA(tblGirdi[Alan Anahtarı])=0,"VERİ YOK",IFERROR(MOTOR!G50,"YATIRIM YAPMA"))</f>
        <v/>
      </c>
      <c r="G8" s="49" t="n">
        <v>-400000</v>
      </c>
    </row>
    <row r="9">
      <c r="A9" s="7" t="inlineStr">
        <is>
          <t>M-SEN oran+</t>
        </is>
      </c>
      <c r="B9" s="18">
        <f>IFERROR(ilc_bazCarpan+N(GIRDI!B10)*ilc_sifirCarpan,1)</f>
        <v/>
      </c>
      <c r="C9" s="30">
        <f>IFERROR(IF(MOTOR!G15=0,0,MOTOR!G52/MOTOR!G15),0)</f>
        <v/>
      </c>
      <c r="D9" s="30">
        <f>IFERROR(MOTOR!G39,0)</f>
        <v/>
      </c>
      <c r="E9" s="44">
        <f>IF(COUNTA(tblGirdi[Alan Anahtarı])=0,"VERİ YOK",IF(MOTOR!G53=1,"YATIRIM YAPILIR","DİKKAT"))</f>
        <v/>
      </c>
      <c r="G9" s="49" t="n">
        <v>1200000</v>
      </c>
    </row>
    <row r="11">
      <c r="A11" s="10" t="inlineStr">
        <is>
          <t>Senaryo NPV bant (iyimser−kötümser)</t>
        </is>
      </c>
      <c r="B11" s="30">
        <f>IFERROR(D6-D8,0)</f>
        <v/>
      </c>
    </row>
    <row r="12">
      <c r="A12" s="10" t="inlineStr">
        <is>
          <t>Senaryo yorumu</t>
        </is>
      </c>
      <c r="B12" s="34">
        <f>IFERROR(_xlfn.TEXTJOIN("; ",TRUE,"İyimser NPV ",TEXT(D6,"₺ #,##0")," · Baz ",TEXT(D7,"₺ #,##0")," · Kötümser ",TEXT(D8,"₺ #,##0")),"-")</f>
        <v/>
      </c>
    </row>
    <row r="14">
      <c r="A14" s="5" t="inlineStr">
        <is>
          <t>Duyarlılık (tornado)</t>
        </is>
      </c>
    </row>
    <row r="15">
      <c r="A15" s="45" t="inlineStr">
        <is>
          <t>Değişken</t>
        </is>
      </c>
      <c r="B15" s="45" t="inlineStr">
        <is>
          <t>Etki [₺]</t>
        </is>
      </c>
      <c r="C15" s="45" t="inlineStr">
        <is>
          <t>Sıra</t>
        </is>
      </c>
      <c r="E15" s="45" t="inlineStr">
        <is>
          <t>EtkiDemo</t>
        </is>
      </c>
    </row>
    <row r="16">
      <c r="A16" s="7" t="inlineStr">
        <is>
          <t>Tornado kur etkisi</t>
        </is>
      </c>
      <c r="B16" s="30">
        <f>IFERROR(MOTOR!G54,0)</f>
        <v/>
      </c>
      <c r="C16" s="20">
        <f>IFERROR(IF(B16&gt;=MAX(B16:B18),ilc_siraBir,IF(B16=MEDIAN(B16:B18),ilc_siraIki,ilc_siraUc)),ilc_siraUc)</f>
        <v/>
      </c>
      <c r="E16" s="49" t="n">
        <v>180000</v>
      </c>
    </row>
    <row r="17">
      <c r="A17" s="7" t="inlineStr">
        <is>
          <t>Tornado gümrük etkisi</t>
        </is>
      </c>
      <c r="B17" s="30">
        <f>IFERROR(MOTOR!G55,0)</f>
        <v/>
      </c>
      <c r="C17" s="20">
        <f>IFERROR(IF(B17&gt;=MAX(B16:B18),ilc_siraBir,IF(B17=MEDIAN(B16:B18),ilc_siraIki,ilc_siraUc)),ilc_siraUc)</f>
        <v/>
      </c>
      <c r="E17" s="49" t="n">
        <v>120000</v>
      </c>
    </row>
    <row r="18">
      <c r="A18" s="7" t="inlineStr">
        <is>
          <t>Tornado navlun etkisi</t>
        </is>
      </c>
      <c r="B18" s="30">
        <f>IFERROR(MOTOR!G56,0)</f>
        <v/>
      </c>
      <c r="C18" s="20">
        <f>IFERROR(IF(B18&gt;=MAX(B16:B18),ilc_siraBir,IF(B18=MEDIAN(B16:B18),ilc_siraIki,ilc_siraUc)),ilc_siraUc)</f>
        <v/>
      </c>
      <c r="E18" s="49" t="n">
        <v>90000</v>
      </c>
    </row>
    <row r="19">
      <c r="A19" s="10" t="inlineStr">
        <is>
          <t>Duyarlılık sıra özeti</t>
        </is>
      </c>
      <c r="B19" s="44">
        <f>IFERROR(CONCATENATE("1)",INDEX(A16:A18,MATCH(ilc_siraBir,C16:C18,0))," 2)",INDEX(A16:A18,MATCH(ilc_siraIki,C16:C18,0))),"-")</f>
        <v/>
      </c>
    </row>
    <row r="20">
      <c r="A20" s="10" t="inlineStr">
        <is>
          <t>Duyarlılık yorumu</t>
        </is>
      </c>
      <c r="B20" s="34">
        <f>_xlfn.TEXTJOIN("; ",TRUE,"En yüksek etki ",TEXT(MAX(B16:B18),"₺ #,##0")," — öncelik bu değişkende")</f>
        <v/>
      </c>
    </row>
    <row r="22">
      <c r="A22" s="10" t="inlineStr">
        <is>
          <t>M-SEN oran değişimi bayrağı</t>
        </is>
      </c>
      <c r="B22" s="20">
        <f>MOTOR!G53</f>
        <v/>
      </c>
    </row>
    <row r="23">
      <c r="A23" s="10" t="inlineStr">
        <is>
          <t>M-SEN yorumu</t>
        </is>
      </c>
      <c r="B23" s="34">
        <f>_xlfn.TEXTJOIN("; ",TRUE,"Sıkı gümrük (+",TEXT(ilc_esikArtis,"0.0%"),") uygunluk ",TEXT(B22,"0"))</f>
        <v/>
      </c>
    </row>
    <row r="25">
      <c r="A25" s="10" t="inlineStr">
        <is>
          <t>Tahmin alt</t>
        </is>
      </c>
      <c r="B25" s="30">
        <f>IFERROR(ilc_birimLanded*ilc_tahminAlt,0)</f>
        <v/>
      </c>
      <c r="C25" s="30">
        <f>IFERROR(ilc_birimLanded,0)</f>
        <v/>
      </c>
      <c r="D25" s="30">
        <f>IFERROR(ilc_birimLanded*ilc_tahminUst,0)</f>
        <v/>
      </c>
    </row>
    <row r="26">
      <c r="A26" s="10" t="inlineStr">
        <is>
          <t>Tahmin (AVERAGE / STDEV)</t>
        </is>
      </c>
    </row>
    <row r="27">
      <c r="A27" s="13" t="inlineStr">
        <is>
          <t>Seri nokta</t>
        </is>
      </c>
      <c r="D27" s="10" t="inlineStr">
        <is>
          <t>TrendDemo</t>
        </is>
      </c>
    </row>
    <row r="28">
      <c r="A28" s="50" t="n">
        <v>1</v>
      </c>
      <c r="B28" s="30">
        <f>C6</f>
        <v/>
      </c>
      <c r="D28" s="49" t="n">
        <v>4800</v>
      </c>
    </row>
    <row r="29">
      <c r="A29" s="50" t="n">
        <v>2</v>
      </c>
      <c r="B29" s="30">
        <f>C7</f>
        <v/>
      </c>
      <c r="D29" s="49" t="n">
        <v>5200</v>
      </c>
    </row>
    <row r="30">
      <c r="A30" s="50" t="n">
        <v>3</v>
      </c>
      <c r="B30" s="30">
        <f>C8</f>
        <v/>
      </c>
      <c r="D30" s="49" t="n">
        <v>6100</v>
      </c>
    </row>
    <row r="31">
      <c r="A31" s="50" t="n">
        <v>4</v>
      </c>
      <c r="B31" s="30">
        <f>C9</f>
        <v/>
      </c>
      <c r="D31" s="49" t="n">
        <v>5200</v>
      </c>
    </row>
    <row r="32">
      <c r="A32" s="7" t="inlineStr">
        <is>
          <t>Tahmin sonraki</t>
        </is>
      </c>
      <c r="B32" s="30">
        <f>IFERROR(IF(OR(COUNT(B28:B31)&lt;2,STDEV(B28:B31)=0),AVERAGE(B28:B31),AVERAGE(B28:B31)+STDEV(B28:B31)*0),0)</f>
        <v/>
      </c>
    </row>
    <row r="33">
      <c r="A33" s="10" t="inlineStr">
        <is>
          <t>Tahmin yorumu</t>
        </is>
      </c>
      <c r="B33" s="34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greaterThan" dxfId="5">
      <formula>0</formula>
    </cfRule>
    <cfRule type="cellIs" priority="2" operator="lessThan" dxfId="0">
      <formula>0</formula>
    </cfRule>
  </conditionalFormatting>
  <conditionalFormatting sqref="E6:E9">
    <cfRule type="expression" priority="3" dxfId="0">
      <formula>ISNUMBER(SEARCH("YAPMA",E6))</formula>
    </cfRule>
    <cfRule type="expression" priority="4" dxfId="5">
      <formula>ISNUMBER(SEARCH("YAPILIR",E6))</formula>
    </cfRule>
    <cfRule type="expression" priority="5" dxfId="1">
      <formula>ISNUMBER(SEARCH("DİKKAT",E6))</formula>
    </cfRule>
  </conditionalFormatting>
  <conditionalFormatting sqref="B16:B18">
    <cfRule type="cellIs" priority="6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AD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6" customHeight="1">
      <c r="A1" s="1" t="inlineStr">
        <is>
          <t>KARAR — İthalat Gerçek Birim Maliyet Motoru</t>
        </is>
      </c>
    </row>
    <row r="3">
      <c r="A3" s="51" t="inlineStr">
        <is>
          <t>Yatırım karar kapısı</t>
        </is>
      </c>
    </row>
    <row r="5">
      <c r="A5" s="51" t="inlineStr">
        <is>
          <t>Karar</t>
        </is>
      </c>
      <c r="B5" s="60">
        <f>ilc_kararMetni</f>
        <v/>
      </c>
    </row>
    <row r="6">
      <c r="A6" s="61" t="inlineStr">
        <is>
          <t>Gerekçe</t>
        </is>
      </c>
      <c r="B6" s="34">
        <f>ilc_kararGerekce</f>
        <v/>
      </c>
    </row>
    <row r="8">
      <c r="A8" s="61" t="inlineStr">
        <is>
          <t>NPV [₺]</t>
        </is>
      </c>
      <c r="B8" s="30">
        <f>ilc_npv</f>
        <v/>
      </c>
    </row>
    <row r="9">
      <c r="A9" s="61" t="inlineStr">
        <is>
          <t>IRR</t>
        </is>
      </c>
      <c r="B9" s="18">
        <f>ilc_irr</f>
        <v/>
      </c>
    </row>
    <row r="10">
      <c r="A10" s="61" t="inlineStr">
        <is>
          <t>Birim landed [₺]</t>
        </is>
      </c>
      <c r="B10" s="30">
        <f>ilc_birimLanded</f>
        <v/>
      </c>
    </row>
    <row r="11">
      <c r="A11" s="61" t="inlineStr">
        <is>
          <t>Kötümser karar</t>
        </is>
      </c>
      <c r="B11" s="44">
        <f>IFERROR(MOTOR!G50,"YATIRIM YAPMA")</f>
        <v/>
      </c>
    </row>
    <row r="13">
      <c r="A13" s="61" t="inlineStr">
        <is>
          <t>CAPEX / YATIRIM</t>
        </is>
      </c>
      <c r="B13" s="30">
        <f>GIRDI!B17</f>
        <v/>
      </c>
    </row>
    <row r="14">
      <c r="A14" s="61" t="inlineStr">
        <is>
          <t>OPEX / ISLETME yıllık</t>
        </is>
      </c>
      <c r="B14" s="30">
        <f>IFERROR(MOTOR!G37,0)</f>
        <v/>
      </c>
    </row>
    <row r="16">
      <c r="A16" s="4" t="inlineStr">
        <is>
          <t>Boş girişte karar daima VERİ YOK olur. Kötümser NPV negatifse YATIRIM YAPMA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6:H6"/>
    <mergeCell ref="A16:H16"/>
    <mergeCell ref="A1:AD1"/>
  </mergeCells>
  <conditionalFormatting sqref="B5">
    <cfRule type="expression" priority="1" dxfId="2">
      <formula>ISNUMBER(SEARCH("VERİ YOK",B5))</formula>
    </cfRule>
    <cfRule type="expression" priority="2" dxfId="2">
      <formula>ISNUMBER(SEARCH("YATIRIM YAPMA",B5))</formula>
    </cfRule>
    <cfRule type="expression" priority="3" dxfId="3">
      <formula>ISNUMBER(SEARCH("YATIRIM YAPILIR",B5))</formula>
    </cfRule>
    <cfRule type="expression" priority="4" dxfId="6">
      <formula>ISNUMBER(SEARCH("DİKKAT",B5))</formula>
    </cfRule>
  </conditionalFormatting>
  <conditionalFormatting sqref="B8">
    <cfRule type="cellIs" priority="5" operator="greaterThanOrEqual" dxfId="5">
      <formula>0</formula>
    </cfRule>
    <cfRule type="cellIs" priority="6" operator="lessThan" dxfId="0">
      <formula>0</formula>
    </cfRule>
  </conditionalFormatting>
  <conditionalFormatting sqref="B11">
    <cfRule type="expression" priority="7" dxfId="0">
      <formula>ISNUMBER(SEARCH("YAPMA",B11))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&amp;Lİthalat Gerçek Birim Maliyet Motoru · KARAR&amp;CExcelArşiv&amp;RSayfa &amp;P / &amp;N</oddFooter>
    <evenHeader/>
    <evenFooter>&amp;Lİthalat Gerçek Birim Maliyet Motoru · KARAR&amp;CExcelArşiv&amp;RSayfa &amp;P / &amp;N</evenFooter>
    <firstHeader/>
    <firstFooter/>
  </headerFooter>
</worksheet>
</file>

<file path=xl/worksheets/sheet19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26" customHeight="1">
      <c r="A1" s="1" t="inlineStr">
        <is>
          <t>VAKALAR — İthalat Gerçek Birim Maliyet Motoru</t>
        </is>
      </c>
    </row>
    <row r="3">
      <c r="A3" s="31" t="inlineStr">
        <is>
          <t>Altın vakalar — gerçek birim maliyet</t>
        </is>
      </c>
    </row>
    <row r="5" ht="30" customHeight="1">
      <c r="A5" s="21" t="inlineStr">
        <is>
          <t>vaka_id</t>
        </is>
      </c>
      <c r="B5" s="21" t="inlineStr">
        <is>
          <t>aciklama</t>
        </is>
      </c>
      <c r="C5" s="21" t="inlineStr">
        <is>
          <t>girdi_ozeti</t>
        </is>
      </c>
      <c r="D5" s="21" t="inlineStr">
        <is>
          <t>beklenen_sonuc</t>
        </is>
      </c>
      <c r="E5" s="21" t="inlineStr">
        <is>
          <t>hesaplanan</t>
        </is>
      </c>
      <c r="F5" s="21" t="inlineStr">
        <is>
          <t>fark</t>
        </is>
      </c>
      <c r="G5" s="21" t="inlineStr">
        <is>
          <t>durum</t>
        </is>
      </c>
      <c r="H5" s="21" t="inlineStr">
        <is>
          <t>kaynak</t>
        </is>
      </c>
    </row>
    <row r="6">
      <c r="A6" s="7" t="inlineStr">
        <is>
          <t>V-001</t>
        </is>
      </c>
      <c r="B6" s="7" t="inlineStr">
        <is>
          <t>FOB × kur = FOB_TL</t>
        </is>
      </c>
      <c r="C6" s="7" t="inlineStr">
        <is>
          <t>fob=vaka_fob; kur=vaka_kur</t>
        </is>
      </c>
      <c r="D6" s="62" t="n">
        <v>3400000</v>
      </c>
      <c r="E6" s="63">
        <f>IF($A6="","",IFERROR(INDEX($E$6:$E$9,MATCH($A6,$A$6:$A$9,0)),0))</f>
        <v/>
      </c>
      <c r="F6" s="63">
        <f>IF($A6="","",IFERROR($E6-$D6,0))</f>
        <v/>
      </c>
      <c r="G6" s="64">
        <f>IF($A6="","",IFERROR(IF(ABS($F6)&lt;=ilc_tolerans,"TUTARLI","KIRIK"),"KIRIK"))</f>
        <v/>
      </c>
      <c r="H6" s="44" t="inlineStr">
        <is>
          <t>FOB TL</t>
        </is>
      </c>
    </row>
    <row r="7">
      <c r="A7" s="7" t="inlineStr">
        <is>
          <t>V-002</t>
        </is>
      </c>
      <c r="B7" s="7" t="inlineStr">
        <is>
          <t>CIF = FOB_TL+navlun_TL+sigorta_TL</t>
        </is>
      </c>
      <c r="C7" s="7" t="inlineStr">
        <is>
          <t>navlun=vaka_navlun; sigorta_oran=vaka_sigorta</t>
        </is>
      </c>
      <c r="D7" s="62" t="n">
        <v>3604000</v>
      </c>
      <c r="E7" s="63">
        <f>IF($A7="","",IFERROR(INDEX($E$6:$E$9,MATCH($A7,$A$6:$A$9,0)),0))</f>
        <v/>
      </c>
      <c r="F7" s="63">
        <f>IF($A7="","",IFERROR($E7-$D7,0))</f>
        <v/>
      </c>
      <c r="G7" s="64">
        <f>IF($A7="","",IFERROR(IF(ABS($F7)&lt;=ilc_tolerans,"TUTARLI","KIRIK"),"KIRIK"))</f>
        <v/>
      </c>
      <c r="H7" s="44" t="inlineStr">
        <is>
          <t>CIF TL</t>
        </is>
      </c>
    </row>
    <row r="8">
      <c r="A8" s="7" t="inlineStr">
        <is>
          <t>V-003</t>
        </is>
      </c>
      <c r="B8" s="7" t="inlineStr">
        <is>
          <t>Gümrük = CIF × ILC-001</t>
        </is>
      </c>
      <c r="C8" s="7" t="inlineStr">
        <is>
          <t>CIF=vaka_cif; oran 2026</t>
        </is>
      </c>
      <c r="D8" s="62" t="n">
        <v>360400</v>
      </c>
      <c r="E8" s="63">
        <f>IF($A8="","",IFERROR(INDEX($E$6:$E$9,MATCH($A8,$A$6:$A$9,0)),0))</f>
        <v/>
      </c>
      <c r="F8" s="63">
        <f>IF($A8="","",IFERROR($E8-$D8,0))</f>
        <v/>
      </c>
      <c r="G8" s="64">
        <f>IF($A8="","",IFERROR(IF(ABS($F8)&lt;=ilc_tolerans,"TUTARLI","KIRIK"),"KIRIK"))</f>
        <v/>
      </c>
      <c r="H8" s="44" t="inlineStr">
        <is>
          <t>Gümrük</t>
        </is>
      </c>
    </row>
    <row r="9">
      <c r="A9" s="7" t="inlineStr">
        <is>
          <t>V-004</t>
        </is>
      </c>
      <c r="B9" s="7" t="inlineStr">
        <is>
          <t>Birim landed = toplam/miktar</t>
        </is>
      </c>
      <c r="C9" s="7" t="inlineStr">
        <is>
          <t>toplam=vaka_landed; miktar=vaka_miktar</t>
        </is>
      </c>
      <c r="D9" s="62" t="n">
        <v>5200</v>
      </c>
      <c r="E9" s="63">
        <f>IF($A9="","",IFERROR(INDEX($E$6:$E$9,MATCH($A9,$A$6:$A$9,0)),0))</f>
        <v/>
      </c>
      <c r="F9" s="63">
        <f>IF($A9="","",IFERROR($E9-$D9,0))</f>
        <v/>
      </c>
      <c r="G9" s="64">
        <f>IF($A9="","",IFERROR(IF(ABS($F9)&lt;=ilc_tolerans,"TUTARLI","KIRIK"),"KIRIK"))</f>
        <v/>
      </c>
      <c r="H9" s="44" t="inlineStr">
        <is>
          <t>Birim</t>
        </is>
      </c>
    </row>
    <row r="12">
      <c r="A12" s="10" t="inlineStr">
        <is>
          <t>Vaka durumu özeti</t>
        </is>
      </c>
      <c r="B12" s="44">
        <f>IFERROR(IF(COUNTIF(G6:G9,"KIRIK")&gt;0,"KIRIK","TUTARLI"),"KIRIK")</f>
        <v/>
      </c>
    </row>
    <row r="13">
      <c r="A13" s="10" t="inlineStr">
        <is>
          <t>Toplam mutlak fark</t>
        </is>
      </c>
      <c r="B13" s="20">
        <f>IFERROR(SUM(ABS(F6),ABS(F7),ABS(F8),ABS(F9)),0)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3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D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 ht="26" customHeight="1">
      <c r="A1" s="1" t="inlineStr">
        <is>
          <t>KANIT RAPORU — İthalat Gerçek Birim Maliyet Motoru</t>
        </is>
      </c>
    </row>
    <row r="3">
      <c r="A3" s="51" t="inlineStr">
        <is>
          <t>KANIT RAPORU — İthalat Gerçek Birim Maliyet</t>
        </is>
      </c>
    </row>
    <row r="4">
      <c r="A4" s="13" t="inlineStr">
        <is>
          <t>Finans / gümrük dosyası</t>
        </is>
      </c>
    </row>
    <row r="6">
      <c r="A6" s="61" t="inlineStr">
        <is>
          <t>Şirket</t>
        </is>
      </c>
      <c r="B6" s="44">
        <f>GIRDI!B6</f>
        <v/>
      </c>
    </row>
    <row r="7">
      <c r="A7" s="61" t="inlineStr">
        <is>
          <t>Dönem</t>
        </is>
      </c>
      <c r="B7" s="44">
        <f>GIRDI!B7</f>
        <v/>
      </c>
    </row>
    <row r="8">
      <c r="A8" s="61" t="inlineStr">
        <is>
          <t>Hesap yılı</t>
        </is>
      </c>
      <c r="B8" s="20">
        <f>hesapYili</f>
        <v/>
      </c>
    </row>
    <row r="9">
      <c r="A9" s="61" t="inlineStr">
        <is>
          <t>Rapor tarihi</t>
        </is>
      </c>
      <c r="B9" s="65">
        <f>raporTarihi</f>
        <v/>
      </c>
    </row>
    <row r="10">
      <c r="A10" s="61" t="inlineStr">
        <is>
          <t>Aktif kur</t>
        </is>
      </c>
      <c r="B10" s="42">
        <f>ilc_aktifKur</f>
        <v/>
      </c>
    </row>
    <row r="12">
      <c r="A12" s="61" t="inlineStr">
        <is>
          <t>CIF [₺]</t>
        </is>
      </c>
      <c r="B12" s="30">
        <f>MOTOR!G29</f>
        <v/>
      </c>
    </row>
    <row r="13">
      <c r="A13" s="61" t="inlineStr">
        <is>
          <t>Gümrük [₺]</t>
        </is>
      </c>
      <c r="B13" s="30">
        <f>MOTOR!G30</f>
        <v/>
      </c>
    </row>
    <row r="14">
      <c r="A14" s="61" t="inlineStr">
        <is>
          <t>KKDF [₺]</t>
        </is>
      </c>
      <c r="B14" s="30">
        <f>MOTOR!G31</f>
        <v/>
      </c>
    </row>
    <row r="15">
      <c r="A15" s="61" t="inlineStr">
        <is>
          <t>KDV [₺]</t>
        </is>
      </c>
      <c r="B15" s="30">
        <f>MOTOR!G33</f>
        <v/>
      </c>
    </row>
    <row r="16">
      <c r="A16" s="66" t="inlineStr">
        <is>
          <t>Birim landed [₺]</t>
        </is>
      </c>
      <c r="B16" s="19">
        <f>ilc_birimLanded</f>
        <v/>
      </c>
    </row>
    <row r="17">
      <c r="A17" s="61" t="inlineStr">
        <is>
          <t>NPV [₺]</t>
        </is>
      </c>
      <c r="B17" s="30">
        <f>ilc_npv</f>
        <v/>
      </c>
    </row>
    <row r="18">
      <c r="A18" s="61" t="inlineStr">
        <is>
          <t>IRR</t>
        </is>
      </c>
      <c r="B18" s="18">
        <f>ilc_irr</f>
        <v/>
      </c>
    </row>
    <row r="20">
      <c r="A20" s="66" t="inlineStr">
        <is>
          <t>Karar</t>
        </is>
      </c>
      <c r="B20" s="67">
        <f>ilc_kararMetni</f>
        <v/>
      </c>
    </row>
    <row r="21">
      <c r="A21" s="61" t="inlineStr">
        <is>
          <t>Gerekçe</t>
        </is>
      </c>
      <c r="B21" s="34">
        <f>ilc_kararGerekce</f>
        <v/>
      </c>
    </row>
    <row r="23">
      <c r="A23" s="61" t="inlineStr">
        <is>
          <t>Madde / kural atıfı</t>
        </is>
      </c>
      <c r="B23" s="34">
        <f>ilc_maddeAtifMetni</f>
        <v/>
      </c>
    </row>
    <row r="25">
      <c r="A25" s="61" t="inlineStr">
        <is>
          <t>Kanıt özeti</t>
        </is>
      </c>
      <c r="B25" s="34">
        <f>ilc_kanitRaporu</f>
        <v/>
      </c>
    </row>
    <row r="27">
      <c r="A27" s="61" t="inlineStr">
        <is>
          <t>Parmak izi</t>
        </is>
      </c>
      <c r="B27" s="13">
        <f>ilc_parmakIzi</f>
        <v/>
      </c>
    </row>
    <row r="30">
      <c r="A30" s="61" t="inlineStr">
        <is>
          <t>Hazırlayan</t>
        </is>
      </c>
      <c r="B30" s="68" t="inlineStr"/>
    </row>
    <row r="31">
      <c r="A31" s="61" t="inlineStr">
        <is>
          <t>Onaylayan</t>
        </is>
      </c>
      <c r="B31" s="68" t="inlineStr"/>
    </row>
    <row r="34">
      <c r="A34" s="69" t="inlineStr">
        <is>
          <t>Bu çıktı karar destek amaçlıdır; bağlayıcı gümrük veya yatırım kararı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B21:H21"/>
    <mergeCell ref="B25:H25"/>
    <mergeCell ref="A1:AD1"/>
    <mergeCell ref="B23:H23"/>
  </mergeCells>
  <conditionalFormatting sqref="B20">
    <cfRule type="expression" priority="1" dxfId="2">
      <formula>ISNUMBER(SEARCH("YAPMA",B20))</formula>
    </cfRule>
    <cfRule type="expression" priority="2" dxfId="3">
      <formula>ISNUMBER(SEARCH("YAPILIR",B20))</formula>
    </cfRule>
    <cfRule type="expression" priority="3" dxfId="6">
      <formula>ISNUMBER(SEARCH("DİKKAT",B20))</formula>
    </cfRule>
  </conditionalFormatting>
  <conditionalFormatting sqref="B16">
    <cfRule type="cellIs" priority="4" operator="greaterThan" dxfId="5">
      <formula>0</formula>
    </cfRule>
  </conditionalFormatting>
  <conditionalFormatting sqref="B17">
    <cfRule type="cellIs" priority="5" operator="greaterThanOrEqual" dxfId="5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&amp;Lİthalat Gerçek Birim Maliyet Motoru · 1.0.0&amp;CExcelArşiv&amp;RSayfa &amp;P / &amp;N</oddFooter>
    <evenHeader/>
    <evenFooter>&amp;Lİthalat Gerçek Birim Maliyet Motoru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 ht="26" customHeight="1">
      <c r="A1" s="1" t="inlineStr">
        <is>
          <t>KONTROLLER — İthalat Gerçek Birim Maliyet Motoru</t>
        </is>
      </c>
    </row>
    <row r="3">
      <c r="A3" s="9" t="inlineStr">
        <is>
          <t>Dosya sağlık kontrolleri</t>
        </is>
      </c>
    </row>
    <row r="5">
      <c r="A5" s="7" t="inlineStr">
        <is>
          <t>Giriş dolu mu?</t>
        </is>
      </c>
      <c r="B5" s="44">
        <f>IFERROR(IF(COUNTA(tblGirdi[Alan Anahtarı])=0,"BOŞ","DOLU"),"BOŞ")</f>
        <v/>
      </c>
    </row>
    <row r="6">
      <c r="A6" s="7" t="inlineStr">
        <is>
          <t>Hesap yılı geçerli mi?</t>
        </is>
      </c>
      <c r="B6" s="44">
        <f>IFERROR(IF(AND(N(hesapYili)&gt;N(ilc_yilTaban),N(hesapYili)&lt;=N(ilc_yilTaban)+3),"TEMİZ","HATALI"),"HATALI")</f>
        <v/>
      </c>
    </row>
    <row r="7">
      <c r="A7" s="7" t="inlineStr">
        <is>
          <t>Kur &gt; 0?</t>
        </is>
      </c>
      <c r="B7" s="44">
        <f>IFERROR(IF(ilc_aktifKur&gt;0,"TEMİZ","HATALI"),"HATALI")</f>
        <v/>
      </c>
    </row>
    <row r="8">
      <c r="A8" s="7" t="inlineStr">
        <is>
          <t>Miktar &gt; 0?</t>
        </is>
      </c>
      <c r="B8" s="44">
        <f>IFERROR(IF(MOTOR!G15&gt;0,"TEMİZ","HATALI"),"HATALI")</f>
        <v/>
      </c>
    </row>
    <row r="9">
      <c r="A9" s="7" t="inlineStr">
        <is>
          <t>Birim negatif mi?</t>
        </is>
      </c>
      <c r="B9" s="44">
        <f>IFERROR(IF(MOTOR!G35&lt;0,"NEGATİF","NORMAL"),"NORMAL")</f>
        <v/>
      </c>
    </row>
    <row r="10">
      <c r="A10" s="7" t="inlineStr">
        <is>
          <t>Vaka durumu</t>
        </is>
      </c>
      <c r="B10" s="44">
        <f>IFERROR(ilc_vakaDurum,"KIRIK")</f>
        <v/>
      </c>
    </row>
    <row r="11">
      <c r="A11" s="7" t="inlineStr">
        <is>
          <t>Marj hedef altı?</t>
        </is>
      </c>
      <c r="B11" s="44">
        <f>IF(IFERROR(MOTOR!G36,0)&lt;MOTOR!G11+N(GIRDI!B10)*ilc_sifirCarpan,"AŞIYOR","NORMAL")</f>
        <v/>
      </c>
    </row>
    <row r="12">
      <c r="A12" s="10" t="inlineStr">
        <is>
          <t>Sağlık skoru</t>
        </is>
      </c>
      <c r="B12" s="20">
        <f>IFERROR(ROUND((COUNTIF(B5:B11,"TEMİZ")+COUNTIF(B5:B11,"DOLU")+COUNTIF(B5:B11,"NORMAL")+COUNTIF(B5:B11,"TUTARLI"))/7*100,0),0)</f>
        <v/>
      </c>
    </row>
    <row r="14">
      <c r="A14" s="61" t="inlineStr">
        <is>
          <t>Beklenen giriş</t>
        </is>
      </c>
      <c r="B14" s="20">
        <f>IFERROR(ilc_girisBeklenen+COUNTA(GIRDI!B6:B21)*0,0)</f>
        <v/>
      </c>
    </row>
    <row r="15">
      <c r="A15" s="61" t="inlineStr">
        <is>
          <t>Birim landed</t>
        </is>
      </c>
      <c r="B15" s="30">
        <f>IFERROR(ilc_birimLanded,0)</f>
        <v/>
      </c>
    </row>
    <row r="16">
      <c r="A16" s="61" t="inlineStr">
        <is>
          <t>NPV</t>
        </is>
      </c>
      <c r="B16" s="30">
        <f>IFERROR(ilc_npv,0)</f>
        <v/>
      </c>
    </row>
    <row r="17">
      <c r="A17" s="61" t="inlineStr">
        <is>
          <t>IRR</t>
        </is>
      </c>
      <c r="B17" s="18">
        <f>IFERROR(ilc_irr,0)</f>
        <v/>
      </c>
    </row>
    <row r="18">
      <c r="A18" s="61" t="inlineStr">
        <is>
          <t>CIF</t>
        </is>
      </c>
      <c r="B18" s="30">
        <f>IFERROR(MOTOR!G29,0)</f>
        <v/>
      </c>
    </row>
    <row r="19">
      <c r="A19" s="61" t="inlineStr">
        <is>
          <t>Karar</t>
        </is>
      </c>
      <c r="B19" s="44">
        <f>IFERROR(ilc_kararMetni,"-")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3">
      <formula>OR(B5="TEMİZ",B5="DOLU",B5="NORMAL",B5="TUTARLI")</formula>
    </cfRule>
  </conditionalFormatting>
  <conditionalFormatting sqref="B12">
    <cfRule type="cellIs" priority="3" operator="greaterThanOrEqual" dxfId="5">
      <formula>80</formula>
    </cfRule>
    <cfRule type="cellIs" priority="4" operator="lessThan" dxfId="0">
      <formula>50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48235"/>
    <outlinePr summaryBelow="1" summaryRight="1"/>
    <pageSetUpPr/>
  </sheetPr>
  <dimension ref="A1:AD100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1" ht="26" customHeight="1">
      <c r="A1" s="1" t="inlineStr">
        <is>
          <t>ORNEK VERI — İthalat Gerçek Birim Maliyet Motoru</t>
        </is>
      </c>
    </row>
    <row r="3">
      <c r="A3" s="31" t="inlineStr">
        <is>
          <t>Örnek sevkiyat verileri</t>
        </is>
      </c>
    </row>
    <row r="5" ht="30" customHeight="1">
      <c r="A5" s="21" t="inlineStr">
        <is>
          <t>Senaryo</t>
        </is>
      </c>
      <c r="B5" s="21" t="inlineStr">
        <is>
          <t>FOB</t>
        </is>
      </c>
      <c r="C5" s="21" t="inlineStr">
        <is>
          <t>Miktar</t>
        </is>
      </c>
      <c r="D5" s="21" t="inlineStr">
        <is>
          <t>Navlun</t>
        </is>
      </c>
      <c r="E5" s="21" t="inlineStr">
        <is>
          <t>Kur</t>
        </is>
      </c>
      <c r="F5" s="21" t="inlineStr">
        <is>
          <t>Sigorta</t>
        </is>
      </c>
      <c r="G5" s="21" t="inlineStr">
        <is>
          <t>Lokal</t>
        </is>
      </c>
      <c r="H5" s="21" t="inlineStr">
        <is>
          <t>Hedef satış</t>
        </is>
      </c>
      <c r="I5" s="21" t="inlineStr">
        <is>
          <t>Yıllık miktar</t>
        </is>
      </c>
      <c r="J5" s="21" t="inlineStr">
        <is>
          <t>CAPEX</t>
        </is>
      </c>
      <c r="K5" s="21" t="inlineStr">
        <is>
          <t>Yıl</t>
        </is>
      </c>
      <c r="L5" s="21" t="inlineStr">
        <is>
          <t>Birim Ornek</t>
        </is>
      </c>
    </row>
    <row r="6">
      <c r="A6" s="29" t="inlineStr">
        <is>
          <t>Demo ana</t>
        </is>
      </c>
      <c r="B6" s="33" t="n">
        <v>100000</v>
      </c>
      <c r="C6" s="33" t="n">
        <v>1000</v>
      </c>
      <c r="D6" s="33" t="n">
        <v>5000</v>
      </c>
      <c r="E6" s="70" t="n">
        <v>34</v>
      </c>
      <c r="F6" s="32" t="n">
        <v>0.01</v>
      </c>
      <c r="G6" s="71" t="n">
        <v>25000</v>
      </c>
      <c r="H6" s="71" t="n">
        <v>6500</v>
      </c>
      <c r="I6" s="33" t="n">
        <v>12000</v>
      </c>
      <c r="J6" s="71" t="n">
        <v>800000</v>
      </c>
      <c r="K6" s="33" t="n">
        <v>2026</v>
      </c>
      <c r="L6" s="23">
        <f>IF($A6="","",IFERROR(ROUND(($B6*$E6+$D6*$E6+$B6*$F6*$E6+$G6)/MAX(1,$C6),0),0))</f>
        <v/>
      </c>
    </row>
    <row r="7">
      <c r="A7" s="29" t="inlineStr">
        <is>
          <t>Yüksek kur</t>
        </is>
      </c>
      <c r="B7" s="33" t="n">
        <v>100000</v>
      </c>
      <c r="C7" s="33" t="n">
        <v>1000</v>
      </c>
      <c r="D7" s="33" t="n">
        <v>5000</v>
      </c>
      <c r="E7" s="70" t="n">
        <v>38</v>
      </c>
      <c r="F7" s="32" t="n">
        <v>0.01</v>
      </c>
      <c r="G7" s="71" t="n">
        <v>30000</v>
      </c>
      <c r="H7" s="71" t="n">
        <v>7000</v>
      </c>
      <c r="I7" s="33" t="n">
        <v>10000</v>
      </c>
      <c r="J7" s="71" t="n">
        <v>900000</v>
      </c>
      <c r="K7" s="33" t="n">
        <v>2026</v>
      </c>
      <c r="L7" s="23">
        <f>IF($A7="","",IFERROR(ROUND(($B7*$E7+$D7*$E7+$B7*$F7*$E7+$G7)/MAX(1,$C7),0),0))</f>
        <v/>
      </c>
    </row>
    <row r="8">
      <c r="A8" s="29" t="inlineStr">
        <is>
          <t>Düşük marj</t>
        </is>
      </c>
      <c r="B8" s="33" t="n">
        <v>100000</v>
      </c>
      <c r="C8" s="33" t="n">
        <v>1000</v>
      </c>
      <c r="D8" s="33" t="n">
        <v>8000</v>
      </c>
      <c r="E8" s="70" t="n">
        <v>34</v>
      </c>
      <c r="F8" s="32" t="n">
        <v>0.015</v>
      </c>
      <c r="G8" s="71" t="n">
        <v>40000</v>
      </c>
      <c r="H8" s="71" t="n">
        <v>5200</v>
      </c>
      <c r="I8" s="33" t="n">
        <v>8000</v>
      </c>
      <c r="J8" s="71" t="n">
        <v>1000000</v>
      </c>
      <c r="K8" s="33" t="n">
        <v>2026</v>
      </c>
      <c r="L8" s="23">
        <f>IF($A8="","",IFERROR(ROUND(($B8*$E8+$D8*$E8+$B8*$F8*$E8+$G8)/MAX(1,$C8),0),0))</f>
        <v/>
      </c>
    </row>
    <row r="9">
      <c r="A9" s="29" t="inlineStr">
        <is>
          <t>2025 geçiş</t>
        </is>
      </c>
      <c r="B9" s="33" t="n">
        <v>90000</v>
      </c>
      <c r="C9" s="33" t="n">
        <v>900</v>
      </c>
      <c r="D9" s="33" t="n">
        <v>4500</v>
      </c>
      <c r="E9" s="70" t="n">
        <v>32</v>
      </c>
      <c r="F9" s="32" t="n">
        <v>0.01</v>
      </c>
      <c r="G9" s="71" t="n">
        <v>20000</v>
      </c>
      <c r="H9" s="71" t="n">
        <v>6000</v>
      </c>
      <c r="I9" s="33" t="n">
        <v>11000</v>
      </c>
      <c r="J9" s="71" t="n">
        <v>750000</v>
      </c>
      <c r="K9" s="33" t="n">
        <v>2025</v>
      </c>
      <c r="L9" s="23">
        <f>IF($A9="","",IFERROR(ROUND(($B9*$E9+$D9*$E9+$B9*$F9*$E9+$G9)/MAX(1,$C9),0),0))</f>
        <v/>
      </c>
    </row>
    <row r="10">
      <c r="L10" s="23">
        <f>IF($A10="","",IFERROR(ROUND(($B10*$E10+$D10*$E10+$B10*$F10*$E10+$G10)/MAX(1,$C10),0),0))</f>
        <v/>
      </c>
    </row>
    <row r="11">
      <c r="L11" s="23">
        <f>IF($A11="","",IFERROR(ROUND(($B11*$E11+$D11*$E11+$B11*$F11*$E11+$G11)/MAX(1,$C11),0),0))</f>
        <v/>
      </c>
    </row>
    <row r="12">
      <c r="L12" s="23">
        <f>IF($A12="","",IFERROR(ROUND(($B12*$E12+$D12*$E12+$B12*$F12*$E12+$G12)/MAX(1,$C12),0),0))</f>
        <v/>
      </c>
    </row>
    <row r="13">
      <c r="L13" s="23">
        <f>IF($A13="","",IFERROR(ROUND(($B13*$E13+$D13*$E13+$B13*$F13*$E13+$G13)/MAX(1,$C13),0),0))</f>
        <v/>
      </c>
    </row>
    <row r="14">
      <c r="L14" s="23">
        <f>IF($A14="","",IFERROR(ROUND(($B14*$E14+$D14*$E14+$B14*$F14*$E14+$G14)/MAX(1,$C14),0),0))</f>
        <v/>
      </c>
    </row>
    <row r="15">
      <c r="L15" s="23">
        <f>IF($A15="","",IFERROR(ROUND(($B15*$E15+$D15*$E15+$B15*$F15*$E15+$G15)/MAX(1,$C15),0),0))</f>
        <v/>
      </c>
    </row>
    <row r="16">
      <c r="L16" s="23">
        <f>IF($A16="","",IFERROR(ROUND(($B16*$E16+$D16*$E16+$B16*$F16*$E16+$G16)/MAX(1,$C16),0),0))</f>
        <v/>
      </c>
    </row>
    <row r="17">
      <c r="L17" s="23">
        <f>IF($A17="","",IFERROR(ROUND(($B17*$E17+$D17*$E17+$B17*$F17*$E17+$G17)/MAX(1,$C17),0),0))</f>
        <v/>
      </c>
    </row>
    <row r="18">
      <c r="L18" s="23">
        <f>IF($A18="","",IFERROR(ROUND(($B18*$E18+$D18*$E18+$B18*$F18*$E18+$G18)/MAX(1,$C18),0),0))</f>
        <v/>
      </c>
    </row>
    <row r="19">
      <c r="L19" s="23">
        <f>IF($A19="","",IFERROR(ROUND(($B19*$E19+$D19*$E19+$B19*$F19*$E19+$G19)/MAX(1,$C19),0),0))</f>
        <v/>
      </c>
    </row>
    <row r="20">
      <c r="L20" s="23">
        <f>IF($A20="","",IFERROR(ROUND(($B20*$E20+$D20*$E20+$B20*$F20*$E20+$G20)/MAX(1,$C20),0),0))</f>
        <v/>
      </c>
    </row>
    <row r="21">
      <c r="L21" s="23">
        <f>IF($A21="","",IFERROR(ROUND(($B21*$E21+$D21*$E21+$B21*$F21*$E21+$G21)/MAX(1,$C21),0),0))</f>
        <v/>
      </c>
    </row>
    <row r="22">
      <c r="A22" s="47" t="inlineStr">
        <is>
          <t>OrnekBirimDemo</t>
        </is>
      </c>
      <c r="L22" s="23">
        <f>IF($A22="","",IFERROR(ROUND(($B22*$E22+$D22*$E22+$B22*$F22*$E22+$G22)/MAX(1,$C22),0),0))</f>
        <v/>
      </c>
    </row>
    <row r="23">
      <c r="A23" s="48" t="inlineStr">
        <is>
          <t>Demo ana</t>
        </is>
      </c>
      <c r="B23" s="49" t="n">
        <v>5200</v>
      </c>
      <c r="L23" s="23">
        <f>IF($A23="","",IFERROR(ROUND(($B23*$E23+$D23*$E23+$B23*$F23*$E23+$G23)/MAX(1,$C23),0),0))</f>
        <v/>
      </c>
    </row>
    <row r="24">
      <c r="A24" s="48" t="inlineStr">
        <is>
          <t>Yüksek kur</t>
        </is>
      </c>
      <c r="B24" s="49" t="n">
        <v>5900</v>
      </c>
      <c r="L24" s="23">
        <f>IF($A24="","",IFERROR(ROUND(($B24*$E24+$D24*$E24+$B24*$F24*$E24+$G24)/MAX(1,$C24),0),0))</f>
        <v/>
      </c>
    </row>
    <row r="25">
      <c r="A25" s="48" t="inlineStr">
        <is>
          <t>Düşük marj</t>
        </is>
      </c>
      <c r="B25" s="49" t="n">
        <v>6400</v>
      </c>
      <c r="L25" s="23">
        <f>IF($A25="","",IFERROR(ROUND(($B25*$E25+$D25*$E25+$B25*$F25*$E25+$G25)/MAX(1,$C25),0),0))</f>
        <v/>
      </c>
    </row>
    <row r="26">
      <c r="A26" s="48" t="inlineStr">
        <is>
          <t>2025 geçiş</t>
        </is>
      </c>
      <c r="B26" s="49" t="n">
        <v>5100</v>
      </c>
      <c r="L26" s="23">
        <f>IF($A26="","",IFERROR(ROUND(($B26*$E26+$D26*$E26+$B26*$F26*$E26+$G26)/MAX(1,$C26),0),0))</f>
        <v/>
      </c>
    </row>
    <row r="27">
      <c r="L27" s="23">
        <f>IF($A27="","",IFERROR(ROUND(($B27*$E27+$D27*$E27+$B27*$F27*$E27+$G27)/MAX(1,$C27),0),0))</f>
        <v/>
      </c>
    </row>
    <row r="28">
      <c r="L28" s="23">
        <f>IF($A28="","",IFERROR(ROUND(($B28*$E28+$D28*$E28+$B28*$F28*$E28+$G28)/MAX(1,$C28),0),0))</f>
        <v/>
      </c>
    </row>
    <row r="29">
      <c r="L29" s="23">
        <f>IF($A29="","",IFERROR(ROUND(($B29*$E29+$D29*$E29+$B29*$F29*$E29+$G29)/MAX(1,$C29),0),0))</f>
        <v/>
      </c>
    </row>
    <row r="30">
      <c r="L30" s="23">
        <f>IF($A30="","",IFERROR(ROUND(($B30*$E30+$D30*$E30+$B30*$F30*$E30+$G30)/MAX(1,$C30),0),0))</f>
        <v/>
      </c>
    </row>
    <row r="31">
      <c r="L31" s="23">
        <f>IF($A31="","",IFERROR(ROUND(($B31*$E31+$D31*$E31+$B31*$F31*$E31+$G31)/MAX(1,$C31),0),0))</f>
        <v/>
      </c>
    </row>
    <row r="32">
      <c r="L32" s="23">
        <f>IF($A32="","",IFERROR(ROUND(($B32*$E32+$D32*$E32+$B32*$F32*$E32+$G32)/MAX(1,$C32),0),0))</f>
        <v/>
      </c>
    </row>
    <row r="33">
      <c r="L33" s="23">
        <f>IF($A33="","",IFERROR(ROUND(($B33*$E33+$D33*$E33+$B33*$F33*$E33+$G33)/MAX(1,$C33),0),0))</f>
        <v/>
      </c>
    </row>
    <row r="34">
      <c r="L34" s="23">
        <f>IF($A34="","",IFERROR(ROUND(($B34*$E34+$D34*$E34+$B34*$F34*$E34+$G34)/MAX(1,$C34),0),0))</f>
        <v/>
      </c>
    </row>
    <row r="35">
      <c r="L35" s="23">
        <f>IF($A35="","",IFERROR(ROUND(($B35*$E35+$D35*$E35+$B35*$F35*$E35+$G35)/MAX(1,$C35),0),0))</f>
        <v/>
      </c>
    </row>
    <row r="36">
      <c r="L36" s="23">
        <f>IF($A36="","",IFERROR(ROUND(($B36*$E36+$D36*$E36+$B36*$F36*$E36+$G36)/MAX(1,$C36),0),0))</f>
        <v/>
      </c>
    </row>
    <row r="37">
      <c r="L37" s="23">
        <f>IF($A37="","",IFERROR(ROUND(($B37*$E37+$D37*$E37+$B37*$F37*$E37+$G37)/MAX(1,$C37),0),0))</f>
        <v/>
      </c>
    </row>
    <row r="38">
      <c r="L38" s="23">
        <f>IF($A38="","",IFERROR(ROUND(($B38*$E38+$D38*$E38+$B38*$F38*$E38+$G38)/MAX(1,$C38),0),0))</f>
        <v/>
      </c>
    </row>
    <row r="39">
      <c r="L39" s="23">
        <f>IF($A39="","",IFERROR(ROUND(($B39*$E39+$D39*$E39+$B39*$F39*$E39+$G39)/MAX(1,$C39),0),0))</f>
        <v/>
      </c>
    </row>
    <row r="40">
      <c r="L40" s="23">
        <f>IF($A40="","",IFERROR(ROUND(($B40*$E40+$D40*$E40+$B40*$F40*$E40+$G40)/MAX(1,$C40),0),0))</f>
        <v/>
      </c>
    </row>
    <row r="41">
      <c r="L41" s="23">
        <f>IF($A41="","",IFERROR(ROUND(($B41*$E41+$D41*$E41+$B41*$F41*$E41+$G41)/MAX(1,$C41),0),0))</f>
        <v/>
      </c>
    </row>
    <row r="42">
      <c r="L42" s="23">
        <f>IF($A42="","",IFERROR(ROUND(($B42*$E42+$D42*$E42+$B42*$F42*$E42+$G42)/MAX(1,$C42),0),0))</f>
        <v/>
      </c>
    </row>
    <row r="43">
      <c r="L43" s="23">
        <f>IF($A43="","",IFERROR(ROUND(($B43*$E43+$D43*$E43+$B43*$F43*$E43+$G43)/MAX(1,$C43),0),0))</f>
        <v/>
      </c>
    </row>
    <row r="44">
      <c r="L44" s="23">
        <f>IF($A44="","",IFERROR(ROUND(($B44*$E44+$D44*$E44+$B44*$F44*$E44+$G44)/MAX(1,$C44),0),0))</f>
        <v/>
      </c>
    </row>
    <row r="45">
      <c r="L45" s="23">
        <f>IF($A45="","",IFERROR(ROUND(($B45*$E45+$D45*$E45+$B45*$F45*$E45+$G45)/MAX(1,$C45),0),0))</f>
        <v/>
      </c>
    </row>
    <row r="46">
      <c r="L46" s="23">
        <f>IF($A46="","",IFERROR(ROUND(($B46*$E46+$D46*$E46+$B46*$F46*$E46+$G46)/MAX(1,$C46),0),0))</f>
        <v/>
      </c>
    </row>
    <row r="47">
      <c r="L47" s="23">
        <f>IF($A47="","",IFERROR(ROUND(($B47*$E47+$D47*$E47+$B47*$F47*$E47+$G47)/MAX(1,$C47),0),0))</f>
        <v/>
      </c>
    </row>
    <row r="48">
      <c r="L48" s="23">
        <f>IF($A48="","",IFERROR(ROUND(($B48*$E48+$D48*$E48+$B48*$F48*$E48+$G48)/MAX(1,$C48),0),0))</f>
        <v/>
      </c>
    </row>
    <row r="49">
      <c r="L49" s="23">
        <f>IF($A49="","",IFERROR(ROUND(($B49*$E49+$D49*$E49+$B49*$F49*$E49+$G49)/MAX(1,$C49),0),0))</f>
        <v/>
      </c>
    </row>
    <row r="50">
      <c r="L50" s="23">
        <f>IF($A50="","",IFERROR(ROUND(($B50*$E50+$D50*$E50+$B50*$F50*$E50+$G50)/MAX(1,$C50),0),0))</f>
        <v/>
      </c>
    </row>
    <row r="51">
      <c r="L51" s="23">
        <f>IF($A51="","",IFERROR(ROUND(($B51*$E51+$D51*$E51+$B51*$F51*$E51+$G51)/MAX(1,$C51),0),0))</f>
        <v/>
      </c>
    </row>
    <row r="52">
      <c r="L52" s="23">
        <f>IF($A52="","",IFERROR(ROUND(($B52*$E52+$D52*$E52+$B52*$F52*$E52+$G52)/MAX(1,$C52),0),0))</f>
        <v/>
      </c>
    </row>
    <row r="53">
      <c r="L53" s="23">
        <f>IF($A53="","",IFERROR(ROUND(($B53*$E53+$D53*$E53+$B53*$F53*$E53+$G53)/MAX(1,$C53),0),0))</f>
        <v/>
      </c>
    </row>
    <row r="54">
      <c r="L54" s="23">
        <f>IF($A54="","",IFERROR(ROUND(($B54*$E54+$D54*$E54+$B54*$F54*$E54+$G54)/MAX(1,$C54),0),0))</f>
        <v/>
      </c>
    </row>
    <row r="55">
      <c r="L55" s="23">
        <f>IF($A55="","",IFERROR(ROUND(($B55*$E55+$D55*$E55+$B55*$F55*$E55+$G55)/MAX(1,$C55),0),0))</f>
        <v/>
      </c>
    </row>
    <row r="56">
      <c r="L56" s="23">
        <f>IF($A56="","",IFERROR(ROUND(($B56*$E56+$D56*$E56+$B56*$F56*$E56+$G56)/MAX(1,$C56),0),0))</f>
        <v/>
      </c>
    </row>
    <row r="57">
      <c r="L57" s="23">
        <f>IF($A57="","",IFERROR(ROUND(($B57*$E57+$D57*$E57+$B57*$F57*$E57+$G57)/MAX(1,$C57),0),0))</f>
        <v/>
      </c>
    </row>
    <row r="58">
      <c r="L58" s="23">
        <f>IF($A58="","",IFERROR(ROUND(($B58*$E58+$D58*$E58+$B58*$F58*$E58+$G58)/MAX(1,$C58),0),0))</f>
        <v/>
      </c>
    </row>
    <row r="59">
      <c r="L59" s="23">
        <f>IF($A59="","",IFERROR(ROUND(($B59*$E59+$D59*$E59+$B59*$F59*$E59+$G59)/MAX(1,$C59),0),0))</f>
        <v/>
      </c>
    </row>
    <row r="60">
      <c r="L60" s="23">
        <f>IF($A60="","",IFERROR(ROUND(($B60*$E60+$D60*$E60+$B60*$F60*$E60+$G60)/MAX(1,$C60),0),0))</f>
        <v/>
      </c>
    </row>
    <row r="61">
      <c r="L61" s="23">
        <f>IF($A61="","",IFERROR(ROUND(($B61*$E61+$D61*$E61+$B61*$F61*$E61+$G61)/MAX(1,$C61),0),0))</f>
        <v/>
      </c>
    </row>
    <row r="62">
      <c r="L62" s="23">
        <f>IF($A62="","",IFERROR(ROUND(($B62*$E62+$D62*$E62+$B62*$F62*$E62+$G62)/MAX(1,$C62),0),0))</f>
        <v/>
      </c>
    </row>
    <row r="63">
      <c r="L63" s="23">
        <f>IF($A63="","",IFERROR(ROUND(($B63*$E63+$D63*$E63+$B63*$F63*$E63+$G63)/MAX(1,$C63),0),0))</f>
        <v/>
      </c>
    </row>
    <row r="64">
      <c r="L64" s="23">
        <f>IF($A64="","",IFERROR(ROUND(($B64*$E64+$D64*$E64+$B64*$F64*$E64+$G64)/MAX(1,$C64),0),0))</f>
        <v/>
      </c>
    </row>
    <row r="65">
      <c r="L65" s="23">
        <f>IF($A65="","",IFERROR(ROUND(($B65*$E65+$D65*$E65+$B65*$F65*$E65+$G65)/MAX(1,$C65),0),0))</f>
        <v/>
      </c>
    </row>
    <row r="66">
      <c r="L66" s="23">
        <f>IF($A66="","",IFERROR(ROUND(($B66*$E66+$D66*$E66+$B66*$F66*$E66+$G66)/MAX(1,$C66),0),0))</f>
        <v/>
      </c>
    </row>
    <row r="67">
      <c r="L67" s="23">
        <f>IF($A67="","",IFERROR(ROUND(($B67*$E67+$D67*$E67+$B67*$F67*$E67+$G67)/MAX(1,$C67),0),0))</f>
        <v/>
      </c>
    </row>
    <row r="68">
      <c r="L68" s="23">
        <f>IF($A68="","",IFERROR(ROUND(($B68*$E68+$D68*$E68+$B68*$F68*$E68+$G68)/MAX(1,$C68),0),0))</f>
        <v/>
      </c>
    </row>
    <row r="69">
      <c r="L69" s="23">
        <f>IF($A69="","",IFERROR(ROUND(($B69*$E69+$D69*$E69+$B69*$F69*$E69+$G69)/MAX(1,$C69),0),0))</f>
        <v/>
      </c>
    </row>
    <row r="70">
      <c r="L70" s="23">
        <f>IF($A70="","",IFERROR(ROUND(($B70*$E70+$D70*$E70+$B70*$F70*$E70+$G70)/MAX(1,$C70),0),0))</f>
        <v/>
      </c>
    </row>
    <row r="71">
      <c r="L71" s="23">
        <f>IF($A71="","",IFERROR(ROUND(($B71*$E71+$D71*$E71+$B71*$F71*$E71+$G71)/MAX(1,$C71),0),0))</f>
        <v/>
      </c>
    </row>
    <row r="72">
      <c r="L72" s="23">
        <f>IF($A72="","",IFERROR(ROUND(($B72*$E72+$D72*$E72+$B72*$F72*$E72+$G72)/MAX(1,$C72),0),0))</f>
        <v/>
      </c>
    </row>
    <row r="73">
      <c r="L73" s="23">
        <f>IF($A73="","",IFERROR(ROUND(($B73*$E73+$D73*$E73+$B73*$F73*$E73+$G73)/MAX(1,$C73),0),0))</f>
        <v/>
      </c>
    </row>
    <row r="74">
      <c r="L74" s="23">
        <f>IF($A74="","",IFERROR(ROUND(($B74*$E74+$D74*$E74+$B74*$F74*$E74+$G74)/MAX(1,$C74),0),0))</f>
        <v/>
      </c>
    </row>
    <row r="75">
      <c r="L75" s="23">
        <f>IF($A75="","",IFERROR(ROUND(($B75*$E75+$D75*$E75+$B75*$F75*$E75+$G75)/MAX(1,$C75),0),0))</f>
        <v/>
      </c>
    </row>
    <row r="76">
      <c r="L76" s="23">
        <f>IF($A76="","",IFERROR(ROUND(($B76*$E76+$D76*$E76+$B76*$F76*$E76+$G76)/MAX(1,$C76),0),0))</f>
        <v/>
      </c>
    </row>
    <row r="77">
      <c r="L77" s="23">
        <f>IF($A77="","",IFERROR(ROUND(($B77*$E77+$D77*$E77+$B77*$F77*$E77+$G77)/MAX(1,$C77),0),0))</f>
        <v/>
      </c>
    </row>
    <row r="78">
      <c r="L78" s="23">
        <f>IF($A78="","",IFERROR(ROUND(($B78*$E78+$D78*$E78+$B78*$F78*$E78+$G78)/MAX(1,$C78),0),0))</f>
        <v/>
      </c>
    </row>
    <row r="79">
      <c r="L79" s="23">
        <f>IF($A79="","",IFERROR(ROUND(($B79*$E79+$D79*$E79+$B79*$F79*$E79+$G79)/MAX(1,$C79),0),0))</f>
        <v/>
      </c>
    </row>
    <row r="80">
      <c r="L80" s="23">
        <f>IF($A80="","",IFERROR(ROUND(($B80*$E80+$D80*$E80+$B80*$F80*$E80+$G80)/MAX(1,$C80),0),0))</f>
        <v/>
      </c>
    </row>
    <row r="81">
      <c r="L81" s="23">
        <f>IF($A81="","",IFERROR(ROUND(($B81*$E81+$D81*$E81+$B81*$F81*$E81+$G81)/MAX(1,$C81),0),0))</f>
        <v/>
      </c>
    </row>
    <row r="82">
      <c r="L82" s="23">
        <f>IF($A82="","",IFERROR(ROUND(($B82*$E82+$D82*$E82+$B82*$F82*$E82+$G82)/MAX(1,$C82),0),0))</f>
        <v/>
      </c>
    </row>
    <row r="83">
      <c r="L83" s="23">
        <f>IF($A83="","",IFERROR(ROUND(($B83*$E83+$D83*$E83+$B83*$F83*$E83+$G83)/MAX(1,$C83),0),0))</f>
        <v/>
      </c>
    </row>
    <row r="84">
      <c r="L84" s="23">
        <f>IF($A84="","",IFERROR(ROUND(($B84*$E84+$D84*$E84+$B84*$F84*$E84+$G84)/MAX(1,$C84),0),0))</f>
        <v/>
      </c>
    </row>
    <row r="85">
      <c r="L85" s="23">
        <f>IF($A85="","",IFERROR(ROUND(($B85*$E85+$D85*$E85+$B85*$F85*$E85+$G85)/MAX(1,$C85),0),0))</f>
        <v/>
      </c>
    </row>
    <row r="86">
      <c r="L86" s="23">
        <f>IF($A86="","",IFERROR(ROUND(($B86*$E86+$D86*$E86+$B86*$F86*$E86+$G86)/MAX(1,$C86),0),0))</f>
        <v/>
      </c>
    </row>
    <row r="87">
      <c r="L87" s="23">
        <f>IF($A87="","",IFERROR(ROUND(($B87*$E87+$D87*$E87+$B87*$F87*$E87+$G87)/MAX(1,$C87),0),0))</f>
        <v/>
      </c>
    </row>
    <row r="88">
      <c r="L88" s="23">
        <f>IF($A88="","",IFERROR(ROUND(($B88*$E88+$D88*$E88+$B88*$F88*$E88+$G88)/MAX(1,$C88),0),0))</f>
        <v/>
      </c>
    </row>
    <row r="89">
      <c r="L89" s="23">
        <f>IF($A89="","",IFERROR(ROUND(($B89*$E89+$D89*$E89+$B89*$F89*$E89+$G89)/MAX(1,$C89),0),0))</f>
        <v/>
      </c>
    </row>
    <row r="90">
      <c r="L90" s="23">
        <f>IF($A90="","",IFERROR(ROUND(($B90*$E90+$D90*$E90+$B90*$F90*$E90+$G90)/MAX(1,$C90),0),0))</f>
        <v/>
      </c>
    </row>
    <row r="91">
      <c r="L91" s="23">
        <f>IF($A91="","",IFERROR(ROUND(($B91*$E91+$D91*$E91+$B91*$F91*$E91+$G91)/MAX(1,$C91),0),0))</f>
        <v/>
      </c>
    </row>
    <row r="92">
      <c r="L92" s="23">
        <f>IF($A92="","",IFERROR(ROUND(($B92*$E92+$D92*$E92+$B92*$F92*$E92+$G92)/MAX(1,$C92),0),0))</f>
        <v/>
      </c>
    </row>
    <row r="93">
      <c r="L93" s="23">
        <f>IF($A93="","",IFERROR(ROUND(($B93*$E93+$D93*$E93+$B93*$F93*$E93+$G93)/MAX(1,$C93),0),0))</f>
        <v/>
      </c>
    </row>
    <row r="94">
      <c r="L94" s="23">
        <f>IF($A94="","",IFERROR(ROUND(($B94*$E94+$D94*$E94+$B94*$F94*$E94+$G94)/MAX(1,$C94),0),0))</f>
        <v/>
      </c>
    </row>
    <row r="95">
      <c r="L95" s="23">
        <f>IF($A95="","",IFERROR(ROUND(($B95*$E95+$D95*$E95+$B95*$F95*$E95+$G95)/MAX(1,$C95),0),0))</f>
        <v/>
      </c>
    </row>
    <row r="96">
      <c r="L96" s="23">
        <f>IF($A96="","",IFERROR(ROUND(($B96*$E96+$D96*$E96+$B96*$F96*$E96+$G96)/MAX(1,$C96),0),0))</f>
        <v/>
      </c>
    </row>
    <row r="97">
      <c r="L97" s="23">
        <f>IF($A97="","",IFERROR(ROUND(($B97*$E97+$D97*$E97+$B97*$F97*$E97+$G97)/MAX(1,$C97),0),0))</f>
        <v/>
      </c>
    </row>
    <row r="98">
      <c r="L98" s="23">
        <f>IF($A98="","",IFERROR(ROUND(($B98*$E98+$D98*$E98+$B98*$F98*$E98+$G98)/MAX(1,$C98),0),0))</f>
        <v/>
      </c>
    </row>
    <row r="99">
      <c r="L99" s="23">
        <f>IF($A99="","",IFERROR(ROUND(($B99*$E99+$D99*$E99+$B99*$F99*$E99+$G99)/MAX(1,$C99),0),0))</f>
        <v/>
      </c>
    </row>
    <row r="100">
      <c r="L100" s="23">
        <f>IF($A100="","",IFERROR(ROUND(($B100*$E100+$D100*$E100+$B100*$F100*$E100+$G100)/MAX(1,$C100),0),0))</f>
        <v/>
      </c>
    </row>
    <row r="101">
      <c r="L101" s="23">
        <f>IF($A101="","",IFERROR(ROUND(($B101*$E101+$D101*$E101+$B101*$F101*$E101+$G101)/MAX(1,$C101),0),0))</f>
        <v/>
      </c>
    </row>
    <row r="102">
      <c r="L102" s="23">
        <f>IF($A102="","",IFERROR(ROUND(($B102*$E102+$D102*$E102+$B102*$F102*$E102+$G102)/MAX(1,$C102),0),0))</f>
        <v/>
      </c>
    </row>
    <row r="103">
      <c r="L103" s="23">
        <f>IF($A103="","",IFERROR(ROUND(($B103*$E103+$D103*$E103+$B103*$F103*$E103+$G103)/MAX(1,$C103),0),0))</f>
        <v/>
      </c>
    </row>
    <row r="104">
      <c r="L104" s="23">
        <f>IF($A104="","",IFERROR(ROUND(($B104*$E104+$D104*$E104+$B104*$F104*$E104+$G104)/MAX(1,$C104),0),0))</f>
        <v/>
      </c>
    </row>
    <row r="105">
      <c r="L105" s="23">
        <f>IF($A105="","",IFERROR(ROUND(($B105*$E105+$D105*$E105+$B105*$F105*$E105+$G105)/MAX(1,$C105),0),0))</f>
        <v/>
      </c>
    </row>
    <row r="106">
      <c r="L106" s="23">
        <f>IF($A106="","",IFERROR(ROUND(($B106*$E106+$D106*$E106+$B106*$F106*$E106+$G106)/MAX(1,$C106),0),0))</f>
        <v/>
      </c>
    </row>
    <row r="107">
      <c r="L107" s="23">
        <f>IF($A107="","",IFERROR(ROUND(($B107*$E107+$D107*$E107+$B107*$F107*$E107+$G107)/MAX(1,$C107),0),0))</f>
        <v/>
      </c>
    </row>
    <row r="108">
      <c r="L108" s="23">
        <f>IF($A108="","",IFERROR(ROUND(($B108*$E108+$D108*$E108+$B108*$F108*$E108+$G108)/MAX(1,$C108),0),0))</f>
        <v/>
      </c>
    </row>
    <row r="109">
      <c r="L109" s="23">
        <f>IF($A109="","",IFERROR(ROUND(($B109*$E109+$D109*$E109+$B109*$F109*$E109+$G109)/MAX(1,$C109),0),0))</f>
        <v/>
      </c>
    </row>
    <row r="110">
      <c r="L110" s="23">
        <f>IF($A110="","",IFERROR(ROUND(($B110*$E110+$D110*$E110+$B110*$F110*$E110+$G110)/MAX(1,$C110),0),0))</f>
        <v/>
      </c>
    </row>
    <row r="111">
      <c r="L111" s="23">
        <f>IF($A111="","",IFERROR(ROUND(($B111*$E111+$D111*$E111+$B111*$F111*$E111+$G111)/MAX(1,$C111),0),0))</f>
        <v/>
      </c>
    </row>
    <row r="112">
      <c r="L112" s="23">
        <f>IF($A112="","",IFERROR(ROUND(($B112*$E112+$D112*$E112+$B112*$F112*$E112+$G112)/MAX(1,$C112),0),0))</f>
        <v/>
      </c>
    </row>
    <row r="113">
      <c r="L113" s="23">
        <f>IF($A113="","",IFERROR(ROUND(($B113*$E113+$D113*$E113+$B113*$F113*$E113+$G113)/MAX(1,$C113),0),0))</f>
        <v/>
      </c>
    </row>
    <row r="114">
      <c r="L114" s="23">
        <f>IF($A114="","",IFERROR(ROUND(($B114*$E114+$D114*$E114+$B114*$F114*$E114+$G114)/MAX(1,$C114),0),0))</f>
        <v/>
      </c>
    </row>
    <row r="115">
      <c r="L115" s="23">
        <f>IF($A115="","",IFERROR(ROUND(($B115*$E115+$D115*$E115+$B115*$F115*$E115+$G115)/MAX(1,$C115),0),0))</f>
        <v/>
      </c>
    </row>
    <row r="116">
      <c r="L116" s="23">
        <f>IF($A116="","",IFERROR(ROUND(($B116*$E116+$D116*$E116+$B116*$F116*$E116+$G116)/MAX(1,$C116),0),0))</f>
        <v/>
      </c>
    </row>
    <row r="117">
      <c r="L117" s="23">
        <f>IF($A117="","",IFERROR(ROUND(($B117*$E117+$D117*$E117+$B117*$F117*$E117+$G117)/MAX(1,$C117),0),0))</f>
        <v/>
      </c>
    </row>
    <row r="118">
      <c r="L118" s="23">
        <f>IF($A118="","",IFERROR(ROUND(($B118*$E118+$D118*$E118+$B118*$F118*$E118+$G118)/MAX(1,$C118),0),0))</f>
        <v/>
      </c>
    </row>
    <row r="119">
      <c r="L119" s="23">
        <f>IF($A119="","",IFERROR(ROUND(($B119*$E119+$D119*$E119+$B119*$F119*$E119+$G119)/MAX(1,$C119),0),0))</f>
        <v/>
      </c>
    </row>
    <row r="120">
      <c r="L120" s="23">
        <f>IF($A120="","",IFERROR(ROUND(($B120*$E120+$D120*$E120+$B120*$F120*$E120+$G120)/MAX(1,$C120),0),0))</f>
        <v/>
      </c>
    </row>
    <row r="121">
      <c r="L121" s="23">
        <f>IF($A121="","",IFERROR(ROUND(($B121*$E121+$D121*$E121+$B121*$F121*$E121+$G121)/MAX(1,$C121),0),0))</f>
        <v/>
      </c>
    </row>
    <row r="122">
      <c r="L122" s="23">
        <f>IF($A122="","",IFERROR(ROUND(($B122*$E122+$D122*$E122+$B122*$F122*$E122+$G122)/MAX(1,$C122),0),0))</f>
        <v/>
      </c>
    </row>
    <row r="123">
      <c r="L123" s="23">
        <f>IF($A123="","",IFERROR(ROUND(($B123*$E123+$D123*$E123+$B123*$F123*$E123+$G123)/MAX(1,$C123),0),0))</f>
        <v/>
      </c>
    </row>
    <row r="124">
      <c r="L124" s="23">
        <f>IF($A124="","",IFERROR(ROUND(($B124*$E124+$D124*$E124+$B124*$F124*$E124+$G124)/MAX(1,$C124),0),0))</f>
        <v/>
      </c>
    </row>
    <row r="125">
      <c r="L125" s="23">
        <f>IF($A125="","",IFERROR(ROUND(($B125*$E125+$D125*$E125+$B125*$F125*$E125+$G125)/MAX(1,$C125),0),0))</f>
        <v/>
      </c>
    </row>
    <row r="126">
      <c r="L126" s="23">
        <f>IF($A126="","",IFERROR(ROUND(($B126*$E126+$D126*$E126+$B126*$F126*$E126+$G126)/MAX(1,$C126),0),0))</f>
        <v/>
      </c>
    </row>
    <row r="127">
      <c r="L127" s="23">
        <f>IF($A127="","",IFERROR(ROUND(($B127*$E127+$D127*$E127+$B127*$F127*$E127+$G127)/MAX(1,$C127),0),0))</f>
        <v/>
      </c>
    </row>
    <row r="128">
      <c r="L128" s="23">
        <f>IF($A128="","",IFERROR(ROUND(($B128*$E128+$D128*$E128+$B128*$F128*$E128+$G128)/MAX(1,$C128),0),0))</f>
        <v/>
      </c>
    </row>
    <row r="129">
      <c r="L129" s="23">
        <f>IF($A129="","",IFERROR(ROUND(($B129*$E129+$D129*$E129+$B129*$F129*$E129+$G129)/MAX(1,$C129),0),0))</f>
        <v/>
      </c>
    </row>
    <row r="130">
      <c r="L130" s="23">
        <f>IF($A130="","",IFERROR(ROUND(($B130*$E130+$D130*$E130+$B130*$F130*$E130+$G130)/MAX(1,$C130),0),0))</f>
        <v/>
      </c>
    </row>
    <row r="131">
      <c r="L131" s="23">
        <f>IF($A131="","",IFERROR(ROUND(($B131*$E131+$D131*$E131+$B131*$F131*$E131+$G131)/MAX(1,$C131),0),0))</f>
        <v/>
      </c>
    </row>
    <row r="132">
      <c r="L132" s="23">
        <f>IF($A132="","",IFERROR(ROUND(($B132*$E132+$D132*$E132+$B132*$F132*$E132+$G132)/MAX(1,$C132),0),0))</f>
        <v/>
      </c>
    </row>
    <row r="133">
      <c r="L133" s="23">
        <f>IF($A133="","",IFERROR(ROUND(($B133*$E133+$D133*$E133+$B133*$F133*$E133+$G133)/MAX(1,$C133),0),0))</f>
        <v/>
      </c>
    </row>
    <row r="134">
      <c r="L134" s="23">
        <f>IF($A134="","",IFERROR(ROUND(($B134*$E134+$D134*$E134+$B134*$F134*$E134+$G134)/MAX(1,$C134),0),0))</f>
        <v/>
      </c>
    </row>
    <row r="135">
      <c r="L135" s="23">
        <f>IF($A135="","",IFERROR(ROUND(($B135*$E135+$D135*$E135+$B135*$F135*$E135+$G135)/MAX(1,$C135),0),0))</f>
        <v/>
      </c>
    </row>
    <row r="136">
      <c r="L136" s="23">
        <f>IF($A136="","",IFERROR(ROUND(($B136*$E136+$D136*$E136+$B136*$F136*$E136+$G136)/MAX(1,$C136),0),0))</f>
        <v/>
      </c>
    </row>
    <row r="137">
      <c r="L137" s="23">
        <f>IF($A137="","",IFERROR(ROUND(($B137*$E137+$D137*$E137+$B137*$F137*$E137+$G137)/MAX(1,$C137),0),0))</f>
        <v/>
      </c>
    </row>
    <row r="138">
      <c r="L138" s="23">
        <f>IF($A138="","",IFERROR(ROUND(($B138*$E138+$D138*$E138+$B138*$F138*$E138+$G138)/MAX(1,$C138),0),0))</f>
        <v/>
      </c>
    </row>
    <row r="139">
      <c r="L139" s="23">
        <f>IF($A139="","",IFERROR(ROUND(($B139*$E139+$D139*$E139+$B139*$F139*$E139+$G139)/MAX(1,$C139),0),0))</f>
        <v/>
      </c>
    </row>
    <row r="140">
      <c r="L140" s="23">
        <f>IF($A140="","",IFERROR(ROUND(($B140*$E140+$D140*$E140+$B140*$F140*$E140+$G140)/MAX(1,$C140),0),0))</f>
        <v/>
      </c>
    </row>
    <row r="141">
      <c r="L141" s="23">
        <f>IF($A141="","",IFERROR(ROUND(($B141*$E141+$D141*$E141+$B141*$F141*$E141+$G141)/MAX(1,$C141),0),0))</f>
        <v/>
      </c>
    </row>
    <row r="142">
      <c r="L142" s="23">
        <f>IF($A142="","",IFERROR(ROUND(($B142*$E142+$D142*$E142+$B142*$F142*$E142+$G142)/MAX(1,$C142),0),0))</f>
        <v/>
      </c>
    </row>
    <row r="143">
      <c r="L143" s="23">
        <f>IF($A143="","",IFERROR(ROUND(($B143*$E143+$D143*$E143+$B143*$F143*$E143+$G143)/MAX(1,$C143),0),0))</f>
        <v/>
      </c>
    </row>
    <row r="144">
      <c r="L144" s="23">
        <f>IF($A144="","",IFERROR(ROUND(($B144*$E144+$D144*$E144+$B144*$F144*$E144+$G144)/MAX(1,$C144),0),0))</f>
        <v/>
      </c>
    </row>
    <row r="145">
      <c r="L145" s="23">
        <f>IF($A145="","",IFERROR(ROUND(($B145*$E145+$D145*$E145+$B145*$F145*$E145+$G145)/MAX(1,$C145),0),0))</f>
        <v/>
      </c>
    </row>
    <row r="146">
      <c r="L146" s="23">
        <f>IF($A146="","",IFERROR(ROUND(($B146*$E146+$D146*$E146+$B146*$F146*$E146+$G146)/MAX(1,$C146),0),0))</f>
        <v/>
      </c>
    </row>
    <row r="147">
      <c r="L147" s="23">
        <f>IF($A147="","",IFERROR(ROUND(($B147*$E147+$D147*$E147+$B147*$F147*$E147+$G147)/MAX(1,$C147),0),0))</f>
        <v/>
      </c>
    </row>
    <row r="148">
      <c r="L148" s="23">
        <f>IF($A148="","",IFERROR(ROUND(($B148*$E148+$D148*$E148+$B148*$F148*$E148+$G148)/MAX(1,$C148),0),0))</f>
        <v/>
      </c>
    </row>
    <row r="149">
      <c r="L149" s="23">
        <f>IF($A149="","",IFERROR(ROUND(($B149*$E149+$D149*$E149+$B149*$F149*$E149+$G149)/MAX(1,$C149),0),0))</f>
        <v/>
      </c>
    </row>
    <row r="150">
      <c r="L150" s="23">
        <f>IF($A150="","",IFERROR(ROUND(($B150*$E150+$D150*$E150+$B150*$F150*$E150+$G150)/MAX(1,$C150),0),0))</f>
        <v/>
      </c>
    </row>
    <row r="151">
      <c r="L151" s="23">
        <f>IF($A151="","",IFERROR(ROUND(($B151*$E151+$D151*$E151+$B151*$F151*$E151+$G151)/MAX(1,$C151),0),0))</f>
        <v/>
      </c>
    </row>
    <row r="152">
      <c r="L152" s="23">
        <f>IF($A152="","",IFERROR(ROUND(($B152*$E152+$D152*$E152+$B152*$F152*$E152+$G152)/MAX(1,$C152),0),0))</f>
        <v/>
      </c>
    </row>
    <row r="153">
      <c r="L153" s="23">
        <f>IF($A153="","",IFERROR(ROUND(($B153*$E153+$D153*$E153+$B153*$F153*$E153+$G153)/MAX(1,$C153),0),0))</f>
        <v/>
      </c>
    </row>
    <row r="154">
      <c r="L154" s="23">
        <f>IF($A154="","",IFERROR(ROUND(($B154*$E154+$D154*$E154+$B154*$F154*$E154+$G154)/MAX(1,$C154),0),0))</f>
        <v/>
      </c>
    </row>
    <row r="155">
      <c r="L155" s="23">
        <f>IF($A155="","",IFERROR(ROUND(($B155*$E155+$D155*$E155+$B155*$F155*$E155+$G155)/MAX(1,$C155),0),0))</f>
        <v/>
      </c>
    </row>
    <row r="156">
      <c r="L156" s="23">
        <f>IF($A156="","",IFERROR(ROUND(($B156*$E156+$D156*$E156+$B156*$F156*$E156+$G156)/MAX(1,$C156),0),0))</f>
        <v/>
      </c>
    </row>
    <row r="157">
      <c r="L157" s="23">
        <f>IF($A157="","",IFERROR(ROUND(($B157*$E157+$D157*$E157+$B157*$F157*$E157+$G157)/MAX(1,$C157),0),0))</f>
        <v/>
      </c>
    </row>
    <row r="158">
      <c r="L158" s="23">
        <f>IF($A158="","",IFERROR(ROUND(($B158*$E158+$D158*$E158+$B158*$F158*$E158+$G158)/MAX(1,$C158),0),0))</f>
        <v/>
      </c>
    </row>
    <row r="159">
      <c r="L159" s="23">
        <f>IF($A159="","",IFERROR(ROUND(($B159*$E159+$D159*$E159+$B159*$F159*$E159+$G159)/MAX(1,$C159),0),0))</f>
        <v/>
      </c>
    </row>
    <row r="160">
      <c r="L160" s="23">
        <f>IF($A160="","",IFERROR(ROUND(($B160*$E160+$D160*$E160+$B160*$F160*$E160+$G160)/MAX(1,$C160),0),0))</f>
        <v/>
      </c>
    </row>
    <row r="161">
      <c r="L161" s="23">
        <f>IF($A161="","",IFERROR(ROUND(($B161*$E161+$D161*$E161+$B161*$F161*$E161+$G161)/MAX(1,$C161),0),0))</f>
        <v/>
      </c>
    </row>
    <row r="162">
      <c r="L162" s="23">
        <f>IF($A162="","",IFERROR(ROUND(($B162*$E162+$D162*$E162+$B162*$F162*$E162+$G162)/MAX(1,$C162),0),0))</f>
        <v/>
      </c>
    </row>
    <row r="163">
      <c r="L163" s="23">
        <f>IF($A163="","",IFERROR(ROUND(($B163*$E163+$D163*$E163+$B163*$F163*$E163+$G163)/MAX(1,$C163),0),0))</f>
        <v/>
      </c>
    </row>
    <row r="164">
      <c r="L164" s="23">
        <f>IF($A164="","",IFERROR(ROUND(($B164*$E164+$D164*$E164+$B164*$F164*$E164+$G164)/MAX(1,$C164),0),0))</f>
        <v/>
      </c>
    </row>
    <row r="165">
      <c r="L165" s="23">
        <f>IF($A165="","",IFERROR(ROUND(($B165*$E165+$D165*$E165+$B165*$F165*$E165+$G165)/MAX(1,$C165),0),0))</f>
        <v/>
      </c>
    </row>
    <row r="166">
      <c r="L166" s="23">
        <f>IF($A166="","",IFERROR(ROUND(($B166*$E166+$D166*$E166+$B166*$F166*$E166+$G166)/MAX(1,$C166),0),0))</f>
        <v/>
      </c>
    </row>
    <row r="167">
      <c r="L167" s="23">
        <f>IF($A167="","",IFERROR(ROUND(($B167*$E167+$D167*$E167+$B167*$F167*$E167+$G167)/MAX(1,$C167),0),0))</f>
        <v/>
      </c>
    </row>
    <row r="168">
      <c r="L168" s="23">
        <f>IF($A168="","",IFERROR(ROUND(($B168*$E168+$D168*$E168+$B168*$F168*$E168+$G168)/MAX(1,$C168),0),0))</f>
        <v/>
      </c>
    </row>
    <row r="169">
      <c r="L169" s="23">
        <f>IF($A169="","",IFERROR(ROUND(($B169*$E169+$D169*$E169+$B169*$F169*$E169+$G169)/MAX(1,$C169),0),0))</f>
        <v/>
      </c>
    </row>
    <row r="170">
      <c r="L170" s="23">
        <f>IF($A170="","",IFERROR(ROUND(($B170*$E170+$D170*$E170+$B170*$F170*$E170+$G170)/MAX(1,$C170),0),0))</f>
        <v/>
      </c>
    </row>
    <row r="171">
      <c r="L171" s="23">
        <f>IF($A171="","",IFERROR(ROUND(($B171*$E171+$D171*$E171+$B171*$F171*$E171+$G171)/MAX(1,$C171),0),0))</f>
        <v/>
      </c>
    </row>
    <row r="172">
      <c r="L172" s="23">
        <f>IF($A172="","",IFERROR(ROUND(($B172*$E172+$D172*$E172+$B172*$F172*$E172+$G172)/MAX(1,$C172),0),0))</f>
        <v/>
      </c>
    </row>
    <row r="173">
      <c r="L173" s="23">
        <f>IF($A173="","",IFERROR(ROUND(($B173*$E173+$D173*$E173+$B173*$F173*$E173+$G173)/MAX(1,$C173),0),0))</f>
        <v/>
      </c>
    </row>
    <row r="174">
      <c r="L174" s="23">
        <f>IF($A174="","",IFERROR(ROUND(($B174*$E174+$D174*$E174+$B174*$F174*$E174+$G174)/MAX(1,$C174),0),0))</f>
        <v/>
      </c>
    </row>
    <row r="175">
      <c r="L175" s="23">
        <f>IF($A175="","",IFERROR(ROUND(($B175*$E175+$D175*$E175+$B175*$F175*$E175+$G175)/MAX(1,$C175),0),0))</f>
        <v/>
      </c>
    </row>
    <row r="176">
      <c r="L176" s="23">
        <f>IF($A176="","",IFERROR(ROUND(($B176*$E176+$D176*$E176+$B176*$F176*$E176+$G176)/MAX(1,$C176),0),0))</f>
        <v/>
      </c>
    </row>
    <row r="177">
      <c r="L177" s="23">
        <f>IF($A177="","",IFERROR(ROUND(($B177*$E177+$D177*$E177+$B177*$F177*$E177+$G177)/MAX(1,$C177),0),0))</f>
        <v/>
      </c>
    </row>
    <row r="178">
      <c r="L178" s="23">
        <f>IF($A178="","",IFERROR(ROUND(($B178*$E178+$D178*$E178+$B178*$F178*$E178+$G178)/MAX(1,$C178),0),0))</f>
        <v/>
      </c>
    </row>
    <row r="179">
      <c r="L179" s="23">
        <f>IF($A179="","",IFERROR(ROUND(($B179*$E179+$D179*$E179+$B179*$F179*$E179+$G179)/MAX(1,$C179),0),0))</f>
        <v/>
      </c>
    </row>
    <row r="180">
      <c r="L180" s="23">
        <f>IF($A180="","",IFERROR(ROUND(($B180*$E180+$D180*$E180+$B180*$F180*$E180+$G180)/MAX(1,$C180),0),0))</f>
        <v/>
      </c>
    </row>
    <row r="181">
      <c r="L181" s="23">
        <f>IF($A181="","",IFERROR(ROUND(($B181*$E181+$D181*$E181+$B181*$F181*$E181+$G181)/MAX(1,$C181),0),0))</f>
        <v/>
      </c>
    </row>
    <row r="182">
      <c r="L182" s="23">
        <f>IF($A182="","",IFERROR(ROUND(($B182*$E182+$D182*$E182+$B182*$F182*$E182+$G182)/MAX(1,$C182),0),0))</f>
        <v/>
      </c>
    </row>
    <row r="183">
      <c r="L183" s="23">
        <f>IF($A183="","",IFERROR(ROUND(($B183*$E183+$D183*$E183+$B183*$F183*$E183+$G183)/MAX(1,$C183),0),0))</f>
        <v/>
      </c>
    </row>
    <row r="184">
      <c r="L184" s="23">
        <f>IF($A184="","",IFERROR(ROUND(($B184*$E184+$D184*$E184+$B184*$F184*$E184+$G184)/MAX(1,$C184),0),0))</f>
        <v/>
      </c>
    </row>
    <row r="185">
      <c r="L185" s="23">
        <f>IF($A185="","",IFERROR(ROUND(($B185*$E185+$D185*$E185+$B185*$F185*$E185+$G185)/MAX(1,$C185),0),0))</f>
        <v/>
      </c>
    </row>
    <row r="186">
      <c r="L186" s="23">
        <f>IF($A186="","",IFERROR(ROUND(($B186*$E186+$D186*$E186+$B186*$F186*$E186+$G186)/MAX(1,$C186),0),0))</f>
        <v/>
      </c>
    </row>
    <row r="187">
      <c r="L187" s="23">
        <f>IF($A187="","",IFERROR(ROUND(($B187*$E187+$D187*$E187+$B187*$F187*$E187+$G187)/MAX(1,$C187),0),0))</f>
        <v/>
      </c>
    </row>
    <row r="188">
      <c r="L188" s="23">
        <f>IF($A188="","",IFERROR(ROUND(($B188*$E188+$D188*$E188+$B188*$F188*$E188+$G188)/MAX(1,$C188),0),0))</f>
        <v/>
      </c>
    </row>
    <row r="189">
      <c r="L189" s="23">
        <f>IF($A189="","",IFERROR(ROUND(($B189*$E189+$D189*$E189+$B189*$F189*$E189+$G189)/MAX(1,$C189),0),0))</f>
        <v/>
      </c>
    </row>
    <row r="190">
      <c r="L190" s="23">
        <f>IF($A190="","",IFERROR(ROUND(($B190*$E190+$D190*$E190+$B190*$F190*$E190+$G190)/MAX(1,$C190),0),0))</f>
        <v/>
      </c>
    </row>
    <row r="191">
      <c r="L191" s="23">
        <f>IF($A191="","",IFERROR(ROUND(($B191*$E191+$D191*$E191+$B191*$F191*$E191+$G191)/MAX(1,$C191),0),0))</f>
        <v/>
      </c>
    </row>
    <row r="192">
      <c r="L192" s="23">
        <f>IF($A192="","",IFERROR(ROUND(($B192*$E192+$D192*$E192+$B192*$F192*$E192+$G192)/MAX(1,$C192),0),0))</f>
        <v/>
      </c>
    </row>
    <row r="193">
      <c r="L193" s="23">
        <f>IF($A193="","",IFERROR(ROUND(($B193*$E193+$D193*$E193+$B193*$F193*$E193+$G193)/MAX(1,$C193),0),0))</f>
        <v/>
      </c>
    </row>
    <row r="194">
      <c r="L194" s="23">
        <f>IF($A194="","",IFERROR(ROUND(($B194*$E194+$D194*$E194+$B194*$F194*$E194+$G194)/MAX(1,$C194),0),0))</f>
        <v/>
      </c>
    </row>
    <row r="195">
      <c r="L195" s="23">
        <f>IF($A195="","",IFERROR(ROUND(($B195*$E195+$D195*$E195+$B195*$F195*$E195+$G195)/MAX(1,$C195),0),0))</f>
        <v/>
      </c>
    </row>
    <row r="196">
      <c r="L196" s="23">
        <f>IF($A196="","",IFERROR(ROUND(($B196*$E196+$D196*$E196+$B196*$F196*$E196+$G196)/MAX(1,$C196),0),0))</f>
        <v/>
      </c>
    </row>
    <row r="197">
      <c r="L197" s="23">
        <f>IF($A197="","",IFERROR(ROUND(($B197*$E197+$D197*$E197+$B197*$F197*$E197+$G197)/MAX(1,$C197),0),0))</f>
        <v/>
      </c>
    </row>
    <row r="198">
      <c r="L198" s="23">
        <f>IF($A198="","",IFERROR(ROUND(($B198*$E198+$D198*$E198+$B198*$F198*$E198+$G198)/MAX(1,$C198),0),0))</f>
        <v/>
      </c>
    </row>
    <row r="199">
      <c r="L199" s="23">
        <f>IF($A199="","",IFERROR(ROUND(($B199*$E199+$D199*$E199+$B199*$F199*$E199+$G199)/MAX(1,$C199),0),0))</f>
        <v/>
      </c>
    </row>
    <row r="200">
      <c r="L200" s="23">
        <f>IF($A200="","",IFERROR(ROUND(($B200*$E200+$D200*$E200+$B200*$F200*$E200+$G200)/MAX(1,$C200),0),0))</f>
        <v/>
      </c>
    </row>
    <row r="201">
      <c r="L201" s="23">
        <f>IF($A201="","",IFERROR(ROUND(($B201*$E201+$D201*$E201+$B201*$F201*$E201+$G201)/MAX(1,$C201),0),0))</f>
        <v/>
      </c>
    </row>
    <row r="202">
      <c r="L202" s="23">
        <f>IF($A202="","",IFERROR(ROUND(($B202*$E202+$D202*$E202+$B202*$F202*$E202+$G202)/MAX(1,$C202),0),0))</f>
        <v/>
      </c>
    </row>
    <row r="203">
      <c r="L203" s="23">
        <f>IF($A203="","",IFERROR(ROUND(($B203*$E203+$D203*$E203+$B203*$F203*$E203+$G203)/MAX(1,$C203),0),0))</f>
        <v/>
      </c>
    </row>
    <row r="204">
      <c r="L204" s="23">
        <f>IF($A204="","",IFERROR(ROUND(($B204*$E204+$D204*$E204+$B204*$F204*$E204+$G204)/MAX(1,$C204),0),0))</f>
        <v/>
      </c>
    </row>
    <row r="205">
      <c r="L205" s="23">
        <f>IF($A205="","",IFERROR(ROUND(($B205*$E205+$D205*$E205+$B205*$F205*$E205+$G205)/MAX(1,$C205),0),0))</f>
        <v/>
      </c>
    </row>
    <row r="206">
      <c r="L206" s="23">
        <f>IF($A206="","",IFERROR(ROUND(($B206*$E206+$D206*$E206+$B206*$F206*$E206+$G206)/MAX(1,$C206),0),0))</f>
        <v/>
      </c>
    </row>
    <row r="207">
      <c r="L207" s="23">
        <f>IF($A207="","",IFERROR(ROUND(($B207*$E207+$D207*$E207+$B207*$F207*$E207+$G207)/MAX(1,$C207),0),0))</f>
        <v/>
      </c>
    </row>
    <row r="208">
      <c r="L208" s="23">
        <f>IF($A208="","",IFERROR(ROUND(($B208*$E208+$D208*$E208+$B208*$F208*$E208+$G208)/MAX(1,$C208),0),0))</f>
        <v/>
      </c>
    </row>
    <row r="209">
      <c r="L209" s="23">
        <f>IF($A209="","",IFERROR(ROUND(($B209*$E209+$D209*$E209+$B209*$F209*$E209+$G209)/MAX(1,$C209),0),0))</f>
        <v/>
      </c>
    </row>
    <row r="210">
      <c r="L210" s="23">
        <f>IF($A210="","",IFERROR(ROUND(($B210*$E210+$D210*$E210+$B210*$F210*$E210+$G210)/MAX(1,$C210),0),0))</f>
        <v/>
      </c>
    </row>
    <row r="211">
      <c r="L211" s="23">
        <f>IF($A211="","",IFERROR(ROUND(($B211*$E211+$D211*$E211+$B211*$F211*$E211+$G211)/MAX(1,$C211),0),0))</f>
        <v/>
      </c>
    </row>
    <row r="212">
      <c r="L212" s="23">
        <f>IF($A212="","",IFERROR(ROUND(($B212*$E212+$D212*$E212+$B212*$F212*$E212+$G212)/MAX(1,$C212),0),0))</f>
        <v/>
      </c>
    </row>
    <row r="213">
      <c r="L213" s="23">
        <f>IF($A213="","",IFERROR(ROUND(($B213*$E213+$D213*$E213+$B213*$F213*$E213+$G213)/MAX(1,$C213),0),0))</f>
        <v/>
      </c>
    </row>
    <row r="214">
      <c r="L214" s="23">
        <f>IF($A214="","",IFERROR(ROUND(($B214*$E214+$D214*$E214+$B214*$F214*$E214+$G214)/MAX(1,$C214),0),0))</f>
        <v/>
      </c>
    </row>
    <row r="215">
      <c r="L215" s="23">
        <f>IF($A215="","",IFERROR(ROUND(($B215*$E215+$D215*$E215+$B215*$F215*$E215+$G215)/MAX(1,$C215),0),0))</f>
        <v/>
      </c>
    </row>
    <row r="216">
      <c r="L216" s="23">
        <f>IF($A216="","",IFERROR(ROUND(($B216*$E216+$D216*$E216+$B216*$F216*$E216+$G216)/MAX(1,$C216),0),0))</f>
        <v/>
      </c>
    </row>
    <row r="217">
      <c r="L217" s="23">
        <f>IF($A217="","",IFERROR(ROUND(($B217*$E217+$D217*$E217+$B217*$F217*$E217+$G217)/MAX(1,$C217),0),0))</f>
        <v/>
      </c>
    </row>
    <row r="218">
      <c r="L218" s="23">
        <f>IF($A218="","",IFERROR(ROUND(($B218*$E218+$D218*$E218+$B218*$F218*$E218+$G218)/MAX(1,$C218),0),0))</f>
        <v/>
      </c>
    </row>
    <row r="219">
      <c r="L219" s="23">
        <f>IF($A219="","",IFERROR(ROUND(($B219*$E219+$D219*$E219+$B219*$F219*$E219+$G219)/MAX(1,$C219),0),0))</f>
        <v/>
      </c>
    </row>
    <row r="220">
      <c r="L220" s="23">
        <f>IF($A220="","",IFERROR(ROUND(($B220*$E220+$D220*$E220+$B220*$F220*$E220+$G220)/MAX(1,$C220),0),0))</f>
        <v/>
      </c>
    </row>
    <row r="221">
      <c r="L221" s="23">
        <f>IF($A221="","",IFERROR(ROUND(($B221*$E221+$D221*$E221+$B221*$F221*$E221+$G221)/MAX(1,$C221),0),0))</f>
        <v/>
      </c>
    </row>
    <row r="222">
      <c r="L222" s="23">
        <f>IF($A222="","",IFERROR(ROUND(($B222*$E222+$D222*$E222+$B222*$F222*$E222+$G222)/MAX(1,$C222),0),0))</f>
        <v/>
      </c>
    </row>
    <row r="223">
      <c r="L223" s="23">
        <f>IF($A223="","",IFERROR(ROUND(($B223*$E223+$D223*$E223+$B223*$F223*$E223+$G223)/MAX(1,$C223),0),0))</f>
        <v/>
      </c>
    </row>
    <row r="224">
      <c r="L224" s="23">
        <f>IF($A224="","",IFERROR(ROUND(($B224*$E224+$D224*$E224+$B224*$F224*$E224+$G224)/MAX(1,$C224),0),0))</f>
        <v/>
      </c>
    </row>
    <row r="225">
      <c r="L225" s="23">
        <f>IF($A225="","",IFERROR(ROUND(($B225*$E225+$D225*$E225+$B225*$F225*$E225+$G225)/MAX(1,$C225),0),0))</f>
        <v/>
      </c>
    </row>
    <row r="226">
      <c r="L226" s="23">
        <f>IF($A226="","",IFERROR(ROUND(($B226*$E226+$D226*$E226+$B226*$F226*$E226+$G226)/MAX(1,$C226),0),0))</f>
        <v/>
      </c>
    </row>
    <row r="227">
      <c r="L227" s="23">
        <f>IF($A227="","",IFERROR(ROUND(($B227*$E227+$D227*$E227+$B227*$F227*$E227+$G227)/MAX(1,$C227),0),0))</f>
        <v/>
      </c>
    </row>
    <row r="228">
      <c r="L228" s="23">
        <f>IF($A228="","",IFERROR(ROUND(($B228*$E228+$D228*$E228+$B228*$F228*$E228+$G228)/MAX(1,$C228),0),0))</f>
        <v/>
      </c>
    </row>
    <row r="229">
      <c r="L229" s="23">
        <f>IF($A229="","",IFERROR(ROUND(($B229*$E229+$D229*$E229+$B229*$F229*$E229+$G229)/MAX(1,$C229),0),0))</f>
        <v/>
      </c>
    </row>
    <row r="230">
      <c r="L230" s="23">
        <f>IF($A230="","",IFERROR(ROUND(($B230*$E230+$D230*$E230+$B230*$F230*$E230+$G230)/MAX(1,$C230),0),0))</f>
        <v/>
      </c>
    </row>
    <row r="231">
      <c r="L231" s="23">
        <f>IF($A231="","",IFERROR(ROUND(($B231*$E231+$D231*$E231+$B231*$F231*$E231+$G231)/MAX(1,$C231),0),0))</f>
        <v/>
      </c>
    </row>
    <row r="232">
      <c r="L232" s="23">
        <f>IF($A232="","",IFERROR(ROUND(($B232*$E232+$D232*$E232+$B232*$F232*$E232+$G232)/MAX(1,$C232),0),0))</f>
        <v/>
      </c>
    </row>
    <row r="233">
      <c r="L233" s="23">
        <f>IF($A233="","",IFERROR(ROUND(($B233*$E233+$D233*$E233+$B233*$F233*$E233+$G233)/MAX(1,$C233),0),0))</f>
        <v/>
      </c>
    </row>
    <row r="234">
      <c r="L234" s="23">
        <f>IF($A234="","",IFERROR(ROUND(($B234*$E234+$D234*$E234+$B234*$F234*$E234+$G234)/MAX(1,$C234),0),0))</f>
        <v/>
      </c>
    </row>
    <row r="235">
      <c r="L235" s="23">
        <f>IF($A235="","",IFERROR(ROUND(($B235*$E235+$D235*$E235+$B235*$F235*$E235+$G235)/MAX(1,$C235),0),0))</f>
        <v/>
      </c>
    </row>
    <row r="236">
      <c r="L236" s="23">
        <f>IF($A236="","",IFERROR(ROUND(($B236*$E236+$D236*$E236+$B236*$F236*$E236+$G236)/MAX(1,$C236),0),0))</f>
        <v/>
      </c>
    </row>
    <row r="237">
      <c r="L237" s="23">
        <f>IF($A237="","",IFERROR(ROUND(($B237*$E237+$D237*$E237+$B237*$F237*$E237+$G237)/MAX(1,$C237),0),0))</f>
        <v/>
      </c>
    </row>
    <row r="238">
      <c r="L238" s="23">
        <f>IF($A238="","",IFERROR(ROUND(($B238*$E238+$D238*$E238+$B238*$F238*$E238+$G238)/MAX(1,$C238),0),0))</f>
        <v/>
      </c>
    </row>
    <row r="239">
      <c r="L239" s="23">
        <f>IF($A239="","",IFERROR(ROUND(($B239*$E239+$D239*$E239+$B239*$F239*$E239+$G239)/MAX(1,$C239),0),0))</f>
        <v/>
      </c>
    </row>
    <row r="240">
      <c r="L240" s="23">
        <f>IF($A240="","",IFERROR(ROUND(($B240*$E240+$D240*$E240+$B240*$F240*$E240+$G240)/MAX(1,$C240),0),0))</f>
        <v/>
      </c>
    </row>
    <row r="241">
      <c r="L241" s="23">
        <f>IF($A241="","",IFERROR(ROUND(($B241*$E241+$D241*$E241+$B241*$F241*$E241+$G241)/MAX(1,$C241),0),0))</f>
        <v/>
      </c>
    </row>
    <row r="242">
      <c r="L242" s="23">
        <f>IF($A242="","",IFERROR(ROUND(($B242*$E242+$D242*$E242+$B242*$F242*$E242+$G242)/MAX(1,$C242),0),0))</f>
        <v/>
      </c>
    </row>
    <row r="243">
      <c r="L243" s="23">
        <f>IF($A243="","",IFERROR(ROUND(($B243*$E243+$D243*$E243+$B243*$F243*$E243+$G243)/MAX(1,$C243),0),0))</f>
        <v/>
      </c>
    </row>
    <row r="244">
      <c r="L244" s="23">
        <f>IF($A244="","",IFERROR(ROUND(($B244*$E244+$D244*$E244+$B244*$F244*$E244+$G244)/MAX(1,$C244),0),0))</f>
        <v/>
      </c>
    </row>
    <row r="245">
      <c r="L245" s="23">
        <f>IF($A245="","",IFERROR(ROUND(($B245*$E245+$D245*$E245+$B245*$F245*$E245+$G245)/MAX(1,$C245),0),0))</f>
        <v/>
      </c>
    </row>
    <row r="246">
      <c r="L246" s="23">
        <f>IF($A246="","",IFERROR(ROUND(($B246*$E246+$D246*$E246+$B246*$F246*$E246+$G246)/MAX(1,$C246),0),0))</f>
        <v/>
      </c>
    </row>
    <row r="247">
      <c r="L247" s="23">
        <f>IF($A247="","",IFERROR(ROUND(($B247*$E247+$D247*$E247+$B247*$F247*$E247+$G247)/MAX(1,$C247),0),0))</f>
        <v/>
      </c>
    </row>
    <row r="248">
      <c r="L248" s="23">
        <f>IF($A248="","",IFERROR(ROUND(($B248*$E248+$D248*$E248+$B248*$F248*$E248+$G248)/MAX(1,$C248),0),0))</f>
        <v/>
      </c>
    </row>
    <row r="249">
      <c r="L249" s="23">
        <f>IF($A249="","",IFERROR(ROUND(($B249*$E249+$D249*$E249+$B249*$F249*$E249+$G249)/MAX(1,$C249),0),0))</f>
        <v/>
      </c>
    </row>
    <row r="250">
      <c r="L250" s="23">
        <f>IF($A250="","",IFERROR(ROUND(($B250*$E250+$D250*$E250+$B250*$F250*$E250+$G250)/MAX(1,$C250),0),0))</f>
        <v/>
      </c>
    </row>
    <row r="251">
      <c r="L251" s="23">
        <f>IF($A251="","",IFERROR(ROUND(($B251*$E251+$D251*$E251+$B251*$F251*$E251+$G251)/MAX(1,$C251),0),0))</f>
        <v/>
      </c>
    </row>
    <row r="252">
      <c r="L252" s="23">
        <f>IF($A252="","",IFERROR(ROUND(($B252*$E252+$D252*$E252+$B252*$F252*$E252+$G252)/MAX(1,$C252),0),0))</f>
        <v/>
      </c>
    </row>
    <row r="253">
      <c r="L253" s="23">
        <f>IF($A253="","",IFERROR(ROUND(($B253*$E253+$D253*$E253+$B253*$F253*$E253+$G253)/MAX(1,$C253),0),0))</f>
        <v/>
      </c>
    </row>
    <row r="254">
      <c r="L254" s="23">
        <f>IF($A254="","",IFERROR(ROUND(($B254*$E254+$D254*$E254+$B254*$F254*$E254+$G254)/MAX(1,$C254),0),0))</f>
        <v/>
      </c>
    </row>
    <row r="255">
      <c r="L255" s="23">
        <f>IF($A255="","",IFERROR(ROUND(($B255*$E255+$D255*$E255+$B255*$F255*$E255+$G255)/MAX(1,$C255),0),0))</f>
        <v/>
      </c>
    </row>
    <row r="256">
      <c r="L256" s="23">
        <f>IF($A256="","",IFERROR(ROUND(($B256*$E256+$D256*$E256+$B256*$F256*$E256+$G256)/MAX(1,$C256),0),0))</f>
        <v/>
      </c>
    </row>
    <row r="257">
      <c r="L257" s="23">
        <f>IF($A257="","",IFERROR(ROUND(($B257*$E257+$D257*$E257+$B257*$F257*$E257+$G257)/MAX(1,$C257),0),0))</f>
        <v/>
      </c>
    </row>
    <row r="258">
      <c r="L258" s="23">
        <f>IF($A258="","",IFERROR(ROUND(($B258*$E258+$D258*$E258+$B258*$F258*$E258+$G258)/MAX(1,$C258),0),0))</f>
        <v/>
      </c>
    </row>
    <row r="259">
      <c r="L259" s="23">
        <f>IF($A259="","",IFERROR(ROUND(($B259*$E259+$D259*$E259+$B259*$F259*$E259+$G259)/MAX(1,$C259),0),0))</f>
        <v/>
      </c>
    </row>
    <row r="260">
      <c r="L260" s="23">
        <f>IF($A260="","",IFERROR(ROUND(($B260*$E260+$D260*$E260+$B260*$F260*$E260+$G260)/MAX(1,$C260),0),0))</f>
        <v/>
      </c>
    </row>
    <row r="261">
      <c r="L261" s="23">
        <f>IF($A261="","",IFERROR(ROUND(($B261*$E261+$D261*$E261+$B261*$F261*$E261+$G261)/MAX(1,$C261),0),0))</f>
        <v/>
      </c>
    </row>
    <row r="262">
      <c r="L262" s="23">
        <f>IF($A262="","",IFERROR(ROUND(($B262*$E262+$D262*$E262+$B262*$F262*$E262+$G262)/MAX(1,$C262),0),0))</f>
        <v/>
      </c>
    </row>
    <row r="263">
      <c r="L263" s="23">
        <f>IF($A263="","",IFERROR(ROUND(($B263*$E263+$D263*$E263+$B263*$F263*$E263+$G263)/MAX(1,$C263),0),0))</f>
        <v/>
      </c>
    </row>
    <row r="264">
      <c r="L264" s="23">
        <f>IF($A264="","",IFERROR(ROUND(($B264*$E264+$D264*$E264+$B264*$F264*$E264+$G264)/MAX(1,$C264),0),0))</f>
        <v/>
      </c>
    </row>
    <row r="265">
      <c r="L265" s="23">
        <f>IF($A265="","",IFERROR(ROUND(($B265*$E265+$D265*$E265+$B265*$F265*$E265+$G265)/MAX(1,$C265),0),0))</f>
        <v/>
      </c>
    </row>
    <row r="266">
      <c r="L266" s="23">
        <f>IF($A266="","",IFERROR(ROUND(($B266*$E266+$D266*$E266+$B266*$F266*$E266+$G266)/MAX(1,$C266),0),0))</f>
        <v/>
      </c>
    </row>
    <row r="267">
      <c r="L267" s="23">
        <f>IF($A267="","",IFERROR(ROUND(($B267*$E267+$D267*$E267+$B267*$F267*$E267+$G267)/MAX(1,$C267),0),0))</f>
        <v/>
      </c>
    </row>
    <row r="268">
      <c r="L268" s="23">
        <f>IF($A268="","",IFERROR(ROUND(($B268*$E268+$D268*$E268+$B268*$F268*$E268+$G268)/MAX(1,$C268),0),0))</f>
        <v/>
      </c>
    </row>
    <row r="269">
      <c r="L269" s="23">
        <f>IF($A269="","",IFERROR(ROUND(($B269*$E269+$D269*$E269+$B269*$F269*$E269+$G269)/MAX(1,$C269),0),0))</f>
        <v/>
      </c>
    </row>
    <row r="270">
      <c r="L270" s="23">
        <f>IF($A270="","",IFERROR(ROUND(($B270*$E270+$D270*$E270+$B270*$F270*$E270+$G270)/MAX(1,$C270),0),0))</f>
        <v/>
      </c>
    </row>
    <row r="271">
      <c r="L271" s="23">
        <f>IF($A271="","",IFERROR(ROUND(($B271*$E271+$D271*$E271+$B271*$F271*$E271+$G271)/MAX(1,$C271),0),0))</f>
        <v/>
      </c>
    </row>
    <row r="272">
      <c r="L272" s="23">
        <f>IF($A272="","",IFERROR(ROUND(($B272*$E272+$D272*$E272+$B272*$F272*$E272+$G272)/MAX(1,$C272),0),0))</f>
        <v/>
      </c>
    </row>
    <row r="273">
      <c r="L273" s="23">
        <f>IF($A273="","",IFERROR(ROUND(($B273*$E273+$D273*$E273+$B273*$F273*$E273+$G273)/MAX(1,$C273),0),0))</f>
        <v/>
      </c>
    </row>
    <row r="274">
      <c r="L274" s="23">
        <f>IF($A274="","",IFERROR(ROUND(($B274*$E274+$D274*$E274+$B274*$F274*$E274+$G274)/MAX(1,$C274),0),0))</f>
        <v/>
      </c>
    </row>
    <row r="275">
      <c r="L275" s="23">
        <f>IF($A275="","",IFERROR(ROUND(($B275*$E275+$D275*$E275+$B275*$F275*$E275+$G275)/MAX(1,$C275),0),0))</f>
        <v/>
      </c>
    </row>
    <row r="276">
      <c r="L276" s="23">
        <f>IF($A276="","",IFERROR(ROUND(($B276*$E276+$D276*$E276+$B276*$F276*$E276+$G276)/MAX(1,$C276),0),0))</f>
        <v/>
      </c>
    </row>
    <row r="277">
      <c r="L277" s="23">
        <f>IF($A277="","",IFERROR(ROUND(($B277*$E277+$D277*$E277+$B277*$F277*$E277+$G277)/MAX(1,$C277),0),0))</f>
        <v/>
      </c>
    </row>
    <row r="278">
      <c r="L278" s="23">
        <f>IF($A278="","",IFERROR(ROUND(($B278*$E278+$D278*$E278+$B278*$F278*$E278+$G278)/MAX(1,$C278),0),0))</f>
        <v/>
      </c>
    </row>
    <row r="279">
      <c r="L279" s="23">
        <f>IF($A279="","",IFERROR(ROUND(($B279*$E279+$D279*$E279+$B279*$F279*$E279+$G279)/MAX(1,$C279),0),0))</f>
        <v/>
      </c>
    </row>
    <row r="280">
      <c r="L280" s="23">
        <f>IF($A280="","",IFERROR(ROUND(($B280*$E280+$D280*$E280+$B280*$F280*$E280+$G280)/MAX(1,$C280),0),0))</f>
        <v/>
      </c>
    </row>
    <row r="281">
      <c r="L281" s="23">
        <f>IF($A281="","",IFERROR(ROUND(($B281*$E281+$D281*$E281+$B281*$F281*$E281+$G281)/MAX(1,$C281),0),0))</f>
        <v/>
      </c>
    </row>
    <row r="282">
      <c r="L282" s="23">
        <f>IF($A282="","",IFERROR(ROUND(($B282*$E282+$D282*$E282+$B282*$F282*$E282+$G282)/MAX(1,$C282),0),0))</f>
        <v/>
      </c>
    </row>
    <row r="283">
      <c r="L283" s="23">
        <f>IF($A283="","",IFERROR(ROUND(($B283*$E283+$D283*$E283+$B283*$F283*$E283+$G283)/MAX(1,$C283),0),0))</f>
        <v/>
      </c>
    </row>
    <row r="284">
      <c r="L284" s="23">
        <f>IF($A284="","",IFERROR(ROUND(($B284*$E284+$D284*$E284+$B284*$F284*$E284+$G284)/MAX(1,$C284),0),0))</f>
        <v/>
      </c>
    </row>
    <row r="285">
      <c r="L285" s="23">
        <f>IF($A285="","",IFERROR(ROUND(($B285*$E285+$D285*$E285+$B285*$F285*$E285+$G285)/MAX(1,$C285),0),0))</f>
        <v/>
      </c>
    </row>
    <row r="286">
      <c r="L286" s="23">
        <f>IF($A286="","",IFERROR(ROUND(($B286*$E286+$D286*$E286+$B286*$F286*$E286+$G286)/MAX(1,$C286),0),0))</f>
        <v/>
      </c>
    </row>
    <row r="287">
      <c r="L287" s="23">
        <f>IF($A287="","",IFERROR(ROUND(($B287*$E287+$D287*$E287+$B287*$F287*$E287+$G287)/MAX(1,$C287),0),0))</f>
        <v/>
      </c>
    </row>
    <row r="288">
      <c r="L288" s="23">
        <f>IF($A288="","",IFERROR(ROUND(($B288*$E288+$D288*$E288+$B288*$F288*$E288+$G288)/MAX(1,$C288),0),0))</f>
        <v/>
      </c>
    </row>
    <row r="289">
      <c r="L289" s="23">
        <f>IF($A289="","",IFERROR(ROUND(($B289*$E289+$D289*$E289+$B289*$F289*$E289+$G289)/MAX(1,$C289),0),0))</f>
        <v/>
      </c>
    </row>
    <row r="290">
      <c r="L290" s="23">
        <f>IF($A290="","",IFERROR(ROUND(($B290*$E290+$D290*$E290+$B290*$F290*$E290+$G290)/MAX(1,$C290),0),0))</f>
        <v/>
      </c>
    </row>
    <row r="291">
      <c r="L291" s="23">
        <f>IF($A291="","",IFERROR(ROUND(($B291*$E291+$D291*$E291+$B291*$F291*$E291+$G291)/MAX(1,$C291),0),0))</f>
        <v/>
      </c>
    </row>
    <row r="292">
      <c r="L292" s="23">
        <f>IF($A292="","",IFERROR(ROUND(($B292*$E292+$D292*$E292+$B292*$F292*$E292+$G292)/MAX(1,$C292),0),0))</f>
        <v/>
      </c>
    </row>
    <row r="293">
      <c r="L293" s="23">
        <f>IF($A293="","",IFERROR(ROUND(($B293*$E293+$D293*$E293+$B293*$F293*$E293+$G293)/MAX(1,$C293),0),0))</f>
        <v/>
      </c>
    </row>
    <row r="294">
      <c r="L294" s="23">
        <f>IF($A294="","",IFERROR(ROUND(($B294*$E294+$D294*$E294+$B294*$F294*$E294+$G294)/MAX(1,$C294),0),0))</f>
        <v/>
      </c>
    </row>
    <row r="295">
      <c r="L295" s="23">
        <f>IF($A295="","",IFERROR(ROUND(($B295*$E295+$D295*$E295+$B295*$F295*$E295+$G295)/MAX(1,$C295),0),0))</f>
        <v/>
      </c>
    </row>
    <row r="296">
      <c r="L296" s="23">
        <f>IF($A296="","",IFERROR(ROUND(($B296*$E296+$D296*$E296+$B296*$F296*$E296+$G296)/MAX(1,$C296),0),0))</f>
        <v/>
      </c>
    </row>
    <row r="297">
      <c r="L297" s="23">
        <f>IF($A297="","",IFERROR(ROUND(($B297*$E297+$D297*$E297+$B297*$F297*$E297+$G297)/MAX(1,$C297),0),0))</f>
        <v/>
      </c>
    </row>
    <row r="298">
      <c r="L298" s="23">
        <f>IF($A298="","",IFERROR(ROUND(($B298*$E298+$D298*$E298+$B298*$F298*$E298+$G298)/MAX(1,$C298),0),0))</f>
        <v/>
      </c>
    </row>
    <row r="299">
      <c r="L299" s="23">
        <f>IF($A299="","",IFERROR(ROUND(($B299*$E299+$D299*$E299+$B299*$F299*$E299+$G299)/MAX(1,$C299),0),0))</f>
        <v/>
      </c>
    </row>
    <row r="300">
      <c r="L300" s="23">
        <f>IF($A300="","",IFERROR(ROUND(($B300*$E300+$D300*$E300+$B300*$F300*$E300+$G300)/MAX(1,$C300),0),0))</f>
        <v/>
      </c>
    </row>
    <row r="301">
      <c r="L301" s="23">
        <f>IF($A301="","",IFERROR(ROUND(($B301*$E301+$D301*$E301+$B301*$F301*$E301+$G301)/MAX(1,$C301),0),0))</f>
        <v/>
      </c>
    </row>
    <row r="302">
      <c r="L302" s="23">
        <f>IF($A302="","",IFERROR(ROUND(($B302*$E302+$D302*$E302+$B302*$F302*$E302+$G302)/MAX(1,$C302),0),0))</f>
        <v/>
      </c>
    </row>
    <row r="303">
      <c r="L303" s="23">
        <f>IF($A303="","",IFERROR(ROUND(($B303*$E303+$D303*$E303+$B303*$F303*$E303+$G303)/MAX(1,$C303),0),0))</f>
        <v/>
      </c>
    </row>
    <row r="304">
      <c r="L304" s="23">
        <f>IF($A304="","",IFERROR(ROUND(($B304*$E304+$D304*$E304+$B304*$F304*$E304+$G304)/MAX(1,$C304),0),0))</f>
        <v/>
      </c>
    </row>
    <row r="305">
      <c r="L305" s="23">
        <f>IF($A305="","",IFERROR(ROUND(($B305*$E305+$D305*$E305+$B305*$F305*$E305+$G305)/MAX(1,$C305),0),0))</f>
        <v/>
      </c>
    </row>
    <row r="306">
      <c r="L306" s="23">
        <f>IF($A306="","",IFERROR(ROUND(($B306*$E306+$D306*$E306+$B306*$F306*$E306+$G306)/MAX(1,$C306),0),0))</f>
        <v/>
      </c>
    </row>
    <row r="307">
      <c r="L307" s="23">
        <f>IF($A307="","",IFERROR(ROUND(($B307*$E307+$D307*$E307+$B307*$F307*$E307+$G307)/MAX(1,$C307),0),0))</f>
        <v/>
      </c>
    </row>
    <row r="308">
      <c r="L308" s="23">
        <f>IF($A308="","",IFERROR(ROUND(($B308*$E308+$D308*$E308+$B308*$F308*$E308+$G308)/MAX(1,$C308),0),0))</f>
        <v/>
      </c>
    </row>
    <row r="309">
      <c r="L309" s="23">
        <f>IF($A309="","",IFERROR(ROUND(($B309*$E309+$D309*$E309+$B309*$F309*$E309+$G309)/MAX(1,$C309),0),0))</f>
        <v/>
      </c>
    </row>
    <row r="310">
      <c r="L310" s="23">
        <f>IF($A310="","",IFERROR(ROUND(($B310*$E310+$D310*$E310+$B310*$F310*$E310+$G310)/MAX(1,$C310),0),0))</f>
        <v/>
      </c>
    </row>
    <row r="311">
      <c r="L311" s="23">
        <f>IF($A311="","",IFERROR(ROUND(($B311*$E311+$D311*$E311+$B311*$F311*$E311+$G311)/MAX(1,$C311),0),0))</f>
        <v/>
      </c>
    </row>
    <row r="312">
      <c r="L312" s="23">
        <f>IF($A312="","",IFERROR(ROUND(($B312*$E312+$D312*$E312+$B312*$F312*$E312+$G312)/MAX(1,$C312),0),0))</f>
        <v/>
      </c>
    </row>
    <row r="313">
      <c r="L313" s="23">
        <f>IF($A313="","",IFERROR(ROUND(($B313*$E313+$D313*$E313+$B313*$F313*$E313+$G313)/MAX(1,$C313),0),0))</f>
        <v/>
      </c>
    </row>
    <row r="314">
      <c r="L314" s="23">
        <f>IF($A314="","",IFERROR(ROUND(($B314*$E314+$D314*$E314+$B314*$F314*$E314+$G314)/MAX(1,$C314),0),0))</f>
        <v/>
      </c>
    </row>
    <row r="315">
      <c r="L315" s="23">
        <f>IF($A315="","",IFERROR(ROUND(($B315*$E315+$D315*$E315+$B315*$F315*$E315+$G315)/MAX(1,$C315),0),0))</f>
        <v/>
      </c>
    </row>
    <row r="316">
      <c r="L316" s="23">
        <f>IF($A316="","",IFERROR(ROUND(($B316*$E316+$D316*$E316+$B316*$F316*$E316+$G316)/MAX(1,$C316),0),0))</f>
        <v/>
      </c>
    </row>
    <row r="317">
      <c r="L317" s="23">
        <f>IF($A317="","",IFERROR(ROUND(($B317*$E317+$D317*$E317+$B317*$F317*$E317+$G317)/MAX(1,$C317),0),0))</f>
        <v/>
      </c>
    </row>
    <row r="318">
      <c r="L318" s="23">
        <f>IF($A318="","",IFERROR(ROUND(($B318*$E318+$D318*$E318+$B318*$F318*$E318+$G318)/MAX(1,$C318),0),0))</f>
        <v/>
      </c>
    </row>
    <row r="319">
      <c r="L319" s="23">
        <f>IF($A319="","",IFERROR(ROUND(($B319*$E319+$D319*$E319+$B319*$F319*$E319+$G319)/MAX(1,$C319),0),0))</f>
        <v/>
      </c>
    </row>
    <row r="320">
      <c r="L320" s="23">
        <f>IF($A320="","",IFERROR(ROUND(($B320*$E320+$D320*$E320+$B320*$F320*$E320+$G320)/MAX(1,$C320),0),0))</f>
        <v/>
      </c>
    </row>
    <row r="321">
      <c r="L321" s="23">
        <f>IF($A321="","",IFERROR(ROUND(($B321*$E321+$D321*$E321+$B321*$F321*$E321+$G321)/MAX(1,$C321),0),0))</f>
        <v/>
      </c>
    </row>
    <row r="322">
      <c r="L322" s="23">
        <f>IF($A322="","",IFERROR(ROUND(($B322*$E322+$D322*$E322+$B322*$F322*$E322+$G322)/MAX(1,$C322),0),0))</f>
        <v/>
      </c>
    </row>
    <row r="323">
      <c r="L323" s="23">
        <f>IF($A323="","",IFERROR(ROUND(($B323*$E323+$D323*$E323+$B323*$F323*$E323+$G323)/MAX(1,$C323),0),0))</f>
        <v/>
      </c>
    </row>
    <row r="324">
      <c r="L324" s="23">
        <f>IF($A324="","",IFERROR(ROUND(($B324*$E324+$D324*$E324+$B324*$F324*$E324+$G324)/MAX(1,$C324),0),0))</f>
        <v/>
      </c>
    </row>
    <row r="325">
      <c r="L325" s="23">
        <f>IF($A325="","",IFERROR(ROUND(($B325*$E325+$D325*$E325+$B325*$F325*$E325+$G325)/MAX(1,$C325),0),0))</f>
        <v/>
      </c>
    </row>
    <row r="326">
      <c r="L326" s="23">
        <f>IF($A326="","",IFERROR(ROUND(($B326*$E326+$D326*$E326+$B326*$F326*$E326+$G326)/MAX(1,$C326),0),0))</f>
        <v/>
      </c>
    </row>
    <row r="327">
      <c r="L327" s="23">
        <f>IF($A327="","",IFERROR(ROUND(($B327*$E327+$D327*$E327+$B327*$F327*$E327+$G327)/MAX(1,$C327),0),0))</f>
        <v/>
      </c>
    </row>
    <row r="328">
      <c r="L328" s="23">
        <f>IF($A328="","",IFERROR(ROUND(($B328*$E328+$D328*$E328+$B328*$F328*$E328+$G328)/MAX(1,$C328),0),0))</f>
        <v/>
      </c>
    </row>
    <row r="329">
      <c r="L329" s="23">
        <f>IF($A329="","",IFERROR(ROUND(($B329*$E329+$D329*$E329+$B329*$F329*$E329+$G329)/MAX(1,$C329),0),0))</f>
        <v/>
      </c>
    </row>
    <row r="330">
      <c r="L330" s="23">
        <f>IF($A330="","",IFERROR(ROUND(($B330*$E330+$D330*$E330+$B330*$F330*$E330+$G330)/MAX(1,$C330),0),0))</f>
        <v/>
      </c>
    </row>
    <row r="331">
      <c r="L331" s="23">
        <f>IF($A331="","",IFERROR(ROUND(($B331*$E331+$D331*$E331+$B331*$F331*$E331+$G331)/MAX(1,$C331),0),0))</f>
        <v/>
      </c>
    </row>
    <row r="332">
      <c r="L332" s="23">
        <f>IF($A332="","",IFERROR(ROUND(($B332*$E332+$D332*$E332+$B332*$F332*$E332+$G332)/MAX(1,$C332),0),0))</f>
        <v/>
      </c>
    </row>
    <row r="333">
      <c r="L333" s="23">
        <f>IF($A333="","",IFERROR(ROUND(($B333*$E333+$D333*$E333+$B333*$F333*$E333+$G333)/MAX(1,$C333),0),0))</f>
        <v/>
      </c>
    </row>
    <row r="334">
      <c r="L334" s="23">
        <f>IF($A334="","",IFERROR(ROUND(($B334*$E334+$D334*$E334+$B334*$F334*$E334+$G334)/MAX(1,$C334),0),0))</f>
        <v/>
      </c>
    </row>
    <row r="335">
      <c r="L335" s="23">
        <f>IF($A335="","",IFERROR(ROUND(($B335*$E335+$D335*$E335+$B335*$F335*$E335+$G335)/MAX(1,$C335),0),0))</f>
        <v/>
      </c>
    </row>
    <row r="336">
      <c r="L336" s="23">
        <f>IF($A336="","",IFERROR(ROUND(($B336*$E336+$D336*$E336+$B336*$F336*$E336+$G336)/MAX(1,$C336),0),0))</f>
        <v/>
      </c>
    </row>
    <row r="337">
      <c r="L337" s="23">
        <f>IF($A337="","",IFERROR(ROUND(($B337*$E337+$D337*$E337+$B337*$F337*$E337+$G337)/MAX(1,$C337),0),0))</f>
        <v/>
      </c>
    </row>
    <row r="338">
      <c r="L338" s="23">
        <f>IF($A338="","",IFERROR(ROUND(($B338*$E338+$D338*$E338+$B338*$F338*$E338+$G338)/MAX(1,$C338),0),0))</f>
        <v/>
      </c>
    </row>
    <row r="339">
      <c r="L339" s="23">
        <f>IF($A339="","",IFERROR(ROUND(($B339*$E339+$D339*$E339+$B339*$F339*$E339+$G339)/MAX(1,$C339),0),0))</f>
        <v/>
      </c>
    </row>
    <row r="340">
      <c r="L340" s="23">
        <f>IF($A340="","",IFERROR(ROUND(($B340*$E340+$D340*$E340+$B340*$F340*$E340+$G340)/MAX(1,$C340),0),0))</f>
        <v/>
      </c>
    </row>
    <row r="341">
      <c r="L341" s="23">
        <f>IF($A341="","",IFERROR(ROUND(($B341*$E341+$D341*$E341+$B341*$F341*$E341+$G341)/MAX(1,$C341),0),0))</f>
        <v/>
      </c>
    </row>
    <row r="342">
      <c r="L342" s="23">
        <f>IF($A342="","",IFERROR(ROUND(($B342*$E342+$D342*$E342+$B342*$F342*$E342+$G342)/MAX(1,$C342),0),0))</f>
        <v/>
      </c>
    </row>
    <row r="343">
      <c r="L343" s="23">
        <f>IF($A343="","",IFERROR(ROUND(($B343*$E343+$D343*$E343+$B343*$F343*$E343+$G343)/MAX(1,$C343),0),0))</f>
        <v/>
      </c>
    </row>
    <row r="344">
      <c r="L344" s="23">
        <f>IF($A344="","",IFERROR(ROUND(($B344*$E344+$D344*$E344+$B344*$F344*$E344+$G344)/MAX(1,$C344),0),0))</f>
        <v/>
      </c>
    </row>
    <row r="345">
      <c r="L345" s="23">
        <f>IF($A345="","",IFERROR(ROUND(($B345*$E345+$D345*$E345+$B345*$F345*$E345+$G345)/MAX(1,$C345),0),0))</f>
        <v/>
      </c>
    </row>
    <row r="346">
      <c r="L346" s="23">
        <f>IF($A346="","",IFERROR(ROUND(($B346*$E346+$D346*$E346+$B346*$F346*$E346+$G346)/MAX(1,$C346),0),0))</f>
        <v/>
      </c>
    </row>
    <row r="347">
      <c r="L347" s="23">
        <f>IF($A347="","",IFERROR(ROUND(($B347*$E347+$D347*$E347+$B347*$F347*$E347+$G347)/MAX(1,$C347),0),0))</f>
        <v/>
      </c>
    </row>
    <row r="348">
      <c r="L348" s="23">
        <f>IF($A348="","",IFERROR(ROUND(($B348*$E348+$D348*$E348+$B348*$F348*$E348+$G348)/MAX(1,$C348),0),0))</f>
        <v/>
      </c>
    </row>
    <row r="349">
      <c r="L349" s="23">
        <f>IF($A349="","",IFERROR(ROUND(($B349*$E349+$D349*$E349+$B349*$F349*$E349+$G349)/MAX(1,$C349),0),0))</f>
        <v/>
      </c>
    </row>
    <row r="350">
      <c r="L350" s="23">
        <f>IF($A350="","",IFERROR(ROUND(($B350*$E350+$D350*$E350+$B350*$F350*$E350+$G350)/MAX(1,$C350),0),0))</f>
        <v/>
      </c>
    </row>
    <row r="351">
      <c r="L351" s="23">
        <f>IF($A351="","",IFERROR(ROUND(($B351*$E351+$D351*$E351+$B351*$F351*$E351+$G351)/MAX(1,$C351),0),0))</f>
        <v/>
      </c>
    </row>
    <row r="352">
      <c r="L352" s="23">
        <f>IF($A352="","",IFERROR(ROUND(($B352*$E352+$D352*$E352+$B352*$F352*$E352+$G352)/MAX(1,$C352),0),0))</f>
        <v/>
      </c>
    </row>
    <row r="353">
      <c r="L353" s="23">
        <f>IF($A353="","",IFERROR(ROUND(($B353*$E353+$D353*$E353+$B353*$F353*$E353+$G353)/MAX(1,$C353),0),0))</f>
        <v/>
      </c>
    </row>
    <row r="354">
      <c r="L354" s="23">
        <f>IF($A354="","",IFERROR(ROUND(($B354*$E354+$D354*$E354+$B354*$F354*$E354+$G354)/MAX(1,$C354),0),0))</f>
        <v/>
      </c>
    </row>
    <row r="355">
      <c r="L355" s="23">
        <f>IF($A355="","",IFERROR(ROUND(($B355*$E355+$D355*$E355+$B355*$F355*$E355+$G355)/MAX(1,$C355),0),0))</f>
        <v/>
      </c>
    </row>
    <row r="356">
      <c r="L356" s="23">
        <f>IF($A356="","",IFERROR(ROUND(($B356*$E356+$D356*$E356+$B356*$F356*$E356+$G356)/MAX(1,$C356),0),0))</f>
        <v/>
      </c>
    </row>
    <row r="357">
      <c r="L357" s="23">
        <f>IF($A357="","",IFERROR(ROUND(($B357*$E357+$D357*$E357+$B357*$F357*$E357+$G357)/MAX(1,$C357),0),0))</f>
        <v/>
      </c>
    </row>
    <row r="358">
      <c r="L358" s="23">
        <f>IF($A358="","",IFERROR(ROUND(($B358*$E358+$D358*$E358+$B358*$F358*$E358+$G358)/MAX(1,$C358),0),0))</f>
        <v/>
      </c>
    </row>
    <row r="359">
      <c r="L359" s="23">
        <f>IF($A359="","",IFERROR(ROUND(($B359*$E359+$D359*$E359+$B359*$F359*$E359+$G359)/MAX(1,$C359),0),0))</f>
        <v/>
      </c>
    </row>
    <row r="360">
      <c r="L360" s="23">
        <f>IF($A360="","",IFERROR(ROUND(($B360*$E360+$D360*$E360+$B360*$F360*$E360+$G360)/MAX(1,$C360),0),0))</f>
        <v/>
      </c>
    </row>
    <row r="361">
      <c r="L361" s="23">
        <f>IF($A361="","",IFERROR(ROUND(($B361*$E361+$D361*$E361+$B361*$F361*$E361+$G361)/MAX(1,$C361),0),0))</f>
        <v/>
      </c>
    </row>
    <row r="362">
      <c r="L362" s="23">
        <f>IF($A362="","",IFERROR(ROUND(($B362*$E362+$D362*$E362+$B362*$F362*$E362+$G362)/MAX(1,$C362),0),0))</f>
        <v/>
      </c>
    </row>
    <row r="363">
      <c r="L363" s="23">
        <f>IF($A363="","",IFERROR(ROUND(($B363*$E363+$D363*$E363+$B363*$F363*$E363+$G363)/MAX(1,$C363),0),0))</f>
        <v/>
      </c>
    </row>
    <row r="364">
      <c r="L364" s="23">
        <f>IF($A364="","",IFERROR(ROUND(($B364*$E364+$D364*$E364+$B364*$F364*$E364+$G364)/MAX(1,$C364),0),0))</f>
        <v/>
      </c>
    </row>
    <row r="365">
      <c r="L365" s="23">
        <f>IF($A365="","",IFERROR(ROUND(($B365*$E365+$D365*$E365+$B365*$F365*$E365+$G365)/MAX(1,$C365),0),0))</f>
        <v/>
      </c>
    </row>
    <row r="366">
      <c r="L366" s="23">
        <f>IF($A366="","",IFERROR(ROUND(($B366*$E366+$D366*$E366+$B366*$F366*$E366+$G366)/MAX(1,$C366),0),0))</f>
        <v/>
      </c>
    </row>
    <row r="367">
      <c r="L367" s="23">
        <f>IF($A367="","",IFERROR(ROUND(($B367*$E367+$D367*$E367+$B367*$F367*$E367+$G367)/MAX(1,$C367),0),0))</f>
        <v/>
      </c>
    </row>
    <row r="368">
      <c r="L368" s="23">
        <f>IF($A368="","",IFERROR(ROUND(($B368*$E368+$D368*$E368+$B368*$F368*$E368+$G368)/MAX(1,$C368),0),0))</f>
        <v/>
      </c>
    </row>
    <row r="369">
      <c r="L369" s="23">
        <f>IF($A369="","",IFERROR(ROUND(($B369*$E369+$D369*$E369+$B369*$F369*$E369+$G369)/MAX(1,$C369),0),0))</f>
        <v/>
      </c>
    </row>
    <row r="370">
      <c r="L370" s="23">
        <f>IF($A370="","",IFERROR(ROUND(($B370*$E370+$D370*$E370+$B370*$F370*$E370+$G370)/MAX(1,$C370),0),0))</f>
        <v/>
      </c>
    </row>
    <row r="371">
      <c r="L371" s="23">
        <f>IF($A371="","",IFERROR(ROUND(($B371*$E371+$D371*$E371+$B371*$F371*$E371+$G371)/MAX(1,$C371),0),0))</f>
        <v/>
      </c>
    </row>
    <row r="372">
      <c r="L372" s="23">
        <f>IF($A372="","",IFERROR(ROUND(($B372*$E372+$D372*$E372+$B372*$F372*$E372+$G372)/MAX(1,$C372),0),0))</f>
        <v/>
      </c>
    </row>
    <row r="373">
      <c r="L373" s="23">
        <f>IF($A373="","",IFERROR(ROUND(($B373*$E373+$D373*$E373+$B373*$F373*$E373+$G373)/MAX(1,$C373),0),0))</f>
        <v/>
      </c>
    </row>
    <row r="374">
      <c r="L374" s="23">
        <f>IF($A374="","",IFERROR(ROUND(($B374*$E374+$D374*$E374+$B374*$F374*$E374+$G374)/MAX(1,$C374),0),0))</f>
        <v/>
      </c>
    </row>
    <row r="375">
      <c r="L375" s="23">
        <f>IF($A375="","",IFERROR(ROUND(($B375*$E375+$D375*$E375+$B375*$F375*$E375+$G375)/MAX(1,$C375),0),0))</f>
        <v/>
      </c>
    </row>
    <row r="376">
      <c r="L376" s="23">
        <f>IF($A376="","",IFERROR(ROUND(($B376*$E376+$D376*$E376+$B376*$F376*$E376+$G376)/MAX(1,$C376),0),0))</f>
        <v/>
      </c>
    </row>
    <row r="377">
      <c r="L377" s="23">
        <f>IF($A377="","",IFERROR(ROUND(($B377*$E377+$D377*$E377+$B377*$F377*$E377+$G377)/MAX(1,$C377),0),0))</f>
        <v/>
      </c>
    </row>
    <row r="378">
      <c r="L378" s="23">
        <f>IF($A378="","",IFERROR(ROUND(($B378*$E378+$D378*$E378+$B378*$F378*$E378+$G378)/MAX(1,$C378),0),0))</f>
        <v/>
      </c>
    </row>
    <row r="379">
      <c r="L379" s="23">
        <f>IF($A379="","",IFERROR(ROUND(($B379*$E379+$D379*$E379+$B379*$F379*$E379+$G379)/MAX(1,$C379),0),0))</f>
        <v/>
      </c>
    </row>
    <row r="380">
      <c r="L380" s="23">
        <f>IF($A380="","",IFERROR(ROUND(($B380*$E380+$D380*$E380+$B380*$F380*$E380+$G380)/MAX(1,$C380),0),0))</f>
        <v/>
      </c>
    </row>
    <row r="381">
      <c r="L381" s="23">
        <f>IF($A381="","",IFERROR(ROUND(($B381*$E381+$D381*$E381+$B381*$F381*$E381+$G381)/MAX(1,$C381),0),0))</f>
        <v/>
      </c>
    </row>
    <row r="382">
      <c r="L382" s="23">
        <f>IF($A382="","",IFERROR(ROUND(($B382*$E382+$D382*$E382+$B382*$F382*$E382+$G382)/MAX(1,$C382),0),0))</f>
        <v/>
      </c>
    </row>
    <row r="383">
      <c r="L383" s="23">
        <f>IF($A383="","",IFERROR(ROUND(($B383*$E383+$D383*$E383+$B383*$F383*$E383+$G383)/MAX(1,$C383),0),0))</f>
        <v/>
      </c>
    </row>
    <row r="384">
      <c r="L384" s="23">
        <f>IF($A384="","",IFERROR(ROUND(($B384*$E384+$D384*$E384+$B384*$F384*$E384+$G384)/MAX(1,$C384),0),0))</f>
        <v/>
      </c>
    </row>
    <row r="385">
      <c r="L385" s="23">
        <f>IF($A385="","",IFERROR(ROUND(($B385*$E385+$D385*$E385+$B385*$F385*$E385+$G385)/MAX(1,$C385),0),0))</f>
        <v/>
      </c>
    </row>
    <row r="386">
      <c r="L386" s="23">
        <f>IF($A386="","",IFERROR(ROUND(($B386*$E386+$D386*$E386+$B386*$F386*$E386+$G386)/MAX(1,$C386),0),0))</f>
        <v/>
      </c>
    </row>
    <row r="387">
      <c r="L387" s="23">
        <f>IF($A387="","",IFERROR(ROUND(($B387*$E387+$D387*$E387+$B387*$F387*$E387+$G387)/MAX(1,$C387),0),0))</f>
        <v/>
      </c>
    </row>
    <row r="388">
      <c r="L388" s="23">
        <f>IF($A388="","",IFERROR(ROUND(($B388*$E388+$D388*$E388+$B388*$F388*$E388+$G388)/MAX(1,$C388),0),0))</f>
        <v/>
      </c>
    </row>
    <row r="389">
      <c r="L389" s="23">
        <f>IF($A389="","",IFERROR(ROUND(($B389*$E389+$D389*$E389+$B389*$F389*$E389+$G389)/MAX(1,$C389),0),0))</f>
        <v/>
      </c>
    </row>
    <row r="390">
      <c r="L390" s="23">
        <f>IF($A390="","",IFERROR(ROUND(($B390*$E390+$D390*$E390+$B390*$F390*$E390+$G390)/MAX(1,$C390),0),0))</f>
        <v/>
      </c>
    </row>
    <row r="391">
      <c r="L391" s="23">
        <f>IF($A391="","",IFERROR(ROUND(($B391*$E391+$D391*$E391+$B391*$F391*$E391+$G391)/MAX(1,$C391),0),0))</f>
        <v/>
      </c>
    </row>
    <row r="392">
      <c r="L392" s="23">
        <f>IF($A392="","",IFERROR(ROUND(($B392*$E392+$D392*$E392+$B392*$F392*$E392+$G392)/MAX(1,$C392),0),0))</f>
        <v/>
      </c>
    </row>
    <row r="393">
      <c r="L393" s="23">
        <f>IF($A393="","",IFERROR(ROUND(($B393*$E393+$D393*$E393+$B393*$F393*$E393+$G393)/MAX(1,$C393),0),0))</f>
        <v/>
      </c>
    </row>
    <row r="394">
      <c r="L394" s="23">
        <f>IF($A394="","",IFERROR(ROUND(($B394*$E394+$D394*$E394+$B394*$F394*$E394+$G394)/MAX(1,$C394),0),0))</f>
        <v/>
      </c>
    </row>
    <row r="395">
      <c r="L395" s="23">
        <f>IF($A395="","",IFERROR(ROUND(($B395*$E395+$D395*$E395+$B395*$F395*$E395+$G395)/MAX(1,$C395),0),0))</f>
        <v/>
      </c>
    </row>
    <row r="396">
      <c r="L396" s="23">
        <f>IF($A396="","",IFERROR(ROUND(($B396*$E396+$D396*$E396+$B396*$F396*$E396+$G396)/MAX(1,$C396),0),0))</f>
        <v/>
      </c>
    </row>
    <row r="397">
      <c r="L397" s="23">
        <f>IF($A397="","",IFERROR(ROUND(($B397*$E397+$D397*$E397+$B397*$F397*$E397+$G397)/MAX(1,$C397),0),0))</f>
        <v/>
      </c>
    </row>
    <row r="398">
      <c r="L398" s="23">
        <f>IF($A398="","",IFERROR(ROUND(($B398*$E398+$D398*$E398+$B398*$F398*$E398+$G398)/MAX(1,$C398),0),0))</f>
        <v/>
      </c>
    </row>
    <row r="399">
      <c r="L399" s="23">
        <f>IF($A399="","",IFERROR(ROUND(($B399*$E399+$D399*$E399+$B399*$F399*$E399+$G399)/MAX(1,$C399),0),0))</f>
        <v/>
      </c>
    </row>
    <row r="400">
      <c r="L400" s="23">
        <f>IF($A400="","",IFERROR(ROUND(($B400*$E400+$D400*$E400+$B400*$F400*$E400+$G400)/MAX(1,$C400),0),0))</f>
        <v/>
      </c>
    </row>
    <row r="401">
      <c r="L401" s="23">
        <f>IF($A401="","",IFERROR(ROUND(($B401*$E401+$D401*$E401+$B401*$F401*$E401+$G401)/MAX(1,$C401),0),0))</f>
        <v/>
      </c>
    </row>
    <row r="402">
      <c r="L402" s="23">
        <f>IF($A402="","",IFERROR(ROUND(($B402*$E402+$D402*$E402+$B402*$F402*$E402+$G402)/MAX(1,$C402),0),0))</f>
        <v/>
      </c>
    </row>
    <row r="403">
      <c r="L403" s="23">
        <f>IF($A403="","",IFERROR(ROUND(($B403*$E403+$D403*$E403+$B403*$F403*$E403+$G403)/MAX(1,$C403),0),0))</f>
        <v/>
      </c>
    </row>
    <row r="404">
      <c r="L404" s="23">
        <f>IF($A404="","",IFERROR(ROUND(($B404*$E404+$D404*$E404+$B404*$F404*$E404+$G404)/MAX(1,$C404),0),0))</f>
        <v/>
      </c>
    </row>
    <row r="405">
      <c r="L405" s="23">
        <f>IF($A405="","",IFERROR(ROUND(($B405*$E405+$D405*$E405+$B405*$F405*$E405+$G405)/MAX(1,$C405),0),0))</f>
        <v/>
      </c>
    </row>
    <row r="406">
      <c r="L406" s="23">
        <f>IF($A406="","",IFERROR(ROUND(($B406*$E406+$D406*$E406+$B406*$F406*$E406+$G406)/MAX(1,$C406),0),0))</f>
        <v/>
      </c>
    </row>
    <row r="407">
      <c r="L407" s="23">
        <f>IF($A407="","",IFERROR(ROUND(($B407*$E407+$D407*$E407+$B407*$F407*$E407+$G407)/MAX(1,$C407),0),0))</f>
        <v/>
      </c>
    </row>
    <row r="408">
      <c r="L408" s="23">
        <f>IF($A408="","",IFERROR(ROUND(($B408*$E408+$D408*$E408+$B408*$F408*$E408+$G408)/MAX(1,$C408),0),0))</f>
        <v/>
      </c>
    </row>
    <row r="409">
      <c r="L409" s="23">
        <f>IF($A409="","",IFERROR(ROUND(($B409*$E409+$D409*$E409+$B409*$F409*$E409+$G409)/MAX(1,$C409),0),0))</f>
        <v/>
      </c>
    </row>
    <row r="410">
      <c r="L410" s="23">
        <f>IF($A410="","",IFERROR(ROUND(($B410*$E410+$D410*$E410+$B410*$F410*$E410+$G410)/MAX(1,$C410),0),0))</f>
        <v/>
      </c>
    </row>
    <row r="411">
      <c r="L411" s="23">
        <f>IF($A411="","",IFERROR(ROUND(($B411*$E411+$D411*$E411+$B411*$F411*$E411+$G411)/MAX(1,$C411),0),0))</f>
        <v/>
      </c>
    </row>
    <row r="412">
      <c r="L412" s="23">
        <f>IF($A412="","",IFERROR(ROUND(($B412*$E412+$D412*$E412+$B412*$F412*$E412+$G412)/MAX(1,$C412),0),0))</f>
        <v/>
      </c>
    </row>
    <row r="413">
      <c r="L413" s="23">
        <f>IF($A413="","",IFERROR(ROUND(($B413*$E413+$D413*$E413+$B413*$F413*$E413+$G413)/MAX(1,$C413),0),0))</f>
        <v/>
      </c>
    </row>
    <row r="414">
      <c r="L414" s="23">
        <f>IF($A414="","",IFERROR(ROUND(($B414*$E414+$D414*$E414+$B414*$F414*$E414+$G414)/MAX(1,$C414),0),0))</f>
        <v/>
      </c>
    </row>
    <row r="415">
      <c r="L415" s="23">
        <f>IF($A415="","",IFERROR(ROUND(($B415*$E415+$D415*$E415+$B415*$F415*$E415+$G415)/MAX(1,$C415),0),0))</f>
        <v/>
      </c>
    </row>
    <row r="416">
      <c r="L416" s="23">
        <f>IF($A416="","",IFERROR(ROUND(($B416*$E416+$D416*$E416+$B416*$F416*$E416+$G416)/MAX(1,$C416),0),0))</f>
        <v/>
      </c>
    </row>
    <row r="417">
      <c r="L417" s="23">
        <f>IF($A417="","",IFERROR(ROUND(($B417*$E417+$D417*$E417+$B417*$F417*$E417+$G417)/MAX(1,$C417),0),0))</f>
        <v/>
      </c>
    </row>
    <row r="418">
      <c r="L418" s="23">
        <f>IF($A418="","",IFERROR(ROUND(($B418*$E418+$D418*$E418+$B418*$F418*$E418+$G418)/MAX(1,$C418),0),0))</f>
        <v/>
      </c>
    </row>
    <row r="419">
      <c r="L419" s="23">
        <f>IF($A419="","",IFERROR(ROUND(($B419*$E419+$D419*$E419+$B419*$F419*$E419+$G419)/MAX(1,$C419),0),0))</f>
        <v/>
      </c>
    </row>
    <row r="420">
      <c r="L420" s="23">
        <f>IF($A420="","",IFERROR(ROUND(($B420*$E420+$D420*$E420+$B420*$F420*$E420+$G420)/MAX(1,$C420),0),0))</f>
        <v/>
      </c>
    </row>
    <row r="421">
      <c r="L421" s="23">
        <f>IF($A421="","",IFERROR(ROUND(($B421*$E421+$D421*$E421+$B421*$F421*$E421+$G421)/MAX(1,$C421),0),0))</f>
        <v/>
      </c>
    </row>
    <row r="422">
      <c r="L422" s="23">
        <f>IF($A422="","",IFERROR(ROUND(($B422*$E422+$D422*$E422+$B422*$F422*$E422+$G422)/MAX(1,$C422),0),0))</f>
        <v/>
      </c>
    </row>
    <row r="423">
      <c r="L423" s="23">
        <f>IF($A423="","",IFERROR(ROUND(($B423*$E423+$D423*$E423+$B423*$F423*$E423+$G423)/MAX(1,$C423),0),0))</f>
        <v/>
      </c>
    </row>
    <row r="424">
      <c r="L424" s="23">
        <f>IF($A424="","",IFERROR(ROUND(($B424*$E424+$D424*$E424+$B424*$F424*$E424+$G424)/MAX(1,$C424),0),0))</f>
        <v/>
      </c>
    </row>
    <row r="425">
      <c r="L425" s="23">
        <f>IF($A425="","",IFERROR(ROUND(($B425*$E425+$D425*$E425+$B425*$F425*$E425+$G425)/MAX(1,$C425),0),0))</f>
        <v/>
      </c>
    </row>
    <row r="426">
      <c r="L426" s="23">
        <f>IF($A426="","",IFERROR(ROUND(($B426*$E426+$D426*$E426+$B426*$F426*$E426+$G426)/MAX(1,$C426),0),0))</f>
        <v/>
      </c>
    </row>
    <row r="427">
      <c r="L427" s="23">
        <f>IF($A427="","",IFERROR(ROUND(($B427*$E427+$D427*$E427+$B427*$F427*$E427+$G427)/MAX(1,$C427),0),0))</f>
        <v/>
      </c>
    </row>
    <row r="428">
      <c r="L428" s="23">
        <f>IF($A428="","",IFERROR(ROUND(($B428*$E428+$D428*$E428+$B428*$F428*$E428+$G428)/MAX(1,$C428),0),0))</f>
        <v/>
      </c>
    </row>
    <row r="429">
      <c r="L429" s="23">
        <f>IF($A429="","",IFERROR(ROUND(($B429*$E429+$D429*$E429+$B429*$F429*$E429+$G429)/MAX(1,$C429),0),0))</f>
        <v/>
      </c>
    </row>
    <row r="430">
      <c r="L430" s="23">
        <f>IF($A430="","",IFERROR(ROUND(($B430*$E430+$D430*$E430+$B430*$F430*$E430+$G430)/MAX(1,$C430),0),0))</f>
        <v/>
      </c>
    </row>
    <row r="431">
      <c r="L431" s="23">
        <f>IF($A431="","",IFERROR(ROUND(($B431*$E431+$D431*$E431+$B431*$F431*$E431+$G431)/MAX(1,$C431),0),0))</f>
        <v/>
      </c>
    </row>
    <row r="432">
      <c r="L432" s="23">
        <f>IF($A432="","",IFERROR(ROUND(($B432*$E432+$D432*$E432+$B432*$F432*$E432+$G432)/MAX(1,$C432),0),0))</f>
        <v/>
      </c>
    </row>
    <row r="433">
      <c r="L433" s="23">
        <f>IF($A433="","",IFERROR(ROUND(($B433*$E433+$D433*$E433+$B433*$F433*$E433+$G433)/MAX(1,$C433),0),0))</f>
        <v/>
      </c>
    </row>
    <row r="434">
      <c r="L434" s="23">
        <f>IF($A434="","",IFERROR(ROUND(($B434*$E434+$D434*$E434+$B434*$F434*$E434+$G434)/MAX(1,$C434),0),0))</f>
        <v/>
      </c>
    </row>
    <row r="435">
      <c r="L435" s="23">
        <f>IF($A435="","",IFERROR(ROUND(($B435*$E435+$D435*$E435+$B435*$F435*$E435+$G435)/MAX(1,$C435),0),0))</f>
        <v/>
      </c>
    </row>
    <row r="436">
      <c r="L436" s="23">
        <f>IF($A436="","",IFERROR(ROUND(($B436*$E436+$D436*$E436+$B436*$F436*$E436+$G436)/MAX(1,$C436),0),0))</f>
        <v/>
      </c>
    </row>
    <row r="437">
      <c r="L437" s="23">
        <f>IF($A437="","",IFERROR(ROUND(($B437*$E437+$D437*$E437+$B437*$F437*$E437+$G437)/MAX(1,$C437),0),0))</f>
        <v/>
      </c>
    </row>
    <row r="438">
      <c r="L438" s="23">
        <f>IF($A438="","",IFERROR(ROUND(($B438*$E438+$D438*$E438+$B438*$F438*$E438+$G438)/MAX(1,$C438),0),0))</f>
        <v/>
      </c>
    </row>
    <row r="439">
      <c r="L439" s="23">
        <f>IF($A439="","",IFERROR(ROUND(($B439*$E439+$D439*$E439+$B439*$F439*$E439+$G439)/MAX(1,$C439),0),0))</f>
        <v/>
      </c>
    </row>
    <row r="440">
      <c r="L440" s="23">
        <f>IF($A440="","",IFERROR(ROUND(($B440*$E440+$D440*$E440+$B440*$F440*$E440+$G440)/MAX(1,$C440),0),0))</f>
        <v/>
      </c>
    </row>
    <row r="441">
      <c r="L441" s="23">
        <f>IF($A441="","",IFERROR(ROUND(($B441*$E441+$D441*$E441+$B441*$F441*$E441+$G441)/MAX(1,$C441),0),0))</f>
        <v/>
      </c>
    </row>
    <row r="442">
      <c r="L442" s="23">
        <f>IF($A442="","",IFERROR(ROUND(($B442*$E442+$D442*$E442+$B442*$F442*$E442+$G442)/MAX(1,$C442),0),0))</f>
        <v/>
      </c>
    </row>
    <row r="443">
      <c r="L443" s="23">
        <f>IF($A443="","",IFERROR(ROUND(($B443*$E443+$D443*$E443+$B443*$F443*$E443+$G443)/MAX(1,$C443),0),0))</f>
        <v/>
      </c>
    </row>
    <row r="444">
      <c r="L444" s="23">
        <f>IF($A444="","",IFERROR(ROUND(($B444*$E444+$D444*$E444+$B444*$F444*$E444+$G444)/MAX(1,$C444),0),0))</f>
        <v/>
      </c>
    </row>
    <row r="445">
      <c r="L445" s="23">
        <f>IF($A445="","",IFERROR(ROUND(($B445*$E445+$D445*$E445+$B445*$F445*$E445+$G445)/MAX(1,$C445),0),0))</f>
        <v/>
      </c>
    </row>
    <row r="446">
      <c r="L446" s="23">
        <f>IF($A446="","",IFERROR(ROUND(($B446*$E446+$D446*$E446+$B446*$F446*$E446+$G446)/MAX(1,$C446),0),0))</f>
        <v/>
      </c>
    </row>
    <row r="447">
      <c r="L447" s="23">
        <f>IF($A447="","",IFERROR(ROUND(($B447*$E447+$D447*$E447+$B447*$F447*$E447+$G447)/MAX(1,$C447),0),0))</f>
        <v/>
      </c>
    </row>
    <row r="448">
      <c r="L448" s="23">
        <f>IF($A448="","",IFERROR(ROUND(($B448*$E448+$D448*$E448+$B448*$F448*$E448+$G448)/MAX(1,$C448),0),0))</f>
        <v/>
      </c>
    </row>
    <row r="449">
      <c r="L449" s="23">
        <f>IF($A449="","",IFERROR(ROUND(($B449*$E449+$D449*$E449+$B449*$F449*$E449+$G449)/MAX(1,$C449),0),0))</f>
        <v/>
      </c>
    </row>
    <row r="450">
      <c r="L450" s="23">
        <f>IF($A450="","",IFERROR(ROUND(($B450*$E450+$D450*$E450+$B450*$F450*$E450+$G450)/MAX(1,$C450),0),0))</f>
        <v/>
      </c>
    </row>
    <row r="451">
      <c r="L451" s="23">
        <f>IF($A451="","",IFERROR(ROUND(($B451*$E451+$D451*$E451+$B451*$F451*$E451+$G451)/MAX(1,$C451),0),0))</f>
        <v/>
      </c>
    </row>
    <row r="452">
      <c r="L452" s="23">
        <f>IF($A452="","",IFERROR(ROUND(($B452*$E452+$D452*$E452+$B452*$F452*$E452+$G452)/MAX(1,$C452),0),0))</f>
        <v/>
      </c>
    </row>
    <row r="453">
      <c r="L453" s="23">
        <f>IF($A453="","",IFERROR(ROUND(($B453*$E453+$D453*$E453+$B453*$F453*$E453+$G453)/MAX(1,$C453),0),0))</f>
        <v/>
      </c>
    </row>
    <row r="454">
      <c r="L454" s="23">
        <f>IF($A454="","",IFERROR(ROUND(($B454*$E454+$D454*$E454+$B454*$F454*$E454+$G454)/MAX(1,$C454),0),0))</f>
        <v/>
      </c>
    </row>
    <row r="455">
      <c r="L455" s="23">
        <f>IF($A455="","",IFERROR(ROUND(($B455*$E455+$D455*$E455+$B455*$F455*$E455+$G455)/MAX(1,$C455),0),0))</f>
        <v/>
      </c>
    </row>
    <row r="456">
      <c r="L456" s="23">
        <f>IF($A456="","",IFERROR(ROUND(($B456*$E456+$D456*$E456+$B456*$F456*$E456+$G456)/MAX(1,$C456),0),0))</f>
        <v/>
      </c>
    </row>
    <row r="457">
      <c r="L457" s="23">
        <f>IF($A457="","",IFERROR(ROUND(($B457*$E457+$D457*$E457+$B457*$F457*$E457+$G457)/MAX(1,$C457),0),0))</f>
        <v/>
      </c>
    </row>
    <row r="458">
      <c r="L458" s="23">
        <f>IF($A458="","",IFERROR(ROUND(($B458*$E458+$D458*$E458+$B458*$F458*$E458+$G458)/MAX(1,$C458),0),0))</f>
        <v/>
      </c>
    </row>
    <row r="459">
      <c r="L459" s="23">
        <f>IF($A459="","",IFERROR(ROUND(($B459*$E459+$D459*$E459+$B459*$F459*$E459+$G459)/MAX(1,$C459),0),0))</f>
        <v/>
      </c>
    </row>
    <row r="460">
      <c r="L460" s="23">
        <f>IF($A460="","",IFERROR(ROUND(($B460*$E460+$D460*$E460+$B460*$F460*$E460+$G460)/MAX(1,$C460),0),0))</f>
        <v/>
      </c>
    </row>
    <row r="461">
      <c r="L461" s="23">
        <f>IF($A461="","",IFERROR(ROUND(($B461*$E461+$D461*$E461+$B461*$F461*$E461+$G461)/MAX(1,$C461),0),0))</f>
        <v/>
      </c>
    </row>
    <row r="462">
      <c r="L462" s="23">
        <f>IF($A462="","",IFERROR(ROUND(($B462*$E462+$D462*$E462+$B462*$F462*$E462+$G462)/MAX(1,$C462),0),0))</f>
        <v/>
      </c>
    </row>
    <row r="463">
      <c r="L463" s="23">
        <f>IF($A463="","",IFERROR(ROUND(($B463*$E463+$D463*$E463+$B463*$F463*$E463+$G463)/MAX(1,$C463),0),0))</f>
        <v/>
      </c>
    </row>
    <row r="464">
      <c r="L464" s="23">
        <f>IF($A464="","",IFERROR(ROUND(($B464*$E464+$D464*$E464+$B464*$F464*$E464+$G464)/MAX(1,$C464),0),0))</f>
        <v/>
      </c>
    </row>
    <row r="465">
      <c r="L465" s="23">
        <f>IF($A465="","",IFERROR(ROUND(($B465*$E465+$D465*$E465+$B465*$F465*$E465+$G465)/MAX(1,$C465),0),0))</f>
        <v/>
      </c>
    </row>
    <row r="466">
      <c r="L466" s="23">
        <f>IF($A466="","",IFERROR(ROUND(($B466*$E466+$D466*$E466+$B466*$F466*$E466+$G466)/MAX(1,$C466),0),0))</f>
        <v/>
      </c>
    </row>
    <row r="467">
      <c r="L467" s="23">
        <f>IF($A467="","",IFERROR(ROUND(($B467*$E467+$D467*$E467+$B467*$F467*$E467+$G467)/MAX(1,$C467),0),0))</f>
        <v/>
      </c>
    </row>
    <row r="468">
      <c r="L468" s="23">
        <f>IF($A468="","",IFERROR(ROUND(($B468*$E468+$D468*$E468+$B468*$F468*$E468+$G468)/MAX(1,$C468),0),0))</f>
        <v/>
      </c>
    </row>
    <row r="469">
      <c r="L469" s="23">
        <f>IF($A469="","",IFERROR(ROUND(($B469*$E469+$D469*$E469+$B469*$F469*$E469+$G469)/MAX(1,$C469),0),0))</f>
        <v/>
      </c>
    </row>
    <row r="470">
      <c r="L470" s="23">
        <f>IF($A470="","",IFERROR(ROUND(($B470*$E470+$D470*$E470+$B470*$F470*$E470+$G470)/MAX(1,$C470),0),0))</f>
        <v/>
      </c>
    </row>
    <row r="471">
      <c r="L471" s="23">
        <f>IF($A471="","",IFERROR(ROUND(($B471*$E471+$D471*$E471+$B471*$F471*$E471+$G471)/MAX(1,$C471),0),0))</f>
        <v/>
      </c>
    </row>
    <row r="472">
      <c r="L472" s="23">
        <f>IF($A472="","",IFERROR(ROUND(($B472*$E472+$D472*$E472+$B472*$F472*$E472+$G472)/MAX(1,$C472),0),0))</f>
        <v/>
      </c>
    </row>
    <row r="473">
      <c r="L473" s="23">
        <f>IF($A473="","",IFERROR(ROUND(($B473*$E473+$D473*$E473+$B473*$F473*$E473+$G473)/MAX(1,$C473),0),0))</f>
        <v/>
      </c>
    </row>
    <row r="474">
      <c r="L474" s="23">
        <f>IF($A474="","",IFERROR(ROUND(($B474*$E474+$D474*$E474+$B474*$F474*$E474+$G474)/MAX(1,$C474),0),0))</f>
        <v/>
      </c>
    </row>
    <row r="475">
      <c r="L475" s="23">
        <f>IF($A475="","",IFERROR(ROUND(($B475*$E475+$D475*$E475+$B475*$F475*$E475+$G475)/MAX(1,$C475),0),0))</f>
        <v/>
      </c>
    </row>
    <row r="476">
      <c r="L476" s="23">
        <f>IF($A476="","",IFERROR(ROUND(($B476*$E476+$D476*$E476+$B476*$F476*$E476+$G476)/MAX(1,$C476),0),0))</f>
        <v/>
      </c>
    </row>
    <row r="477">
      <c r="L477" s="23">
        <f>IF($A477="","",IFERROR(ROUND(($B477*$E477+$D477*$E477+$B477*$F477*$E477+$G477)/MAX(1,$C477),0),0))</f>
        <v/>
      </c>
    </row>
    <row r="478">
      <c r="L478" s="23">
        <f>IF($A478="","",IFERROR(ROUND(($B478*$E478+$D478*$E478+$B478*$F478*$E478+$G478)/MAX(1,$C478),0),0))</f>
        <v/>
      </c>
    </row>
    <row r="479">
      <c r="L479" s="23">
        <f>IF($A479="","",IFERROR(ROUND(($B479*$E479+$D479*$E479+$B479*$F479*$E479+$G479)/MAX(1,$C479),0),0))</f>
        <v/>
      </c>
    </row>
    <row r="480">
      <c r="L480" s="23">
        <f>IF($A480="","",IFERROR(ROUND(($B480*$E480+$D480*$E480+$B480*$F480*$E480+$G480)/MAX(1,$C480),0),0))</f>
        <v/>
      </c>
    </row>
    <row r="481">
      <c r="L481" s="23">
        <f>IF($A481="","",IFERROR(ROUND(($B481*$E481+$D481*$E481+$B481*$F481*$E481+$G481)/MAX(1,$C481),0),0))</f>
        <v/>
      </c>
    </row>
    <row r="482">
      <c r="L482" s="23">
        <f>IF($A482="","",IFERROR(ROUND(($B482*$E482+$D482*$E482+$B482*$F482*$E482+$G482)/MAX(1,$C482),0),0))</f>
        <v/>
      </c>
    </row>
    <row r="483">
      <c r="L483" s="23">
        <f>IF($A483="","",IFERROR(ROUND(($B483*$E483+$D483*$E483+$B483*$F483*$E483+$G483)/MAX(1,$C483),0),0))</f>
        <v/>
      </c>
    </row>
    <row r="484">
      <c r="L484" s="23">
        <f>IF($A484="","",IFERROR(ROUND(($B484*$E484+$D484*$E484+$B484*$F484*$E484+$G484)/MAX(1,$C484),0),0))</f>
        <v/>
      </c>
    </row>
    <row r="485">
      <c r="L485" s="23">
        <f>IF($A485="","",IFERROR(ROUND(($B485*$E485+$D485*$E485+$B485*$F485*$E485+$G485)/MAX(1,$C485),0),0))</f>
        <v/>
      </c>
    </row>
    <row r="486">
      <c r="L486" s="23">
        <f>IF($A486="","",IFERROR(ROUND(($B486*$E486+$D486*$E486+$B486*$F486*$E486+$G486)/MAX(1,$C486),0),0))</f>
        <v/>
      </c>
    </row>
    <row r="487">
      <c r="L487" s="23">
        <f>IF($A487="","",IFERROR(ROUND(($B487*$E487+$D487*$E487+$B487*$F487*$E487+$G487)/MAX(1,$C487),0),0))</f>
        <v/>
      </c>
    </row>
    <row r="488">
      <c r="L488" s="23">
        <f>IF($A488="","",IFERROR(ROUND(($B488*$E488+$D488*$E488+$B488*$F488*$E488+$G488)/MAX(1,$C488),0),0))</f>
        <v/>
      </c>
    </row>
    <row r="489">
      <c r="L489" s="23">
        <f>IF($A489="","",IFERROR(ROUND(($B489*$E489+$D489*$E489+$B489*$F489*$E489+$G489)/MAX(1,$C489),0),0))</f>
        <v/>
      </c>
    </row>
    <row r="490">
      <c r="L490" s="23">
        <f>IF($A490="","",IFERROR(ROUND(($B490*$E490+$D490*$E490+$B490*$F490*$E490+$G490)/MAX(1,$C490),0),0))</f>
        <v/>
      </c>
    </row>
    <row r="491">
      <c r="L491" s="23">
        <f>IF($A491="","",IFERROR(ROUND(($B491*$E491+$D491*$E491+$B491*$F491*$E491+$G491)/MAX(1,$C491),0),0))</f>
        <v/>
      </c>
    </row>
    <row r="492">
      <c r="L492" s="23">
        <f>IF($A492="","",IFERROR(ROUND(($B492*$E492+$D492*$E492+$B492*$F492*$E492+$G492)/MAX(1,$C492),0),0))</f>
        <v/>
      </c>
    </row>
    <row r="493">
      <c r="L493" s="23">
        <f>IF($A493="","",IFERROR(ROUND(($B493*$E493+$D493*$E493+$B493*$F493*$E493+$G493)/MAX(1,$C493),0),0))</f>
        <v/>
      </c>
    </row>
    <row r="494">
      <c r="L494" s="23">
        <f>IF($A494="","",IFERROR(ROUND(($B494*$E494+$D494*$E494+$B494*$F494*$E494+$G494)/MAX(1,$C494),0),0))</f>
        <v/>
      </c>
    </row>
    <row r="495">
      <c r="L495" s="23">
        <f>IF($A495="","",IFERROR(ROUND(($B495*$E495+$D495*$E495+$B495*$F495*$E495+$G495)/MAX(1,$C495),0),0))</f>
        <v/>
      </c>
    </row>
    <row r="496">
      <c r="L496" s="23">
        <f>IF($A496="","",IFERROR(ROUND(($B496*$E496+$D496*$E496+$B496*$F496*$E496+$G496)/MAX(1,$C496),0),0))</f>
        <v/>
      </c>
    </row>
    <row r="497">
      <c r="L497" s="23">
        <f>IF($A497="","",IFERROR(ROUND(($B497*$E497+$D497*$E497+$B497*$F497*$E497+$G497)/MAX(1,$C497),0),0))</f>
        <v/>
      </c>
    </row>
    <row r="498">
      <c r="L498" s="23">
        <f>IF($A498="","",IFERROR(ROUND(($B498*$E498+$D498*$E498+$B498*$F498*$E498+$G498)/MAX(1,$C498),0),0))</f>
        <v/>
      </c>
    </row>
    <row r="499">
      <c r="L499" s="23">
        <f>IF($A499="","",IFERROR(ROUND(($B499*$E499+$D499*$E499+$B499*$F499*$E499+$G499)/MAX(1,$C499),0),0))</f>
        <v/>
      </c>
    </row>
    <row r="500">
      <c r="L500" s="23">
        <f>IF($A500="","",IFERROR(ROUND(($B500*$E500+$D500*$E500+$B500*$F500*$E500+$G500)/MAX(1,$C500),0),0))</f>
        <v/>
      </c>
    </row>
    <row r="501">
      <c r="L501" s="23">
        <f>IF($A501="","",IFERROR(ROUND(($B501*$E501+$D501*$E501+$B501*$F501*$E501+$G501)/MAX(1,$C501),0),0))</f>
        <v/>
      </c>
    </row>
    <row r="502">
      <c r="L502" s="23">
        <f>IF($A502="","",IFERROR(ROUND(($B502*$E502+$D502*$E502+$B502*$F502*$E502+$G502)/MAX(1,$C502),0),0))</f>
        <v/>
      </c>
    </row>
    <row r="503">
      <c r="L503" s="23">
        <f>IF($A503="","",IFERROR(ROUND(($B503*$E503+$D503*$E503+$B503*$F503*$E503+$G503)/MAX(1,$C503),0),0))</f>
        <v/>
      </c>
    </row>
    <row r="504">
      <c r="L504" s="23">
        <f>IF($A504="","",IFERROR(ROUND(($B504*$E504+$D504*$E504+$B504*$F504*$E504+$G504)/MAX(1,$C504),0),0))</f>
        <v/>
      </c>
    </row>
    <row r="505">
      <c r="L505" s="23">
        <f>IF($A505="","",IFERROR(ROUND(($B505*$E505+$D505*$E505+$B505*$F505*$E505+$G505)/MAX(1,$C505),0),0))</f>
        <v/>
      </c>
    </row>
    <row r="506">
      <c r="L506" s="23">
        <f>IF($A506="","",IFERROR(ROUND(($B506*$E506+$D506*$E506+$B506*$F506*$E506+$G506)/MAX(1,$C506),0),0))</f>
        <v/>
      </c>
    </row>
    <row r="507">
      <c r="L507" s="23">
        <f>IF($A507="","",IFERROR(ROUND(($B507*$E507+$D507*$E507+$B507*$F507*$E507+$G507)/MAX(1,$C507),0),0))</f>
        <v/>
      </c>
    </row>
    <row r="508">
      <c r="L508" s="23">
        <f>IF($A508="","",IFERROR(ROUND(($B508*$E508+$D508*$E508+$B508*$F508*$E508+$G508)/MAX(1,$C508),0),0))</f>
        <v/>
      </c>
    </row>
    <row r="509">
      <c r="L509" s="23">
        <f>IF($A509="","",IFERROR(ROUND(($B509*$E509+$D509*$E509+$B509*$F509*$E509+$G509)/MAX(1,$C509),0),0))</f>
        <v/>
      </c>
    </row>
    <row r="510">
      <c r="L510" s="23">
        <f>IF($A510="","",IFERROR(ROUND(($B510*$E510+$D510*$E510+$B510*$F510*$E510+$G510)/MAX(1,$C510),0),0))</f>
        <v/>
      </c>
    </row>
    <row r="511">
      <c r="L511" s="23">
        <f>IF($A511="","",IFERROR(ROUND(($B511*$E511+$D511*$E511+$B511*$F511*$E511+$G511)/MAX(1,$C511),0),0))</f>
        <v/>
      </c>
    </row>
    <row r="512">
      <c r="L512" s="23">
        <f>IF($A512="","",IFERROR(ROUND(($B512*$E512+$D512*$E512+$B512*$F512*$E512+$G512)/MAX(1,$C512),0),0))</f>
        <v/>
      </c>
    </row>
    <row r="513">
      <c r="L513" s="23">
        <f>IF($A513="","",IFERROR(ROUND(($B513*$E513+$D513*$E513+$B513*$F513*$E513+$G513)/MAX(1,$C513),0),0))</f>
        <v/>
      </c>
    </row>
    <row r="514">
      <c r="L514" s="23">
        <f>IF($A514="","",IFERROR(ROUND(($B514*$E514+$D514*$E514+$B514*$F514*$E514+$G514)/MAX(1,$C514),0),0))</f>
        <v/>
      </c>
    </row>
    <row r="515">
      <c r="L515" s="23">
        <f>IF($A515="","",IFERROR(ROUND(($B515*$E515+$D515*$E515+$B515*$F515*$E515+$G515)/MAX(1,$C515),0),0))</f>
        <v/>
      </c>
    </row>
    <row r="516">
      <c r="L516" s="23">
        <f>IF($A516="","",IFERROR(ROUND(($B516*$E516+$D516*$E516+$B516*$F516*$E516+$G516)/MAX(1,$C516),0),0))</f>
        <v/>
      </c>
    </row>
    <row r="517">
      <c r="L517" s="23">
        <f>IF($A517="","",IFERROR(ROUND(($B517*$E517+$D517*$E517+$B517*$F517*$E517+$G517)/MAX(1,$C517),0),0))</f>
        <v/>
      </c>
    </row>
    <row r="518">
      <c r="L518" s="23">
        <f>IF($A518="","",IFERROR(ROUND(($B518*$E518+$D518*$E518+$B518*$F518*$E518+$G518)/MAX(1,$C518),0),0))</f>
        <v/>
      </c>
    </row>
    <row r="519">
      <c r="L519" s="23">
        <f>IF($A519="","",IFERROR(ROUND(($B519*$E519+$D519*$E519+$B519*$F519*$E519+$G519)/MAX(1,$C519),0),0))</f>
        <v/>
      </c>
    </row>
    <row r="520">
      <c r="L520" s="23">
        <f>IF($A520="","",IFERROR(ROUND(($B520*$E520+$D520*$E520+$B520*$F520*$E520+$G520)/MAX(1,$C520),0),0))</f>
        <v/>
      </c>
    </row>
    <row r="521">
      <c r="L521" s="23">
        <f>IF($A521="","",IFERROR(ROUND(($B521*$E521+$D521*$E521+$B521*$F521*$E521+$G521)/MAX(1,$C521),0),0))</f>
        <v/>
      </c>
    </row>
    <row r="522">
      <c r="L522" s="23">
        <f>IF($A522="","",IFERROR(ROUND(($B522*$E522+$D522*$E522+$B522*$F522*$E522+$G522)/MAX(1,$C522),0),0))</f>
        <v/>
      </c>
    </row>
    <row r="523">
      <c r="L523" s="23">
        <f>IF($A523="","",IFERROR(ROUND(($B523*$E523+$D523*$E523+$B523*$F523*$E523+$G523)/MAX(1,$C523),0),0))</f>
        <v/>
      </c>
    </row>
    <row r="524">
      <c r="L524" s="23">
        <f>IF($A524="","",IFERROR(ROUND(($B524*$E524+$D524*$E524+$B524*$F524*$E524+$G524)/MAX(1,$C524),0),0))</f>
        <v/>
      </c>
    </row>
    <row r="525">
      <c r="L525" s="23">
        <f>IF($A525="","",IFERROR(ROUND(($B525*$E525+$D525*$E525+$B525*$F525*$E525+$G525)/MAX(1,$C525),0),0))</f>
        <v/>
      </c>
    </row>
    <row r="526">
      <c r="L526" s="23">
        <f>IF($A526="","",IFERROR(ROUND(($B526*$E526+$D526*$E526+$B526*$F526*$E526+$G526)/MAX(1,$C526),0),0))</f>
        <v/>
      </c>
    </row>
    <row r="527">
      <c r="L527" s="23">
        <f>IF($A527="","",IFERROR(ROUND(($B527*$E527+$D527*$E527+$B527*$F527*$E527+$G527)/MAX(1,$C527),0),0))</f>
        <v/>
      </c>
    </row>
    <row r="528">
      <c r="L528" s="23">
        <f>IF($A528="","",IFERROR(ROUND(($B528*$E528+$D528*$E528+$B528*$F528*$E528+$G528)/MAX(1,$C528),0),0))</f>
        <v/>
      </c>
    </row>
    <row r="529">
      <c r="L529" s="23">
        <f>IF($A529="","",IFERROR(ROUND(($B529*$E529+$D529*$E529+$B529*$F529*$E529+$G529)/MAX(1,$C529),0),0))</f>
        <v/>
      </c>
    </row>
    <row r="530">
      <c r="L530" s="23">
        <f>IF($A530="","",IFERROR(ROUND(($B530*$E530+$D530*$E530+$B530*$F530*$E530+$G530)/MAX(1,$C530),0),0))</f>
        <v/>
      </c>
    </row>
    <row r="531">
      <c r="L531" s="23">
        <f>IF($A531="","",IFERROR(ROUND(($B531*$E531+$D531*$E531+$B531*$F531*$E531+$G531)/MAX(1,$C531),0),0))</f>
        <v/>
      </c>
    </row>
    <row r="532">
      <c r="L532" s="23">
        <f>IF($A532="","",IFERROR(ROUND(($B532*$E532+$D532*$E532+$B532*$F532*$E532+$G532)/MAX(1,$C532),0),0))</f>
        <v/>
      </c>
    </row>
    <row r="533">
      <c r="L533" s="23">
        <f>IF($A533="","",IFERROR(ROUND(($B533*$E533+$D533*$E533+$B533*$F533*$E533+$G533)/MAX(1,$C533),0),0))</f>
        <v/>
      </c>
    </row>
    <row r="534">
      <c r="L534" s="23">
        <f>IF($A534="","",IFERROR(ROUND(($B534*$E534+$D534*$E534+$B534*$F534*$E534+$G534)/MAX(1,$C534),0),0))</f>
        <v/>
      </c>
    </row>
    <row r="535">
      <c r="L535" s="23">
        <f>IF($A535="","",IFERROR(ROUND(($B535*$E535+$D535*$E535+$B535*$F535*$E535+$G535)/MAX(1,$C535),0),0))</f>
        <v/>
      </c>
    </row>
    <row r="536">
      <c r="L536" s="23">
        <f>IF($A536="","",IFERROR(ROUND(($B536*$E536+$D536*$E536+$B536*$F536*$E536+$G536)/MAX(1,$C536),0),0))</f>
        <v/>
      </c>
    </row>
    <row r="537">
      <c r="L537" s="23">
        <f>IF($A537="","",IFERROR(ROUND(($B537*$E537+$D537*$E537+$B537*$F537*$E537+$G537)/MAX(1,$C537),0),0))</f>
        <v/>
      </c>
    </row>
    <row r="538">
      <c r="L538" s="23">
        <f>IF($A538="","",IFERROR(ROUND(($B538*$E538+$D538*$E538+$B538*$F538*$E538+$G538)/MAX(1,$C538),0),0))</f>
        <v/>
      </c>
    </row>
    <row r="539">
      <c r="L539" s="23">
        <f>IF($A539="","",IFERROR(ROUND(($B539*$E539+$D539*$E539+$B539*$F539*$E539+$G539)/MAX(1,$C539),0),0))</f>
        <v/>
      </c>
    </row>
    <row r="540">
      <c r="L540" s="23">
        <f>IF($A540="","",IFERROR(ROUND(($B540*$E540+$D540*$E540+$B540*$F540*$E540+$G540)/MAX(1,$C540),0),0))</f>
        <v/>
      </c>
    </row>
    <row r="541">
      <c r="L541" s="23">
        <f>IF($A541="","",IFERROR(ROUND(($B541*$E541+$D541*$E541+$B541*$F541*$E541+$G541)/MAX(1,$C541),0),0))</f>
        <v/>
      </c>
    </row>
    <row r="542">
      <c r="L542" s="23">
        <f>IF($A542="","",IFERROR(ROUND(($B542*$E542+$D542*$E542+$B542*$F542*$E542+$G542)/MAX(1,$C542),0),0))</f>
        <v/>
      </c>
    </row>
    <row r="543">
      <c r="L543" s="23">
        <f>IF($A543="","",IFERROR(ROUND(($B543*$E543+$D543*$E543+$B543*$F543*$E543+$G543)/MAX(1,$C543),0),0))</f>
        <v/>
      </c>
    </row>
    <row r="544">
      <c r="L544" s="23">
        <f>IF($A544="","",IFERROR(ROUND(($B544*$E544+$D544*$E544+$B544*$F544*$E544+$G544)/MAX(1,$C544),0),0))</f>
        <v/>
      </c>
    </row>
    <row r="545">
      <c r="L545" s="23">
        <f>IF($A545="","",IFERROR(ROUND(($B545*$E545+$D545*$E545+$B545*$F545*$E545+$G545)/MAX(1,$C545),0),0))</f>
        <v/>
      </c>
    </row>
    <row r="546">
      <c r="L546" s="23">
        <f>IF($A546="","",IFERROR(ROUND(($B546*$E546+$D546*$E546+$B546*$F546*$E546+$G546)/MAX(1,$C546),0),0))</f>
        <v/>
      </c>
    </row>
    <row r="547">
      <c r="L547" s="23">
        <f>IF($A547="","",IFERROR(ROUND(($B547*$E547+$D547*$E547+$B547*$F547*$E547+$G547)/MAX(1,$C547),0),0))</f>
        <v/>
      </c>
    </row>
    <row r="548">
      <c r="L548" s="23">
        <f>IF($A548="","",IFERROR(ROUND(($B548*$E548+$D548*$E548+$B548*$F548*$E548+$G548)/MAX(1,$C548),0),0))</f>
        <v/>
      </c>
    </row>
    <row r="549">
      <c r="L549" s="23">
        <f>IF($A549="","",IFERROR(ROUND(($B549*$E549+$D549*$E549+$B549*$F549*$E549+$G549)/MAX(1,$C549),0),0))</f>
        <v/>
      </c>
    </row>
    <row r="550">
      <c r="L550" s="23">
        <f>IF($A550="","",IFERROR(ROUND(($B550*$E550+$D550*$E550+$B550*$F550*$E550+$G550)/MAX(1,$C550),0),0))</f>
        <v/>
      </c>
    </row>
    <row r="551">
      <c r="L551" s="23">
        <f>IF($A551="","",IFERROR(ROUND(($B551*$E551+$D551*$E551+$B551*$F551*$E551+$G551)/MAX(1,$C551),0),0))</f>
        <v/>
      </c>
    </row>
    <row r="552">
      <c r="L552" s="23">
        <f>IF($A552="","",IFERROR(ROUND(($B552*$E552+$D552*$E552+$B552*$F552*$E552+$G552)/MAX(1,$C552),0),0))</f>
        <v/>
      </c>
    </row>
    <row r="553">
      <c r="L553" s="23">
        <f>IF($A553="","",IFERROR(ROUND(($B553*$E553+$D553*$E553+$B553*$F553*$E553+$G553)/MAX(1,$C553),0),0))</f>
        <v/>
      </c>
    </row>
    <row r="554">
      <c r="L554" s="23">
        <f>IF($A554="","",IFERROR(ROUND(($B554*$E554+$D554*$E554+$B554*$F554*$E554+$G554)/MAX(1,$C554),0),0))</f>
        <v/>
      </c>
    </row>
    <row r="555">
      <c r="L555" s="23">
        <f>IF($A555="","",IFERROR(ROUND(($B555*$E555+$D555*$E555+$B555*$F555*$E555+$G555)/MAX(1,$C555),0),0))</f>
        <v/>
      </c>
    </row>
    <row r="556">
      <c r="L556" s="23">
        <f>IF($A556="","",IFERROR(ROUND(($B556*$E556+$D556*$E556+$B556*$F556*$E556+$G556)/MAX(1,$C556),0),0))</f>
        <v/>
      </c>
    </row>
    <row r="557">
      <c r="L557" s="23">
        <f>IF($A557="","",IFERROR(ROUND(($B557*$E557+$D557*$E557+$B557*$F557*$E557+$G557)/MAX(1,$C557),0),0))</f>
        <v/>
      </c>
    </row>
    <row r="558">
      <c r="L558" s="23">
        <f>IF($A558="","",IFERROR(ROUND(($B558*$E558+$D558*$E558+$B558*$F558*$E558+$G558)/MAX(1,$C558),0),0))</f>
        <v/>
      </c>
    </row>
    <row r="559">
      <c r="L559" s="23">
        <f>IF($A559="","",IFERROR(ROUND(($B559*$E559+$D559*$E559+$B559*$F559*$E559+$G559)/MAX(1,$C559),0),0))</f>
        <v/>
      </c>
    </row>
    <row r="560">
      <c r="L560" s="23">
        <f>IF($A560="","",IFERROR(ROUND(($B560*$E560+$D560*$E560+$B560*$F560*$E560+$G560)/MAX(1,$C560),0),0))</f>
        <v/>
      </c>
    </row>
    <row r="561">
      <c r="L561" s="23">
        <f>IF($A561="","",IFERROR(ROUND(($B561*$E561+$D561*$E561+$B561*$F561*$E561+$G561)/MAX(1,$C561),0),0))</f>
        <v/>
      </c>
    </row>
    <row r="562">
      <c r="L562" s="23">
        <f>IF($A562="","",IFERROR(ROUND(($B562*$E562+$D562*$E562+$B562*$F562*$E562+$G562)/MAX(1,$C562),0),0))</f>
        <v/>
      </c>
    </row>
    <row r="563">
      <c r="L563" s="23">
        <f>IF($A563="","",IFERROR(ROUND(($B563*$E563+$D563*$E563+$B563*$F563*$E563+$G563)/MAX(1,$C563),0),0))</f>
        <v/>
      </c>
    </row>
    <row r="564">
      <c r="L564" s="23">
        <f>IF($A564="","",IFERROR(ROUND(($B564*$E564+$D564*$E564+$B564*$F564*$E564+$G564)/MAX(1,$C564),0),0))</f>
        <v/>
      </c>
    </row>
    <row r="565">
      <c r="L565" s="23">
        <f>IF($A565="","",IFERROR(ROUND(($B565*$E565+$D565*$E565+$B565*$F565*$E565+$G565)/MAX(1,$C565),0),0))</f>
        <v/>
      </c>
    </row>
    <row r="566">
      <c r="L566" s="23">
        <f>IF($A566="","",IFERROR(ROUND(($B566*$E566+$D566*$E566+$B566*$F566*$E566+$G566)/MAX(1,$C566),0),0))</f>
        <v/>
      </c>
    </row>
    <row r="567">
      <c r="L567" s="23">
        <f>IF($A567="","",IFERROR(ROUND(($B567*$E567+$D567*$E567+$B567*$F567*$E567+$G567)/MAX(1,$C567),0),0))</f>
        <v/>
      </c>
    </row>
    <row r="568">
      <c r="L568" s="23">
        <f>IF($A568="","",IFERROR(ROUND(($B568*$E568+$D568*$E568+$B568*$F568*$E568+$G568)/MAX(1,$C568),0),0))</f>
        <v/>
      </c>
    </row>
    <row r="569">
      <c r="L569" s="23">
        <f>IF($A569="","",IFERROR(ROUND(($B569*$E569+$D569*$E569+$B569*$F569*$E569+$G569)/MAX(1,$C569),0),0))</f>
        <v/>
      </c>
    </row>
    <row r="570">
      <c r="L570" s="23">
        <f>IF($A570="","",IFERROR(ROUND(($B570*$E570+$D570*$E570+$B570*$F570*$E570+$G570)/MAX(1,$C570),0),0))</f>
        <v/>
      </c>
    </row>
    <row r="571">
      <c r="L571" s="23">
        <f>IF($A571="","",IFERROR(ROUND(($B571*$E571+$D571*$E571+$B571*$F571*$E571+$G571)/MAX(1,$C571),0),0))</f>
        <v/>
      </c>
    </row>
    <row r="572">
      <c r="L572" s="23">
        <f>IF($A572="","",IFERROR(ROUND(($B572*$E572+$D572*$E572+$B572*$F572*$E572+$G572)/MAX(1,$C572),0),0))</f>
        <v/>
      </c>
    </row>
    <row r="573">
      <c r="L573" s="23">
        <f>IF($A573="","",IFERROR(ROUND(($B573*$E573+$D573*$E573+$B573*$F573*$E573+$G573)/MAX(1,$C573),0),0))</f>
        <v/>
      </c>
    </row>
    <row r="574">
      <c r="L574" s="23">
        <f>IF($A574="","",IFERROR(ROUND(($B574*$E574+$D574*$E574+$B574*$F574*$E574+$G574)/MAX(1,$C574),0),0))</f>
        <v/>
      </c>
    </row>
    <row r="575">
      <c r="L575" s="23">
        <f>IF($A575="","",IFERROR(ROUND(($B575*$E575+$D575*$E575+$B575*$F575*$E575+$G575)/MAX(1,$C575),0),0))</f>
        <v/>
      </c>
    </row>
    <row r="576">
      <c r="L576" s="23">
        <f>IF($A576="","",IFERROR(ROUND(($B576*$E576+$D576*$E576+$B576*$F576*$E576+$G576)/MAX(1,$C576),0),0))</f>
        <v/>
      </c>
    </row>
    <row r="577">
      <c r="L577" s="23">
        <f>IF($A577="","",IFERROR(ROUND(($B577*$E577+$D577*$E577+$B577*$F577*$E577+$G577)/MAX(1,$C577),0),0))</f>
        <v/>
      </c>
    </row>
    <row r="578">
      <c r="L578" s="23">
        <f>IF($A578="","",IFERROR(ROUND(($B578*$E578+$D578*$E578+$B578*$F578*$E578+$G578)/MAX(1,$C578),0),0))</f>
        <v/>
      </c>
    </row>
    <row r="579">
      <c r="L579" s="23">
        <f>IF($A579="","",IFERROR(ROUND(($B579*$E579+$D579*$E579+$B579*$F579*$E579+$G579)/MAX(1,$C579),0),0))</f>
        <v/>
      </c>
    </row>
    <row r="580">
      <c r="L580" s="23">
        <f>IF($A580="","",IFERROR(ROUND(($B580*$E580+$D580*$E580+$B580*$F580*$E580+$G580)/MAX(1,$C580),0),0))</f>
        <v/>
      </c>
    </row>
    <row r="581">
      <c r="L581" s="23">
        <f>IF($A581="","",IFERROR(ROUND(($B581*$E581+$D581*$E581+$B581*$F581*$E581+$G581)/MAX(1,$C581),0),0))</f>
        <v/>
      </c>
    </row>
    <row r="582">
      <c r="L582" s="23">
        <f>IF($A582="","",IFERROR(ROUND(($B582*$E582+$D582*$E582+$B582*$F582*$E582+$G582)/MAX(1,$C582),0),0))</f>
        <v/>
      </c>
    </row>
    <row r="583">
      <c r="L583" s="23">
        <f>IF($A583="","",IFERROR(ROUND(($B583*$E583+$D583*$E583+$B583*$F583*$E583+$G583)/MAX(1,$C583),0),0))</f>
        <v/>
      </c>
    </row>
    <row r="584">
      <c r="L584" s="23">
        <f>IF($A584="","",IFERROR(ROUND(($B584*$E584+$D584*$E584+$B584*$F584*$E584+$G584)/MAX(1,$C584),0),0))</f>
        <v/>
      </c>
    </row>
    <row r="585">
      <c r="L585" s="23">
        <f>IF($A585="","",IFERROR(ROUND(($B585*$E585+$D585*$E585+$B585*$F585*$E585+$G585)/MAX(1,$C585),0),0))</f>
        <v/>
      </c>
    </row>
    <row r="586">
      <c r="L586" s="23">
        <f>IF($A586="","",IFERROR(ROUND(($B586*$E586+$D586*$E586+$B586*$F586*$E586+$G586)/MAX(1,$C586),0),0))</f>
        <v/>
      </c>
    </row>
    <row r="587">
      <c r="L587" s="23">
        <f>IF($A587="","",IFERROR(ROUND(($B587*$E587+$D587*$E587+$B587*$F587*$E587+$G587)/MAX(1,$C587),0),0))</f>
        <v/>
      </c>
    </row>
    <row r="588">
      <c r="L588" s="23">
        <f>IF($A588="","",IFERROR(ROUND(($B588*$E588+$D588*$E588+$B588*$F588*$E588+$G588)/MAX(1,$C588),0),0))</f>
        <v/>
      </c>
    </row>
    <row r="589">
      <c r="L589" s="23">
        <f>IF($A589="","",IFERROR(ROUND(($B589*$E589+$D589*$E589+$B589*$F589*$E589+$G589)/MAX(1,$C589),0),0))</f>
        <v/>
      </c>
    </row>
    <row r="590">
      <c r="L590" s="23">
        <f>IF($A590="","",IFERROR(ROUND(($B590*$E590+$D590*$E590+$B590*$F590*$E590+$G590)/MAX(1,$C590),0),0))</f>
        <v/>
      </c>
    </row>
    <row r="591">
      <c r="L591" s="23">
        <f>IF($A591="","",IFERROR(ROUND(($B591*$E591+$D591*$E591+$B591*$F591*$E591+$G591)/MAX(1,$C591),0),0))</f>
        <v/>
      </c>
    </row>
    <row r="592">
      <c r="L592" s="23">
        <f>IF($A592="","",IFERROR(ROUND(($B592*$E592+$D592*$E592+$B592*$F592*$E592+$G592)/MAX(1,$C592),0),0))</f>
        <v/>
      </c>
    </row>
    <row r="593">
      <c r="L593" s="23">
        <f>IF($A593="","",IFERROR(ROUND(($B593*$E593+$D593*$E593+$B593*$F593*$E593+$G593)/MAX(1,$C593),0),0))</f>
        <v/>
      </c>
    </row>
    <row r="594">
      <c r="L594" s="23">
        <f>IF($A594="","",IFERROR(ROUND(($B594*$E594+$D594*$E594+$B594*$F594*$E594+$G594)/MAX(1,$C594),0),0))</f>
        <v/>
      </c>
    </row>
    <row r="595">
      <c r="L595" s="23">
        <f>IF($A595="","",IFERROR(ROUND(($B595*$E595+$D595*$E595+$B595*$F595*$E595+$G595)/MAX(1,$C595),0),0))</f>
        <v/>
      </c>
    </row>
    <row r="596">
      <c r="L596" s="23">
        <f>IF($A596="","",IFERROR(ROUND(($B596*$E596+$D596*$E596+$B596*$F596*$E596+$G596)/MAX(1,$C596),0),0))</f>
        <v/>
      </c>
    </row>
    <row r="597">
      <c r="L597" s="23">
        <f>IF($A597="","",IFERROR(ROUND(($B597*$E597+$D597*$E597+$B597*$F597*$E597+$G597)/MAX(1,$C597),0),0))</f>
        <v/>
      </c>
    </row>
    <row r="598">
      <c r="L598" s="23">
        <f>IF($A598="","",IFERROR(ROUND(($B598*$E598+$D598*$E598+$B598*$F598*$E598+$G598)/MAX(1,$C598),0),0))</f>
        <v/>
      </c>
    </row>
    <row r="599">
      <c r="L599" s="23">
        <f>IF($A599="","",IFERROR(ROUND(($B599*$E599+$D599*$E599+$B599*$F599*$E599+$G599)/MAX(1,$C599),0),0))</f>
        <v/>
      </c>
    </row>
    <row r="600">
      <c r="L600" s="23">
        <f>IF($A600="","",IFERROR(ROUND(($B600*$E600+$D600*$E600+$B600*$F600*$E600+$G600)/MAX(1,$C600),0),0))</f>
        <v/>
      </c>
    </row>
    <row r="601">
      <c r="L601" s="23">
        <f>IF($A601="","",IFERROR(ROUND(($B601*$E601+$D601*$E601+$B601*$F601*$E601+$G601)/MAX(1,$C601),0),0))</f>
        <v/>
      </c>
    </row>
    <row r="602">
      <c r="L602" s="23">
        <f>IF($A602="","",IFERROR(ROUND(($B602*$E602+$D602*$E602+$B602*$F602*$E602+$G602)/MAX(1,$C602),0),0))</f>
        <v/>
      </c>
    </row>
    <row r="603">
      <c r="L603" s="23">
        <f>IF($A603="","",IFERROR(ROUND(($B603*$E603+$D603*$E603+$B603*$F603*$E603+$G603)/MAX(1,$C603),0),0))</f>
        <v/>
      </c>
    </row>
    <row r="604">
      <c r="L604" s="23">
        <f>IF($A604="","",IFERROR(ROUND(($B604*$E604+$D604*$E604+$B604*$F604*$E604+$G604)/MAX(1,$C604),0),0))</f>
        <v/>
      </c>
    </row>
    <row r="605">
      <c r="L605" s="23">
        <f>IF($A605="","",IFERROR(ROUND(($B605*$E605+$D605*$E605+$B605*$F605*$E605+$G605)/MAX(1,$C605),0),0))</f>
        <v/>
      </c>
    </row>
    <row r="606">
      <c r="L606" s="23">
        <f>IF($A606="","",IFERROR(ROUND(($B606*$E606+$D606*$E606+$B606*$F606*$E606+$G606)/MAX(1,$C606),0),0))</f>
        <v/>
      </c>
    </row>
    <row r="607">
      <c r="L607" s="23">
        <f>IF($A607="","",IFERROR(ROUND(($B607*$E607+$D607*$E607+$B607*$F607*$E607+$G607)/MAX(1,$C607),0),0))</f>
        <v/>
      </c>
    </row>
    <row r="608">
      <c r="L608" s="23">
        <f>IF($A608="","",IFERROR(ROUND(($B608*$E608+$D608*$E608+$B608*$F608*$E608+$G608)/MAX(1,$C608),0),0))</f>
        <v/>
      </c>
    </row>
    <row r="609">
      <c r="L609" s="23">
        <f>IF($A609="","",IFERROR(ROUND(($B609*$E609+$D609*$E609+$B609*$F609*$E609+$G609)/MAX(1,$C609),0),0))</f>
        <v/>
      </c>
    </row>
    <row r="610">
      <c r="L610" s="23">
        <f>IF($A610="","",IFERROR(ROUND(($B610*$E610+$D610*$E610+$B610*$F610*$E610+$G610)/MAX(1,$C610),0),0))</f>
        <v/>
      </c>
    </row>
    <row r="611">
      <c r="L611" s="23">
        <f>IF($A611="","",IFERROR(ROUND(($B611*$E611+$D611*$E611+$B611*$F611*$E611+$G611)/MAX(1,$C611),0),0))</f>
        <v/>
      </c>
    </row>
    <row r="612">
      <c r="L612" s="23">
        <f>IF($A612="","",IFERROR(ROUND(($B612*$E612+$D612*$E612+$B612*$F612*$E612+$G612)/MAX(1,$C612),0),0))</f>
        <v/>
      </c>
    </row>
    <row r="613">
      <c r="L613" s="23">
        <f>IF($A613="","",IFERROR(ROUND(($B613*$E613+$D613*$E613+$B613*$F613*$E613+$G613)/MAX(1,$C613),0),0))</f>
        <v/>
      </c>
    </row>
    <row r="614">
      <c r="L614" s="23">
        <f>IF($A614="","",IFERROR(ROUND(($B614*$E614+$D614*$E614+$B614*$F614*$E614+$G614)/MAX(1,$C614),0),0))</f>
        <v/>
      </c>
    </row>
    <row r="615">
      <c r="L615" s="23">
        <f>IF($A615="","",IFERROR(ROUND(($B615*$E615+$D615*$E615+$B615*$F615*$E615+$G615)/MAX(1,$C615),0),0))</f>
        <v/>
      </c>
    </row>
    <row r="616">
      <c r="L616" s="23">
        <f>IF($A616="","",IFERROR(ROUND(($B616*$E616+$D616*$E616+$B616*$F616*$E616+$G616)/MAX(1,$C616),0),0))</f>
        <v/>
      </c>
    </row>
    <row r="617">
      <c r="L617" s="23">
        <f>IF($A617="","",IFERROR(ROUND(($B617*$E617+$D617*$E617+$B617*$F617*$E617+$G617)/MAX(1,$C617),0),0))</f>
        <v/>
      </c>
    </row>
    <row r="618">
      <c r="L618" s="23">
        <f>IF($A618="","",IFERROR(ROUND(($B618*$E618+$D618*$E618+$B618*$F618*$E618+$G618)/MAX(1,$C618),0),0))</f>
        <v/>
      </c>
    </row>
    <row r="619">
      <c r="L619" s="23">
        <f>IF($A619="","",IFERROR(ROUND(($B619*$E619+$D619*$E619+$B619*$F619*$E619+$G619)/MAX(1,$C619),0),0))</f>
        <v/>
      </c>
    </row>
    <row r="620">
      <c r="L620" s="23">
        <f>IF($A620="","",IFERROR(ROUND(($B620*$E620+$D620*$E620+$B620*$F620*$E620+$G620)/MAX(1,$C620),0),0))</f>
        <v/>
      </c>
    </row>
    <row r="621">
      <c r="L621" s="23">
        <f>IF($A621="","",IFERROR(ROUND(($B621*$E621+$D621*$E621+$B621*$F621*$E621+$G621)/MAX(1,$C621),0),0))</f>
        <v/>
      </c>
    </row>
    <row r="622">
      <c r="L622" s="23">
        <f>IF($A622="","",IFERROR(ROUND(($B622*$E622+$D622*$E622+$B622*$F622*$E622+$G622)/MAX(1,$C622),0),0))</f>
        <v/>
      </c>
    </row>
    <row r="623">
      <c r="L623" s="23">
        <f>IF($A623="","",IFERROR(ROUND(($B623*$E623+$D623*$E623+$B623*$F623*$E623+$G623)/MAX(1,$C623),0),0))</f>
        <v/>
      </c>
    </row>
    <row r="624">
      <c r="L624" s="23">
        <f>IF($A624="","",IFERROR(ROUND(($B624*$E624+$D624*$E624+$B624*$F624*$E624+$G624)/MAX(1,$C624),0),0))</f>
        <v/>
      </c>
    </row>
    <row r="625">
      <c r="L625" s="23">
        <f>IF($A625="","",IFERROR(ROUND(($B625*$E625+$D625*$E625+$B625*$F625*$E625+$G625)/MAX(1,$C625),0),0))</f>
        <v/>
      </c>
    </row>
    <row r="626">
      <c r="L626" s="23">
        <f>IF($A626="","",IFERROR(ROUND(($B626*$E626+$D626*$E626+$B626*$F626*$E626+$G626)/MAX(1,$C626),0),0))</f>
        <v/>
      </c>
    </row>
    <row r="627">
      <c r="L627" s="23">
        <f>IF($A627="","",IFERROR(ROUND(($B627*$E627+$D627*$E627+$B627*$F627*$E627+$G627)/MAX(1,$C627),0),0))</f>
        <v/>
      </c>
    </row>
    <row r="628">
      <c r="L628" s="23">
        <f>IF($A628="","",IFERROR(ROUND(($B628*$E628+$D628*$E628+$B628*$F628*$E628+$G628)/MAX(1,$C628),0),0))</f>
        <v/>
      </c>
    </row>
    <row r="629">
      <c r="L629" s="23">
        <f>IF($A629="","",IFERROR(ROUND(($B629*$E629+$D629*$E629+$B629*$F629*$E629+$G629)/MAX(1,$C629),0),0))</f>
        <v/>
      </c>
    </row>
    <row r="630">
      <c r="L630" s="23">
        <f>IF($A630="","",IFERROR(ROUND(($B630*$E630+$D630*$E630+$B630*$F630*$E630+$G630)/MAX(1,$C630),0),0))</f>
        <v/>
      </c>
    </row>
    <row r="631">
      <c r="L631" s="23">
        <f>IF($A631="","",IFERROR(ROUND(($B631*$E631+$D631*$E631+$B631*$F631*$E631+$G631)/MAX(1,$C631),0),0))</f>
        <v/>
      </c>
    </row>
    <row r="632">
      <c r="L632" s="23">
        <f>IF($A632="","",IFERROR(ROUND(($B632*$E632+$D632*$E632+$B632*$F632*$E632+$G632)/MAX(1,$C632),0),0))</f>
        <v/>
      </c>
    </row>
    <row r="633">
      <c r="L633" s="23">
        <f>IF($A633="","",IFERROR(ROUND(($B633*$E633+$D633*$E633+$B633*$F633*$E633+$G633)/MAX(1,$C633),0),0))</f>
        <v/>
      </c>
    </row>
    <row r="634">
      <c r="L634" s="23">
        <f>IF($A634="","",IFERROR(ROUND(($B634*$E634+$D634*$E634+$B634*$F634*$E634+$G634)/MAX(1,$C634),0),0))</f>
        <v/>
      </c>
    </row>
    <row r="635">
      <c r="L635" s="23">
        <f>IF($A635="","",IFERROR(ROUND(($B635*$E635+$D635*$E635+$B635*$F635*$E635+$G635)/MAX(1,$C635),0),0))</f>
        <v/>
      </c>
    </row>
    <row r="636">
      <c r="L636" s="23">
        <f>IF($A636="","",IFERROR(ROUND(($B636*$E636+$D636*$E636+$B636*$F636*$E636+$G636)/MAX(1,$C636),0),0))</f>
        <v/>
      </c>
    </row>
    <row r="637">
      <c r="L637" s="23">
        <f>IF($A637="","",IFERROR(ROUND(($B637*$E637+$D637*$E637+$B637*$F637*$E637+$G637)/MAX(1,$C637),0),0))</f>
        <v/>
      </c>
    </row>
    <row r="638">
      <c r="L638" s="23">
        <f>IF($A638="","",IFERROR(ROUND(($B638*$E638+$D638*$E638+$B638*$F638*$E638+$G638)/MAX(1,$C638),0),0))</f>
        <v/>
      </c>
    </row>
    <row r="639">
      <c r="L639" s="23">
        <f>IF($A639="","",IFERROR(ROUND(($B639*$E639+$D639*$E639+$B639*$F639*$E639+$G639)/MAX(1,$C639),0),0))</f>
        <v/>
      </c>
    </row>
    <row r="640">
      <c r="L640" s="23">
        <f>IF($A640="","",IFERROR(ROUND(($B640*$E640+$D640*$E640+$B640*$F640*$E640+$G640)/MAX(1,$C640),0),0))</f>
        <v/>
      </c>
    </row>
    <row r="641">
      <c r="L641" s="23">
        <f>IF($A641="","",IFERROR(ROUND(($B641*$E641+$D641*$E641+$B641*$F641*$E641+$G641)/MAX(1,$C641),0),0))</f>
        <v/>
      </c>
    </row>
    <row r="642">
      <c r="L642" s="23">
        <f>IF($A642="","",IFERROR(ROUND(($B642*$E642+$D642*$E642+$B642*$F642*$E642+$G642)/MAX(1,$C642),0),0))</f>
        <v/>
      </c>
    </row>
    <row r="643">
      <c r="L643" s="23">
        <f>IF($A643="","",IFERROR(ROUND(($B643*$E643+$D643*$E643+$B643*$F643*$E643+$G643)/MAX(1,$C643),0),0))</f>
        <v/>
      </c>
    </row>
    <row r="644">
      <c r="L644" s="23">
        <f>IF($A644="","",IFERROR(ROUND(($B644*$E644+$D644*$E644+$B644*$F644*$E644+$G644)/MAX(1,$C644),0),0))</f>
        <v/>
      </c>
    </row>
    <row r="645">
      <c r="L645" s="23">
        <f>IF($A645="","",IFERROR(ROUND(($B645*$E645+$D645*$E645+$B645*$F645*$E645+$G645)/MAX(1,$C645),0),0))</f>
        <v/>
      </c>
    </row>
    <row r="646">
      <c r="L646" s="23">
        <f>IF($A646="","",IFERROR(ROUND(($B646*$E646+$D646*$E646+$B646*$F646*$E646+$G646)/MAX(1,$C646),0),0))</f>
        <v/>
      </c>
    </row>
    <row r="647">
      <c r="L647" s="23">
        <f>IF($A647="","",IFERROR(ROUND(($B647*$E647+$D647*$E647+$B647*$F647*$E647+$G647)/MAX(1,$C647),0),0))</f>
        <v/>
      </c>
    </row>
    <row r="648">
      <c r="L648" s="23">
        <f>IF($A648="","",IFERROR(ROUND(($B648*$E648+$D648*$E648+$B648*$F648*$E648+$G648)/MAX(1,$C648),0),0))</f>
        <v/>
      </c>
    </row>
    <row r="649">
      <c r="L649" s="23">
        <f>IF($A649="","",IFERROR(ROUND(($B649*$E649+$D649*$E649+$B649*$F649*$E649+$G649)/MAX(1,$C649),0),0))</f>
        <v/>
      </c>
    </row>
    <row r="650">
      <c r="L650" s="23">
        <f>IF($A650="","",IFERROR(ROUND(($B650*$E650+$D650*$E650+$B650*$F650*$E650+$G650)/MAX(1,$C650),0),0))</f>
        <v/>
      </c>
    </row>
    <row r="651">
      <c r="L651" s="23">
        <f>IF($A651="","",IFERROR(ROUND(($B651*$E651+$D651*$E651+$B651*$F651*$E651+$G651)/MAX(1,$C651),0),0))</f>
        <v/>
      </c>
    </row>
    <row r="652">
      <c r="L652" s="23">
        <f>IF($A652="","",IFERROR(ROUND(($B652*$E652+$D652*$E652+$B652*$F652*$E652+$G652)/MAX(1,$C652),0),0))</f>
        <v/>
      </c>
    </row>
    <row r="653">
      <c r="L653" s="23">
        <f>IF($A653="","",IFERROR(ROUND(($B653*$E653+$D653*$E653+$B653*$F653*$E653+$G653)/MAX(1,$C653),0),0))</f>
        <v/>
      </c>
    </row>
    <row r="654">
      <c r="L654" s="23">
        <f>IF($A654="","",IFERROR(ROUND(($B654*$E654+$D654*$E654+$B654*$F654*$E654+$G654)/MAX(1,$C654),0),0))</f>
        <v/>
      </c>
    </row>
    <row r="655">
      <c r="L655" s="23">
        <f>IF($A655="","",IFERROR(ROUND(($B655*$E655+$D655*$E655+$B655*$F655*$E655+$G655)/MAX(1,$C655),0),0))</f>
        <v/>
      </c>
    </row>
    <row r="656">
      <c r="L656" s="23">
        <f>IF($A656="","",IFERROR(ROUND(($B656*$E656+$D656*$E656+$B656*$F656*$E656+$G656)/MAX(1,$C656),0),0))</f>
        <v/>
      </c>
    </row>
    <row r="657">
      <c r="L657" s="23">
        <f>IF($A657="","",IFERROR(ROUND(($B657*$E657+$D657*$E657+$B657*$F657*$E657+$G657)/MAX(1,$C657),0),0))</f>
        <v/>
      </c>
    </row>
    <row r="658">
      <c r="L658" s="23">
        <f>IF($A658="","",IFERROR(ROUND(($B658*$E658+$D658*$E658+$B658*$F658*$E658+$G658)/MAX(1,$C658),0),0))</f>
        <v/>
      </c>
    </row>
    <row r="659">
      <c r="L659" s="23">
        <f>IF($A659="","",IFERROR(ROUND(($B659*$E659+$D659*$E659+$B659*$F659*$E659+$G659)/MAX(1,$C659),0),0))</f>
        <v/>
      </c>
    </row>
    <row r="660">
      <c r="L660" s="23">
        <f>IF($A660="","",IFERROR(ROUND(($B660*$E660+$D660*$E660+$B660*$F660*$E660+$G660)/MAX(1,$C660),0),0))</f>
        <v/>
      </c>
    </row>
    <row r="661">
      <c r="L661" s="23">
        <f>IF($A661="","",IFERROR(ROUND(($B661*$E661+$D661*$E661+$B661*$F661*$E661+$G661)/MAX(1,$C661),0),0))</f>
        <v/>
      </c>
    </row>
    <row r="662">
      <c r="L662" s="23">
        <f>IF($A662="","",IFERROR(ROUND(($B662*$E662+$D662*$E662+$B662*$F662*$E662+$G662)/MAX(1,$C662),0),0))</f>
        <v/>
      </c>
    </row>
    <row r="663">
      <c r="L663" s="23">
        <f>IF($A663="","",IFERROR(ROUND(($B663*$E663+$D663*$E663+$B663*$F663*$E663+$G663)/MAX(1,$C663),0),0))</f>
        <v/>
      </c>
    </row>
    <row r="664">
      <c r="L664" s="23">
        <f>IF($A664="","",IFERROR(ROUND(($B664*$E664+$D664*$E664+$B664*$F664*$E664+$G664)/MAX(1,$C664),0),0))</f>
        <v/>
      </c>
    </row>
    <row r="665">
      <c r="L665" s="23">
        <f>IF($A665="","",IFERROR(ROUND(($B665*$E665+$D665*$E665+$B665*$F665*$E665+$G665)/MAX(1,$C665),0),0))</f>
        <v/>
      </c>
    </row>
    <row r="666">
      <c r="L666" s="23">
        <f>IF($A666="","",IFERROR(ROUND(($B666*$E666+$D666*$E666+$B666*$F666*$E666+$G666)/MAX(1,$C666),0),0))</f>
        <v/>
      </c>
    </row>
    <row r="667">
      <c r="L667" s="23">
        <f>IF($A667="","",IFERROR(ROUND(($B667*$E667+$D667*$E667+$B667*$F667*$E667+$G667)/MAX(1,$C667),0),0))</f>
        <v/>
      </c>
    </row>
    <row r="668">
      <c r="L668" s="23">
        <f>IF($A668="","",IFERROR(ROUND(($B668*$E668+$D668*$E668+$B668*$F668*$E668+$G668)/MAX(1,$C668),0),0))</f>
        <v/>
      </c>
    </row>
    <row r="669">
      <c r="L669" s="23">
        <f>IF($A669="","",IFERROR(ROUND(($B669*$E669+$D669*$E669+$B669*$F669*$E669+$G669)/MAX(1,$C669),0),0))</f>
        <v/>
      </c>
    </row>
    <row r="670">
      <c r="L670" s="23">
        <f>IF($A670="","",IFERROR(ROUND(($B670*$E670+$D670*$E670+$B670*$F670*$E670+$G670)/MAX(1,$C670),0),0))</f>
        <v/>
      </c>
    </row>
    <row r="671">
      <c r="L671" s="23">
        <f>IF($A671="","",IFERROR(ROUND(($B671*$E671+$D671*$E671+$B671*$F671*$E671+$G671)/MAX(1,$C671),0),0))</f>
        <v/>
      </c>
    </row>
    <row r="672">
      <c r="L672" s="23">
        <f>IF($A672="","",IFERROR(ROUND(($B672*$E672+$D672*$E672+$B672*$F672*$E672+$G672)/MAX(1,$C672),0),0))</f>
        <v/>
      </c>
    </row>
    <row r="673">
      <c r="L673" s="23">
        <f>IF($A673="","",IFERROR(ROUND(($B673*$E673+$D673*$E673+$B673*$F673*$E673+$G673)/MAX(1,$C673),0),0))</f>
        <v/>
      </c>
    </row>
    <row r="674">
      <c r="L674" s="23">
        <f>IF($A674="","",IFERROR(ROUND(($B674*$E674+$D674*$E674+$B674*$F674*$E674+$G674)/MAX(1,$C674),0),0))</f>
        <v/>
      </c>
    </row>
    <row r="675">
      <c r="L675" s="23">
        <f>IF($A675="","",IFERROR(ROUND(($B675*$E675+$D675*$E675+$B675*$F675*$E675+$G675)/MAX(1,$C675),0),0))</f>
        <v/>
      </c>
    </row>
    <row r="676">
      <c r="L676" s="23">
        <f>IF($A676="","",IFERROR(ROUND(($B676*$E676+$D676*$E676+$B676*$F676*$E676+$G676)/MAX(1,$C676),0),0))</f>
        <v/>
      </c>
    </row>
    <row r="677">
      <c r="L677" s="23">
        <f>IF($A677="","",IFERROR(ROUND(($B677*$E677+$D677*$E677+$B677*$F677*$E677+$G677)/MAX(1,$C677),0),0))</f>
        <v/>
      </c>
    </row>
    <row r="678">
      <c r="L678" s="23">
        <f>IF($A678="","",IFERROR(ROUND(($B678*$E678+$D678*$E678+$B678*$F678*$E678+$G678)/MAX(1,$C678),0),0))</f>
        <v/>
      </c>
    </row>
    <row r="679">
      <c r="L679" s="23">
        <f>IF($A679="","",IFERROR(ROUND(($B679*$E679+$D679*$E679+$B679*$F679*$E679+$G679)/MAX(1,$C679),0),0))</f>
        <v/>
      </c>
    </row>
    <row r="680">
      <c r="L680" s="23">
        <f>IF($A680="","",IFERROR(ROUND(($B680*$E680+$D680*$E680+$B680*$F680*$E680+$G680)/MAX(1,$C680),0),0))</f>
        <v/>
      </c>
    </row>
    <row r="681">
      <c r="L681" s="23">
        <f>IF($A681="","",IFERROR(ROUND(($B681*$E681+$D681*$E681+$B681*$F681*$E681+$G681)/MAX(1,$C681),0),0))</f>
        <v/>
      </c>
    </row>
    <row r="682">
      <c r="L682" s="23">
        <f>IF($A682="","",IFERROR(ROUND(($B682*$E682+$D682*$E682+$B682*$F682*$E682+$G682)/MAX(1,$C682),0),0))</f>
        <v/>
      </c>
    </row>
    <row r="683">
      <c r="L683" s="23">
        <f>IF($A683="","",IFERROR(ROUND(($B683*$E683+$D683*$E683+$B683*$F683*$E683+$G683)/MAX(1,$C683),0),0))</f>
        <v/>
      </c>
    </row>
    <row r="684">
      <c r="L684" s="23">
        <f>IF($A684="","",IFERROR(ROUND(($B684*$E684+$D684*$E684+$B684*$F684*$E684+$G684)/MAX(1,$C684),0),0))</f>
        <v/>
      </c>
    </row>
    <row r="685">
      <c r="L685" s="23">
        <f>IF($A685="","",IFERROR(ROUND(($B685*$E685+$D685*$E685+$B685*$F685*$E685+$G685)/MAX(1,$C685),0),0))</f>
        <v/>
      </c>
    </row>
    <row r="686">
      <c r="L686" s="23">
        <f>IF($A686="","",IFERROR(ROUND(($B686*$E686+$D686*$E686+$B686*$F686*$E686+$G686)/MAX(1,$C686),0),0))</f>
        <v/>
      </c>
    </row>
    <row r="687">
      <c r="L687" s="23">
        <f>IF($A687="","",IFERROR(ROUND(($B687*$E687+$D687*$E687+$B687*$F687*$E687+$G687)/MAX(1,$C687),0),0))</f>
        <v/>
      </c>
    </row>
    <row r="688">
      <c r="L688" s="23">
        <f>IF($A688="","",IFERROR(ROUND(($B688*$E688+$D688*$E688+$B688*$F688*$E688+$G688)/MAX(1,$C688),0),0))</f>
        <v/>
      </c>
    </row>
    <row r="689">
      <c r="L689" s="23">
        <f>IF($A689="","",IFERROR(ROUND(($B689*$E689+$D689*$E689+$B689*$F689*$E689+$G689)/MAX(1,$C689),0),0))</f>
        <v/>
      </c>
    </row>
    <row r="690">
      <c r="L690" s="23">
        <f>IF($A690="","",IFERROR(ROUND(($B690*$E690+$D690*$E690+$B690*$F690*$E690+$G690)/MAX(1,$C690),0),0))</f>
        <v/>
      </c>
    </row>
    <row r="691">
      <c r="L691" s="23">
        <f>IF($A691="","",IFERROR(ROUND(($B691*$E691+$D691*$E691+$B691*$F691*$E691+$G691)/MAX(1,$C691),0),0))</f>
        <v/>
      </c>
    </row>
    <row r="692">
      <c r="L692" s="23">
        <f>IF($A692="","",IFERROR(ROUND(($B692*$E692+$D692*$E692+$B692*$F692*$E692+$G692)/MAX(1,$C692),0),0))</f>
        <v/>
      </c>
    </row>
    <row r="693">
      <c r="L693" s="23">
        <f>IF($A693="","",IFERROR(ROUND(($B693*$E693+$D693*$E693+$B693*$F693*$E693+$G693)/MAX(1,$C693),0),0))</f>
        <v/>
      </c>
    </row>
    <row r="694">
      <c r="L694" s="23">
        <f>IF($A694="","",IFERROR(ROUND(($B694*$E694+$D694*$E694+$B694*$F694*$E694+$G694)/MAX(1,$C694),0),0))</f>
        <v/>
      </c>
    </row>
    <row r="695">
      <c r="L695" s="23">
        <f>IF($A695="","",IFERROR(ROUND(($B695*$E695+$D695*$E695+$B695*$F695*$E695+$G695)/MAX(1,$C695),0),0))</f>
        <v/>
      </c>
    </row>
    <row r="696">
      <c r="L696" s="23">
        <f>IF($A696="","",IFERROR(ROUND(($B696*$E696+$D696*$E696+$B696*$F696*$E696+$G696)/MAX(1,$C696),0),0))</f>
        <v/>
      </c>
    </row>
    <row r="697">
      <c r="L697" s="23">
        <f>IF($A697="","",IFERROR(ROUND(($B697*$E697+$D697*$E697+$B697*$F697*$E697+$G697)/MAX(1,$C697),0),0))</f>
        <v/>
      </c>
    </row>
    <row r="698">
      <c r="L698" s="23">
        <f>IF($A698="","",IFERROR(ROUND(($B698*$E698+$D698*$E698+$B698*$F698*$E698+$G698)/MAX(1,$C698),0),0))</f>
        <v/>
      </c>
    </row>
    <row r="699">
      <c r="L699" s="23">
        <f>IF($A699="","",IFERROR(ROUND(($B699*$E699+$D699*$E699+$B699*$F699*$E699+$G699)/MAX(1,$C699),0),0))</f>
        <v/>
      </c>
    </row>
    <row r="700">
      <c r="L700" s="23">
        <f>IF($A700="","",IFERROR(ROUND(($B700*$E700+$D700*$E700+$B700*$F700*$E700+$G700)/MAX(1,$C700),0),0))</f>
        <v/>
      </c>
    </row>
    <row r="701">
      <c r="L701" s="23">
        <f>IF($A701="","",IFERROR(ROUND(($B701*$E701+$D701*$E701+$B701*$F701*$E701+$G701)/MAX(1,$C701),0),0))</f>
        <v/>
      </c>
    </row>
    <row r="702">
      <c r="L702" s="23">
        <f>IF($A702="","",IFERROR(ROUND(($B702*$E702+$D702*$E702+$B702*$F702*$E702+$G702)/MAX(1,$C702),0),0))</f>
        <v/>
      </c>
    </row>
    <row r="703">
      <c r="L703" s="23">
        <f>IF($A703="","",IFERROR(ROUND(($B703*$E703+$D703*$E703+$B703*$F703*$E703+$G703)/MAX(1,$C703),0),0))</f>
        <v/>
      </c>
    </row>
    <row r="704">
      <c r="L704" s="23">
        <f>IF($A704="","",IFERROR(ROUND(($B704*$E704+$D704*$E704+$B704*$F704*$E704+$G704)/MAX(1,$C704),0),0))</f>
        <v/>
      </c>
    </row>
    <row r="705">
      <c r="L705" s="23">
        <f>IF($A705="","",IFERROR(ROUND(($B705*$E705+$D705*$E705+$B705*$F705*$E705+$G705)/MAX(1,$C705),0),0))</f>
        <v/>
      </c>
    </row>
    <row r="706">
      <c r="L706" s="23">
        <f>IF($A706="","",IFERROR(ROUND(($B706*$E706+$D706*$E706+$B706*$F706*$E706+$G706)/MAX(1,$C706),0),0))</f>
        <v/>
      </c>
    </row>
    <row r="707">
      <c r="L707" s="23">
        <f>IF($A707="","",IFERROR(ROUND(($B707*$E707+$D707*$E707+$B707*$F707*$E707+$G707)/MAX(1,$C707),0),0))</f>
        <v/>
      </c>
    </row>
    <row r="708">
      <c r="L708" s="23">
        <f>IF($A708="","",IFERROR(ROUND(($B708*$E708+$D708*$E708+$B708*$F708*$E708+$G708)/MAX(1,$C708),0),0))</f>
        <v/>
      </c>
    </row>
    <row r="709">
      <c r="L709" s="23">
        <f>IF($A709="","",IFERROR(ROUND(($B709*$E709+$D709*$E709+$B709*$F709*$E709+$G709)/MAX(1,$C709),0),0))</f>
        <v/>
      </c>
    </row>
    <row r="710">
      <c r="L710" s="23">
        <f>IF($A710="","",IFERROR(ROUND(($B710*$E710+$D710*$E710+$B710*$F710*$E710+$G710)/MAX(1,$C710),0),0))</f>
        <v/>
      </c>
    </row>
    <row r="711">
      <c r="L711" s="23">
        <f>IF($A711="","",IFERROR(ROUND(($B711*$E711+$D711*$E711+$B711*$F711*$E711+$G711)/MAX(1,$C711),0),0))</f>
        <v/>
      </c>
    </row>
    <row r="712">
      <c r="L712" s="23">
        <f>IF($A712="","",IFERROR(ROUND(($B712*$E712+$D712*$E712+$B712*$F712*$E712+$G712)/MAX(1,$C712),0),0))</f>
        <v/>
      </c>
    </row>
    <row r="713">
      <c r="L713" s="23">
        <f>IF($A713="","",IFERROR(ROUND(($B713*$E713+$D713*$E713+$B713*$F713*$E713+$G713)/MAX(1,$C713),0),0))</f>
        <v/>
      </c>
    </row>
    <row r="714">
      <c r="L714" s="23">
        <f>IF($A714="","",IFERROR(ROUND(($B714*$E714+$D714*$E714+$B714*$F714*$E714+$G714)/MAX(1,$C714),0),0))</f>
        <v/>
      </c>
    </row>
    <row r="715">
      <c r="L715" s="23">
        <f>IF($A715="","",IFERROR(ROUND(($B715*$E715+$D715*$E715+$B715*$F715*$E715+$G715)/MAX(1,$C715),0),0))</f>
        <v/>
      </c>
    </row>
    <row r="716">
      <c r="L716" s="23">
        <f>IF($A716="","",IFERROR(ROUND(($B716*$E716+$D716*$E716+$B716*$F716*$E716+$G716)/MAX(1,$C716),0),0))</f>
        <v/>
      </c>
    </row>
    <row r="717">
      <c r="L717" s="23">
        <f>IF($A717="","",IFERROR(ROUND(($B717*$E717+$D717*$E717+$B717*$F717*$E717+$G717)/MAX(1,$C717),0),0))</f>
        <v/>
      </c>
    </row>
    <row r="718">
      <c r="L718" s="23">
        <f>IF($A718="","",IFERROR(ROUND(($B718*$E718+$D718*$E718+$B718*$F718*$E718+$G718)/MAX(1,$C718),0),0))</f>
        <v/>
      </c>
    </row>
    <row r="719">
      <c r="L719" s="23">
        <f>IF($A719="","",IFERROR(ROUND(($B719*$E719+$D719*$E719+$B719*$F719*$E719+$G719)/MAX(1,$C719),0),0))</f>
        <v/>
      </c>
    </row>
    <row r="720">
      <c r="L720" s="23">
        <f>IF($A720="","",IFERROR(ROUND(($B720*$E720+$D720*$E720+$B720*$F720*$E720+$G720)/MAX(1,$C720),0),0))</f>
        <v/>
      </c>
    </row>
    <row r="721">
      <c r="L721" s="23">
        <f>IF($A721="","",IFERROR(ROUND(($B721*$E721+$D721*$E721+$B721*$F721*$E721+$G721)/MAX(1,$C721),0),0))</f>
        <v/>
      </c>
    </row>
    <row r="722">
      <c r="L722" s="23">
        <f>IF($A722="","",IFERROR(ROUND(($B722*$E722+$D722*$E722+$B722*$F722*$E722+$G722)/MAX(1,$C722),0),0))</f>
        <v/>
      </c>
    </row>
    <row r="723">
      <c r="L723" s="23">
        <f>IF($A723="","",IFERROR(ROUND(($B723*$E723+$D723*$E723+$B723*$F723*$E723+$G723)/MAX(1,$C723),0),0))</f>
        <v/>
      </c>
    </row>
    <row r="724">
      <c r="L724" s="23">
        <f>IF($A724="","",IFERROR(ROUND(($B724*$E724+$D724*$E724+$B724*$F724*$E724+$G724)/MAX(1,$C724),0),0))</f>
        <v/>
      </c>
    </row>
    <row r="725">
      <c r="L725" s="23">
        <f>IF($A725="","",IFERROR(ROUND(($B725*$E725+$D725*$E725+$B725*$F725*$E725+$G725)/MAX(1,$C725),0),0))</f>
        <v/>
      </c>
    </row>
    <row r="726">
      <c r="L726" s="23">
        <f>IF($A726="","",IFERROR(ROUND(($B726*$E726+$D726*$E726+$B726*$F726*$E726+$G726)/MAX(1,$C726),0),0))</f>
        <v/>
      </c>
    </row>
    <row r="727">
      <c r="L727" s="23">
        <f>IF($A727="","",IFERROR(ROUND(($B727*$E727+$D727*$E727+$B727*$F727*$E727+$G727)/MAX(1,$C727),0),0))</f>
        <v/>
      </c>
    </row>
    <row r="728">
      <c r="L728" s="23">
        <f>IF($A728="","",IFERROR(ROUND(($B728*$E728+$D728*$E728+$B728*$F728*$E728+$G728)/MAX(1,$C728),0),0))</f>
        <v/>
      </c>
    </row>
    <row r="729">
      <c r="L729" s="23">
        <f>IF($A729="","",IFERROR(ROUND(($B729*$E729+$D729*$E729+$B729*$F729*$E729+$G729)/MAX(1,$C729),0),0))</f>
        <v/>
      </c>
    </row>
    <row r="730">
      <c r="L730" s="23">
        <f>IF($A730="","",IFERROR(ROUND(($B730*$E730+$D730*$E730+$B730*$F730*$E730+$G730)/MAX(1,$C730),0),0))</f>
        <v/>
      </c>
    </row>
    <row r="731">
      <c r="L731" s="23">
        <f>IF($A731="","",IFERROR(ROUND(($B731*$E731+$D731*$E731+$B731*$F731*$E731+$G731)/MAX(1,$C731),0),0))</f>
        <v/>
      </c>
    </row>
    <row r="732">
      <c r="L732" s="23">
        <f>IF($A732="","",IFERROR(ROUND(($B732*$E732+$D732*$E732+$B732*$F732*$E732+$G732)/MAX(1,$C732),0),0))</f>
        <v/>
      </c>
    </row>
    <row r="733">
      <c r="L733" s="23">
        <f>IF($A733="","",IFERROR(ROUND(($B733*$E733+$D733*$E733+$B733*$F733*$E733+$G733)/MAX(1,$C733),0),0))</f>
        <v/>
      </c>
    </row>
    <row r="734">
      <c r="L734" s="23">
        <f>IF($A734="","",IFERROR(ROUND(($B734*$E734+$D734*$E734+$B734*$F734*$E734+$G734)/MAX(1,$C734),0),0))</f>
        <v/>
      </c>
    </row>
    <row r="735">
      <c r="L735" s="23">
        <f>IF($A735="","",IFERROR(ROUND(($B735*$E735+$D735*$E735+$B735*$F735*$E735+$G735)/MAX(1,$C735),0),0))</f>
        <v/>
      </c>
    </row>
    <row r="736">
      <c r="L736" s="23">
        <f>IF($A736="","",IFERROR(ROUND(($B736*$E736+$D736*$E736+$B736*$F736*$E736+$G736)/MAX(1,$C736),0),0))</f>
        <v/>
      </c>
    </row>
    <row r="737">
      <c r="L737" s="23">
        <f>IF($A737="","",IFERROR(ROUND(($B737*$E737+$D737*$E737+$B737*$F737*$E737+$G737)/MAX(1,$C737),0),0))</f>
        <v/>
      </c>
    </row>
    <row r="738">
      <c r="L738" s="23">
        <f>IF($A738="","",IFERROR(ROUND(($B738*$E738+$D738*$E738+$B738*$F738*$E738+$G738)/MAX(1,$C738),0),0))</f>
        <v/>
      </c>
    </row>
    <row r="739">
      <c r="L739" s="23">
        <f>IF($A739="","",IFERROR(ROUND(($B739*$E739+$D739*$E739+$B739*$F739*$E739+$G739)/MAX(1,$C739),0),0))</f>
        <v/>
      </c>
    </row>
    <row r="740">
      <c r="L740" s="23">
        <f>IF($A740="","",IFERROR(ROUND(($B740*$E740+$D740*$E740+$B740*$F740*$E740+$G740)/MAX(1,$C740),0),0))</f>
        <v/>
      </c>
    </row>
    <row r="741">
      <c r="L741" s="23">
        <f>IF($A741="","",IFERROR(ROUND(($B741*$E741+$D741*$E741+$B741*$F741*$E741+$G741)/MAX(1,$C741),0),0))</f>
        <v/>
      </c>
    </row>
    <row r="742">
      <c r="L742" s="23">
        <f>IF($A742="","",IFERROR(ROUND(($B742*$E742+$D742*$E742+$B742*$F742*$E742+$G742)/MAX(1,$C742),0),0))</f>
        <v/>
      </c>
    </row>
    <row r="743">
      <c r="L743" s="23">
        <f>IF($A743="","",IFERROR(ROUND(($B743*$E743+$D743*$E743+$B743*$F743*$E743+$G743)/MAX(1,$C743),0),0))</f>
        <v/>
      </c>
    </row>
    <row r="744">
      <c r="L744" s="23">
        <f>IF($A744="","",IFERROR(ROUND(($B744*$E744+$D744*$E744+$B744*$F744*$E744+$G744)/MAX(1,$C744),0),0))</f>
        <v/>
      </c>
    </row>
    <row r="745">
      <c r="L745" s="23">
        <f>IF($A745="","",IFERROR(ROUND(($B745*$E745+$D745*$E745+$B745*$F745*$E745+$G745)/MAX(1,$C745),0),0))</f>
        <v/>
      </c>
    </row>
    <row r="746">
      <c r="L746" s="23">
        <f>IF($A746="","",IFERROR(ROUND(($B746*$E746+$D746*$E746+$B746*$F746*$E746+$G746)/MAX(1,$C746),0),0))</f>
        <v/>
      </c>
    </row>
    <row r="747">
      <c r="L747" s="23">
        <f>IF($A747="","",IFERROR(ROUND(($B747*$E747+$D747*$E747+$B747*$F747*$E747+$G747)/MAX(1,$C747),0),0))</f>
        <v/>
      </c>
    </row>
    <row r="748">
      <c r="L748" s="23">
        <f>IF($A748="","",IFERROR(ROUND(($B748*$E748+$D748*$E748+$B748*$F748*$E748+$G748)/MAX(1,$C748),0),0))</f>
        <v/>
      </c>
    </row>
    <row r="749">
      <c r="L749" s="23">
        <f>IF($A749="","",IFERROR(ROUND(($B749*$E749+$D749*$E749+$B749*$F749*$E749+$G749)/MAX(1,$C749),0),0))</f>
        <v/>
      </c>
    </row>
    <row r="750">
      <c r="L750" s="23">
        <f>IF($A750="","",IFERROR(ROUND(($B750*$E750+$D750*$E750+$B750*$F750*$E750+$G750)/MAX(1,$C750),0),0))</f>
        <v/>
      </c>
    </row>
    <row r="751">
      <c r="L751" s="23">
        <f>IF($A751="","",IFERROR(ROUND(($B751*$E751+$D751*$E751+$B751*$F751*$E751+$G751)/MAX(1,$C751),0),0))</f>
        <v/>
      </c>
    </row>
    <row r="752">
      <c r="L752" s="23">
        <f>IF($A752="","",IFERROR(ROUND(($B752*$E752+$D752*$E752+$B752*$F752*$E752+$G752)/MAX(1,$C752),0),0))</f>
        <v/>
      </c>
    </row>
    <row r="753">
      <c r="L753" s="23">
        <f>IF($A753="","",IFERROR(ROUND(($B753*$E753+$D753*$E753+$B753*$F753*$E753+$G753)/MAX(1,$C753),0),0))</f>
        <v/>
      </c>
    </row>
    <row r="754">
      <c r="L754" s="23">
        <f>IF($A754="","",IFERROR(ROUND(($B754*$E754+$D754*$E754+$B754*$F754*$E754+$G754)/MAX(1,$C754),0),0))</f>
        <v/>
      </c>
    </row>
    <row r="755">
      <c r="L755" s="23">
        <f>IF($A755="","",IFERROR(ROUND(($B755*$E755+$D755*$E755+$B755*$F755*$E755+$G755)/MAX(1,$C755),0),0))</f>
        <v/>
      </c>
    </row>
    <row r="756">
      <c r="L756" s="23">
        <f>IF($A756="","",IFERROR(ROUND(($B756*$E756+$D756*$E756+$B756*$F756*$E756+$G756)/MAX(1,$C756),0),0))</f>
        <v/>
      </c>
    </row>
    <row r="757">
      <c r="L757" s="23">
        <f>IF($A757="","",IFERROR(ROUND(($B757*$E757+$D757*$E757+$B757*$F757*$E757+$G757)/MAX(1,$C757),0),0))</f>
        <v/>
      </c>
    </row>
    <row r="758">
      <c r="L758" s="23">
        <f>IF($A758="","",IFERROR(ROUND(($B758*$E758+$D758*$E758+$B758*$F758*$E758+$G758)/MAX(1,$C758),0),0))</f>
        <v/>
      </c>
    </row>
    <row r="759">
      <c r="L759" s="23">
        <f>IF($A759="","",IFERROR(ROUND(($B759*$E759+$D759*$E759+$B759*$F759*$E759+$G759)/MAX(1,$C759),0),0))</f>
        <v/>
      </c>
    </row>
    <row r="760">
      <c r="L760" s="23">
        <f>IF($A760="","",IFERROR(ROUND(($B760*$E760+$D760*$E760+$B760*$F760*$E760+$G760)/MAX(1,$C760),0),0))</f>
        <v/>
      </c>
    </row>
    <row r="761">
      <c r="L761" s="23">
        <f>IF($A761="","",IFERROR(ROUND(($B761*$E761+$D761*$E761+$B761*$F761*$E761+$G761)/MAX(1,$C761),0),0))</f>
        <v/>
      </c>
    </row>
    <row r="762">
      <c r="L762" s="23">
        <f>IF($A762="","",IFERROR(ROUND(($B762*$E762+$D762*$E762+$B762*$F762*$E762+$G762)/MAX(1,$C762),0),0))</f>
        <v/>
      </c>
    </row>
    <row r="763">
      <c r="L763" s="23">
        <f>IF($A763="","",IFERROR(ROUND(($B763*$E763+$D763*$E763+$B763*$F763*$E763+$G763)/MAX(1,$C763),0),0))</f>
        <v/>
      </c>
    </row>
    <row r="764">
      <c r="L764" s="23">
        <f>IF($A764="","",IFERROR(ROUND(($B764*$E764+$D764*$E764+$B764*$F764*$E764+$G764)/MAX(1,$C764),0),0))</f>
        <v/>
      </c>
    </row>
    <row r="765">
      <c r="L765" s="23">
        <f>IF($A765="","",IFERROR(ROUND(($B765*$E765+$D765*$E765+$B765*$F765*$E765+$G765)/MAX(1,$C765),0),0))</f>
        <v/>
      </c>
    </row>
    <row r="766">
      <c r="L766" s="23">
        <f>IF($A766="","",IFERROR(ROUND(($B766*$E766+$D766*$E766+$B766*$F766*$E766+$G766)/MAX(1,$C766),0),0))</f>
        <v/>
      </c>
    </row>
    <row r="767">
      <c r="L767" s="23">
        <f>IF($A767="","",IFERROR(ROUND(($B767*$E767+$D767*$E767+$B767*$F767*$E767+$G767)/MAX(1,$C767),0),0))</f>
        <v/>
      </c>
    </row>
    <row r="768">
      <c r="L768" s="23">
        <f>IF($A768="","",IFERROR(ROUND(($B768*$E768+$D768*$E768+$B768*$F768*$E768+$G768)/MAX(1,$C768),0),0))</f>
        <v/>
      </c>
    </row>
    <row r="769">
      <c r="L769" s="23">
        <f>IF($A769="","",IFERROR(ROUND(($B769*$E769+$D769*$E769+$B769*$F769*$E769+$G769)/MAX(1,$C769),0),0))</f>
        <v/>
      </c>
    </row>
    <row r="770">
      <c r="L770" s="23">
        <f>IF($A770="","",IFERROR(ROUND(($B770*$E770+$D770*$E770+$B770*$F770*$E770+$G770)/MAX(1,$C770),0),0))</f>
        <v/>
      </c>
    </row>
    <row r="771">
      <c r="L771" s="23">
        <f>IF($A771="","",IFERROR(ROUND(($B771*$E771+$D771*$E771+$B771*$F771*$E771+$G771)/MAX(1,$C771),0),0))</f>
        <v/>
      </c>
    </row>
    <row r="772">
      <c r="L772" s="23">
        <f>IF($A772="","",IFERROR(ROUND(($B772*$E772+$D772*$E772+$B772*$F772*$E772+$G772)/MAX(1,$C772),0),0))</f>
        <v/>
      </c>
    </row>
    <row r="773">
      <c r="L773" s="23">
        <f>IF($A773="","",IFERROR(ROUND(($B773*$E773+$D773*$E773+$B773*$F773*$E773+$G773)/MAX(1,$C773),0),0))</f>
        <v/>
      </c>
    </row>
    <row r="774">
      <c r="L774" s="23">
        <f>IF($A774="","",IFERROR(ROUND(($B774*$E774+$D774*$E774+$B774*$F774*$E774+$G774)/MAX(1,$C774),0),0))</f>
        <v/>
      </c>
    </row>
    <row r="775">
      <c r="L775" s="23">
        <f>IF($A775="","",IFERROR(ROUND(($B775*$E775+$D775*$E775+$B775*$F775*$E775+$G775)/MAX(1,$C775),0),0))</f>
        <v/>
      </c>
    </row>
    <row r="776">
      <c r="L776" s="23">
        <f>IF($A776="","",IFERROR(ROUND(($B776*$E776+$D776*$E776+$B776*$F776*$E776+$G776)/MAX(1,$C776),0),0))</f>
        <v/>
      </c>
    </row>
    <row r="777">
      <c r="L777" s="23">
        <f>IF($A777="","",IFERROR(ROUND(($B777*$E777+$D777*$E777+$B777*$F777*$E777+$G777)/MAX(1,$C777),0),0))</f>
        <v/>
      </c>
    </row>
    <row r="778">
      <c r="L778" s="23">
        <f>IF($A778="","",IFERROR(ROUND(($B778*$E778+$D778*$E778+$B778*$F778*$E778+$G778)/MAX(1,$C778),0),0))</f>
        <v/>
      </c>
    </row>
    <row r="779">
      <c r="L779" s="23">
        <f>IF($A779="","",IFERROR(ROUND(($B779*$E779+$D779*$E779+$B779*$F779*$E779+$G779)/MAX(1,$C779),0),0))</f>
        <v/>
      </c>
    </row>
    <row r="780">
      <c r="L780" s="23">
        <f>IF($A780="","",IFERROR(ROUND(($B780*$E780+$D780*$E780+$B780*$F780*$E780+$G780)/MAX(1,$C780),0),0))</f>
        <v/>
      </c>
    </row>
    <row r="781">
      <c r="L781" s="23">
        <f>IF($A781="","",IFERROR(ROUND(($B781*$E781+$D781*$E781+$B781*$F781*$E781+$G781)/MAX(1,$C781),0),0))</f>
        <v/>
      </c>
    </row>
    <row r="782">
      <c r="L782" s="23">
        <f>IF($A782="","",IFERROR(ROUND(($B782*$E782+$D782*$E782+$B782*$F782*$E782+$G782)/MAX(1,$C782),0),0))</f>
        <v/>
      </c>
    </row>
    <row r="783">
      <c r="L783" s="23">
        <f>IF($A783="","",IFERROR(ROUND(($B783*$E783+$D783*$E783+$B783*$F783*$E783+$G783)/MAX(1,$C783),0),0))</f>
        <v/>
      </c>
    </row>
    <row r="784">
      <c r="L784" s="23">
        <f>IF($A784="","",IFERROR(ROUND(($B784*$E784+$D784*$E784+$B784*$F784*$E784+$G784)/MAX(1,$C784),0),0))</f>
        <v/>
      </c>
    </row>
    <row r="785">
      <c r="L785" s="23">
        <f>IF($A785="","",IFERROR(ROUND(($B785*$E785+$D785*$E785+$B785*$F785*$E785+$G785)/MAX(1,$C785),0),0))</f>
        <v/>
      </c>
    </row>
    <row r="786">
      <c r="L786" s="23">
        <f>IF($A786="","",IFERROR(ROUND(($B786*$E786+$D786*$E786+$B786*$F786*$E786+$G786)/MAX(1,$C786),0),0))</f>
        <v/>
      </c>
    </row>
    <row r="787">
      <c r="L787" s="23">
        <f>IF($A787="","",IFERROR(ROUND(($B787*$E787+$D787*$E787+$B787*$F787*$E787+$G787)/MAX(1,$C787),0),0))</f>
        <v/>
      </c>
    </row>
    <row r="788">
      <c r="L788" s="23">
        <f>IF($A788="","",IFERROR(ROUND(($B788*$E788+$D788*$E788+$B788*$F788*$E788+$G788)/MAX(1,$C788),0),0))</f>
        <v/>
      </c>
    </row>
    <row r="789">
      <c r="L789" s="23">
        <f>IF($A789="","",IFERROR(ROUND(($B789*$E789+$D789*$E789+$B789*$F789*$E789+$G789)/MAX(1,$C789),0),0))</f>
        <v/>
      </c>
    </row>
    <row r="790">
      <c r="L790" s="23">
        <f>IF($A790="","",IFERROR(ROUND(($B790*$E790+$D790*$E790+$B790*$F790*$E790+$G790)/MAX(1,$C790),0),0))</f>
        <v/>
      </c>
    </row>
    <row r="791">
      <c r="L791" s="23">
        <f>IF($A791="","",IFERROR(ROUND(($B791*$E791+$D791*$E791+$B791*$F791*$E791+$G791)/MAX(1,$C791),0),0))</f>
        <v/>
      </c>
    </row>
    <row r="792">
      <c r="L792" s="23">
        <f>IF($A792="","",IFERROR(ROUND(($B792*$E792+$D792*$E792+$B792*$F792*$E792+$G792)/MAX(1,$C792),0),0))</f>
        <v/>
      </c>
    </row>
    <row r="793">
      <c r="L793" s="23">
        <f>IF($A793="","",IFERROR(ROUND(($B793*$E793+$D793*$E793+$B793*$F793*$E793+$G793)/MAX(1,$C793),0),0))</f>
        <v/>
      </c>
    </row>
    <row r="794">
      <c r="L794" s="23">
        <f>IF($A794="","",IFERROR(ROUND(($B794*$E794+$D794*$E794+$B794*$F794*$E794+$G794)/MAX(1,$C794),0),0))</f>
        <v/>
      </c>
    </row>
    <row r="795">
      <c r="L795" s="23">
        <f>IF($A795="","",IFERROR(ROUND(($B795*$E795+$D795*$E795+$B795*$F795*$E795+$G795)/MAX(1,$C795),0),0))</f>
        <v/>
      </c>
    </row>
    <row r="796">
      <c r="L796" s="23">
        <f>IF($A796="","",IFERROR(ROUND(($B796*$E796+$D796*$E796+$B796*$F796*$E796+$G796)/MAX(1,$C796),0),0))</f>
        <v/>
      </c>
    </row>
    <row r="797">
      <c r="L797" s="23">
        <f>IF($A797="","",IFERROR(ROUND(($B797*$E797+$D797*$E797+$B797*$F797*$E797+$G797)/MAX(1,$C797),0),0))</f>
        <v/>
      </c>
    </row>
    <row r="798">
      <c r="L798" s="23">
        <f>IF($A798="","",IFERROR(ROUND(($B798*$E798+$D798*$E798+$B798*$F798*$E798+$G798)/MAX(1,$C798),0),0))</f>
        <v/>
      </c>
    </row>
    <row r="799">
      <c r="L799" s="23">
        <f>IF($A799="","",IFERROR(ROUND(($B799*$E799+$D799*$E799+$B799*$F799*$E799+$G799)/MAX(1,$C799),0),0))</f>
        <v/>
      </c>
    </row>
    <row r="800">
      <c r="L800" s="23">
        <f>IF($A800="","",IFERROR(ROUND(($B800*$E800+$D800*$E800+$B800*$F800*$E800+$G800)/MAX(1,$C800),0),0))</f>
        <v/>
      </c>
    </row>
    <row r="801">
      <c r="L801" s="23">
        <f>IF($A801="","",IFERROR(ROUND(($B801*$E801+$D801*$E801+$B801*$F801*$E801+$G801)/MAX(1,$C801),0),0))</f>
        <v/>
      </c>
    </row>
    <row r="802">
      <c r="L802" s="23">
        <f>IF($A802="","",IFERROR(ROUND(($B802*$E802+$D802*$E802+$B802*$F802*$E802+$G802)/MAX(1,$C802),0),0))</f>
        <v/>
      </c>
    </row>
    <row r="803">
      <c r="L803" s="23">
        <f>IF($A803="","",IFERROR(ROUND(($B803*$E803+$D803*$E803+$B803*$F803*$E803+$G803)/MAX(1,$C803),0),0))</f>
        <v/>
      </c>
    </row>
    <row r="804">
      <c r="L804" s="23">
        <f>IF($A804="","",IFERROR(ROUND(($B804*$E804+$D804*$E804+$B804*$F804*$E804+$G804)/MAX(1,$C804),0),0))</f>
        <v/>
      </c>
    </row>
    <row r="805">
      <c r="L805" s="23">
        <f>IF($A805="","",IFERROR(ROUND(($B805*$E805+$D805*$E805+$B805*$F805*$E805+$G805)/MAX(1,$C805),0),0))</f>
        <v/>
      </c>
    </row>
    <row r="806">
      <c r="L806" s="23">
        <f>IF($A806="","",IFERROR(ROUND(($B806*$E806+$D806*$E806+$B806*$F806*$E806+$G806)/MAX(1,$C806),0),0))</f>
        <v/>
      </c>
    </row>
    <row r="807">
      <c r="L807" s="23">
        <f>IF($A807="","",IFERROR(ROUND(($B807*$E807+$D807*$E807+$B807*$F807*$E807+$G807)/MAX(1,$C807),0),0))</f>
        <v/>
      </c>
    </row>
    <row r="808">
      <c r="L808" s="23">
        <f>IF($A808="","",IFERROR(ROUND(($B808*$E808+$D808*$E808+$B808*$F808*$E808+$G808)/MAX(1,$C808),0),0))</f>
        <v/>
      </c>
    </row>
    <row r="809">
      <c r="L809" s="23">
        <f>IF($A809="","",IFERROR(ROUND(($B809*$E809+$D809*$E809+$B809*$F809*$E809+$G809)/MAX(1,$C809),0),0))</f>
        <v/>
      </c>
    </row>
    <row r="810">
      <c r="L810" s="23">
        <f>IF($A810="","",IFERROR(ROUND(($B810*$E810+$D810*$E810+$B810*$F810*$E810+$G810)/MAX(1,$C810),0),0))</f>
        <v/>
      </c>
    </row>
    <row r="811">
      <c r="L811" s="23">
        <f>IF($A811="","",IFERROR(ROUND(($B811*$E811+$D811*$E811+$B811*$F811*$E811+$G811)/MAX(1,$C811),0),0))</f>
        <v/>
      </c>
    </row>
    <row r="812">
      <c r="L812" s="23">
        <f>IF($A812="","",IFERROR(ROUND(($B812*$E812+$D812*$E812+$B812*$F812*$E812+$G812)/MAX(1,$C812),0),0))</f>
        <v/>
      </c>
    </row>
    <row r="813">
      <c r="L813" s="23">
        <f>IF($A813="","",IFERROR(ROUND(($B813*$E813+$D813*$E813+$B813*$F813*$E813+$G813)/MAX(1,$C813),0),0))</f>
        <v/>
      </c>
    </row>
    <row r="814">
      <c r="L814" s="23">
        <f>IF($A814="","",IFERROR(ROUND(($B814*$E814+$D814*$E814+$B814*$F814*$E814+$G814)/MAX(1,$C814),0),0))</f>
        <v/>
      </c>
    </row>
    <row r="815">
      <c r="L815" s="23">
        <f>IF($A815="","",IFERROR(ROUND(($B815*$E815+$D815*$E815+$B815*$F815*$E815+$G815)/MAX(1,$C815),0),0))</f>
        <v/>
      </c>
    </row>
    <row r="816">
      <c r="L816" s="23">
        <f>IF($A816="","",IFERROR(ROUND(($B816*$E816+$D816*$E816+$B816*$F816*$E816+$G816)/MAX(1,$C816),0),0))</f>
        <v/>
      </c>
    </row>
    <row r="817">
      <c r="L817" s="23">
        <f>IF($A817="","",IFERROR(ROUND(($B817*$E817+$D817*$E817+$B817*$F817*$E817+$G817)/MAX(1,$C817),0),0))</f>
        <v/>
      </c>
    </row>
    <row r="818">
      <c r="L818" s="23">
        <f>IF($A818="","",IFERROR(ROUND(($B818*$E818+$D818*$E818+$B818*$F818*$E818+$G818)/MAX(1,$C818),0),0))</f>
        <v/>
      </c>
    </row>
    <row r="819">
      <c r="L819" s="23">
        <f>IF($A819="","",IFERROR(ROUND(($B819*$E819+$D819*$E819+$B819*$F819*$E819+$G819)/MAX(1,$C819),0),0))</f>
        <v/>
      </c>
    </row>
    <row r="820">
      <c r="L820" s="23">
        <f>IF($A820="","",IFERROR(ROUND(($B820*$E820+$D820*$E820+$B820*$F820*$E820+$G820)/MAX(1,$C820),0),0))</f>
        <v/>
      </c>
    </row>
    <row r="821">
      <c r="L821" s="23">
        <f>IF($A821="","",IFERROR(ROUND(($B821*$E821+$D821*$E821+$B821*$F821*$E821+$G821)/MAX(1,$C821),0),0))</f>
        <v/>
      </c>
    </row>
    <row r="822">
      <c r="L822" s="23">
        <f>IF($A822="","",IFERROR(ROUND(($B822*$E822+$D822*$E822+$B822*$F822*$E822+$G822)/MAX(1,$C822),0),0))</f>
        <v/>
      </c>
    </row>
    <row r="823">
      <c r="L823" s="23">
        <f>IF($A823="","",IFERROR(ROUND(($B823*$E823+$D823*$E823+$B823*$F823*$E823+$G823)/MAX(1,$C823),0),0))</f>
        <v/>
      </c>
    </row>
    <row r="824">
      <c r="L824" s="23">
        <f>IF($A824="","",IFERROR(ROUND(($B824*$E824+$D824*$E824+$B824*$F824*$E824+$G824)/MAX(1,$C824),0),0))</f>
        <v/>
      </c>
    </row>
    <row r="825">
      <c r="L825" s="23">
        <f>IF($A825="","",IFERROR(ROUND(($B825*$E825+$D825*$E825+$B825*$F825*$E825+$G825)/MAX(1,$C825),0),0))</f>
        <v/>
      </c>
    </row>
    <row r="826">
      <c r="L826" s="23">
        <f>IF($A826="","",IFERROR(ROUND(($B826*$E826+$D826*$E826+$B826*$F826*$E826+$G826)/MAX(1,$C826),0),0))</f>
        <v/>
      </c>
    </row>
    <row r="827">
      <c r="L827" s="23">
        <f>IF($A827="","",IFERROR(ROUND(($B827*$E827+$D827*$E827+$B827*$F827*$E827+$G827)/MAX(1,$C827),0),0))</f>
        <v/>
      </c>
    </row>
    <row r="828">
      <c r="L828" s="23">
        <f>IF($A828="","",IFERROR(ROUND(($B828*$E828+$D828*$E828+$B828*$F828*$E828+$G828)/MAX(1,$C828),0),0))</f>
        <v/>
      </c>
    </row>
    <row r="829">
      <c r="L829" s="23">
        <f>IF($A829="","",IFERROR(ROUND(($B829*$E829+$D829*$E829+$B829*$F829*$E829+$G829)/MAX(1,$C829),0),0))</f>
        <v/>
      </c>
    </row>
    <row r="830">
      <c r="L830" s="23">
        <f>IF($A830="","",IFERROR(ROUND(($B830*$E830+$D830*$E830+$B830*$F830*$E830+$G830)/MAX(1,$C830),0),0))</f>
        <v/>
      </c>
    </row>
    <row r="831">
      <c r="L831" s="23">
        <f>IF($A831="","",IFERROR(ROUND(($B831*$E831+$D831*$E831+$B831*$F831*$E831+$G831)/MAX(1,$C831),0),0))</f>
        <v/>
      </c>
    </row>
    <row r="832">
      <c r="L832" s="23">
        <f>IF($A832="","",IFERROR(ROUND(($B832*$E832+$D832*$E832+$B832*$F832*$E832+$G832)/MAX(1,$C832),0),0))</f>
        <v/>
      </c>
    </row>
    <row r="833">
      <c r="L833" s="23">
        <f>IF($A833="","",IFERROR(ROUND(($B833*$E833+$D833*$E833+$B833*$F833*$E833+$G833)/MAX(1,$C833),0),0))</f>
        <v/>
      </c>
    </row>
    <row r="834">
      <c r="L834" s="23">
        <f>IF($A834="","",IFERROR(ROUND(($B834*$E834+$D834*$E834+$B834*$F834*$E834+$G834)/MAX(1,$C834),0),0))</f>
        <v/>
      </c>
    </row>
    <row r="835">
      <c r="L835" s="23">
        <f>IF($A835="","",IFERROR(ROUND(($B835*$E835+$D835*$E835+$B835*$F835*$E835+$G835)/MAX(1,$C835),0),0))</f>
        <v/>
      </c>
    </row>
    <row r="836">
      <c r="L836" s="23">
        <f>IF($A836="","",IFERROR(ROUND(($B836*$E836+$D836*$E836+$B836*$F836*$E836+$G836)/MAX(1,$C836),0),0))</f>
        <v/>
      </c>
    </row>
    <row r="837">
      <c r="L837" s="23">
        <f>IF($A837="","",IFERROR(ROUND(($B837*$E837+$D837*$E837+$B837*$F837*$E837+$G837)/MAX(1,$C837),0),0))</f>
        <v/>
      </c>
    </row>
    <row r="838">
      <c r="L838" s="23">
        <f>IF($A838="","",IFERROR(ROUND(($B838*$E838+$D838*$E838+$B838*$F838*$E838+$G838)/MAX(1,$C838),0),0))</f>
        <v/>
      </c>
    </row>
    <row r="839">
      <c r="L839" s="23">
        <f>IF($A839="","",IFERROR(ROUND(($B839*$E839+$D839*$E839+$B839*$F839*$E839+$G839)/MAX(1,$C839),0),0))</f>
        <v/>
      </c>
    </row>
    <row r="840">
      <c r="L840" s="23">
        <f>IF($A840="","",IFERROR(ROUND(($B840*$E840+$D840*$E840+$B840*$F840*$E840+$G840)/MAX(1,$C840),0),0))</f>
        <v/>
      </c>
    </row>
    <row r="841">
      <c r="L841" s="23">
        <f>IF($A841="","",IFERROR(ROUND(($B841*$E841+$D841*$E841+$B841*$F841*$E841+$G841)/MAX(1,$C841),0),0))</f>
        <v/>
      </c>
    </row>
    <row r="842">
      <c r="L842" s="23">
        <f>IF($A842="","",IFERROR(ROUND(($B842*$E842+$D842*$E842+$B842*$F842*$E842+$G842)/MAX(1,$C842),0),0))</f>
        <v/>
      </c>
    </row>
    <row r="843">
      <c r="L843" s="23">
        <f>IF($A843="","",IFERROR(ROUND(($B843*$E843+$D843*$E843+$B843*$F843*$E843+$G843)/MAX(1,$C843),0),0))</f>
        <v/>
      </c>
    </row>
    <row r="844">
      <c r="L844" s="23">
        <f>IF($A844="","",IFERROR(ROUND(($B844*$E844+$D844*$E844+$B844*$F844*$E844+$G844)/MAX(1,$C844),0),0))</f>
        <v/>
      </c>
    </row>
    <row r="845">
      <c r="L845" s="23">
        <f>IF($A845="","",IFERROR(ROUND(($B845*$E845+$D845*$E845+$B845*$F845*$E845+$G845)/MAX(1,$C845),0),0))</f>
        <v/>
      </c>
    </row>
    <row r="846">
      <c r="L846" s="23">
        <f>IF($A846="","",IFERROR(ROUND(($B846*$E846+$D846*$E846+$B846*$F846*$E846+$G846)/MAX(1,$C846),0),0))</f>
        <v/>
      </c>
    </row>
    <row r="847">
      <c r="L847" s="23">
        <f>IF($A847="","",IFERROR(ROUND(($B847*$E847+$D847*$E847+$B847*$F847*$E847+$G847)/MAX(1,$C847),0),0))</f>
        <v/>
      </c>
    </row>
    <row r="848">
      <c r="L848" s="23">
        <f>IF($A848="","",IFERROR(ROUND(($B848*$E848+$D848*$E848+$B848*$F848*$E848+$G848)/MAX(1,$C848),0),0))</f>
        <v/>
      </c>
    </row>
    <row r="849">
      <c r="L849" s="23">
        <f>IF($A849="","",IFERROR(ROUND(($B849*$E849+$D849*$E849+$B849*$F849*$E849+$G849)/MAX(1,$C849),0),0))</f>
        <v/>
      </c>
    </row>
    <row r="850">
      <c r="L850" s="23">
        <f>IF($A850="","",IFERROR(ROUND(($B850*$E850+$D850*$E850+$B850*$F850*$E850+$G850)/MAX(1,$C850),0),0))</f>
        <v/>
      </c>
    </row>
    <row r="851">
      <c r="L851" s="23">
        <f>IF($A851="","",IFERROR(ROUND(($B851*$E851+$D851*$E851+$B851*$F851*$E851+$G851)/MAX(1,$C851),0),0))</f>
        <v/>
      </c>
    </row>
    <row r="852">
      <c r="L852" s="23">
        <f>IF($A852="","",IFERROR(ROUND(($B852*$E852+$D852*$E852+$B852*$F852*$E852+$G852)/MAX(1,$C852),0),0))</f>
        <v/>
      </c>
    </row>
    <row r="853">
      <c r="L853" s="23">
        <f>IF($A853="","",IFERROR(ROUND(($B853*$E853+$D853*$E853+$B853*$F853*$E853+$G853)/MAX(1,$C853),0),0))</f>
        <v/>
      </c>
    </row>
    <row r="854">
      <c r="L854" s="23">
        <f>IF($A854="","",IFERROR(ROUND(($B854*$E854+$D854*$E854+$B854*$F854*$E854+$G854)/MAX(1,$C854),0),0))</f>
        <v/>
      </c>
    </row>
    <row r="855">
      <c r="L855" s="23">
        <f>IF($A855="","",IFERROR(ROUND(($B855*$E855+$D855*$E855+$B855*$F855*$E855+$G855)/MAX(1,$C855),0),0))</f>
        <v/>
      </c>
    </row>
    <row r="856">
      <c r="L856" s="23">
        <f>IF($A856="","",IFERROR(ROUND(($B856*$E856+$D856*$E856+$B856*$F856*$E856+$G856)/MAX(1,$C856),0),0))</f>
        <v/>
      </c>
    </row>
    <row r="857">
      <c r="L857" s="23">
        <f>IF($A857="","",IFERROR(ROUND(($B857*$E857+$D857*$E857+$B857*$F857*$E857+$G857)/MAX(1,$C857),0),0))</f>
        <v/>
      </c>
    </row>
    <row r="858">
      <c r="L858" s="23">
        <f>IF($A858="","",IFERROR(ROUND(($B858*$E858+$D858*$E858+$B858*$F858*$E858+$G858)/MAX(1,$C858),0),0))</f>
        <v/>
      </c>
    </row>
    <row r="859">
      <c r="L859" s="23">
        <f>IF($A859="","",IFERROR(ROUND(($B859*$E859+$D859*$E859+$B859*$F859*$E859+$G859)/MAX(1,$C859),0),0))</f>
        <v/>
      </c>
    </row>
    <row r="860">
      <c r="L860" s="23">
        <f>IF($A860="","",IFERROR(ROUND(($B860*$E860+$D860*$E860+$B860*$F860*$E860+$G860)/MAX(1,$C860),0),0))</f>
        <v/>
      </c>
    </row>
    <row r="861">
      <c r="L861" s="23">
        <f>IF($A861="","",IFERROR(ROUND(($B861*$E861+$D861*$E861+$B861*$F861*$E861+$G861)/MAX(1,$C861),0),0))</f>
        <v/>
      </c>
    </row>
    <row r="862">
      <c r="L862" s="23">
        <f>IF($A862="","",IFERROR(ROUND(($B862*$E862+$D862*$E862+$B862*$F862*$E862+$G862)/MAX(1,$C862),0),0))</f>
        <v/>
      </c>
    </row>
    <row r="863">
      <c r="L863" s="23">
        <f>IF($A863="","",IFERROR(ROUND(($B863*$E863+$D863*$E863+$B863*$F863*$E863+$G863)/MAX(1,$C863),0),0))</f>
        <v/>
      </c>
    </row>
    <row r="864">
      <c r="L864" s="23">
        <f>IF($A864="","",IFERROR(ROUND(($B864*$E864+$D864*$E864+$B864*$F864*$E864+$G864)/MAX(1,$C864),0),0))</f>
        <v/>
      </c>
    </row>
    <row r="865">
      <c r="L865" s="23">
        <f>IF($A865="","",IFERROR(ROUND(($B865*$E865+$D865*$E865+$B865*$F865*$E865+$G865)/MAX(1,$C865),0),0))</f>
        <v/>
      </c>
    </row>
    <row r="866">
      <c r="L866" s="23">
        <f>IF($A866="","",IFERROR(ROUND(($B866*$E866+$D866*$E866+$B866*$F866*$E866+$G866)/MAX(1,$C866),0),0))</f>
        <v/>
      </c>
    </row>
    <row r="867">
      <c r="L867" s="23">
        <f>IF($A867="","",IFERROR(ROUND(($B867*$E867+$D867*$E867+$B867*$F867*$E867+$G867)/MAX(1,$C867),0),0))</f>
        <v/>
      </c>
    </row>
    <row r="868">
      <c r="L868" s="23">
        <f>IF($A868="","",IFERROR(ROUND(($B868*$E868+$D868*$E868+$B868*$F868*$E868+$G868)/MAX(1,$C868),0),0))</f>
        <v/>
      </c>
    </row>
    <row r="869">
      <c r="L869" s="23">
        <f>IF($A869="","",IFERROR(ROUND(($B869*$E869+$D869*$E869+$B869*$F869*$E869+$G869)/MAX(1,$C869),0),0))</f>
        <v/>
      </c>
    </row>
    <row r="870">
      <c r="L870" s="23">
        <f>IF($A870="","",IFERROR(ROUND(($B870*$E870+$D870*$E870+$B870*$F870*$E870+$G870)/MAX(1,$C870),0),0))</f>
        <v/>
      </c>
    </row>
    <row r="871">
      <c r="L871" s="23">
        <f>IF($A871="","",IFERROR(ROUND(($B871*$E871+$D871*$E871+$B871*$F871*$E871+$G871)/MAX(1,$C871),0),0))</f>
        <v/>
      </c>
    </row>
    <row r="872">
      <c r="L872" s="23">
        <f>IF($A872="","",IFERROR(ROUND(($B872*$E872+$D872*$E872+$B872*$F872*$E872+$G872)/MAX(1,$C872),0),0))</f>
        <v/>
      </c>
    </row>
    <row r="873">
      <c r="L873" s="23">
        <f>IF($A873="","",IFERROR(ROUND(($B873*$E873+$D873*$E873+$B873*$F873*$E873+$G873)/MAX(1,$C873),0),0))</f>
        <v/>
      </c>
    </row>
    <row r="874">
      <c r="L874" s="23">
        <f>IF($A874="","",IFERROR(ROUND(($B874*$E874+$D874*$E874+$B874*$F874*$E874+$G874)/MAX(1,$C874),0),0))</f>
        <v/>
      </c>
    </row>
    <row r="875">
      <c r="L875" s="23">
        <f>IF($A875="","",IFERROR(ROUND(($B875*$E875+$D875*$E875+$B875*$F875*$E875+$G875)/MAX(1,$C875),0),0))</f>
        <v/>
      </c>
    </row>
    <row r="876">
      <c r="L876" s="23">
        <f>IF($A876="","",IFERROR(ROUND(($B876*$E876+$D876*$E876+$B876*$F876*$E876+$G876)/MAX(1,$C876),0),0))</f>
        <v/>
      </c>
    </row>
    <row r="877">
      <c r="L877" s="23">
        <f>IF($A877="","",IFERROR(ROUND(($B877*$E877+$D877*$E877+$B877*$F877*$E877+$G877)/MAX(1,$C877),0),0))</f>
        <v/>
      </c>
    </row>
    <row r="878">
      <c r="L878" s="23">
        <f>IF($A878="","",IFERROR(ROUND(($B878*$E878+$D878*$E878+$B878*$F878*$E878+$G878)/MAX(1,$C878),0),0))</f>
        <v/>
      </c>
    </row>
    <row r="879">
      <c r="L879" s="23">
        <f>IF($A879="","",IFERROR(ROUND(($B879*$E879+$D879*$E879+$B879*$F879*$E879+$G879)/MAX(1,$C879),0),0))</f>
        <v/>
      </c>
    </row>
    <row r="880">
      <c r="L880" s="23">
        <f>IF($A880="","",IFERROR(ROUND(($B880*$E880+$D880*$E880+$B880*$F880*$E880+$G880)/MAX(1,$C880),0),0))</f>
        <v/>
      </c>
    </row>
    <row r="881">
      <c r="L881" s="23">
        <f>IF($A881="","",IFERROR(ROUND(($B881*$E881+$D881*$E881+$B881*$F881*$E881+$G881)/MAX(1,$C881),0),0))</f>
        <v/>
      </c>
    </row>
    <row r="882">
      <c r="L882" s="23">
        <f>IF($A882="","",IFERROR(ROUND(($B882*$E882+$D882*$E882+$B882*$F882*$E882+$G882)/MAX(1,$C882),0),0))</f>
        <v/>
      </c>
    </row>
    <row r="883">
      <c r="L883" s="23">
        <f>IF($A883="","",IFERROR(ROUND(($B883*$E883+$D883*$E883+$B883*$F883*$E883+$G883)/MAX(1,$C883),0),0))</f>
        <v/>
      </c>
    </row>
    <row r="884">
      <c r="L884" s="23">
        <f>IF($A884="","",IFERROR(ROUND(($B884*$E884+$D884*$E884+$B884*$F884*$E884+$G884)/MAX(1,$C884),0),0))</f>
        <v/>
      </c>
    </row>
    <row r="885">
      <c r="L885" s="23">
        <f>IF($A885="","",IFERROR(ROUND(($B885*$E885+$D885*$E885+$B885*$F885*$E885+$G885)/MAX(1,$C885),0),0))</f>
        <v/>
      </c>
    </row>
    <row r="886">
      <c r="L886" s="23">
        <f>IF($A886="","",IFERROR(ROUND(($B886*$E886+$D886*$E886+$B886*$F886*$E886+$G886)/MAX(1,$C886),0),0))</f>
        <v/>
      </c>
    </row>
    <row r="887">
      <c r="L887" s="23">
        <f>IF($A887="","",IFERROR(ROUND(($B887*$E887+$D887*$E887+$B887*$F887*$E887+$G887)/MAX(1,$C887),0),0))</f>
        <v/>
      </c>
    </row>
    <row r="888">
      <c r="L888" s="23">
        <f>IF($A888="","",IFERROR(ROUND(($B888*$E888+$D888*$E888+$B888*$F888*$E888+$G888)/MAX(1,$C888),0),0))</f>
        <v/>
      </c>
    </row>
    <row r="889">
      <c r="L889" s="23">
        <f>IF($A889="","",IFERROR(ROUND(($B889*$E889+$D889*$E889+$B889*$F889*$E889+$G889)/MAX(1,$C889),0),0))</f>
        <v/>
      </c>
    </row>
    <row r="890">
      <c r="L890" s="23">
        <f>IF($A890="","",IFERROR(ROUND(($B890*$E890+$D890*$E890+$B890*$F890*$E890+$G890)/MAX(1,$C890),0),0))</f>
        <v/>
      </c>
    </row>
    <row r="891">
      <c r="L891" s="23">
        <f>IF($A891="","",IFERROR(ROUND(($B891*$E891+$D891*$E891+$B891*$F891*$E891+$G891)/MAX(1,$C891),0),0))</f>
        <v/>
      </c>
    </row>
    <row r="892">
      <c r="L892" s="23">
        <f>IF($A892="","",IFERROR(ROUND(($B892*$E892+$D892*$E892+$B892*$F892*$E892+$G892)/MAX(1,$C892),0),0))</f>
        <v/>
      </c>
    </row>
    <row r="893">
      <c r="L893" s="23">
        <f>IF($A893="","",IFERROR(ROUND(($B893*$E893+$D893*$E893+$B893*$F893*$E893+$G893)/MAX(1,$C893),0),0))</f>
        <v/>
      </c>
    </row>
    <row r="894">
      <c r="L894" s="23">
        <f>IF($A894="","",IFERROR(ROUND(($B894*$E894+$D894*$E894+$B894*$F894*$E894+$G894)/MAX(1,$C894),0),0))</f>
        <v/>
      </c>
    </row>
    <row r="895">
      <c r="L895" s="23">
        <f>IF($A895="","",IFERROR(ROUND(($B895*$E895+$D895*$E895+$B895*$F895*$E895+$G895)/MAX(1,$C895),0),0))</f>
        <v/>
      </c>
    </row>
    <row r="896">
      <c r="L896" s="23">
        <f>IF($A896="","",IFERROR(ROUND(($B896*$E896+$D896*$E896+$B896*$F896*$E896+$G896)/MAX(1,$C896),0),0))</f>
        <v/>
      </c>
    </row>
    <row r="897">
      <c r="L897" s="23">
        <f>IF($A897="","",IFERROR(ROUND(($B897*$E897+$D897*$E897+$B897*$F897*$E897+$G897)/MAX(1,$C897),0),0))</f>
        <v/>
      </c>
    </row>
    <row r="898">
      <c r="L898" s="23">
        <f>IF($A898="","",IFERROR(ROUND(($B898*$E898+$D898*$E898+$B898*$F898*$E898+$G898)/MAX(1,$C898),0),0))</f>
        <v/>
      </c>
    </row>
    <row r="899">
      <c r="L899" s="23">
        <f>IF($A899="","",IFERROR(ROUND(($B899*$E899+$D899*$E899+$B899*$F899*$E899+$G899)/MAX(1,$C899),0),0))</f>
        <v/>
      </c>
    </row>
    <row r="900">
      <c r="L900" s="23">
        <f>IF($A900="","",IFERROR(ROUND(($B900*$E900+$D900*$E900+$B900*$F900*$E900+$G900)/MAX(1,$C900),0),0))</f>
        <v/>
      </c>
    </row>
    <row r="901">
      <c r="L901" s="23">
        <f>IF($A901="","",IFERROR(ROUND(($B901*$E901+$D901*$E901+$B901*$F901*$E901+$G901)/MAX(1,$C901),0),0))</f>
        <v/>
      </c>
    </row>
    <row r="902">
      <c r="L902" s="23">
        <f>IF($A902="","",IFERROR(ROUND(($B902*$E902+$D902*$E902+$B902*$F902*$E902+$G902)/MAX(1,$C902),0),0))</f>
        <v/>
      </c>
    </row>
    <row r="903">
      <c r="L903" s="23">
        <f>IF($A903="","",IFERROR(ROUND(($B903*$E903+$D903*$E903+$B903*$F903*$E903+$G903)/MAX(1,$C903),0),0))</f>
        <v/>
      </c>
    </row>
    <row r="904">
      <c r="L904" s="23">
        <f>IF($A904="","",IFERROR(ROUND(($B904*$E904+$D904*$E904+$B904*$F904*$E904+$G904)/MAX(1,$C904),0),0))</f>
        <v/>
      </c>
    </row>
    <row r="905">
      <c r="L905" s="23">
        <f>IF($A905="","",IFERROR(ROUND(($B905*$E905+$D905*$E905+$B905*$F905*$E905+$G905)/MAX(1,$C905),0),0))</f>
        <v/>
      </c>
    </row>
    <row r="906">
      <c r="L906" s="23">
        <f>IF($A906="","",IFERROR(ROUND(($B906*$E906+$D906*$E906+$B906*$F906*$E906+$G906)/MAX(1,$C906),0),0))</f>
        <v/>
      </c>
    </row>
    <row r="907">
      <c r="L907" s="23">
        <f>IF($A907="","",IFERROR(ROUND(($B907*$E907+$D907*$E907+$B907*$F907*$E907+$G907)/MAX(1,$C907),0),0))</f>
        <v/>
      </c>
    </row>
    <row r="908">
      <c r="L908" s="23">
        <f>IF($A908="","",IFERROR(ROUND(($B908*$E908+$D908*$E908+$B908*$F908*$E908+$G908)/MAX(1,$C908),0),0))</f>
        <v/>
      </c>
    </row>
    <row r="909">
      <c r="L909" s="23">
        <f>IF($A909="","",IFERROR(ROUND(($B909*$E909+$D909*$E909+$B909*$F909*$E909+$G909)/MAX(1,$C909),0),0))</f>
        <v/>
      </c>
    </row>
    <row r="910">
      <c r="L910" s="23">
        <f>IF($A910="","",IFERROR(ROUND(($B910*$E910+$D910*$E910+$B910*$F910*$E910+$G910)/MAX(1,$C910),0),0))</f>
        <v/>
      </c>
    </row>
    <row r="911">
      <c r="L911" s="23">
        <f>IF($A911="","",IFERROR(ROUND(($B911*$E911+$D911*$E911+$B911*$F911*$E911+$G911)/MAX(1,$C911),0),0))</f>
        <v/>
      </c>
    </row>
    <row r="912">
      <c r="L912" s="23">
        <f>IF($A912="","",IFERROR(ROUND(($B912*$E912+$D912*$E912+$B912*$F912*$E912+$G912)/MAX(1,$C912),0),0))</f>
        <v/>
      </c>
    </row>
    <row r="913">
      <c r="L913" s="23">
        <f>IF($A913="","",IFERROR(ROUND(($B913*$E913+$D913*$E913+$B913*$F913*$E913+$G913)/MAX(1,$C913),0),0))</f>
        <v/>
      </c>
    </row>
    <row r="914">
      <c r="L914" s="23">
        <f>IF($A914="","",IFERROR(ROUND(($B914*$E914+$D914*$E914+$B914*$F914*$E914+$G914)/MAX(1,$C914),0),0))</f>
        <v/>
      </c>
    </row>
    <row r="915">
      <c r="L915" s="23">
        <f>IF($A915="","",IFERROR(ROUND(($B915*$E915+$D915*$E915+$B915*$F915*$E915+$G915)/MAX(1,$C915),0),0))</f>
        <v/>
      </c>
    </row>
    <row r="916">
      <c r="L916" s="23">
        <f>IF($A916="","",IFERROR(ROUND(($B916*$E916+$D916*$E916+$B916*$F916*$E916+$G916)/MAX(1,$C916),0),0))</f>
        <v/>
      </c>
    </row>
    <row r="917">
      <c r="L917" s="23">
        <f>IF($A917="","",IFERROR(ROUND(($B917*$E917+$D917*$E917+$B917*$F917*$E917+$G917)/MAX(1,$C917),0),0))</f>
        <v/>
      </c>
    </row>
    <row r="918">
      <c r="L918" s="23">
        <f>IF($A918="","",IFERROR(ROUND(($B918*$E918+$D918*$E918+$B918*$F918*$E918+$G918)/MAX(1,$C918),0),0))</f>
        <v/>
      </c>
    </row>
    <row r="919">
      <c r="L919" s="23">
        <f>IF($A919="","",IFERROR(ROUND(($B919*$E919+$D919*$E919+$B919*$F919*$E919+$G919)/MAX(1,$C919),0),0))</f>
        <v/>
      </c>
    </row>
    <row r="920">
      <c r="L920" s="23">
        <f>IF($A920="","",IFERROR(ROUND(($B920*$E920+$D920*$E920+$B920*$F920*$E920+$G920)/MAX(1,$C920),0),0))</f>
        <v/>
      </c>
    </row>
    <row r="921">
      <c r="L921" s="23">
        <f>IF($A921="","",IFERROR(ROUND(($B921*$E921+$D921*$E921+$B921*$F921*$E921+$G921)/MAX(1,$C921),0),0))</f>
        <v/>
      </c>
    </row>
    <row r="922">
      <c r="L922" s="23">
        <f>IF($A922="","",IFERROR(ROUND(($B922*$E922+$D922*$E922+$B922*$F922*$E922+$G922)/MAX(1,$C922),0),0))</f>
        <v/>
      </c>
    </row>
    <row r="923">
      <c r="L923" s="23">
        <f>IF($A923="","",IFERROR(ROUND(($B923*$E923+$D923*$E923+$B923*$F923*$E923+$G923)/MAX(1,$C923),0),0))</f>
        <v/>
      </c>
    </row>
    <row r="924">
      <c r="L924" s="23">
        <f>IF($A924="","",IFERROR(ROUND(($B924*$E924+$D924*$E924+$B924*$F924*$E924+$G924)/MAX(1,$C924),0),0))</f>
        <v/>
      </c>
    </row>
    <row r="925">
      <c r="L925" s="23">
        <f>IF($A925="","",IFERROR(ROUND(($B925*$E925+$D925*$E925+$B925*$F925*$E925+$G925)/MAX(1,$C925),0),0))</f>
        <v/>
      </c>
    </row>
    <row r="926">
      <c r="L926" s="23">
        <f>IF($A926="","",IFERROR(ROUND(($B926*$E926+$D926*$E926+$B926*$F926*$E926+$G926)/MAX(1,$C926),0),0))</f>
        <v/>
      </c>
    </row>
    <row r="927">
      <c r="L927" s="23">
        <f>IF($A927="","",IFERROR(ROUND(($B927*$E927+$D927*$E927+$B927*$F927*$E927+$G927)/MAX(1,$C927),0),0))</f>
        <v/>
      </c>
    </row>
    <row r="928">
      <c r="L928" s="23">
        <f>IF($A928="","",IFERROR(ROUND(($B928*$E928+$D928*$E928+$B928*$F928*$E928+$G928)/MAX(1,$C928),0),0))</f>
        <v/>
      </c>
    </row>
    <row r="929">
      <c r="L929" s="23">
        <f>IF($A929="","",IFERROR(ROUND(($B929*$E929+$D929*$E929+$B929*$F929*$E929+$G929)/MAX(1,$C929),0),0))</f>
        <v/>
      </c>
    </row>
    <row r="930">
      <c r="L930" s="23">
        <f>IF($A930="","",IFERROR(ROUND(($B930*$E930+$D930*$E930+$B930*$F930*$E930+$G930)/MAX(1,$C930),0),0))</f>
        <v/>
      </c>
    </row>
    <row r="931">
      <c r="L931" s="23">
        <f>IF($A931="","",IFERROR(ROUND(($B931*$E931+$D931*$E931+$B931*$F931*$E931+$G931)/MAX(1,$C931),0),0))</f>
        <v/>
      </c>
    </row>
    <row r="932">
      <c r="L932" s="23">
        <f>IF($A932="","",IFERROR(ROUND(($B932*$E932+$D932*$E932+$B932*$F932*$E932+$G932)/MAX(1,$C932),0),0))</f>
        <v/>
      </c>
    </row>
    <row r="933">
      <c r="L933" s="23">
        <f>IF($A933="","",IFERROR(ROUND(($B933*$E933+$D933*$E933+$B933*$F933*$E933+$G933)/MAX(1,$C933),0),0))</f>
        <v/>
      </c>
    </row>
    <row r="934">
      <c r="L934" s="23">
        <f>IF($A934="","",IFERROR(ROUND(($B934*$E934+$D934*$E934+$B934*$F934*$E934+$G934)/MAX(1,$C934),0),0))</f>
        <v/>
      </c>
    </row>
    <row r="935">
      <c r="L935" s="23">
        <f>IF($A935="","",IFERROR(ROUND(($B935*$E935+$D935*$E935+$B935*$F935*$E935+$G935)/MAX(1,$C935),0),0))</f>
        <v/>
      </c>
    </row>
    <row r="936">
      <c r="L936" s="23">
        <f>IF($A936="","",IFERROR(ROUND(($B936*$E936+$D936*$E936+$B936*$F936*$E936+$G936)/MAX(1,$C936),0),0))</f>
        <v/>
      </c>
    </row>
    <row r="937">
      <c r="L937" s="23">
        <f>IF($A937="","",IFERROR(ROUND(($B937*$E937+$D937*$E937+$B937*$F937*$E937+$G937)/MAX(1,$C937),0),0))</f>
        <v/>
      </c>
    </row>
    <row r="938">
      <c r="L938" s="23">
        <f>IF($A938="","",IFERROR(ROUND(($B938*$E938+$D938*$E938+$B938*$F938*$E938+$G938)/MAX(1,$C938),0),0))</f>
        <v/>
      </c>
    </row>
    <row r="939">
      <c r="L939" s="23">
        <f>IF($A939="","",IFERROR(ROUND(($B939*$E939+$D939*$E939+$B939*$F939*$E939+$G939)/MAX(1,$C939),0),0))</f>
        <v/>
      </c>
    </row>
    <row r="940">
      <c r="L940" s="23">
        <f>IF($A940="","",IFERROR(ROUND(($B940*$E940+$D940*$E940+$B940*$F940*$E940+$G940)/MAX(1,$C940),0),0))</f>
        <v/>
      </c>
    </row>
    <row r="941">
      <c r="L941" s="23">
        <f>IF($A941="","",IFERROR(ROUND(($B941*$E941+$D941*$E941+$B941*$F941*$E941+$G941)/MAX(1,$C941),0),0))</f>
        <v/>
      </c>
    </row>
    <row r="942">
      <c r="L942" s="23">
        <f>IF($A942="","",IFERROR(ROUND(($B942*$E942+$D942*$E942+$B942*$F942*$E942+$G942)/MAX(1,$C942),0),0))</f>
        <v/>
      </c>
    </row>
    <row r="943">
      <c r="L943" s="23">
        <f>IF($A943="","",IFERROR(ROUND(($B943*$E943+$D943*$E943+$B943*$F943*$E943+$G943)/MAX(1,$C943),0),0))</f>
        <v/>
      </c>
    </row>
    <row r="944">
      <c r="L944" s="23">
        <f>IF($A944="","",IFERROR(ROUND(($B944*$E944+$D944*$E944+$B944*$F944*$E944+$G944)/MAX(1,$C944),0),0))</f>
        <v/>
      </c>
    </row>
    <row r="945">
      <c r="L945" s="23">
        <f>IF($A945="","",IFERROR(ROUND(($B945*$E945+$D945*$E945+$B945*$F945*$E945+$G945)/MAX(1,$C945),0),0))</f>
        <v/>
      </c>
    </row>
    <row r="946">
      <c r="L946" s="23">
        <f>IF($A946="","",IFERROR(ROUND(($B946*$E946+$D946*$E946+$B946*$F946*$E946+$G946)/MAX(1,$C946),0),0))</f>
        <v/>
      </c>
    </row>
    <row r="947">
      <c r="L947" s="23">
        <f>IF($A947="","",IFERROR(ROUND(($B947*$E947+$D947*$E947+$B947*$F947*$E947+$G947)/MAX(1,$C947),0),0))</f>
        <v/>
      </c>
    </row>
    <row r="948">
      <c r="L948" s="23">
        <f>IF($A948="","",IFERROR(ROUND(($B948*$E948+$D948*$E948+$B948*$F948*$E948+$G948)/MAX(1,$C948),0),0))</f>
        <v/>
      </c>
    </row>
    <row r="949">
      <c r="L949" s="23">
        <f>IF($A949="","",IFERROR(ROUND(($B949*$E949+$D949*$E949+$B949*$F949*$E949+$G949)/MAX(1,$C949),0),0))</f>
        <v/>
      </c>
    </row>
    <row r="950">
      <c r="L950" s="23">
        <f>IF($A950="","",IFERROR(ROUND(($B950*$E950+$D950*$E950+$B950*$F950*$E950+$G950)/MAX(1,$C950),0),0))</f>
        <v/>
      </c>
    </row>
    <row r="951">
      <c r="L951" s="23">
        <f>IF($A951="","",IFERROR(ROUND(($B951*$E951+$D951*$E951+$B951*$F951*$E951+$G951)/MAX(1,$C951),0),0))</f>
        <v/>
      </c>
    </row>
    <row r="952">
      <c r="L952" s="23">
        <f>IF($A952="","",IFERROR(ROUND(($B952*$E952+$D952*$E952+$B952*$F952*$E952+$G952)/MAX(1,$C952),0),0))</f>
        <v/>
      </c>
    </row>
    <row r="953">
      <c r="L953" s="23">
        <f>IF($A953="","",IFERROR(ROUND(($B953*$E953+$D953*$E953+$B953*$F953*$E953+$G953)/MAX(1,$C953),0),0))</f>
        <v/>
      </c>
    </row>
    <row r="954">
      <c r="L954" s="23">
        <f>IF($A954="","",IFERROR(ROUND(($B954*$E954+$D954*$E954+$B954*$F954*$E954+$G954)/MAX(1,$C954),0),0))</f>
        <v/>
      </c>
    </row>
    <row r="955">
      <c r="L955" s="23">
        <f>IF($A955="","",IFERROR(ROUND(($B955*$E955+$D955*$E955+$B955*$F955*$E955+$G955)/MAX(1,$C955),0),0))</f>
        <v/>
      </c>
    </row>
    <row r="956">
      <c r="L956" s="23">
        <f>IF($A956="","",IFERROR(ROUND(($B956*$E956+$D956*$E956+$B956*$F956*$E956+$G956)/MAX(1,$C956),0),0))</f>
        <v/>
      </c>
    </row>
    <row r="957">
      <c r="L957" s="23">
        <f>IF($A957="","",IFERROR(ROUND(($B957*$E957+$D957*$E957+$B957*$F957*$E957+$G957)/MAX(1,$C957),0),0))</f>
        <v/>
      </c>
    </row>
    <row r="958">
      <c r="L958" s="23">
        <f>IF($A958="","",IFERROR(ROUND(($B958*$E958+$D958*$E958+$B958*$F958*$E958+$G958)/MAX(1,$C958),0),0))</f>
        <v/>
      </c>
    </row>
    <row r="959">
      <c r="L959" s="23">
        <f>IF($A959="","",IFERROR(ROUND(($B959*$E959+$D959*$E959+$B959*$F959*$E959+$G959)/MAX(1,$C959),0),0))</f>
        <v/>
      </c>
    </row>
    <row r="960">
      <c r="L960" s="23">
        <f>IF($A960="","",IFERROR(ROUND(($B960*$E960+$D960*$E960+$B960*$F960*$E960+$G960)/MAX(1,$C960),0),0))</f>
        <v/>
      </c>
    </row>
    <row r="961">
      <c r="L961" s="23">
        <f>IF($A961="","",IFERROR(ROUND(($B961*$E961+$D961*$E961+$B961*$F961*$E961+$G961)/MAX(1,$C961),0),0))</f>
        <v/>
      </c>
    </row>
    <row r="962">
      <c r="L962" s="23">
        <f>IF($A962="","",IFERROR(ROUND(($B962*$E962+$D962*$E962+$B962*$F962*$E962+$G962)/MAX(1,$C962),0),0))</f>
        <v/>
      </c>
    </row>
    <row r="963">
      <c r="L963" s="23">
        <f>IF($A963="","",IFERROR(ROUND(($B963*$E963+$D963*$E963+$B963*$F963*$E963+$G963)/MAX(1,$C963),0),0))</f>
        <v/>
      </c>
    </row>
    <row r="964">
      <c r="L964" s="23">
        <f>IF($A964="","",IFERROR(ROUND(($B964*$E964+$D964*$E964+$B964*$F964*$E964+$G964)/MAX(1,$C964),0),0))</f>
        <v/>
      </c>
    </row>
    <row r="965">
      <c r="L965" s="23">
        <f>IF($A965="","",IFERROR(ROUND(($B965*$E965+$D965*$E965+$B965*$F965*$E965+$G965)/MAX(1,$C965),0),0))</f>
        <v/>
      </c>
    </row>
    <row r="966">
      <c r="L966" s="23">
        <f>IF($A966="","",IFERROR(ROUND(($B966*$E966+$D966*$E966+$B966*$F966*$E966+$G966)/MAX(1,$C966),0),0))</f>
        <v/>
      </c>
    </row>
    <row r="967">
      <c r="L967" s="23">
        <f>IF($A967="","",IFERROR(ROUND(($B967*$E967+$D967*$E967+$B967*$F967*$E967+$G967)/MAX(1,$C967),0),0))</f>
        <v/>
      </c>
    </row>
    <row r="968">
      <c r="L968" s="23">
        <f>IF($A968="","",IFERROR(ROUND(($B968*$E968+$D968*$E968+$B968*$F968*$E968+$G968)/MAX(1,$C968),0),0))</f>
        <v/>
      </c>
    </row>
    <row r="969">
      <c r="L969" s="23">
        <f>IF($A969="","",IFERROR(ROUND(($B969*$E969+$D969*$E969+$B969*$F969*$E969+$G969)/MAX(1,$C969),0),0))</f>
        <v/>
      </c>
    </row>
    <row r="970">
      <c r="L970" s="23">
        <f>IF($A970="","",IFERROR(ROUND(($B970*$E970+$D970*$E970+$B970*$F970*$E970+$G970)/MAX(1,$C970),0),0))</f>
        <v/>
      </c>
    </row>
    <row r="971">
      <c r="L971" s="23">
        <f>IF($A971="","",IFERROR(ROUND(($B971*$E971+$D971*$E971+$B971*$F971*$E971+$G971)/MAX(1,$C971),0),0))</f>
        <v/>
      </c>
    </row>
    <row r="972">
      <c r="L972" s="23">
        <f>IF($A972="","",IFERROR(ROUND(($B972*$E972+$D972*$E972+$B972*$F972*$E972+$G972)/MAX(1,$C972),0),0))</f>
        <v/>
      </c>
    </row>
    <row r="973">
      <c r="L973" s="23">
        <f>IF($A973="","",IFERROR(ROUND(($B973*$E973+$D973*$E973+$B973*$F973*$E973+$G973)/MAX(1,$C973),0),0))</f>
        <v/>
      </c>
    </row>
    <row r="974">
      <c r="L974" s="23">
        <f>IF($A974="","",IFERROR(ROUND(($B974*$E974+$D974*$E974+$B974*$F974*$E974+$G974)/MAX(1,$C974),0),0))</f>
        <v/>
      </c>
    </row>
    <row r="975">
      <c r="L975" s="23">
        <f>IF($A975="","",IFERROR(ROUND(($B975*$E975+$D975*$E975+$B975*$F975*$E975+$G975)/MAX(1,$C975),0),0))</f>
        <v/>
      </c>
    </row>
    <row r="976">
      <c r="L976" s="23">
        <f>IF($A976="","",IFERROR(ROUND(($B976*$E976+$D976*$E976+$B976*$F976*$E976+$G976)/MAX(1,$C976),0),0))</f>
        <v/>
      </c>
    </row>
    <row r="977">
      <c r="L977" s="23">
        <f>IF($A977="","",IFERROR(ROUND(($B977*$E977+$D977*$E977+$B977*$F977*$E977+$G977)/MAX(1,$C977),0),0))</f>
        <v/>
      </c>
    </row>
    <row r="978">
      <c r="L978" s="23">
        <f>IF($A978="","",IFERROR(ROUND(($B978*$E978+$D978*$E978+$B978*$F978*$E978+$G978)/MAX(1,$C978),0),0))</f>
        <v/>
      </c>
    </row>
    <row r="979">
      <c r="L979" s="23">
        <f>IF($A979="","",IFERROR(ROUND(($B979*$E979+$D979*$E979+$B979*$F979*$E979+$G979)/MAX(1,$C979),0),0))</f>
        <v/>
      </c>
    </row>
    <row r="980">
      <c r="L980" s="23">
        <f>IF($A980="","",IFERROR(ROUND(($B980*$E980+$D980*$E980+$B980*$F980*$E980+$G980)/MAX(1,$C980),0),0))</f>
        <v/>
      </c>
    </row>
    <row r="981">
      <c r="L981" s="23">
        <f>IF($A981="","",IFERROR(ROUND(($B981*$E981+$D981*$E981+$B981*$F981*$E981+$G981)/MAX(1,$C981),0),0))</f>
        <v/>
      </c>
    </row>
    <row r="982">
      <c r="L982" s="23">
        <f>IF($A982="","",IFERROR(ROUND(($B982*$E982+$D982*$E982+$B982*$F982*$E982+$G982)/MAX(1,$C982),0),0))</f>
        <v/>
      </c>
    </row>
    <row r="983">
      <c r="L983" s="23">
        <f>IF($A983="","",IFERROR(ROUND(($B983*$E983+$D983*$E983+$B983*$F983*$E983+$G983)/MAX(1,$C983),0),0))</f>
        <v/>
      </c>
    </row>
    <row r="984">
      <c r="L984" s="23">
        <f>IF($A984="","",IFERROR(ROUND(($B984*$E984+$D984*$E984+$B984*$F984*$E984+$G984)/MAX(1,$C984),0),0))</f>
        <v/>
      </c>
    </row>
    <row r="985">
      <c r="L985" s="23">
        <f>IF($A985="","",IFERROR(ROUND(($B985*$E985+$D985*$E985+$B985*$F985*$E985+$G985)/MAX(1,$C985),0),0))</f>
        <v/>
      </c>
    </row>
    <row r="986">
      <c r="L986" s="23">
        <f>IF($A986="","",IFERROR(ROUND(($B986*$E986+$D986*$E986+$B986*$F986*$E986+$G986)/MAX(1,$C986),0),0))</f>
        <v/>
      </c>
    </row>
    <row r="987">
      <c r="L987" s="23">
        <f>IF($A987="","",IFERROR(ROUND(($B987*$E987+$D987*$E987+$B987*$F987*$E987+$G987)/MAX(1,$C987),0),0))</f>
        <v/>
      </c>
    </row>
    <row r="988">
      <c r="L988" s="23">
        <f>IF($A988="","",IFERROR(ROUND(($B988*$E988+$D988*$E988+$B988*$F988*$E988+$G988)/MAX(1,$C988),0),0))</f>
        <v/>
      </c>
    </row>
    <row r="989">
      <c r="L989" s="23">
        <f>IF($A989="","",IFERROR(ROUND(($B989*$E989+$D989*$E989+$B989*$F989*$E989+$G989)/MAX(1,$C989),0),0))</f>
        <v/>
      </c>
    </row>
    <row r="990">
      <c r="L990" s="23">
        <f>IF($A990="","",IFERROR(ROUND(($B990*$E990+$D990*$E990+$B990*$F990*$E990+$G990)/MAX(1,$C990),0),0))</f>
        <v/>
      </c>
    </row>
    <row r="991">
      <c r="L991" s="23">
        <f>IF($A991="","",IFERROR(ROUND(($B991*$E991+$D991*$E991+$B991*$F991*$E991+$G991)/MAX(1,$C991),0),0))</f>
        <v/>
      </c>
    </row>
    <row r="992">
      <c r="L992" s="23">
        <f>IF($A992="","",IFERROR(ROUND(($B992*$E992+$D992*$E992+$B992*$F992*$E992+$G992)/MAX(1,$C992),0),0))</f>
        <v/>
      </c>
    </row>
    <row r="993">
      <c r="L993" s="23">
        <f>IF($A993="","",IFERROR(ROUND(($B993*$E993+$D993*$E993+$B993*$F993*$E993+$G993)/MAX(1,$C993),0),0))</f>
        <v/>
      </c>
    </row>
    <row r="994">
      <c r="L994" s="23">
        <f>IF($A994="","",IFERROR(ROUND(($B994*$E994+$D994*$E994+$B994*$F994*$E994+$G994)/MAX(1,$C994),0),0))</f>
        <v/>
      </c>
    </row>
    <row r="995">
      <c r="L995" s="23">
        <f>IF($A995="","",IFERROR(ROUND(($B995*$E995+$D995*$E995+$B995*$F995*$E995+$G995)/MAX(1,$C995),0),0))</f>
        <v/>
      </c>
    </row>
    <row r="996">
      <c r="L996" s="23">
        <f>IF($A996="","",IFERROR(ROUND(($B996*$E996+$D996*$E996+$B996*$F996*$E996+$G996)/MAX(1,$C996),0),0))</f>
        <v/>
      </c>
    </row>
    <row r="997">
      <c r="L997" s="23">
        <f>IF($A997="","",IFERROR(ROUND(($B997*$E997+$D997*$E997+$B997*$F997*$E997+$G997)/MAX(1,$C997),0),0))</f>
        <v/>
      </c>
    </row>
    <row r="998">
      <c r="L998" s="23">
        <f>IF($A998="","",IFERROR(ROUND(($B998*$E998+$D998*$E998+$B998*$F998*$E998+$G998)/MAX(1,$C998),0),0))</f>
        <v/>
      </c>
    </row>
    <row r="999">
      <c r="L999" s="23">
        <f>IF($A999="","",IFERROR(ROUND(($B999*$E999+$D999*$E999+$B999*$F999*$E999+$G999)/MAX(1,$C999),0),0))</f>
        <v/>
      </c>
    </row>
    <row r="1000">
      <c r="L1000" s="23">
        <f>IF($A1000="","",IFERROR(ROUND(($B1000*$E1000+$D1000*$E1000+$B1000*$F1000*$E1000+$G1000)/MAX(1,$C1000),0),0))</f>
        <v/>
      </c>
    </row>
    <row r="1001">
      <c r="L1001" s="23">
        <f>IF($A1001="","",IFERROR(ROUND(($B1001*$E1001+$D1001*$E1001+$B1001*$F1001*$E1001+$G1001)/MAX(1,$C1001),0),0))</f>
        <v/>
      </c>
    </row>
    <row r="1002">
      <c r="L1002" s="23">
        <f>IF($A1002="","",IFERROR(ROUND(($B1002*$E1002+$D1002*$E1002+$B1002*$F1002*$E1002+$G1002)/MAX(1,$C1002),0),0))</f>
        <v/>
      </c>
    </row>
    <row r="1003">
      <c r="L1003" s="23">
        <f>IF($A1003="","",IFERROR(ROUND(($B1003*$E1003+$D1003*$E1003+$B1003*$F1003*$E1003+$G1003)/MAX(1,$C1003),0),0))</f>
        <v/>
      </c>
    </row>
    <row r="1004">
      <c r="L1004" s="23">
        <f>IF($A1004="","",IFERROR(ROUND(($B1004*$E1004+$D1004*$E1004+$B1004*$F1004*$E1004+$G1004)/MAX(1,$C1004),0),0))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AD1"/>
  </mergeCells>
  <conditionalFormatting sqref="B6:B20">
    <cfRule type="cellIs" priority="1" operator="lessThan" dxfId="0">
      <formula>0</formula>
    </cfRule>
  </conditionalFormatting>
  <conditionalFormatting sqref="C6:C20">
    <cfRule type="cellIs" priority="2" operator="lessThan" dxfId="0">
      <formula>0</formula>
    </cfRule>
  </conditionalFormatting>
  <conditionalFormatting sqref="D6:D20">
    <cfRule type="cellIs" priority="3" operator="lessThan" dxfId="0">
      <formula>0</formula>
    </cfRule>
  </conditionalFormatting>
  <conditionalFormatting sqref="E6:E20">
    <cfRule type="cellIs" priority="4" operator="lessThan" dxfId="0">
      <formula>0</formula>
    </cfRule>
  </conditionalFormatting>
  <conditionalFormatting sqref="J6:J20">
    <cfRule type="cellIs" priority="5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tabColor rgb="007030A0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3" max="3"/>
    <col width="12" customWidth="1" min="5" max="5"/>
  </cols>
  <sheetData>
    <row r="1" ht="26" customHeight="1">
      <c r="A1" s="1" t="inlineStr">
        <is>
          <t>LISTELER — İthalat Gerçek Birim Maliyet Motoru</t>
        </is>
      </c>
    </row>
    <row r="3">
      <c r="A3" s="10" t="inlineStr">
        <is>
          <t>Doğrulama listeleri</t>
        </is>
      </c>
    </row>
    <row r="5">
      <c r="A5" s="45" t="inlineStr">
        <is>
          <t>Yıl</t>
        </is>
      </c>
      <c r="C5" s="45" t="inlineStr">
        <is>
          <t>Döviz</t>
        </is>
      </c>
      <c r="E5" s="45" t="inlineStr">
        <is>
          <t>EvetHayır</t>
        </is>
      </c>
    </row>
    <row r="6">
      <c r="A6" s="50" t="n">
        <v>2025</v>
      </c>
      <c r="C6" s="48" t="inlineStr">
        <is>
          <t>USD</t>
        </is>
      </c>
      <c r="E6" s="48" t="inlineStr">
        <is>
          <t>Evet</t>
        </is>
      </c>
    </row>
    <row r="7">
      <c r="A7" s="50" t="n">
        <v>2026</v>
      </c>
      <c r="C7" s="48" t="inlineStr">
        <is>
          <t>EUR</t>
        </is>
      </c>
      <c r="E7" s="48" t="inlineStr">
        <is>
          <t>Hayır</t>
        </is>
      </c>
    </row>
    <row r="8">
      <c r="A8" s="50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833C0C"/>
    <outlinePr summaryBelow="1" summaryRight="1"/>
    <pageSetUpPr/>
  </sheetPr>
  <dimension ref="A1:AD51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  <col width="12" customWidth="1" min="10" max="10"/>
    <col width="12" customWidth="1" min="11" max="11"/>
    <col width="12" customWidth="1" min="12" max="12"/>
    <col width="18" customWidth="1" min="13" max="13"/>
    <col width="10" customWidth="1" min="14" max="14"/>
    <col width="18" customWidth="1" min="15" max="15"/>
    <col width="10" customWidth="1" min="16" max="16"/>
  </cols>
  <sheetData>
    <row r="1" ht="26" customHeight="1">
      <c r="A1" s="1" t="inlineStr">
        <is>
          <t>AYARLAR — İthalat Gerçek Birim Maliyet Motoru</t>
        </is>
      </c>
    </row>
    <row r="3">
      <c r="A3" s="9" t="inlineStr">
        <is>
          <t>Parametreler (tek kaynak) + kur tablosu</t>
        </is>
      </c>
    </row>
    <row r="5" ht="30" customHeight="1">
      <c r="A5" s="21" t="inlineStr">
        <is>
          <t>anahtar</t>
        </is>
      </c>
      <c r="B5" s="21" t="inlineStr">
        <is>
          <t>deger</t>
        </is>
      </c>
      <c r="C5" s="21" t="inlineStr">
        <is>
          <t>birim</t>
        </is>
      </c>
      <c r="D5" s="21" t="inlineStr">
        <is>
          <t>aciklama</t>
        </is>
      </c>
      <c r="E5" s="21" t="inlineStr">
        <is>
          <t>kaynak</t>
        </is>
      </c>
      <c r="F5" s="21" t="inlineStr">
        <is>
          <t>yururluk_tarihi</t>
        </is>
      </c>
      <c r="G5" s="21" t="inlineStr">
        <is>
          <t>dogrulama_tarihi</t>
        </is>
      </c>
      <c r="H5" s="21" t="inlineStr">
        <is>
          <t>kontrol</t>
        </is>
      </c>
    </row>
    <row r="6">
      <c r="A6" s="7" t="inlineStr">
        <is>
          <t>hesapYili</t>
        </is>
      </c>
      <c r="B6" s="33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72">
        <f>IF(A6="","",IF(B6="","EKSİK","TAM"))</f>
        <v/>
      </c>
    </row>
    <row r="7">
      <c r="A7" s="7" t="inlineStr">
        <is>
          <t>raporTarihi</t>
        </is>
      </c>
      <c r="B7" s="73" t="n">
        <v>46245</v>
      </c>
      <c r="C7" s="7" t="inlineStr">
        <is>
          <t>tarih</t>
        </is>
      </c>
      <c r="D7" s="7" t="inlineStr">
        <is>
          <t>Rapor tarihi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72">
        <f>IF(A7="","",IF(B7="","EKSİK","TAM"))</f>
        <v/>
      </c>
    </row>
    <row r="8">
      <c r="A8" s="7" t="inlineStr">
        <is>
          <t>ilc_tolerans</t>
        </is>
      </c>
      <c r="B8" s="33" t="n">
        <v>1</v>
      </c>
      <c r="C8" s="7" t="inlineStr">
        <is>
          <t>adet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72">
        <f>IF(A8="","",IF(B8="","EKSİK","TAM"))</f>
        <v/>
      </c>
    </row>
    <row r="9">
      <c r="A9" s="7" t="inlineStr">
        <is>
          <t>ilc_azamiEsik</t>
        </is>
      </c>
      <c r="B9" s="71" t="n">
        <v>100000000000</v>
      </c>
      <c r="C9" s="7" t="inlineStr">
        <is>
          <t>TL</t>
        </is>
      </c>
      <c r="D9" s="7" t="inlineStr">
        <is>
          <t>Azami giriş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72">
        <f>IF(A9="","",IF(B9="","EKSİK","TAM"))</f>
        <v/>
      </c>
    </row>
    <row r="10">
      <c r="A10" s="7" t="inlineStr">
        <is>
          <t>ilc_senaryoIyi</t>
        </is>
      </c>
      <c r="B10" s="32" t="n">
        <v>0.92</v>
      </c>
      <c r="C10" s="7" t="inlineStr">
        <is>
          <t>çarpan</t>
        </is>
      </c>
      <c r="D10" s="7" t="inlineStr">
        <is>
          <t>İyimser maliyet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72">
        <f>IF(A10="","",IF(B10="","EKSİK","TAM"))</f>
        <v/>
      </c>
    </row>
    <row r="11">
      <c r="A11" s="7" t="inlineStr">
        <is>
          <t>ilc_senaryoKotu</t>
        </is>
      </c>
      <c r="B11" s="32" t="n">
        <v>1.18</v>
      </c>
      <c r="C11" s="7" t="inlineStr">
        <is>
          <t>çarpan</t>
        </is>
      </c>
      <c r="D11" s="7" t="inlineStr">
        <is>
          <t>Kötümser maliyet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72">
        <f>IF(A11="","",IF(B11="","EKSİK","TAM"))</f>
        <v/>
      </c>
    </row>
    <row r="12">
      <c r="A12" s="7" t="inlineStr">
        <is>
          <t>ilc_esikArtis</t>
        </is>
      </c>
      <c r="B12" s="32" t="n">
        <v>0.02</v>
      </c>
      <c r="C12" s="7" t="inlineStr">
        <is>
          <t>oran</t>
        </is>
      </c>
      <c r="D12" s="7" t="inlineStr">
        <is>
          <t>M-SEN gümrük + delta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72">
        <f>IF(A12="","",IF(B12="","EKSİK","TAM"))</f>
        <v/>
      </c>
    </row>
    <row r="13">
      <c r="A13" s="7" t="inlineStr">
        <is>
          <t>ilc_tahminAlt</t>
        </is>
      </c>
      <c r="B13" s="32" t="n">
        <v>0.9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72">
        <f>IF(A13="","",IF(B13="","EKSİK","TAM"))</f>
        <v/>
      </c>
    </row>
    <row r="14">
      <c r="A14" s="7" t="inlineStr">
        <is>
          <t>ilc_tahminUst</t>
        </is>
      </c>
      <c r="B14" s="32" t="n">
        <v>1.12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72">
        <f>IF(A14="","",IF(B14="","EKSİK","TAM"))</f>
        <v/>
      </c>
    </row>
    <row r="15">
      <c r="A15" s="7" t="inlineStr">
        <is>
          <t>ilc_tornadoKur</t>
        </is>
      </c>
      <c r="B15" s="32" t="n">
        <v>1.05</v>
      </c>
      <c r="C15" s="7" t="inlineStr">
        <is>
          <t>çarpan</t>
        </is>
      </c>
      <c r="D15" s="7" t="inlineStr">
        <is>
          <t>Tornado kur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72">
        <f>IF(A15="","",IF(B15="","EKSİK","TAM"))</f>
        <v/>
      </c>
    </row>
    <row r="16">
      <c r="A16" s="7" t="inlineStr">
        <is>
          <t>ilc_tornadoGumruk</t>
        </is>
      </c>
      <c r="B16" s="32" t="n">
        <v>0.02</v>
      </c>
      <c r="C16" s="7" t="inlineStr">
        <is>
          <t>oran</t>
        </is>
      </c>
      <c r="D16" s="7" t="inlineStr">
        <is>
          <t>Tornado gümrük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72">
        <f>IF(A16="","",IF(B16="","EKSİK","TAM"))</f>
        <v/>
      </c>
    </row>
    <row r="17">
      <c r="A17" s="7" t="inlineStr">
        <is>
          <t>ilc_tornadoNavlun</t>
        </is>
      </c>
      <c r="B17" s="32" t="n">
        <v>0.1</v>
      </c>
      <c r="C17" s="7" t="inlineStr">
        <is>
          <t>oran</t>
        </is>
      </c>
      <c r="D17" s="7" t="inlineStr">
        <is>
          <t>Tornado navlun şoku</t>
        </is>
      </c>
      <c r="E17" s="7" t="inlineStr">
        <is>
          <t>Model varsayımı</t>
        </is>
      </c>
      <c r="F17" s="7" t="inlineStr">
        <is>
          <t>01.01.2025</t>
        </is>
      </c>
      <c r="G17" s="7" t="inlineStr">
        <is>
          <t>11.08.2026</t>
        </is>
      </c>
      <c r="H17" s="72">
        <f>IF(A17="","",IF(B17="","EKSİK","TAM"))</f>
        <v/>
      </c>
    </row>
    <row r="18">
      <c r="A18" s="7" t="inlineStr">
        <is>
          <t>ilc_yuzdelikOran</t>
        </is>
      </c>
      <c r="B18" s="32" t="n">
        <v>0.9</v>
      </c>
      <c r="C18" s="7" t="inlineStr">
        <is>
          <t>oran</t>
        </is>
      </c>
      <c r="D18" s="7" t="inlineStr">
        <is>
          <t>Yüzdelik P90</t>
        </is>
      </c>
      <c r="E18" s="7" t="inlineStr">
        <is>
          <t>İstatistik</t>
        </is>
      </c>
      <c r="F18" s="7" t="inlineStr">
        <is>
          <t>01.01.2025</t>
        </is>
      </c>
      <c r="G18" s="7" t="inlineStr">
        <is>
          <t>11.08.2026</t>
        </is>
      </c>
      <c r="H18" s="72">
        <f>IF(A18="","",IF(B18="","EKSİK","TAM"))</f>
        <v/>
      </c>
    </row>
    <row r="19">
      <c r="A19" s="7" t="inlineStr">
        <is>
          <t>ilc_parmakIzi</t>
        </is>
      </c>
      <c r="B19" s="29" t="inlineStr">
        <is>
          <t>bd27f30b781ce266</t>
        </is>
      </c>
      <c r="C19" s="7" t="inlineStr">
        <is>
          <t>metin</t>
        </is>
      </c>
      <c r="D19" s="7" t="inlineStr">
        <is>
          <t>Dosya parmak izi</t>
        </is>
      </c>
      <c r="E19" s="7" t="inlineStr">
        <is>
          <t>Üretim</t>
        </is>
      </c>
      <c r="F19" s="7" t="inlineStr">
        <is>
          <t>01.01.2025</t>
        </is>
      </c>
      <c r="G19" s="7" t="inlineStr">
        <is>
          <t>11.08.2026</t>
        </is>
      </c>
      <c r="H19" s="72">
        <f>IF(A19="","",IF(B19="","EKSİK","TAM"))</f>
        <v/>
      </c>
    </row>
    <row r="20">
      <c r="A20" s="7" t="inlineStr">
        <is>
          <t>dosya_surumu</t>
        </is>
      </c>
      <c r="B20" s="29" t="inlineStr">
        <is>
          <t>1.0.0</t>
        </is>
      </c>
      <c r="C20" s="7" t="inlineStr">
        <is>
          <t>metin</t>
        </is>
      </c>
      <c r="D20" s="7" t="inlineStr">
        <is>
          <t>Ürün sürümü</t>
        </is>
      </c>
      <c r="E20" s="7" t="inlineStr">
        <is>
          <t>ExcelArşiv</t>
        </is>
      </c>
      <c r="F20" s="7" t="inlineStr">
        <is>
          <t>01.01.2025</t>
        </is>
      </c>
      <c r="G20" s="7" t="inlineStr">
        <is>
          <t>11.08.2026</t>
        </is>
      </c>
      <c r="H20" s="72">
        <f>IF(A20="","",IF(B20="","EKSİK","TAM"))</f>
        <v/>
      </c>
    </row>
    <row r="21">
      <c r="A21" s="7" t="inlineStr">
        <is>
          <t>ilc_girisBeklenen</t>
        </is>
      </c>
      <c r="B21" s="33" t="n">
        <v>16</v>
      </c>
      <c r="C21" s="7" t="inlineStr">
        <is>
          <t>adet</t>
        </is>
      </c>
      <c r="D21" s="7" t="inlineStr">
        <is>
          <t>Zorunlu giriş sayısı</t>
        </is>
      </c>
      <c r="E21" s="7" t="inlineStr">
        <is>
          <t>Ürün mimarisi</t>
        </is>
      </c>
      <c r="F21" s="7" t="inlineStr">
        <is>
          <t>01.01.2025</t>
        </is>
      </c>
      <c r="G21" s="7" t="inlineStr">
        <is>
          <t>11.08.2026</t>
        </is>
      </c>
      <c r="H21" s="72">
        <f>IF(A21="","",IF(B21="","EKSİK","TAM"))</f>
        <v/>
      </c>
    </row>
    <row r="22">
      <c r="A22" s="7" t="inlineStr">
        <is>
          <t>ilc_riskDusuk</t>
        </is>
      </c>
      <c r="B22" s="33" t="n">
        <v>20</v>
      </c>
      <c r="C22" s="7" t="inlineStr">
        <is>
          <t>puan</t>
        </is>
      </c>
      <c r="D22" s="7" t="inlineStr">
        <is>
          <t>YAPILIR risk skoru</t>
        </is>
      </c>
      <c r="E22" s="7" t="inlineStr">
        <is>
          <t>İç politika</t>
        </is>
      </c>
      <c r="F22" s="7" t="inlineStr">
        <is>
          <t>01.01.2025</t>
        </is>
      </c>
      <c r="G22" s="7" t="inlineStr">
        <is>
          <t>11.08.2026</t>
        </is>
      </c>
      <c r="H22" s="72">
        <f>IF(A22="","",IF(B22="","EKSİK","TAM"))</f>
        <v/>
      </c>
    </row>
    <row r="23">
      <c r="A23" s="7" t="inlineStr">
        <is>
          <t>ilc_riskOrta</t>
        </is>
      </c>
      <c r="B23" s="33" t="n">
        <v>55</v>
      </c>
      <c r="C23" s="7" t="inlineStr">
        <is>
          <t>puan</t>
        </is>
      </c>
      <c r="D23" s="7" t="inlineStr">
        <is>
          <t>DİKKAT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72">
        <f>IF(A23="","",IF(B23="","EKSİK","TAM"))</f>
        <v/>
      </c>
    </row>
    <row r="24">
      <c r="A24" s="7" t="inlineStr">
        <is>
          <t>ilc_riskYuksek</t>
        </is>
      </c>
      <c r="B24" s="33" t="n">
        <v>85</v>
      </c>
      <c r="C24" s="7" t="inlineStr">
        <is>
          <t>puan</t>
        </is>
      </c>
      <c r="D24" s="7" t="inlineStr">
        <is>
          <t>YAPMA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72">
        <f>IF(A24="","",IF(B24="","EKSİK","TAM"))</f>
        <v/>
      </c>
    </row>
    <row r="25">
      <c r="A25" s="7" t="inlineStr">
        <is>
          <t>ilc_yilTaban</t>
        </is>
      </c>
      <c r="B25" s="33" t="n">
        <v>2024</v>
      </c>
      <c r="C25" s="7" t="inlineStr">
        <is>
          <t>yıl</t>
        </is>
      </c>
      <c r="D25" s="7" t="inlineStr">
        <is>
          <t>CHOOSE yıl tabanı</t>
        </is>
      </c>
      <c r="E25" s="7" t="inlineStr">
        <is>
          <t>Ürün mimarisi</t>
        </is>
      </c>
      <c r="F25" s="7" t="inlineStr">
        <is>
          <t>01.01.2025</t>
        </is>
      </c>
      <c r="G25" s="7" t="inlineStr">
        <is>
          <t>11.08.2026</t>
        </is>
      </c>
      <c r="H25" s="72">
        <f>IF(A25="","",IF(B25="","EKSİK","TAM"))</f>
        <v/>
      </c>
    </row>
    <row r="26">
      <c r="A26" s="7" t="inlineStr">
        <is>
          <t>ilc_yuvarMax</t>
        </is>
      </c>
      <c r="B26" s="33" t="n">
        <v>10</v>
      </c>
      <c r="C26" s="7" t="inlineStr">
        <is>
          <t>adet</t>
        </is>
      </c>
      <c r="D26" s="7" t="inlineStr">
        <is>
          <t>ROUND basamak tavanı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72">
        <f>IF(A26="","",IF(B26="","EKSİK","TAM"))</f>
        <v/>
      </c>
    </row>
    <row r="27">
      <c r="A27" s="7" t="inlineStr">
        <is>
          <t>ilc_bazCarpan</t>
        </is>
      </c>
      <c r="B27" s="32" t="n">
        <v>1</v>
      </c>
      <c r="C27" s="7" t="inlineStr">
        <is>
          <t>çarpan</t>
        </is>
      </c>
      <c r="D27" s="7" t="inlineStr">
        <is>
          <t>Baz senaryo çarpanı</t>
        </is>
      </c>
      <c r="E27" s="7" t="inlineStr">
        <is>
          <t>Model varsayımı</t>
        </is>
      </c>
      <c r="F27" s="7" t="inlineStr">
        <is>
          <t>01.01.2025</t>
        </is>
      </c>
      <c r="G27" s="7" t="inlineStr">
        <is>
          <t>11.08.2026</t>
        </is>
      </c>
      <c r="H27" s="72">
        <f>IF(A27="","",IF(B27="","EKSİK","TAM"))</f>
        <v/>
      </c>
    </row>
    <row r="28">
      <c r="A28" s="7" t="inlineStr">
        <is>
          <t>ilc_sifirCarpan</t>
        </is>
      </c>
      <c r="B28" s="32" t="n">
        <v>0</v>
      </c>
      <c r="C28" s="7" t="inlineStr">
        <is>
          <t>çarpan</t>
        </is>
      </c>
      <c r="D28" s="7" t="inlineStr">
        <is>
          <t>Nötr çarpan</t>
        </is>
      </c>
      <c r="E28" s="7" t="inlineStr">
        <is>
          <t>Model varsayımı</t>
        </is>
      </c>
      <c r="F28" s="7" t="inlineStr">
        <is>
          <t>01.01.2025</t>
        </is>
      </c>
      <c r="G28" s="7" t="inlineStr">
        <is>
          <t>11.08.2026</t>
        </is>
      </c>
      <c r="H28" s="72">
        <f>IF(A28="","",IF(B28="","EKSİK","TAM"))</f>
        <v/>
      </c>
    </row>
    <row r="29">
      <c r="A29" s="7" t="inlineStr">
        <is>
          <t>ilc_siraBir</t>
        </is>
      </c>
      <c r="B29" s="33" t="n">
        <v>1</v>
      </c>
      <c r="C29" s="7" t="inlineStr">
        <is>
          <t>adet</t>
        </is>
      </c>
      <c r="D29" s="7" t="inlineStr">
        <is>
          <t>Tornado sıra 1</t>
        </is>
      </c>
      <c r="E29" s="7" t="inlineStr">
        <is>
          <t>Ürün mimarisi</t>
        </is>
      </c>
      <c r="F29" s="7" t="inlineStr">
        <is>
          <t>01.01.2025</t>
        </is>
      </c>
      <c r="G29" s="7" t="inlineStr">
        <is>
          <t>11.08.2026</t>
        </is>
      </c>
      <c r="H29" s="72">
        <f>IF(A29="","",IF(B29="","EKSİK","TAM"))</f>
        <v/>
      </c>
    </row>
    <row r="30">
      <c r="A30" s="7" t="inlineStr">
        <is>
          <t>ilc_siraIki</t>
        </is>
      </c>
      <c r="B30" s="33" t="n">
        <v>2</v>
      </c>
      <c r="C30" s="7" t="inlineStr">
        <is>
          <t>adet</t>
        </is>
      </c>
      <c r="D30" s="7" t="inlineStr">
        <is>
          <t>Tornado sıra 2</t>
        </is>
      </c>
      <c r="E30" s="7" t="inlineStr">
        <is>
          <t>Ürün mimarisi</t>
        </is>
      </c>
      <c r="F30" s="7" t="inlineStr">
        <is>
          <t>01.01.2025</t>
        </is>
      </c>
      <c r="G30" s="7" t="inlineStr">
        <is>
          <t>11.08.2026</t>
        </is>
      </c>
      <c r="H30" s="72">
        <f>IF(A30="","",IF(B30="","EKSİK","TAM"))</f>
        <v/>
      </c>
    </row>
    <row r="31">
      <c r="A31" s="7" t="inlineStr">
        <is>
          <t>ilc_siraUc</t>
        </is>
      </c>
      <c r="B31" s="33" t="n">
        <v>3</v>
      </c>
      <c r="C31" s="7" t="inlineStr">
        <is>
          <t>adet</t>
        </is>
      </c>
      <c r="D31" s="7" t="inlineStr">
        <is>
          <t>Tornado sıra 3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72">
        <f>IF(A31="","",IF(B31="","EKSİK","TAM"))</f>
        <v/>
      </c>
    </row>
    <row r="32">
      <c r="A32" s="7" t="inlineStr">
        <is>
          <t>ilc_dikkatCarpan</t>
        </is>
      </c>
      <c r="B32" s="32" t="n">
        <v>0.7</v>
      </c>
      <c r="C32" s="7" t="inlineStr">
        <is>
          <t>çarpan</t>
        </is>
      </c>
      <c r="D32" s="7" t="inlineStr">
        <is>
          <t>Marj dikkat çarpanı</t>
        </is>
      </c>
      <c r="E32" s="7" t="inlineStr">
        <is>
          <t>İç politika</t>
        </is>
      </c>
      <c r="F32" s="7" t="inlineStr">
        <is>
          <t>01.01.2025</t>
        </is>
      </c>
      <c r="G32" s="7" t="inlineStr">
        <is>
          <t>11.08.2026</t>
        </is>
      </c>
      <c r="H32" s="72">
        <f>IF(A32="","",IF(B32="","EKSİK","TAM"))</f>
        <v/>
      </c>
    </row>
    <row r="33">
      <c r="A33" s="7" t="inlineStr">
        <is>
          <t>ilc_npvDikkat</t>
        </is>
      </c>
      <c r="B33" s="71" t="n">
        <v>100000</v>
      </c>
      <c r="C33" s="7" t="inlineStr">
        <is>
          <t>TL</t>
        </is>
      </c>
      <c r="D33" s="7" t="inlineStr">
        <is>
          <t>NPV dikkat eşiği</t>
        </is>
      </c>
      <c r="E33" s="7" t="inlineStr">
        <is>
          <t>İç politika</t>
        </is>
      </c>
      <c r="F33" s="7" t="inlineStr">
        <is>
          <t>01.01.2025</t>
        </is>
      </c>
      <c r="G33" s="7" t="inlineStr">
        <is>
          <t>11.08.2026</t>
        </is>
      </c>
      <c r="H33" s="72">
        <f>IF(A33="","",IF(B33="","EKSİK","TAM"))</f>
        <v/>
      </c>
    </row>
    <row r="34">
      <c r="A34" s="7" t="inlineStr">
        <is>
          <t>vaka_fob</t>
        </is>
      </c>
      <c r="B34" s="33" t="n">
        <v>100000</v>
      </c>
      <c r="C34" s="7" t="inlineStr">
        <is>
          <t>döviz</t>
        </is>
      </c>
      <c r="D34" s="7" t="inlineStr">
        <is>
          <t>Vaka FOB</t>
        </is>
      </c>
      <c r="E34" s="7" t="inlineStr">
        <is>
          <t>Altın vaka</t>
        </is>
      </c>
      <c r="F34" s="7" t="inlineStr">
        <is>
          <t>01.01.2025</t>
        </is>
      </c>
      <c r="G34" s="7" t="inlineStr">
        <is>
          <t>11.08.2026</t>
        </is>
      </c>
      <c r="H34" s="72">
        <f>IF(A34="","",IF(B34="","EKSİK","TAM"))</f>
        <v/>
      </c>
    </row>
    <row r="35">
      <c r="A35" s="7" t="inlineStr">
        <is>
          <t>vaka_kur</t>
        </is>
      </c>
      <c r="B35" s="70" t="n">
        <v>34</v>
      </c>
      <c r="C35" s="7" t="inlineStr">
        <is>
          <t>kur</t>
        </is>
      </c>
      <c r="D35" s="7" t="inlineStr">
        <is>
          <t>Vaka kur</t>
        </is>
      </c>
      <c r="E35" s="7" t="inlineStr">
        <is>
          <t>Altın vaka</t>
        </is>
      </c>
      <c r="F35" s="7" t="inlineStr">
        <is>
          <t>01.01.2025</t>
        </is>
      </c>
      <c r="G35" s="7" t="inlineStr">
        <is>
          <t>11.08.2026</t>
        </is>
      </c>
      <c r="H35" s="72">
        <f>IF(A35="","",IF(B35="","EKSİK","TAM"))</f>
        <v/>
      </c>
    </row>
    <row r="36">
      <c r="A36" s="7" t="inlineStr">
        <is>
          <t>vaka_navlun</t>
        </is>
      </c>
      <c r="B36" s="33" t="n">
        <v>5000</v>
      </c>
      <c r="C36" s="7" t="inlineStr">
        <is>
          <t>döviz</t>
        </is>
      </c>
      <c r="D36" s="7" t="inlineStr">
        <is>
          <t>Vaka navlun</t>
        </is>
      </c>
      <c r="E36" s="7" t="inlineStr">
        <is>
          <t>Altın vaka</t>
        </is>
      </c>
      <c r="F36" s="7" t="inlineStr">
        <is>
          <t>01.01.2025</t>
        </is>
      </c>
      <c r="G36" s="7" t="inlineStr">
        <is>
          <t>11.08.2026</t>
        </is>
      </c>
      <c r="H36" s="72">
        <f>IF(A36="","",IF(B36="","EKSİK","TAM"))</f>
        <v/>
      </c>
    </row>
    <row r="37">
      <c r="A37" s="7" t="inlineStr">
        <is>
          <t>vaka_sigorta</t>
        </is>
      </c>
      <c r="B37" s="32" t="n">
        <v>0.01</v>
      </c>
      <c r="C37" s="7" t="inlineStr">
        <is>
          <t>oran</t>
        </is>
      </c>
      <c r="D37" s="7" t="inlineStr">
        <is>
          <t>Vaka sigorta</t>
        </is>
      </c>
      <c r="E37" s="7" t="inlineStr">
        <is>
          <t>Altın vaka</t>
        </is>
      </c>
      <c r="F37" s="7" t="inlineStr">
        <is>
          <t>01.01.2025</t>
        </is>
      </c>
      <c r="G37" s="7" t="inlineStr">
        <is>
          <t>11.08.2026</t>
        </is>
      </c>
      <c r="H37" s="72">
        <f>IF(A37="","",IF(B37="","EKSİK","TAM"))</f>
        <v/>
      </c>
    </row>
    <row r="38">
      <c r="A38" s="7" t="inlineStr">
        <is>
          <t>vaka_cif</t>
        </is>
      </c>
      <c r="B38" s="71" t="n">
        <v>3604000</v>
      </c>
      <c r="C38" s="7" t="inlineStr">
        <is>
          <t>TL</t>
        </is>
      </c>
      <c r="D38" s="7" t="inlineStr">
        <is>
          <t>Vaka CIF</t>
        </is>
      </c>
      <c r="E38" s="7" t="inlineStr">
        <is>
          <t>Altın vaka</t>
        </is>
      </c>
      <c r="F38" s="7" t="inlineStr">
        <is>
          <t>01.01.2025</t>
        </is>
      </c>
      <c r="G38" s="7" t="inlineStr">
        <is>
          <t>11.08.2026</t>
        </is>
      </c>
      <c r="H38" s="72">
        <f>IF(A38="","",IF(B38="","EKSİK","TAM"))</f>
        <v/>
      </c>
    </row>
    <row r="39">
      <c r="A39" s="7" t="inlineStr">
        <is>
          <t>vaka_landed</t>
        </is>
      </c>
      <c r="B39" s="71" t="n">
        <v>5200000</v>
      </c>
      <c r="C39" s="7" t="inlineStr">
        <is>
          <t>TL</t>
        </is>
      </c>
      <c r="D39" s="7" t="inlineStr">
        <is>
          <t>Vaka toplam landed</t>
        </is>
      </c>
      <c r="E39" s="7" t="inlineStr">
        <is>
          <t>Altın vaka</t>
        </is>
      </c>
      <c r="F39" s="7" t="inlineStr">
        <is>
          <t>01.01.2025</t>
        </is>
      </c>
      <c r="G39" s="7" t="inlineStr">
        <is>
          <t>11.08.2026</t>
        </is>
      </c>
      <c r="H39" s="72">
        <f>IF(A39="","",IF(B39="","EKSİK","TAM"))</f>
        <v/>
      </c>
    </row>
    <row r="40">
      <c r="A40" s="7" t="inlineStr">
        <is>
          <t>vaka_miktar</t>
        </is>
      </c>
      <c r="B40" s="33" t="n">
        <v>1000</v>
      </c>
      <c r="C40" s="7" t="inlineStr">
        <is>
          <t>adet</t>
        </is>
      </c>
      <c r="D40" s="7" t="inlineStr">
        <is>
          <t>Vaka miktar</t>
        </is>
      </c>
      <c r="E40" s="7" t="inlineStr">
        <is>
          <t>Altın vaka</t>
        </is>
      </c>
      <c r="F40" s="7" t="inlineStr">
        <is>
          <t>01.01.2025</t>
        </is>
      </c>
      <c r="G40" s="7" t="inlineStr">
        <is>
          <t>11.08.2026</t>
        </is>
      </c>
      <c r="H40" s="72">
        <f>IF(A40="","",IF(B40="","EKSİK","TAM"))</f>
        <v/>
      </c>
    </row>
    <row r="42">
      <c r="J42" s="5" t="inlineStr">
        <is>
          <t>Kur tablosu (tarihli / kaynaklı)</t>
        </is>
      </c>
    </row>
    <row r="43" ht="30" customHeight="1">
      <c r="J43" s="21" t="inlineStr">
        <is>
          <t>parabirimi</t>
        </is>
      </c>
      <c r="K43" s="21" t="inlineStr">
        <is>
          <t>kur</t>
        </is>
      </c>
      <c r="L43" s="21" t="inlineStr">
        <is>
          <t>tarih</t>
        </is>
      </c>
      <c r="M43" s="21" t="inlineStr">
        <is>
          <t>kaynak</t>
        </is>
      </c>
      <c r="N43" s="21" t="inlineStr">
        <is>
          <t>aktif</t>
        </is>
      </c>
      <c r="O43" s="21" t="inlineStr">
        <is>
          <t>not</t>
        </is>
      </c>
      <c r="P43" s="21" t="inlineStr">
        <is>
          <t>secim</t>
        </is>
      </c>
    </row>
    <row r="44">
      <c r="J44" s="29" t="inlineStr">
        <is>
          <t>USD</t>
        </is>
      </c>
      <c r="K44" s="70" t="n">
        <v>34</v>
      </c>
      <c r="L44" s="73" t="n">
        <v>46244</v>
      </c>
      <c r="M44" s="29" t="inlineStr">
        <is>
          <t>TCMB alış</t>
        </is>
      </c>
      <c r="N44" s="29" t="inlineStr">
        <is>
          <t>Evet</t>
        </is>
      </c>
      <c r="O44" s="7" t="inlineStr">
        <is>
          <t>Aktif demo kur</t>
        </is>
      </c>
      <c r="P44" s="74">
        <f>IF($J44="","",IF($N44="Evet",$K44,0))</f>
        <v/>
      </c>
    </row>
    <row r="45">
      <c r="J45" s="29" t="inlineStr">
        <is>
          <t>EUR</t>
        </is>
      </c>
      <c r="K45" s="70" t="n">
        <v>37.2</v>
      </c>
      <c r="L45" s="73" t="n">
        <v>46244</v>
      </c>
      <c r="M45" s="29" t="inlineStr">
        <is>
          <t>TCMB alış</t>
        </is>
      </c>
      <c r="N45" s="29" t="inlineStr">
        <is>
          <t>Hayır</t>
        </is>
      </c>
      <c r="O45" s="7" t="inlineStr">
        <is>
          <t>Yedek</t>
        </is>
      </c>
      <c r="P45" s="74">
        <f>IF($J45="","",IF($N45="Evet",$K45,0))</f>
        <v/>
      </c>
    </row>
    <row r="46">
      <c r="J46" s="29" t="inlineStr">
        <is>
          <t>USD</t>
        </is>
      </c>
      <c r="K46" s="70" t="n">
        <v>32.5</v>
      </c>
      <c r="L46" s="73" t="n">
        <v>46022</v>
      </c>
      <c r="M46" s="29" t="inlineStr">
        <is>
          <t>TCMB yılsonu</t>
        </is>
      </c>
      <c r="N46" s="29" t="inlineStr">
        <is>
          <t>Hayır</t>
        </is>
      </c>
      <c r="O46" s="7" t="inlineStr">
        <is>
          <t>2025 referans</t>
        </is>
      </c>
      <c r="P46" s="74">
        <f>IF($J46="","",IF($N46="Evet",$K46,0))</f>
        <v/>
      </c>
    </row>
    <row r="48">
      <c r="J48" s="10" t="inlineStr">
        <is>
          <t>Aktif kur (tablodan)</t>
        </is>
      </c>
      <c r="K48" s="17">
        <f>IFERROR(IF(SUM(P44:P46)=0,INDEX(K44:K46,1),SUM(P44:P46)),0)</f>
        <v/>
      </c>
    </row>
    <row r="49">
      <c r="J49" s="61" t="inlineStr">
        <is>
          <t>Kur tablo ozeti</t>
        </is>
      </c>
      <c r="K49" s="34">
        <f>IFERROR(_xlfn.TEXTJOIN(" | ",TRUE,"USD=",TEXT(K44,"0.00")," kaynak=",M44," tarih=",TEXT(L44,"dd.mm.yyyy")),"-")</f>
        <v/>
      </c>
    </row>
    <row r="51">
      <c r="J51" s="8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J44:J46" showDropDown="0" showInputMessage="1" showErrorMessage="1" allowBlank="1" errorTitle="Geçersiz" error="USD/EUR." promptTitle="Döviz" prompt="USD veya EUR." type="list" errorStyle="stop">
      <formula1>ListeDoviz</formula1>
    </dataValidation>
    <dataValidation sqref="N44:N46" showDropDown="0" showInputMessage="1" showErrorMessage="1" allowBlank="1" errorTitle="Geçersiz" error="Evet/Hayır." promptTitle="Aktif" prompt="Evet veya Hayır." type="list" errorStyle="stop">
      <formula1>ListeEvetHayir</formula1>
    </dataValidation>
    <dataValidation sqref="B10" showDropDown="0" showInputMessage="1" showErrorMessage="1" allowBlank="1" errorTitle="Geçersiz" error="0-2." promptTitle="İyimser çarpan" prompt="0-2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." type="decimal" errorStyle="stop" operator="between">
      <formula1>0</formula1>
      <formula2>2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1F4E79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26" customHeight="1">
      <c r="A1" s="1" t="inlineStr">
        <is>
          <t>KILAVUZ — İthalat Gerçek Birim Maliyet Motoru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YATIRIM YAPILIR — NPV pozitif ve marj hedef üstünde.</t>
        </is>
      </c>
    </row>
    <row r="7">
      <c r="A7" s="6" t="inlineStr">
        <is>
          <t>• DİKKAT — marj veya NPV dikkat bandında; kur/oran gözden geçirilmeli.</t>
        </is>
      </c>
    </row>
    <row r="8">
      <c r="A8" s="6" t="inlineStr">
        <is>
          <t>• YATIRIM YAPMA — NPV negatif veya marj yetersiz (kötümser yol dahil).</t>
        </is>
      </c>
    </row>
    <row r="10">
      <c r="A10" s="75" t="inlineStr">
        <is>
          <t>Belirsizlik beyanları (M05)</t>
        </is>
      </c>
    </row>
    <row r="11">
      <c r="A11" s="76" t="inlineStr">
        <is>
          <t>Bu nokta mevzuatta tartışmalıdır; dosya yorum A ve yorum B sonucunu yan yana gösterir: kkdf_matrah_yorumu</t>
        </is>
      </c>
    </row>
    <row r="13">
      <c r="A13" s="76" t="inlineStr">
        <is>
          <t>KKDF matrahı (FOB mı CIF mi) uygulamada tartışmalı / belirsizdir; bu dosya FOB_TL varsayar (Yorum A). Yorum B için CIF matrahı seçilirse KKDF yükselir.</t>
        </is>
      </c>
    </row>
    <row r="15">
      <c r="A15" s="10" t="inlineStr">
        <is>
          <t>Yorum A</t>
        </is>
      </c>
      <c r="B15" s="6" t="inlineStr">
        <is>
          <t>KKDF matrahı = FOB_TL. CIF = FOB_TL + navlun_TL + sigorta_TL. Gümrük = CIF × oran. KDV = (CIF+gümrük+KKDF) × oran.</t>
        </is>
      </c>
    </row>
    <row r="16">
      <c r="A16" s="10" t="inlineStr">
        <is>
          <t>Yorum B</t>
        </is>
      </c>
      <c r="B16" s="6" t="inlineStr">
        <is>
          <t>Bazı uygulamalarda KKDF CIF üzerinden hesaplanır (tartışmalı). Dosya Yorum A üretir; Yorum B farkı KILAVUZ'da beyan edilir.</t>
        </is>
      </c>
    </row>
    <row r="18">
      <c r="A18" s="10" t="inlineStr">
        <is>
          <t>Kullanım sırası</t>
        </is>
      </c>
    </row>
    <row r="19">
      <c r="A19" s="6" t="inlineStr">
        <is>
          <t>GIRDI → VARSAYIMLAR → KURALLAR → MOTOR → FINANSMAN → SENARYO → PANO → KARAR → VAKALAR → KANIT_RAPORU → AYARLAR (kur tablosu).</t>
        </is>
      </c>
    </row>
    <row r="21">
      <c r="A21" s="8" t="inlineStr">
        <is>
          <t>Sürüm 1.0.0 | Lisans: Tek kullanıcı | ExcelArşiv | ILC-PRO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T5"/>
    <mergeCell ref="B15:J15"/>
    <mergeCell ref="A8:T8"/>
    <mergeCell ref="A6:T6"/>
    <mergeCell ref="A7:T7"/>
    <mergeCell ref="A19:J19"/>
    <mergeCell ref="A1:AD1"/>
    <mergeCell ref="A13:J13"/>
    <mergeCell ref="A11:T11"/>
    <mergeCell ref="B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2026-08-11T13:41:11Z</dcterms:created>
  <dcterms:modified xmlns:dcterms="http://purl.org/dc/terms/" xmlns:xsi="http://www.w3.org/2001/XMLSchema-instance" xsi:type="dcterms:W3CDTF">2026-09-25T15:13:26Z</dcterms:modified>
</cp:coreProperties>
</file>