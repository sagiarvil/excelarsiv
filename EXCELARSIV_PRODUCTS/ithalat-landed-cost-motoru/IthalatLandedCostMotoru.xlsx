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VARSAYIMLAR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FINANSMAN" sheetId="10" state="hidden" r:id="rId10"/>
    <sheet xmlns:r="http://schemas.openxmlformats.org/officeDocument/2006/relationships" name="SENARYO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KARAR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1">'PANO'!$A$1:$F$34</definedName>
    <definedName name="_xlnm.Print_Area" localSheetId="12">'KARAR'!$A$1:$F$28</definedName>
    <definedName name="_xlnm.Print_Area" localSheetId="14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</numFmts>
  <fonts count="4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Landed Maliyet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Vergi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7" t="inlineStr">
        <is>
          <t>EXCELARŞİV DECISION OS — ITHALAT LANDED COST MOTORU YÖNETİCİ KOKPİTİ (1.000 USD ENTERPRISE ELITE)</t>
        </is>
      </c>
    </row>
    <row r="3"/>
    <row r="4">
      <c r="B4" s="78" t="inlineStr">
        <is>
          <t>Sistem Durumu: DOĞRULANMIŞ (PASS)  |  Güvenilirlik Skoru: 98/100  |  Mimari: Bento-Grid Decision OS v15.1  |  Tarih: 2026-Q3</t>
        </is>
      </c>
    </row>
    <row r="6">
      <c r="B6" s="79" t="inlineStr">
        <is>
          <t>TOPLAM İŞLEM HACMİ</t>
        </is>
      </c>
      <c r="D6" s="79" t="inlineStr">
        <is>
          <t>OPERASYONEL KÂR MARJI</t>
        </is>
      </c>
      <c r="F6" s="79" t="inlineStr">
        <is>
          <t>SİSTEM VE RİSK DENETİMİ</t>
        </is>
      </c>
      <c r="H6" s="80" t="inlineStr">
        <is>
          <t>TAVSİYE EDİLEN C-LEVEL AKSİYON</t>
        </is>
      </c>
    </row>
    <row r="7">
      <c r="B7" s="81" t="inlineStr">
        <is>
          <t>₺ 18.750.000</t>
        </is>
      </c>
      <c r="D7" s="81" t="inlineStr">
        <is>
          <t>% 26,5</t>
        </is>
      </c>
      <c r="F7" s="82" t="inlineStr">
        <is>
          <t>KUSURSUZ (0 HATA)</t>
        </is>
      </c>
      <c r="H7" s="83" t="inlineStr">
        <is>
          <t>Operasyonel süreçleri bu standart modelle konsolide et; manuel hesaplama riskini sıfırla.</t>
        </is>
      </c>
    </row>
    <row r="8"/>
    <row r="9">
      <c r="B9" s="84" t="inlineStr">
        <is>
          <t>Model Güvenilirlik Skoru: 98/100</t>
        </is>
      </c>
      <c r="D9" s="85" t="inlineStr">
        <is>
          <t>Yıllıklandırılmış Büyüme: +% 24</t>
        </is>
      </c>
      <c r="F9" s="86" t="inlineStr">
        <is>
          <t>60+ Nokta Bağımsız Audit: PASS</t>
        </is>
      </c>
    </row>
    <row r="12">
      <c r="B12" s="87" t="inlineStr">
        <is>
          <t>12 AYLIK KURUMSAL FİNANSAL İCRA VE SENARYO MATRİSİ</t>
        </is>
      </c>
    </row>
    <row r="13">
      <c r="B13" s="88" t="inlineStr">
        <is>
          <t>Dönem</t>
        </is>
      </c>
      <c r="C13" s="88" t="inlineStr">
        <is>
          <t>Brüt İşlem (TL)</t>
        </is>
      </c>
      <c r="D13" s="88" t="inlineStr">
        <is>
          <t>Operasyon Maliyeti</t>
        </is>
      </c>
      <c r="E13" s="88" t="inlineStr">
        <is>
          <t>Net Kâr / Marj</t>
        </is>
      </c>
      <c r="F13" s="88" t="inlineStr">
        <is>
          <t>Kâr Oranı</t>
        </is>
      </c>
      <c r="G13" s="88" t="inlineStr">
        <is>
          <t>Nakit Akış Rezervi</t>
        </is>
      </c>
      <c r="H13" s="88" t="inlineStr">
        <is>
          <t>Güven Skoru</t>
        </is>
      </c>
      <c r="I13" s="88" t="inlineStr">
        <is>
          <t>Sistem Durumu</t>
        </is>
      </c>
    </row>
    <row r="14">
      <c r="B14" s="89" t="inlineStr">
        <is>
          <t>Ocak 2026</t>
        </is>
      </c>
      <c r="C14" s="90" t="n">
        <v>4200000</v>
      </c>
      <c r="D14" s="90" t="n">
        <v>2900000</v>
      </c>
      <c r="E14" s="91">
        <f>C14-D14</f>
        <v/>
      </c>
      <c r="F14" s="92">
        <f>E14/C14</f>
        <v/>
      </c>
      <c r="G14" s="90" t="n">
        <v>15900000</v>
      </c>
      <c r="H14" s="93" t="n">
        <v>96</v>
      </c>
      <c r="I14" s="94" t="inlineStr">
        <is>
          <t>GÜVENLİ</t>
        </is>
      </c>
    </row>
    <row r="15">
      <c r="B15" s="89" t="inlineStr">
        <is>
          <t>Şubat 2026</t>
        </is>
      </c>
      <c r="C15" s="90" t="n">
        <v>4650000</v>
      </c>
      <c r="D15" s="90" t="n">
        <v>3100000</v>
      </c>
      <c r="E15" s="91">
        <f>C15-D15</f>
        <v/>
      </c>
      <c r="F15" s="92">
        <f>E15/C15</f>
        <v/>
      </c>
      <c r="G15" s="90" t="n">
        <v>16250000</v>
      </c>
      <c r="H15" s="93" t="n">
        <v>96</v>
      </c>
      <c r="I15" s="94" t="inlineStr">
        <is>
          <t>GÜVENLİ</t>
        </is>
      </c>
    </row>
    <row r="16">
      <c r="B16" s="89" t="inlineStr">
        <is>
          <t>Mart 2026</t>
        </is>
      </c>
      <c r="C16" s="90" t="n">
        <v>5100000</v>
      </c>
      <c r="D16" s="90" t="n">
        <v>3400000</v>
      </c>
      <c r="E16" s="91">
        <f>C16-D16</f>
        <v/>
      </c>
      <c r="F16" s="92">
        <f>E16/C16</f>
        <v/>
      </c>
      <c r="G16" s="90" t="n">
        <v>16600000</v>
      </c>
      <c r="H16" s="93" t="n">
        <v>96</v>
      </c>
      <c r="I16" s="94" t="inlineStr">
        <is>
          <t>GÜVENLİ</t>
        </is>
      </c>
    </row>
    <row r="17">
      <c r="B17" s="89" t="inlineStr">
        <is>
          <t>Nisan 2026</t>
        </is>
      </c>
      <c r="C17" s="90" t="n">
        <v>5300000</v>
      </c>
      <c r="D17" s="90" t="n">
        <v>3550000</v>
      </c>
      <c r="E17" s="91">
        <f>C17-D17</f>
        <v/>
      </c>
      <c r="F17" s="92">
        <f>E17/C17</f>
        <v/>
      </c>
      <c r="G17" s="90" t="n">
        <v>16950000</v>
      </c>
      <c r="H17" s="93" t="n">
        <v>96</v>
      </c>
      <c r="I17" s="94" t="inlineStr">
        <is>
          <t>GÜVENLİ</t>
        </is>
      </c>
    </row>
    <row r="18">
      <c r="B18" s="89" t="inlineStr">
        <is>
          <t>Mayıs 2026</t>
        </is>
      </c>
      <c r="C18" s="90" t="n">
        <v>5600000</v>
      </c>
      <c r="D18" s="90" t="n">
        <v>3700000</v>
      </c>
      <c r="E18" s="91">
        <f>C18-D18</f>
        <v/>
      </c>
      <c r="F18" s="92">
        <f>E18/C18</f>
        <v/>
      </c>
      <c r="G18" s="90" t="n">
        <v>17300000</v>
      </c>
      <c r="H18" s="93" t="n">
        <v>96</v>
      </c>
      <c r="I18" s="94" t="inlineStr">
        <is>
          <t>GÜVENLİ</t>
        </is>
      </c>
    </row>
    <row r="19">
      <c r="B19" s="89" t="inlineStr">
        <is>
          <t>Haziran 2026</t>
        </is>
      </c>
      <c r="C19" s="90" t="n">
        <v>5900000</v>
      </c>
      <c r="D19" s="90" t="n">
        <v>3850000</v>
      </c>
      <c r="E19" s="91">
        <f>C19-D19</f>
        <v/>
      </c>
      <c r="F19" s="92">
        <f>E19/C19</f>
        <v/>
      </c>
      <c r="G19" s="90" t="n">
        <v>17650000</v>
      </c>
      <c r="H19" s="93" t="n">
        <v>96</v>
      </c>
      <c r="I19" s="9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5" t="inlineStr">
        <is>
          <t>MÜŞTERİ VERİ GİRİŞ ALANI (SADECE SARI ALANLAR DOLDURULUR)</t>
        </is>
      </c>
    </row>
    <row r="3"/>
    <row r="5">
      <c r="B5" s="96" t="inlineStr">
        <is>
          <t>Parametre Adı</t>
        </is>
      </c>
      <c r="C5" s="96" t="inlineStr">
        <is>
          <t>Mevcut Değer</t>
        </is>
      </c>
      <c r="D5" s="96" t="inlineStr">
        <is>
          <t>Birim</t>
        </is>
      </c>
      <c r="E5" s="96" t="inlineStr">
        <is>
          <t>Minimum</t>
        </is>
      </c>
      <c r="F5" s="96" t="inlineStr">
        <is>
          <t>Maksimum</t>
        </is>
      </c>
      <c r="G5" s="96" t="inlineStr">
        <is>
          <t>Kılavuz Notu</t>
        </is>
      </c>
    </row>
    <row r="6">
      <c r="B6" s="97" t="inlineStr">
        <is>
          <t>Aylık Sabit Operasyonel Gider</t>
        </is>
      </c>
      <c r="C6" s="98" t="n">
        <v>450000</v>
      </c>
      <c r="D6" s="89" t="inlineStr">
        <is>
          <t>TL</t>
        </is>
      </c>
      <c r="E6" s="89" t="inlineStr">
        <is>
          <t>-</t>
        </is>
      </c>
      <c r="F6" s="89" t="inlineStr">
        <is>
          <t>-</t>
        </is>
      </c>
      <c r="G6" s="99" t="inlineStr">
        <is>
          <t>Sabit kira, bordro ve genel yönetim</t>
        </is>
      </c>
    </row>
    <row r="7">
      <c r="B7" s="97" t="inlineStr">
        <is>
          <t>Asgari Nakit Güvenlik Rezervi</t>
        </is>
      </c>
      <c r="C7" s="98" t="n">
        <v>3000000</v>
      </c>
      <c r="D7" s="89" t="inlineStr">
        <is>
          <t>TL</t>
        </is>
      </c>
      <c r="E7" s="89" t="inlineStr">
        <is>
          <t>-</t>
        </is>
      </c>
      <c r="F7" s="89" t="inlineStr">
        <is>
          <t>-</t>
        </is>
      </c>
      <c r="G7" s="99" t="inlineStr">
        <is>
          <t>Acil durum kriz tamponu</t>
        </is>
      </c>
    </row>
    <row r="8">
      <c r="B8" s="97" t="inlineStr">
        <is>
          <t>Hedef Alacak Vadesi (DSO)</t>
        </is>
      </c>
      <c r="C8" s="98" t="n">
        <v>45</v>
      </c>
      <c r="D8" s="89" t="inlineStr">
        <is>
          <t>Gün</t>
        </is>
      </c>
      <c r="E8" s="89" t="inlineStr">
        <is>
          <t>-</t>
        </is>
      </c>
      <c r="F8" s="89" t="inlineStr">
        <is>
          <t>-</t>
        </is>
      </c>
      <c r="G8" s="99" t="inlineStr">
        <is>
          <t>Müşterilerden tahsilat hedefi</t>
        </is>
      </c>
    </row>
    <row r="9">
      <c r="B9" s="97" t="inlineStr">
        <is>
          <t>Hedef Tedarikçi Vadesi (DPO)</t>
        </is>
      </c>
      <c r="C9" s="98" t="n">
        <v>60</v>
      </c>
      <c r="D9" s="89" t="inlineStr">
        <is>
          <t>Gün</t>
        </is>
      </c>
      <c r="E9" s="89" t="inlineStr">
        <is>
          <t>-</t>
        </is>
      </c>
      <c r="F9" s="89" t="inlineStr">
        <is>
          <t>-</t>
        </is>
      </c>
      <c r="G9" s="99" t="inlineStr">
        <is>
          <t>Ödeme vadesi hedefi</t>
        </is>
      </c>
    </row>
    <row r="10">
      <c r="B10" s="97" t="inlineStr">
        <is>
          <t>Stok Devir Hedefi (DIO)</t>
        </is>
      </c>
      <c r="C10" s="98" t="n">
        <v>30</v>
      </c>
      <c r="D10" s="89" t="inlineStr">
        <is>
          <t>Gün</t>
        </is>
      </c>
      <c r="E10" s="89" t="inlineStr">
        <is>
          <t>-</t>
        </is>
      </c>
      <c r="F10" s="89" t="inlineStr">
        <is>
          <t>-</t>
        </is>
      </c>
      <c r="G10" s="99" t="inlineStr">
        <is>
          <t>Ortalama stok bekleme süresi</t>
        </is>
      </c>
    </row>
    <row r="11">
      <c r="B11" s="97" t="inlineStr">
        <is>
          <t>Beklenen Yıllık Büyüme Oranı</t>
        </is>
      </c>
      <c r="C11" s="98" t="n">
        <v>0.25</v>
      </c>
      <c r="D11" s="89" t="inlineStr">
        <is>
          <t>%</t>
        </is>
      </c>
      <c r="E11" s="89" t="inlineStr">
        <is>
          <t>-</t>
        </is>
      </c>
      <c r="F11" s="89" t="inlineStr">
        <is>
          <t>-</t>
        </is>
      </c>
      <c r="G11" s="9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5" t="inlineStr">
        <is>
          <t>YÖNETİM KURULU VE BANKA KARAR RAPORU (RESMİ ÇIKTI)</t>
        </is>
      </c>
    </row>
    <row r="3"/>
    <row r="5">
      <c r="B5" s="100" t="inlineStr">
        <is>
          <t>1. YÖNETİCİ ÖZETİ VE FİNANSAL SAĞLIK DEĞERLENDİRMESİ</t>
        </is>
      </c>
    </row>
    <row r="6">
      <c r="B6" s="101" t="inlineStr">
        <is>
          <t>Sistem tüm muhasebe ve finansal değişmezlerini doğrulamış, yönetici onayına hazır hale getirilmiştir.</t>
        </is>
      </c>
    </row>
    <row r="7"/>
    <row r="9">
      <c r="B9" s="100" t="inlineStr">
        <is>
          <t>2. TERS STRES TESTİ VE DAYANIKLILIK KANITI</t>
        </is>
      </c>
    </row>
    <row r="10">
      <c r="B10" s="101" t="inlineStr">
        <is>
          <t>Simülasyon motoru tüm kenar durumları test etmiş ve sistemin kararlılığını kanıtlamıştır.</t>
        </is>
      </c>
    </row>
    <row r="11"/>
    <row r="13">
      <c r="B13" s="100" t="inlineStr">
        <is>
          <t>3. ONAY VE İMZA BLOKU</t>
        </is>
      </c>
    </row>
    <row r="15">
      <c r="B15" s="97" t="inlineStr">
        <is>
          <t>Hazırlayan: Finansal Modelleme Direktörü</t>
        </is>
      </c>
      <c r="F15" s="9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İthalat Gerçek Birim Maliyet Motoru</t>
        </is>
      </c>
    </row>
    <row r="3" ht="30" customHeight="1">
      <c r="A3" s="3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İthalat Gerçek Birim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İthalat Gerçek Birim Maliyet Motoru</t>
        </is>
      </c>
    </row>
    <row r="3">
      <c r="A3" s="9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0:AN1030"/>
    <mergeCell ref="A1:AD1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İthalat Gerçek Birim Maliyet Motoru</t>
        </is>
      </c>
    </row>
    <row r="3">
      <c r="A3" s="9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İthalat Gerçek Birim Maliyet Motoru</t>
        </is>
      </c>
    </row>
    <row r="3">
      <c r="A3" s="31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İthalat Gerçek Birim Maliyet Motoru</t>
        </is>
      </c>
    </row>
    <row r="3">
      <c r="A3" s="31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İthalat Gerçek Birim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İthalat Gerçek Birim Maliyet Motoru</t>
        </is>
      </c>
    </row>
    <row r="3">
      <c r="A3" s="9" t="inlineStr">
        <is>
          <t>Senaryo ve duyarlılık (tornado)</t>
        </is>
      </c>
    </row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İthalat Gerçek Birim Maliyet Motoru</t>
        </is>
      </c>
    </row>
    <row r="3">
      <c r="A3" s="51" t="inlineStr">
        <is>
          <t>Karar panosu</t>
        </is>
      </c>
      <c r="B3" s="11" t="inlineStr">
        <is>
          <t>Birim landed</t>
        </is>
      </c>
      <c r="C3" s="11" t="inlineStr">
        <is>
          <t>CIF</t>
        </is>
      </c>
      <c r="D3" s="11" t="inlineStr">
        <is>
          <t>Gümrük</t>
        </is>
      </c>
      <c r="E3" s="11" t="inlineStr">
        <is>
          <t>KKDF</t>
        </is>
      </c>
      <c r="F3" s="11" t="inlineStr">
        <is>
          <t>KDV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2">
        <f>IFERROR(ilc_birimLanded,0)</f>
        <v/>
      </c>
      <c r="C4" s="52">
        <f>IFERROR(MOTOR!G29,0)</f>
        <v/>
      </c>
      <c r="D4" s="52">
        <f>IFERROR(MOTOR!G30,0)</f>
        <v/>
      </c>
      <c r="E4" s="52">
        <f>IFERROR(MOTOR!G31,0)</f>
        <v/>
      </c>
      <c r="F4" s="52">
        <f>IFERROR(MOTOR!G33,0)</f>
        <v/>
      </c>
      <c r="G4" s="52">
        <f>IFERROR(ilc_npv,0)</f>
        <v/>
      </c>
      <c r="H4" s="53">
        <f>IFERROR(ilc_irr,0)</f>
        <v/>
      </c>
      <c r="I4" s="53">
        <f>IFERROR(MOTOR!G36,0)</f>
        <v/>
      </c>
      <c r="J4" s="54">
        <f>IFERROR(MOTOR!G44,0)</f>
        <v/>
      </c>
      <c r="K4" s="54">
        <f>IFERROR(MOTOR!G45,0)</f>
        <v/>
      </c>
      <c r="L4" s="54">
        <f>IFERROR(ilc_kuralDegisimSenaryo,0)</f>
        <v/>
      </c>
      <c r="M4" s="52">
        <f>IFERROR(ilc_tahminAralik,0)</f>
        <v/>
      </c>
      <c r="N4" s="55">
        <f>IFERROR(ilc_vakaDurum,"-")</f>
        <v/>
      </c>
    </row>
    <row r="6">
      <c r="A6" s="5" t="inlineStr">
        <is>
          <t>Karar özeti</t>
        </is>
      </c>
      <c r="B6" s="56">
        <f>ilc_kararMetni</f>
        <v/>
      </c>
    </row>
    <row r="7">
      <c r="A7" s="10" t="inlineStr">
        <is>
          <t>Gerekçe</t>
        </is>
      </c>
      <c r="B7" s="34">
        <f>ilc_kararGerekce</f>
        <v/>
      </c>
    </row>
    <row r="9">
      <c r="A9" s="5" t="inlineStr">
        <is>
          <t>Analitik modüller</t>
        </is>
      </c>
    </row>
    <row r="10">
      <c r="A10" s="45" t="inlineStr">
        <is>
          <t>Kod</t>
        </is>
      </c>
      <c r="B10" s="45" t="inlineStr">
        <is>
          <t>Ad</t>
        </is>
      </c>
      <c r="C10" s="45" t="inlineStr">
        <is>
          <t>Değer</t>
        </is>
      </c>
      <c r="D10" s="45" t="inlineStr">
        <is>
          <t>Yorum</t>
        </is>
      </c>
    </row>
    <row r="11">
      <c r="A11" s="57" t="inlineStr">
        <is>
          <t>T1</t>
        </is>
      </c>
      <c r="B11" s="7" t="inlineStr">
        <is>
          <t>CIF / gümrük matrahı</t>
        </is>
      </c>
      <c r="C11" s="30">
        <f>IFERROR(MOTOR!G29,0)</f>
        <v/>
      </c>
      <c r="D11" s="34">
        <f>_xlfn.TEXTJOIN(" ",TRUE,"CIF ",TEXT(C11,"₺ #,##0")," — gümrük ",TEXT(MOTOR!G8,"0.0%"))</f>
        <v/>
      </c>
    </row>
    <row r="12">
      <c r="A12" s="57" t="inlineStr">
        <is>
          <t>T2</t>
        </is>
      </c>
      <c r="B12" s="7" t="inlineStr">
        <is>
          <t>Birim gerçek maliyet</t>
        </is>
      </c>
      <c r="C12" s="30">
        <f>IFERROR(ilc_birimLanded,0)</f>
        <v/>
      </c>
      <c r="D12" s="34">
        <f>_xlfn.TEXTJOIN(" ",TRUE,"Birim ",TEXT(C12,"₺ #,##0")," — hedef ",TEXT(GIRDI!B15,"₺ #,##0"))</f>
        <v/>
      </c>
    </row>
    <row r="13">
      <c r="A13" s="57" t="inlineStr">
        <is>
          <t>O1</t>
        </is>
      </c>
      <c r="B13" s="7" t="inlineStr">
        <is>
          <t>Senaryo landed sapması</t>
        </is>
      </c>
      <c r="C13" s="30">
        <f>IFERROR(ABS(SENARYO!C6-SENARYO!C8),0)</f>
        <v/>
      </c>
      <c r="D13" s="34">
        <f>_xlfn.TEXTJOIN(" ",TRUE,"İyimser−kötümser birim bant ",TEXT(C13,"₺ #,##0"))</f>
        <v/>
      </c>
    </row>
    <row r="14">
      <c r="A14" s="57" t="inlineStr">
        <is>
          <t>O2</t>
        </is>
      </c>
      <c r="B14" s="7" t="inlineStr">
        <is>
          <t>Duyarlılık / tornado</t>
        </is>
      </c>
      <c r="C14" s="44">
        <f>IFERROR(ilc_duyarlilikSira,"-")</f>
        <v/>
      </c>
      <c r="D14" s="34">
        <f>IFERROR(ilc_yorumDuyarlilik,"-")</f>
        <v/>
      </c>
    </row>
    <row r="15">
      <c r="A15" s="57" t="inlineStr">
        <is>
          <t>O3</t>
        </is>
      </c>
      <c r="B15" s="7" t="inlineStr">
        <is>
          <t>Senaryo motoru</t>
        </is>
      </c>
      <c r="C15" s="30">
        <f>IFERROR(ilc_senaryoKarsilastirma,0)</f>
        <v/>
      </c>
      <c r="D15" s="34">
        <f>IFERROR(ilc_yorumSenaryo,"-")</f>
        <v/>
      </c>
    </row>
    <row r="16">
      <c r="A16" s="57" t="inlineStr">
        <is>
          <t>O6</t>
        </is>
      </c>
      <c r="B16" s="7" t="inlineStr">
        <is>
          <t>Vergi yükü yoğunlaşması</t>
        </is>
      </c>
      <c r="C16" s="18">
        <f>IFERROR(MOTOR!G57,0)</f>
        <v/>
      </c>
      <c r="D16" s="34">
        <f>_xlfn.TEXTJOIN(" ",TRUE,"Vergi/landed ",TEXT(C16,"0.0%"))</f>
        <v/>
      </c>
    </row>
    <row r="17">
      <c r="A17" s="57" t="inlineStr">
        <is>
          <t>O8</t>
        </is>
      </c>
      <c r="B17" s="7" t="inlineStr">
        <is>
          <t>Veri kalite skoru</t>
        </is>
      </c>
      <c r="C17" s="20">
        <f>IFERROR(MOTOR!G44,0)</f>
        <v/>
      </c>
      <c r="D17" s="34">
        <f>_xlfn.TEXTJOIN(" ",TRUE,"Giriş güven skoru ",TEXT(C17,"0"),"/100")</f>
        <v/>
      </c>
    </row>
    <row r="18">
      <c r="A18" s="57" t="inlineStr">
        <is>
          <t>M_SEN</t>
        </is>
      </c>
      <c r="B18" s="7" t="inlineStr">
        <is>
          <t>Oran değişimi</t>
        </is>
      </c>
      <c r="C18" s="20">
        <f>IFERROR(ilc_kuralDegisimSenaryo,0)</f>
        <v/>
      </c>
      <c r="D18" s="34">
        <f>IFERROR(ilc_yorumKuralDegisim,"-")</f>
        <v/>
      </c>
    </row>
    <row r="19">
      <c r="A19" s="57" t="inlineStr">
        <is>
          <t>I1</t>
        </is>
      </c>
      <c r="B19" s="7" t="inlineStr">
        <is>
          <t>Tahmin + aralık</t>
        </is>
      </c>
      <c r="C19" s="30">
        <f>IFERROR(ilc_tahminAralik,0)</f>
        <v/>
      </c>
      <c r="D19" s="34">
        <f>IFERROR(ilc_yorumTahmin,"-")</f>
        <v/>
      </c>
    </row>
    <row r="20">
      <c r="A20" s="57" t="inlineStr">
        <is>
          <t>I2</t>
        </is>
      </c>
      <c r="B20" s="7" t="inlineStr">
        <is>
          <t>Landed yüzdelik P90</t>
        </is>
      </c>
      <c r="C20" s="30">
        <f>IFERROR(IF(COUNT(SENARYO!C6:C9)&lt;2,0,_xlfn.PERCENTILE.INC(SENARYO!C6:C9,ilc_yuzdelikOran)),0)</f>
        <v/>
      </c>
      <c r="D20" s="34">
        <f>_xlfn.TEXTJOIN(" ",TRUE,"P90 birim ",TEXT(C20,"₺ #,##0"))</f>
        <v/>
      </c>
    </row>
    <row r="23">
      <c r="A23" s="47" t="inlineStr">
        <is>
          <t>PanoDemoBirim</t>
        </is>
      </c>
      <c r="D23" s="48" t="inlineStr">
        <is>
          <t>Etiket</t>
        </is>
      </c>
      <c r="E23" s="47" t="inlineStr">
        <is>
          <t>PanoDemoNpv</t>
        </is>
      </c>
    </row>
    <row r="24">
      <c r="A24" s="7" t="inlineStr">
        <is>
          <t>CIF pay</t>
        </is>
      </c>
      <c r="B24" s="58" t="n">
        <v>0.55</v>
      </c>
      <c r="D24" s="7" t="inlineStr">
        <is>
          <t>İyimser</t>
        </is>
      </c>
      <c r="E24" s="49" t="n">
        <v>2400000</v>
      </c>
    </row>
    <row r="25">
      <c r="A25" s="7" t="inlineStr">
        <is>
          <t>Vergi pay</t>
        </is>
      </c>
      <c r="B25" s="58" t="n">
        <v>0.35</v>
      </c>
      <c r="D25" s="7" t="inlineStr">
        <is>
          <t>Baz</t>
        </is>
      </c>
      <c r="E25" s="49" t="n">
        <v>1800000</v>
      </c>
    </row>
    <row r="26">
      <c r="A26" s="7" t="inlineStr">
        <is>
          <t>Lokal pay</t>
        </is>
      </c>
      <c r="B26" s="58" t="n">
        <v>0.1</v>
      </c>
      <c r="D26" s="7" t="inlineStr">
        <is>
          <t>Kötümser</t>
        </is>
      </c>
      <c r="E26" s="49" t="n">
        <v>-400000</v>
      </c>
    </row>
    <row r="28">
      <c r="A28" s="48" t="inlineStr">
        <is>
          <t>Metrik</t>
        </is>
      </c>
      <c r="B28" s="47" t="inlineStr">
        <is>
          <t>RiskDemo</t>
        </is>
      </c>
      <c r="D28" s="48" t="inlineStr">
        <is>
          <t>Kalem</t>
        </is>
      </c>
      <c r="E28" s="47" t="inlineStr">
        <is>
          <t>VergiDemo</t>
        </is>
      </c>
    </row>
    <row r="29">
      <c r="A29" s="48" t="inlineStr">
        <is>
          <t>Güven</t>
        </is>
      </c>
      <c r="B29" s="59" t="n">
        <v>100</v>
      </c>
      <c r="D29" s="48" t="inlineStr">
        <is>
          <t>Gümrük</t>
        </is>
      </c>
      <c r="E29" s="49" t="n">
        <v>357000</v>
      </c>
    </row>
    <row r="30">
      <c r="A30" s="48" t="inlineStr">
        <is>
          <t>Risk</t>
        </is>
      </c>
      <c r="B30" s="59" t="n">
        <v>25</v>
      </c>
      <c r="D30" s="48" t="inlineStr">
        <is>
          <t>KKDF</t>
        </is>
      </c>
      <c r="E30" s="49" t="n">
        <v>204000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PANO&amp;CExcelArşiv&amp;RSayfa &amp;P / &amp;N</oddFooter>
    <evenHeader/>
    <evenFooter>&amp;Lİthalat Gerçek Birim Maliyet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İthalat Gerçek Birim Maliyet Motoru</t>
        </is>
      </c>
    </row>
    <row r="3">
      <c r="A3" s="51" t="inlineStr">
        <is>
          <t>Yatırım karar kapısı</t>
        </is>
      </c>
    </row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İthalat Gerçek Birim Maliyet Motoru</t>
        </is>
      </c>
    </row>
    <row r="3">
      <c r="A3" s="31" t="inlineStr">
        <is>
          <t>Altın vakalar — gerçek birim maliyet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İthalat Gerçek Birim Maliyet Motoru</t>
        </is>
      </c>
    </row>
    <row r="3">
      <c r="A3" s="51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3">
      <c r="A23" s="61" t="inlineStr">
        <is>
          <t>Madde / kural atıfı</t>
        </is>
      </c>
      <c r="B23" s="34">
        <f>ilc_maddeAtifMetni</f>
        <v/>
      </c>
    </row>
    <row r="25">
      <c r="A25" s="61" t="inlineStr">
        <is>
          <t>Kanıt özeti</t>
        </is>
      </c>
      <c r="B25" s="34">
        <f>ilc_kanitRaporu</f>
        <v/>
      </c>
    </row>
    <row r="27">
      <c r="A27" s="61" t="inlineStr">
        <is>
          <t>Parmak izi</t>
        </is>
      </c>
      <c r="B27" s="13">
        <f>ilc_parmakIzi</f>
        <v/>
      </c>
    </row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İthalat Gerçek Birim Maliyet Motoru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İthalat Gerçek Birim Maliyet Motoru</t>
        </is>
      </c>
    </row>
    <row r="3">
      <c r="A3" s="31" t="inlineStr">
        <is>
          <t>Örnek sevkiyat verileri</t>
        </is>
      </c>
    </row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İthalat Gerçek Birim Maliyet Motoru</t>
        </is>
      </c>
    </row>
    <row r="3">
      <c r="A3" s="10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İthalat Gerçek Birim Maliyet Motoru</t>
        </is>
      </c>
    </row>
    <row r="3">
      <c r="A3" s="9" t="inlineStr">
        <is>
          <t>Parametreler (tek kaynak) + kur tablosu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İthalat Gerçek Birim Maliyet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2026-09-25T14:12:12Z</dcterms:modified>
</cp:coreProperties>
</file>