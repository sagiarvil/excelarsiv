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13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14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comments/comment4.xml" ContentType="application/vnd.openxmlformats-officedocument.spreadsheetml.comments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1" autoFilterDateGrouping="1"/>
  </bookViews>
  <sheets>
    <sheet xmlns:r="http://schemas.openxmlformats.org/officeDocument/2006/relationships" name="00_BASLANGIC" sheetId="1" state="visible" r:id="rId1"/>
    <sheet xmlns:r="http://schemas.openxmlformats.org/officeDocument/2006/relationships" name="PANO" sheetId="2" state="visible" r:id="rId2"/>
    <sheet xmlns:r="http://schemas.openxmlformats.org/officeDocument/2006/relationships" name="GİRDİLER" sheetId="3" state="visible" r:id="rId3"/>
    <sheet xmlns:r="http://schemas.openxmlformats.org/officeDocument/2006/relationships" name="YÖNETİM_RAPORU" sheetId="4" state="visible" r:id="rId4"/>
    <sheet xmlns:r="http://schemas.openxmlformats.org/officeDocument/2006/relationships" name="01_YURUTME_CEKIRDEGI" sheetId="5" state="visible" r:id="rId5"/>
    <sheet xmlns:r="http://schemas.openxmlformats.org/officeDocument/2006/relationships" name="02_KONTROL_LISTESI" sheetId="6" state="visible" r:id="rId6"/>
    <sheet xmlns:r="http://schemas.openxmlformats.org/officeDocument/2006/relationships" name="03_GORSEL_TASARIM" sheetId="7" state="visible" r:id="rId7"/>
    <sheet xmlns:r="http://schemas.openxmlformats.org/officeDocument/2006/relationships" name="04_MUHASEBE_THP" sheetId="8" state="visible" r:id="rId8"/>
    <sheet xmlns:r="http://schemas.openxmlformats.org/officeDocument/2006/relationships" name="05_KARAR_SATIS" sheetId="9" state="visible" r:id="rId9"/>
    <sheet xmlns:r="http://schemas.openxmlformats.org/officeDocument/2006/relationships" name="KAPAK" sheetId="10" state="visible" r:id="rId10"/>
    <sheet xmlns:r="http://schemas.openxmlformats.org/officeDocument/2006/relationships" name="HIZLI_BASLANGIC" sheetId="11" state="visible" r:id="rId11"/>
    <sheet xmlns:r="http://schemas.openxmlformats.org/officeDocument/2006/relationships" name="CALISAN_KARTI" sheetId="12" state="visible" r:id="rId12"/>
    <sheet xmlns:r="http://schemas.openxmlformats.org/officeDocument/2006/relationships" name="GERCEK_MALIYET" sheetId="13" state="visible" r:id="rId13"/>
    <sheet xmlns:r="http://schemas.openxmlformats.org/officeDocument/2006/relationships" name="TESVIK_SIMULATOR" sheetId="14" state="visible" r:id="rId14"/>
    <sheet xmlns:r="http://schemas.openxmlformats.org/officeDocument/2006/relationships" name="MOTOR" sheetId="15" state="visible" r:id="rId15"/>
    <sheet xmlns:r="http://schemas.openxmlformats.org/officeDocument/2006/relationships" name="KONTROL" sheetId="16" state="visible" r:id="rId16"/>
    <sheet xmlns:r="http://schemas.openxmlformats.org/officeDocument/2006/relationships" name="KARAR" sheetId="17" state="visible" r:id="rId17"/>
    <sheet xmlns:r="http://schemas.openxmlformats.org/officeDocument/2006/relationships" name="SENARYO_DUYARLILIK" sheetId="18" state="visible" r:id="rId18"/>
    <sheet xmlns:r="http://schemas.openxmlformats.org/officeDocument/2006/relationships" name="RAPOR" sheetId="19" state="visible" r:id="rId19"/>
    <sheet xmlns:r="http://schemas.openxmlformats.org/officeDocument/2006/relationships" name="ORNEK_VERI" sheetId="20" state="visible" r:id="rId20"/>
    <sheet xmlns:r="http://schemas.openxmlformats.org/officeDocument/2006/relationships" name="KURALLAR" sheetId="21" state="visible" r:id="rId21"/>
    <sheet xmlns:r="http://schemas.openxmlformats.org/officeDocument/2006/relationships" name="VAKALAR" sheetId="22" state="visible" r:id="rId22"/>
    <sheet xmlns:r="http://schemas.openxmlformats.org/officeDocument/2006/relationships" name="DEGISIKLIK_KAYDI" sheetId="23" state="visible" r:id="rId23"/>
    <sheet xmlns:r="http://schemas.openxmlformats.org/officeDocument/2006/relationships" name="LISTELER" sheetId="24" state="visible" r:id="rId24"/>
    <sheet xmlns:r="http://schemas.openxmlformats.org/officeDocument/2006/relationships" name="AYARLAR" sheetId="25" state="visible" r:id="rId25"/>
    <sheet xmlns:r="http://schemas.openxmlformats.org/officeDocument/2006/relationships" name="KILAVUZ" sheetId="26" state="visible" r:id="rId26"/>
  </sheets>
  <definedNames>
    <definedName name="Aksiyon1" hidden="0" function="0" vbProcedure="0">KARAR!$A$15</definedName>
    <definedName name="Aksiyon2" hidden="0" function="0" vbProcedure="0">KARAR!$A$16</definedName>
    <definedName name="Aksiyon3" hidden="0" function="0" vbProcedure="0">KARAR!$A$17</definedName>
    <definedName name="AnomaliEsikKat" hidden="0" function="0" vbProcedure="0">AYARLAR!$C$35</definedName>
    <definedName name="AylikCalismaSaati" hidden="0" function="0" vbProcedure="0">AYARLAR!$C$12</definedName>
    <definedName name="AylikGercekMaliyet" hidden="0" function="0" vbProcedure="0">MOTOR!$B$21</definedName>
    <definedName name="AySayisi" hidden="0" function="0" vbProcedure="0">AYARLAR!$C$11</definedName>
    <definedName name="BesPuanOrani" hidden="0" function="0" vbProcedure="0">AYARLAR!$C$13</definedName>
    <definedName name="BrutStdSapma" hidden="0" function="0" vbProcedure="0">MOTOR!$B$13</definedName>
    <definedName name="CalisanBasiMaliyet" hidden="0" function="0" vbProcedure="0">MOTOR!$B$22</definedName>
    <definedName name="CalisanBasiYillikMaliyet" hidden="0" function="0" vbProcedure="0">MOTOR!$B$42</definedName>
    <definedName name="CalisanSayisi" hidden="0" function="0" vbProcedure="0">MOTOR!$B$7</definedName>
    <definedName name="DurumKontrol" hidden="0" function="0" vbProcedure="0">KONTROL!$B$20</definedName>
    <definedName name="DuyarliDegisim" hidden="0" function="0" vbProcedure="0">AYARLAR!$C$30</definedName>
    <definedName name="EnDusukBrut" hidden="0" function="0" vbProcedure="0">MOTOR!$B$12</definedName>
    <definedName name="EngelliOrani" hidden="0" function="0" vbProcedure="0">AYARLAR!$C$16</definedName>
    <definedName name="EnYuksekBrut" hidden="0" function="0" vbProcedure="0">MOTOR!$B$11</definedName>
    <definedName name="FAIL_Sayisi" hidden="0" function="0" vbProcedure="0">KONTROL!$B$17</definedName>
    <definedName name="FirmaUnvani" hidden="0" function="0" vbProcedure="0">CALISAN_KARTI!$B$4</definedName>
    <definedName name="GencGirisimciOrani" hidden="0" function="0" vbProcedure="0">AYARLAR!$C$17</definedName>
    <definedName name="GercekSaatlikMaliyet" hidden="0" function="0" vbProcedure="0">MOTOR!$B$41</definedName>
    <definedName name="GeriKazanimHedefAy" hidden="0" function="0" vbProcedure="0">AYARLAR!$C$36</definedName>
    <definedName name="IlaveIstihdamOrani" hidden="0" function="0" vbProcedure="0">AYARLAR!$C$14</definedName>
    <definedName name="IssizlikOrani" hidden="0" function="0" vbProcedure="0">AYARLAR!$C$8</definedName>
    <definedName name="IsverenPayiOrani" hidden="0" function="0" vbProcedure="0">AYARLAR!$C$7</definedName>
    <definedName name="IsverenYukOrani" hidden="0" function="0" vbProcedure="0">MOTOR!$B$40</definedName>
    <definedName name="KacirilanTesvik" hidden="0" function="0" vbProcedure="0">MOTOR!$B$33</definedName>
    <definedName name="KacirilanTesvikAylik" hidden="0" function="0" vbProcedure="0">MOTOR!$B$32</definedName>
    <definedName name="KacirilanTesvikEsik" hidden="0" function="0" vbProcedure="0">AYARLAR!$C$18</definedName>
    <definedName name="KacirilanTesvikOrani" hidden="0" function="0" vbProcedure="0">MOTOR!$B$36</definedName>
    <definedName name="KadinGencOrani" hidden="0" function="0" vbProcedure="0">AYARLAR!$C$15</definedName>
    <definedName name="KararGerekce" hidden="0" function="0" vbProcedure="0">KARAR!$B$12</definedName>
    <definedName name="KararSonuc" hidden="0" function="0" vbProcedure="0">KARAR!$B$11</definedName>
    <definedName name="KullanilanTesvik" hidden="0" function="0" vbProcedure="0">MOTOR!$B$34</definedName>
    <definedName name="KullanimOranEsik" hidden="0" function="0" vbProcedure="0">AYARLAR!$C$20</definedName>
    <definedName name="kuralIdReferans" hidden="0" function="0" vbProcedure="0">KURALLAR!$A$4</definedName>
    <definedName name="KidemKarsilikOrani" hidden="0" function="0" vbProcedure="0">AYARLAR!$C$9</definedName>
    <definedName name="ListeEvetHayir" hidden="0" function="0" vbProcedure="0">LISTELER!$A$6:$A$7</definedName>
    <definedName name="ListeMetin" hidden="0" function="0" vbProcedure="0">LISTELER!$E$6:$E$7</definedName>
    <definedName name="ListeTesvikTuru" hidden="0" function="0" vbProcedure="0">LISTELER!$C$6:$C$10</definedName>
    <definedName name="MaliyetEsik" hidden="0" function="0" vbProcedure="0">AYARLAR!$C$19</definedName>
    <definedName name="MedyanBrut" hidden="0" function="0" vbProcedure="0">MOTOR!$B$10</definedName>
    <definedName name="modulI1TahminAlt" hidden="0" function="0" vbProcedure="0">MOTOR!$B$54</definedName>
    <definedName name="modulI1TahminOrta" hidden="0" function="0" vbProcedure="0">MOTOR!$B$53</definedName>
    <definedName name="modulI1TahminUst" hidden="0" function="0" vbProcedure="0">MOTOR!$B$55</definedName>
    <definedName name="modulI1TahminYorum" hidden="0" function="0" vbProcedure="0">MOTOR!$B$56</definedName>
    <definedName name="modulI2P90" hidden="0" function="0" vbProcedure="0">MOTOR!$B$59</definedName>
    <definedName name="modulI2Yorum" hidden="0" function="0" vbProcedure="0">MOTOR!$B$60</definedName>
    <definedName name="modulI7GeriKazanimAylik" hidden="0" function="0" vbProcedure="0">MOTOR!$B$61</definedName>
    <definedName name="modulI7Yorum" hidden="0" function="0" vbProcedure="0">MOTOR!$B$62</definedName>
    <definedName name="modulO1AnomaliSayisi" hidden="0" function="0" vbProcedure="0">MOTOR!$B$45</definedName>
    <definedName name="modulO1AnomaliYorum" hidden="0" function="0" vbProcedure="0">MOTOR!$B$46</definedName>
    <definedName name="modulO2TornadoYorum" hidden="0" function="0" vbProcedure="0">MOTOR!$B$48</definedName>
    <definedName name="modulO2TornadoZirve" hidden="0" function="0" vbProcedure="0">MOTOR!$B$47</definedName>
    <definedName name="modulO3SenaryoBaz" hidden="0" function="0" vbProcedure="0">MOTOR!$B$49</definedName>
    <definedName name="modulO3SenaryoYorum" hidden="0" function="0" vbProcedure="0">MOTOR!$B$50</definedName>
    <definedName name="modulO8KaliteSkoru" hidden="0" function="0" vbProcedure="0">MOTOR!$B$51</definedName>
    <definedName name="modulO8KaliteYorum" hidden="0" function="0" vbProcedure="0">MOTOR!$B$52</definedName>
    <definedName name="modulT6Kirilim" hidden="0" function="0" vbProcedure="0">MOTOR!$B$63</definedName>
    <definedName name="modulT6KirilimYorum" hidden="0" function="0" vbProcedure="0">MOTOR!$B$64</definedName>
    <definedName name="OrtalamaBrut" hidden="0" function="0" vbProcedure="0">MOTOR!$B$9</definedName>
    <definedName name="OrtalamaCalisan" hidden="0" function="0" vbProcedure="0">CALISAN_KARTI!$B$7</definedName>
    <definedName name="P10Deger" hidden="0" function="0" vbProcedure="0">MOTOR!$B$57</definedName>
    <definedName name="P10Katsayi" hidden="0" function="0" vbProcedure="0">AYARLAR!$C$31</definedName>
    <definedName name="P50Deger" hidden="0" function="0" vbProcedure="0">MOTOR!$B$58</definedName>
    <definedName name="P50Katsayi" hidden="0" function="0" vbProcedure="0">AYARLAR!$C$32</definedName>
    <definedName name="P90Katsayi" hidden="0" function="0" vbProcedure="0">AYARLAR!$C$33</definedName>
    <definedName name="PASS_Sayisi" hidden="0" function="0" vbProcedure="0">KONTROL!$B$16</definedName>
    <definedName name="raporTarihi" hidden="0" function="0" vbProcedure="0">AYARLAR!$C$6</definedName>
    <definedName name="SenaryoIyimserKat" hidden="0" function="0" vbProcedure="0">AYARLAR!$C$29</definedName>
    <definedName name="SenaryoKotumserKat" hidden="0" function="0" vbProcedure="0">AYARLAR!$C$28</definedName>
    <definedName name="SgkSicilNo" hidden="0" function="0" vbProcedure="0">CALISAN_KARTI!$B$5</definedName>
    <definedName name="TahminGuvenKatsayisi" hidden="0" function="0" vbProcedure="0">AYARLAR!$C$34</definedName>
    <definedName name="TesvikKullanimOrani" hidden="0" function="0" vbProcedure="0">MOTOR!$B$35</definedName>
    <definedName name="TesvikliAylikMaliyet" hidden="0" function="0" vbProcedure="0">MOTOR!$B$37</definedName>
    <definedName name="ToplamAylikTesvik" hidden="0" function="0" vbProcedure="0">MOTOR!$B$30</definedName>
    <definedName name="ToplamBrutUcret" hidden="0" function="0" vbProcedure="0">MOTOR!$B$6</definedName>
    <definedName name="ToplamIssizlikPayi" hidden="0" function="0" vbProcedure="0">MOTOR!$B$17</definedName>
    <definedName name="ToplamIsverenYuku" hidden="0" function="0" vbProcedure="0">MOTOR!$B$20</definedName>
    <definedName name="ToplamKidemKarsilik" hidden="0" function="0" vbProcedure="0">MOTOR!$B$18</definedName>
    <definedName name="ToplamPrimGunu" hidden="0" function="0" vbProcedure="0">CALISAN_KARTI!$B$6</definedName>
    <definedName name="ToplamPrimGunuMotor" hidden="0" function="0" vbProcedure="0">MOTOR!$B$8</definedName>
    <definedName name="ToplamSgkIsverenPayi" hidden="0" function="0" vbProcedure="0">MOTOR!$B$16</definedName>
    <definedName name="ToplamYanFayda" hidden="0" function="0" vbProcedure="0">MOTOR!$B$19</definedName>
    <definedName name="ToplamYillikTesvik" hidden="0" function="0" vbProcedure="0">MOTOR!$B$31</definedName>
    <definedName name="VeriKaliteIyiEsik" hidden="0" function="0" vbProcedure="0">AYARLAR!$C$25</definedName>
    <definedName name="VeriKaliteOrtaEsik" hidden="0" function="0" vbProcedure="0">AYARLAR!$C$26</definedName>
    <definedName name="VeriKaliteSeviyesi" hidden="0" function="0" vbProcedure="0">KONTROL!$B$19</definedName>
    <definedName name="VeriKaliteSkoru" hidden="0" function="0" vbProcedure="0">KONTROL!$B$18</definedName>
    <definedName name="VeriKaliteUyariCeza" hidden="0" function="0" vbProcedure="0">AYARLAR!$C$27</definedName>
    <definedName name="YanFayda" hidden="0" function="0" vbProcedure="0">AYARLAR!$C$10</definedName>
    <definedName name="YukOranAltEsik" hidden="0" function="0" vbProcedure="0">AYARLAR!$C$21</definedName>
    <definedName name="YukOranKararEsik" hidden="0" function="0" vbProcedure="0">AYARLAR!$C$24</definedName>
    <definedName name="YukOranUstEsik" hidden="0" function="0" vbProcedure="0">AYARLAR!$C$22</definedName>
    <definedName name="YukTutarlilikTolerans" hidden="0" function="0" vbProcedure="0">AYARLAR!$C$23</definedName>
    <definedName name="YillikBrutUcret" hidden="0" function="0" vbProcedure="0">MOTOR!$B$25</definedName>
    <definedName name="YillikGercekMaliyet" hidden="0" function="0" vbProcedure="0">MOTOR!$B$27</definedName>
    <definedName name="YillikIsverenYuku" hidden="0" function="0" vbProcedure="0">MOTOR!$B$26</definedName>
    <definedName name="_xlnm.Print_Area" localSheetId="18">'RAPOR'!$A$1:$F$42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6">
    <numFmt numFmtId="164" formatCode="&quot;₺ &quot;#,##0;[RED]&quot;(₺ &quot;#,##0\);\-"/>
    <numFmt numFmtId="165" formatCode="0.0%;[RED]\(0.0%\);\-"/>
    <numFmt numFmtId="166" formatCode="dd/mm/yyyy"/>
    <numFmt numFmtId="167" formatCode="#,##0 &quot;TL&quot;"/>
    <numFmt numFmtId="168" formatCode="0.0%"/>
    <numFmt numFmtId="169" formatCode="₺#,##0"/>
  </numFmts>
  <fonts count="10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Segoe UI"/>
      <charset val="1"/>
      <family val="0"/>
      <b val="1"/>
      <color rgb="FFFFFFFF"/>
      <sz val="17"/>
    </font>
    <font>
      <name val="Segoe UI"/>
      <charset val="1"/>
      <family val="0"/>
      <b val="1"/>
      <color rgb="FF1F4E79"/>
      <sz val="13"/>
    </font>
    <font>
      <name val="Segoe UI"/>
      <charset val="1"/>
      <family val="0"/>
      <color rgb="FF595959"/>
      <sz val="11"/>
    </font>
    <font>
      <name val="Segoe UI"/>
      <charset val="1"/>
      <family val="0"/>
      <b val="1"/>
      <color rgb="FF000000"/>
      <sz val="11"/>
    </font>
    <font>
      <name val="Segoe UI"/>
      <charset val="1"/>
      <family val="0"/>
      <color rgb="FFB3261E"/>
      <sz val="10"/>
    </font>
    <font>
      <name val="Segoe UI"/>
      <charset val="1"/>
      <family val="0"/>
      <b val="1"/>
      <color rgb="FF1F4E79"/>
      <sz val="10"/>
    </font>
    <font>
      <name val="Segoe UI"/>
      <charset val="1"/>
      <family val="0"/>
      <color rgb="FF595959"/>
      <sz val="9"/>
    </font>
    <font>
      <name val="Segoe UI"/>
      <charset val="1"/>
      <family val="0"/>
      <b val="1"/>
      <color rgb="FF0F2742"/>
      <sz val="13"/>
    </font>
    <font>
      <name val="Segoe UI"/>
      <charset val="1"/>
      <family val="0"/>
      <color rgb="FF333333"/>
      <sz val="10"/>
    </font>
    <font>
      <name val="Segoe UI"/>
      <charset val="1"/>
      <family val="0"/>
      <b val="1"/>
      <color rgb="FFB3261E"/>
      <sz val="12"/>
    </font>
    <font>
      <name val="Segoe UI"/>
      <charset val="1"/>
      <family val="0"/>
      <color rgb="FF1F4E79"/>
      <sz val="10"/>
    </font>
    <font>
      <name val="Segoe UI"/>
      <charset val="1"/>
      <family val="0"/>
      <b val="1"/>
      <color rgb="FFFFFFFF"/>
      <sz val="14"/>
    </font>
    <font>
      <name val="Segoe UI"/>
      <charset val="1"/>
      <family val="0"/>
      <b val="1"/>
      <color rgb="FF0F2742"/>
      <sz val="12"/>
    </font>
    <font>
      <name val="Segoe UI"/>
      <charset val="1"/>
      <family val="0"/>
      <b val="1"/>
      <color rgb="FF000000"/>
      <sz val="10"/>
    </font>
    <font>
      <name val="Segoe UI"/>
      <charset val="1"/>
      <family val="0"/>
      <color rgb="FF000000"/>
      <sz val="10"/>
    </font>
    <font>
      <name val="Segoe UI"/>
      <charset val="1"/>
      <family val="0"/>
      <b val="1"/>
      <color rgb="FF0F2742"/>
      <sz val="11"/>
    </font>
    <font>
      <name val="Segoe UI"/>
      <charset val="1"/>
      <family val="0"/>
      <b val="1"/>
      <color rgb="FFFFFFFF"/>
      <sz val="10"/>
    </font>
    <font>
      <name val="Arial"/>
      <family val="2"/>
      <sz val="10"/>
    </font>
    <font>
      <name val="Segoe UI"/>
      <charset val="1"/>
      <family val="0"/>
      <b val="1"/>
      <color rgb="FF1F4E79"/>
      <sz val="11"/>
    </font>
    <font>
      <name val="Segoe UI"/>
      <charset val="1"/>
      <family val="0"/>
      <color rgb="FF006100"/>
      <sz val="10"/>
    </font>
    <font>
      <name val="Segoe UI"/>
      <charset val="1"/>
      <family val="0"/>
      <b val="1"/>
      <color rgb="FF0F2742"/>
      <sz val="14"/>
    </font>
    <font>
      <name val="Segoe UI"/>
      <charset val="1"/>
      <family val="0"/>
      <color rgb="FF006100"/>
      <sz val="12"/>
    </font>
    <font>
      <name val="Segoe UI"/>
      <charset val="1"/>
      <family val="0"/>
      <b val="1"/>
      <color rgb="FF0F2742"/>
      <sz val="10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Segoe UI"/>
      <charset val="1"/>
      <family val="0"/>
      <color rgb="FF595959"/>
      <sz val="10"/>
    </font>
    <font>
      <name val="Segoe UI"/>
      <charset val="1"/>
      <family val="0"/>
      <b val="1"/>
      <color rgb="FF1F4E79"/>
      <sz val="12"/>
    </font>
    <font>
      <name val="Segoe UI"/>
      <charset val="1"/>
      <family val="0"/>
      <b val="1"/>
      <color rgb="FFB3261E"/>
      <sz val="10"/>
    </font>
    <font>
      <name val="Segoe UI"/>
      <charset val="1"/>
      <family val="0"/>
      <b val="1"/>
      <color rgb="FFB3261E"/>
      <sz val="11"/>
    </font>
    <font>
      <name val="Segoe UI"/>
      <charset val="1"/>
      <family val="0"/>
      <color rgb="FF555555"/>
      <sz val="10"/>
    </font>
    <font>
      <name val="Segoe UI"/>
      <charset val="1"/>
      <family val="0"/>
      <b val="1"/>
      <color rgb="FF333333"/>
      <sz val="10"/>
    </font>
    <font>
      <name val="Segoe UI"/>
      <b val="1"/>
      <color rgb="00FFFFFF"/>
      <sz val="13"/>
    </font>
    <font>
      <name val="Segoe UI"/>
      <color rgb="0064748B"/>
      <sz val="9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10B981"/>
      <sz val="8"/>
    </font>
    <font>
      <name val="Segoe UI"/>
      <b val="1"/>
      <color rgb="002563EB"/>
      <sz val="8"/>
    </font>
    <font>
      <name val="Segoe UI"/>
      <b val="1"/>
      <color rgb="0010B981"/>
      <sz val="16"/>
    </font>
    <font>
      <name val="Segoe UI"/>
      <b val="1"/>
      <color rgb="0064748B"/>
      <sz val="8"/>
    </font>
    <font>
      <name val="Segoe UI"/>
      <b val="1"/>
      <color rgb="00991B1B"/>
      <sz val="9"/>
    </font>
    <font>
      <name val="Segoe UI"/>
      <b val="1"/>
      <color rgb="000F172A"/>
      <sz val="11"/>
    </font>
    <font>
      <name val="Segoe UI"/>
      <b val="1"/>
      <color rgb="00FFFFFF"/>
      <sz val="9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</font>
    <font>
      <name val="Segoe UI"/>
      <b val="1"/>
      <color rgb="0010B981"/>
      <sz val="9"/>
    </font>
    <font>
      <name val="Segoe UI"/>
      <b val="1"/>
      <color rgb="00FFFFFF"/>
      <sz val="12"/>
    </font>
    <font>
      <name val="Segoe UI"/>
      <b val="1"/>
      <color rgb="001D4ED8"/>
      <sz val="10"/>
    </font>
    <font>
      <name val="Segoe UI"/>
      <color rgb="0064748B"/>
      <sz val="8"/>
    </font>
    <font>
      <name val="Segoe UI"/>
      <b val="1"/>
      <color rgb="000F172A"/>
      <sz val="10"/>
    </font>
    <font>
      <name val="Segoe UI"/>
      <b val="1"/>
      <color rgb="000F172A"/>
      <sz val="15"/>
    </font>
    <font>
      <name val="Segoe UI"/>
      <b val="1"/>
      <color rgb="000F172A"/>
      <sz val="9"/>
    </font>
    <font>
      <name val="Segoe UI"/>
      <b val="1"/>
      <color rgb="001D4ED8"/>
      <sz val="8"/>
    </font>
    <font>
      <name val="Segoe UI"/>
      <b val="1"/>
      <color rgb="00047857"/>
      <sz val="8"/>
    </font>
    <font>
      <name val="Segoe UI"/>
      <b val="1"/>
      <color rgb="00DC2626"/>
      <sz val="8"/>
    </font>
    <font>
      <name val="Segoe UI"/>
      <b val="1"/>
      <color rgb="00DC2626"/>
      <sz val="18"/>
    </font>
    <font>
      <name val="Segoe UI"/>
      <b val="1"/>
      <color rgb="000F766E"/>
      <sz val="18"/>
    </font>
    <font>
      <name val="Segoe UI"/>
      <b val="1"/>
      <color rgb="00FFFFFF"/>
      <sz val="8"/>
    </font>
    <font>
      <name val="Segoe UI"/>
      <b val="1"/>
      <sz val="8"/>
    </font>
    <font>
      <name val="Segoe UI"/>
      <color rgb="00DC2626"/>
      <sz val="8"/>
    </font>
    <font>
      <name val="Segoe UI"/>
      <sz val="8"/>
    </font>
    <font>
      <name val="Segoe UI"/>
      <b val="1"/>
      <color rgb="00B45309"/>
      <sz val="8"/>
    </font>
    <font>
      <name val="Segoe UI"/>
      <b val="1"/>
      <color rgb="0038BDF8"/>
      <sz val="8"/>
    </font>
    <font>
      <name val="Segoe UI"/>
      <b val="1"/>
      <color rgb="00F43F5E"/>
      <sz val="8"/>
    </font>
    <font>
      <name val="Segoe UI"/>
      <b val="1"/>
      <color rgb="00F59E0B"/>
      <sz val="8"/>
    </font>
    <font>
      <name val="Segoe UI"/>
      <b val="1"/>
      <color rgb="008B5CF6"/>
      <sz val="8"/>
    </font>
    <font>
      <name val="Segoe UI"/>
      <b val="1"/>
      <color rgb="00FFFFFF"/>
      <sz val="7"/>
    </font>
    <font>
      <name val="Segoe UI"/>
      <color rgb="00D1FAE5"/>
      <sz val="8"/>
    </font>
    <font>
      <name val="Segoe UI"/>
      <b val="1"/>
      <color rgb="00065F46"/>
      <sz val="8"/>
    </font>
    <font>
      <name val="Segoe UI"/>
      <b val="1"/>
      <color rgb="00FFFFFF"/>
      <sz val="8.5"/>
    </font>
    <font>
      <name val="Segoe UI"/>
      <sz val="8.5"/>
    </font>
    <font>
      <name val="Segoe UI"/>
      <b val="1"/>
      <sz val="8.5"/>
    </font>
    <font>
      <name val="Segoe UI"/>
      <b val="1"/>
      <color rgb="0038BDF8"/>
      <sz val="11"/>
    </font>
    <font>
      <name val="Segoe UI"/>
      <b val="1"/>
      <color rgb="000F172A"/>
      <sz val="14"/>
    </font>
    <font>
      <name val="Segoe UI"/>
      <color rgb="0064748B"/>
      <sz val="9.5"/>
    </font>
    <font>
      <name val="Segoe UI"/>
      <b val="1"/>
      <color rgb="00047857"/>
      <sz val="8.5"/>
    </font>
    <font>
      <name val="Segoe UI"/>
      <b val="1"/>
      <color rgb="00DC2626"/>
      <sz val="9"/>
    </font>
    <font>
      <name val="Segoe UI"/>
      <color rgb="0064748B"/>
      <sz val="8.5"/>
    </font>
    <font>
      <name val="Segoe UI"/>
      <b val="1"/>
      <color rgb="00047857"/>
      <sz val="9"/>
    </font>
    <font>
      <name val="Segoe UI"/>
      <b val="1"/>
      <color rgb="00DC2626"/>
      <sz val="8.5"/>
    </font>
    <font>
      <name val="Segoe UI"/>
      <b val="1"/>
      <color rgb="001D4ED8"/>
      <sz val="9"/>
    </font>
    <font>
      <name val="Segoe UI"/>
      <b val="1"/>
      <color rgb="001D4ED8"/>
      <sz val="8.5"/>
    </font>
    <font>
      <name val="Carlito"/>
      <b val="1"/>
      <color rgb="FFFFFFFF"/>
      <sz val="16"/>
    </font>
    <font>
      <name val="Carlito"/>
      <b val="1"/>
      <color rgb="FFFFFFFF"/>
      <sz val="10"/>
    </font>
    <font>
      <name val="Carlito"/>
      <b val="1"/>
      <color rgb="FF0F172A"/>
      <sz val="10"/>
    </font>
    <font>
      <name val="Carlito"/>
      <color rgb="FF0F172A"/>
      <sz val="10"/>
    </font>
    <font>
      <name val="Carlito"/>
      <b val="1"/>
      <color rgb="FFFFFFFF"/>
      <sz val="11"/>
    </font>
    <font>
      <name val="Carlito"/>
      <b val="1"/>
      <color rgb="FF1F4E78"/>
      <sz val="10"/>
    </font>
    <font>
      <name val="Carlito"/>
      <b val="1"/>
      <color rgb="FF8B1E2D"/>
      <sz val="10"/>
    </font>
    <font>
      <name val="Carlito"/>
      <b val="1"/>
      <color rgb="FF17324D"/>
      <sz val="11"/>
    </font>
    <font>
      <name val="Carlito"/>
      <sz val="11"/>
    </font>
    <font>
      <name val="Carlito"/>
      <b val="1"/>
      <color rgb="FF6B4F1D"/>
      <sz val="10"/>
    </font>
    <font>
      <name val="Carlito"/>
      <b val="1"/>
      <color rgb="FF0F6E56"/>
      <sz val="11"/>
    </font>
    <font>
      <name val="Carlito"/>
      <b val="1"/>
      <color rgb="FF0F6E56"/>
      <sz val="10"/>
    </font>
    <font>
      <name val="Carlito"/>
      <b val="1"/>
      <color rgb="FF5B2C83"/>
      <sz val="10"/>
    </font>
    <font>
      <name val="Carlito"/>
      <b val="1"/>
      <color rgb="FFA32D2D"/>
      <sz val="10"/>
    </font>
  </fonts>
  <fills count="34">
    <fill>
      <patternFill/>
    </fill>
    <fill>
      <patternFill patternType="gray125"/>
    </fill>
    <fill>
      <patternFill patternType="solid">
        <fgColor rgb="FF0F2742"/>
        <bgColor rgb="FF333333"/>
      </patternFill>
    </fill>
    <fill>
      <patternFill patternType="solid">
        <fgColor rgb="FFDDEBF7"/>
        <bgColor rgb="FFD9EAD3"/>
      </patternFill>
    </fill>
    <fill>
      <patternFill patternType="solid">
        <fgColor rgb="FFF2F2F2"/>
        <bgColor rgb="FFDDEBF7"/>
      </patternFill>
    </fill>
    <fill>
      <patternFill patternType="solid">
        <fgColor rgb="FFFFF2CC"/>
        <bgColor rgb="FFF2F2F2"/>
      </patternFill>
    </fill>
    <fill>
      <patternFill patternType="solid">
        <fgColor rgb="FF1F4E79"/>
        <bgColor rgb="FF555555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FFBEB"/>
        <bgColor rgb="00FFFBEB"/>
      </patternFill>
    </fill>
    <fill>
      <patternFill patternType="solid">
        <fgColor rgb="00059669"/>
        <bgColor rgb="00059669"/>
      </patternFill>
    </fill>
    <fill>
      <patternFill patternType="solid">
        <fgColor rgb="00EFF6FF"/>
        <bgColor rgb="00EFF6FF"/>
      </patternFill>
    </fill>
    <fill>
      <patternFill patternType="solid">
        <fgColor rgb="00FEF2F2"/>
        <bgColor rgb="00FEF2F2"/>
      </patternFill>
    </fill>
    <fill>
      <patternFill patternType="solid">
        <fgColor rgb="00ECFDF5"/>
        <bgColor rgb="00ECFDF5"/>
      </patternFill>
    </fill>
    <fill>
      <patternFill patternType="solid">
        <fgColor rgb="0010B981"/>
        <bgColor rgb="0010B981"/>
      </patternFill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  <fill>
      <patternFill patternType="solid">
        <fgColor rgb="00065F46"/>
        <bgColor rgb="00065F46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FF1F2"/>
        <bgColor rgb="00FFF1F2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8B1E2D"/>
      </patternFill>
    </fill>
    <fill>
      <patternFill patternType="solid">
        <fgColor rgb="FFFBECEC"/>
      </patternFill>
    </fill>
    <fill>
      <patternFill patternType="solid">
        <fgColor rgb="FF6B4F1D"/>
      </patternFill>
    </fill>
    <fill>
      <patternFill patternType="solid">
        <fgColor rgb="FFFBF2D5"/>
      </patternFill>
    </fill>
    <fill>
      <patternFill patternType="solid">
        <fgColor rgb="FFE7F5EF"/>
      </patternFill>
    </fill>
    <fill>
      <patternFill patternType="solid">
        <fgColor rgb="FF0F6E56"/>
      </patternFill>
    </fill>
    <fill>
      <patternFill patternType="solid">
        <fgColor rgb="FF5B2C83"/>
      </patternFill>
    </fill>
    <fill>
      <patternFill patternType="solid">
        <fgColor rgb="FFF0E6F7"/>
      </patternFill>
    </fill>
  </fills>
  <borders count="34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10B981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EF4444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2563EB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A7F3D0"/>
      </left>
      <right style="thin">
        <color rgb="00A7F3D0"/>
      </right>
      <top style="thin">
        <color rgb="00A7F3D0"/>
      </top>
      <bottom style="thin">
        <color rgb="00A7F3D0"/>
      </bottom>
    </border>
    <border>
      <left style="thick">
        <color rgb="0010B981"/>
      </left>
    </border>
    <border>
      <left style="thin">
        <color rgb="00FECACA"/>
      </left>
      <right style="thin">
        <color rgb="00FECACA"/>
      </right>
      <top style="thin">
        <color rgb="00FECACA"/>
      </top>
      <bottom style="thin">
        <color rgb="00FECACA"/>
      </bottom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</border>
    <border>
      <left/>
      <right/>
      <top style="thin">
        <color rgb="00A7F3D0"/>
      </top>
      <bottom/>
      <diagonal/>
    </border>
    <border>
      <left style="thin">
        <color rgb="00A7F3D0"/>
      </left>
      <right/>
      <top/>
      <bottom/>
      <diagonal/>
    </border>
    <border>
      <left/>
      <right style="thin">
        <color rgb="00A7F3D0"/>
      </right>
      <top style="thin">
        <color rgb="00A7F3D0"/>
      </top>
      <bottom/>
      <diagonal/>
    </border>
    <border>
      <left/>
      <right style="thin">
        <color rgb="00A7F3D0"/>
      </right>
      <top/>
      <bottom/>
      <diagonal/>
    </border>
    <border>
      <left style="thin">
        <color rgb="00A7F3D0"/>
      </left>
      <right/>
      <top/>
      <bottom style="thin">
        <color rgb="00A7F3D0"/>
      </bottom>
      <diagonal/>
    </border>
    <border>
      <left/>
      <right/>
      <top/>
      <bottom style="thin">
        <color rgb="00A7F3D0"/>
      </bottom>
      <diagonal/>
    </border>
    <border>
      <left/>
      <right style="thin">
        <color rgb="00A7F3D0"/>
      </right>
      <top/>
      <bottom style="thin">
        <color rgb="00A7F3D0"/>
      </bottom>
      <diagonal/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/>
      <right/>
      <top style="thin">
        <color rgb="00FECACA"/>
      </top>
      <bottom/>
      <diagonal/>
    </border>
    <border>
      <left style="thin">
        <color rgb="00FECACA"/>
      </left>
      <right/>
      <top/>
      <bottom/>
      <diagonal/>
    </border>
    <border>
      <left/>
      <right style="thin">
        <color rgb="00FECACA"/>
      </right>
      <top style="thin">
        <color rgb="00FECACA"/>
      </top>
      <bottom/>
      <diagonal/>
    </border>
    <border>
      <left/>
      <right style="thin">
        <color rgb="00FECACA"/>
      </right>
      <top/>
      <bottom/>
      <diagonal/>
    </border>
    <border>
      <left style="thin">
        <color rgb="00FECACA"/>
      </left>
      <right/>
      <top/>
      <bottom style="thin">
        <color rgb="00FECACA"/>
      </bottom>
      <diagonal/>
    </border>
    <border>
      <left/>
      <right/>
      <top/>
      <bottom style="thin">
        <color rgb="00FECACA"/>
      </bottom>
      <diagonal/>
    </border>
    <border>
      <left/>
      <right style="thin">
        <color rgb="00FECACA"/>
      </right>
      <top/>
      <bottom style="thin">
        <color rgb="00FECACA"/>
      </bottom>
      <diagonal/>
    </border>
    <border>
      <left/>
      <right/>
      <top style="thin">
        <color rgb="00BFDBFE"/>
      </top>
      <bottom/>
      <diagonal/>
    </border>
    <border>
      <left style="thin">
        <color rgb="00BFDBFE"/>
      </left>
      <right/>
      <top/>
      <bottom/>
      <diagonal/>
    </border>
    <border>
      <left/>
      <right style="thin">
        <color rgb="00BFDBFE"/>
      </right>
      <top style="thin">
        <color rgb="00BFDBFE"/>
      </top>
      <bottom/>
      <diagonal/>
    </border>
    <border>
      <left/>
      <right style="thin">
        <color rgb="00BFDBFE"/>
      </right>
      <top/>
      <bottom/>
      <diagonal/>
    </border>
    <border>
      <left style="thin">
        <color rgb="00BFDBFE"/>
      </left>
      <right/>
      <top/>
      <bottom style="thin">
        <color rgb="00BFDBFE"/>
      </bottom>
      <diagonal/>
    </border>
    <border>
      <left/>
      <right/>
      <top/>
      <bottom style="thin">
        <color rgb="00BFDBFE"/>
      </bottom>
      <diagonal/>
    </border>
    <border>
      <left/>
      <right style="thin">
        <color rgb="00BFDBFE"/>
      </right>
      <top/>
      <bottom style="thin">
        <color rgb="00BFDBFE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4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left" vertical="center"/>
    </xf>
    <xf numFmtId="0" fontId="14" fillId="3" borderId="0" applyAlignment="1" pivotButton="0" quotePrefix="0" xfId="0">
      <alignment horizontal="left" vertical="center" indent="1"/>
    </xf>
    <xf numFmtId="0" fontId="15" fillId="2" borderId="0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left" vertical="center"/>
    </xf>
    <xf numFmtId="0" fontId="17" fillId="4" borderId="0" applyAlignment="1" pivotButton="0" quotePrefix="0" xfId="0">
      <alignment horizontal="left" vertical="center"/>
    </xf>
    <xf numFmtId="0" fontId="18" fillId="5" borderId="0" applyAlignment="1" applyProtection="1" pivotButton="0" quotePrefix="0" xfId="0">
      <alignment horizontal="left" vertical="center"/>
      <protection locked="0" hidden="0"/>
    </xf>
    <xf numFmtId="164" fontId="18" fillId="5" borderId="0" applyAlignment="1" applyProtection="1" pivotButton="0" quotePrefix="0" xfId="0">
      <alignment horizontal="left" vertical="center"/>
      <protection locked="0" hidden="0"/>
    </xf>
    <xf numFmtId="0" fontId="19" fillId="0" borderId="0" applyAlignment="1" pivotButton="0" quotePrefix="0" xfId="0">
      <alignment horizontal="left" vertical="center"/>
    </xf>
    <xf numFmtId="0" fontId="20" fillId="6" borderId="0" applyAlignment="1" pivotButton="0" quotePrefix="0" xfId="0">
      <alignment horizontal="center" vertical="center" wrapText="1"/>
    </xf>
    <xf numFmtId="0" fontId="0" fillId="5" borderId="0" applyAlignment="1" applyProtection="1" pivotButton="0" quotePrefix="0" xfId="0">
      <alignment horizontal="general" vertical="bottom"/>
      <protection locked="0" hidden="0"/>
    </xf>
    <xf numFmtId="164" fontId="0" fillId="5" borderId="0" applyAlignment="1" applyProtection="1" pivotButton="0" quotePrefix="0" xfId="0">
      <alignment horizontal="general" vertical="bottom"/>
      <protection locked="0" hidden="0"/>
    </xf>
    <xf numFmtId="3" fontId="0" fillId="5" borderId="0" applyAlignment="1" applyProtection="1" pivotButton="0" quotePrefix="0" xfId="0">
      <alignment horizontal="general" vertical="bottom"/>
      <protection locked="0" hidden="0"/>
    </xf>
    <xf numFmtId="164" fontId="0" fillId="0" borderId="0" applyAlignment="1" pivotButton="0" quotePrefix="0" xfId="0">
      <alignment horizontal="general" vertical="bottom"/>
    </xf>
    <xf numFmtId="0" fontId="0" fillId="5" borderId="0" applyAlignment="1" applyProtection="1" pivotButton="0" quotePrefix="0" xfId="0">
      <alignment horizontal="general" vertical="bottom"/>
      <protection locked="0" hidden="0"/>
    </xf>
    <xf numFmtId="0" fontId="14" fillId="3" borderId="0" applyAlignment="1" applyProtection="1" pivotButton="0" quotePrefix="0" xfId="0">
      <alignment horizontal="left" vertical="center" indent="1"/>
      <protection locked="0" hidden="0"/>
    </xf>
    <xf numFmtId="0" fontId="22" fillId="0" borderId="0" applyAlignment="1" pivotButton="0" quotePrefix="0" xfId="0">
      <alignment horizontal="left" vertical="center"/>
    </xf>
    <xf numFmtId="164" fontId="23" fillId="0" borderId="0" applyAlignment="1" pivotButton="0" quotePrefix="0" xfId="0">
      <alignment horizontal="left" vertical="center"/>
    </xf>
    <xf numFmtId="3" fontId="23" fillId="0" borderId="0" applyAlignment="1" pivotButton="0" quotePrefix="0" xfId="0">
      <alignment horizontal="left" vertical="center"/>
    </xf>
    <xf numFmtId="165" fontId="23" fillId="0" borderId="0" applyAlignment="1" pivotButton="0" quotePrefix="0" xfId="0">
      <alignment horizontal="left" vertical="center"/>
    </xf>
    <xf numFmtId="3" fontId="1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24" fillId="0" borderId="0" applyAlignment="1" pivotButton="0" quotePrefix="0" xfId="0">
      <alignment horizontal="left" vertical="center"/>
    </xf>
    <xf numFmtId="164" fontId="25" fillId="0" borderId="0" applyAlignment="1" pivotButton="0" quotePrefix="0" xfId="0">
      <alignment horizontal="left" vertical="center"/>
    </xf>
    <xf numFmtId="165" fontId="25" fillId="0" borderId="0" applyAlignment="1" pivotButton="0" quotePrefix="0" xfId="0">
      <alignment horizontal="left" vertical="center"/>
    </xf>
    <xf numFmtId="3" fontId="25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 wrapText="1"/>
    </xf>
    <xf numFmtId="0" fontId="26" fillId="0" borderId="0" applyAlignment="1" pivotButton="0" quotePrefix="0" xfId="0">
      <alignment horizontal="left" vertical="center"/>
    </xf>
    <xf numFmtId="0" fontId="29" fillId="0" borderId="0" applyAlignment="1" pivotButton="0" quotePrefix="0" xfId="0">
      <alignment horizontal="left" vertical="center" wrapText="1"/>
    </xf>
    <xf numFmtId="0" fontId="24" fillId="0" borderId="0" applyAlignment="1" pivotButton="0" quotePrefix="0" xfId="0">
      <alignment horizontal="left" vertical="center"/>
    </xf>
    <xf numFmtId="0" fontId="29" fillId="0" borderId="0" applyAlignment="1" pivotButton="0" quotePrefix="0" xfId="0">
      <alignment horizontal="left" vertical="center" wrapText="1"/>
    </xf>
    <xf numFmtId="0" fontId="30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31" fillId="0" borderId="0" applyAlignment="1" pivotButton="0" quotePrefix="0" xfId="0">
      <alignment horizontal="left" vertical="center" wrapText="1"/>
    </xf>
    <xf numFmtId="0" fontId="18" fillId="4" borderId="0" applyAlignment="1" pivotButton="0" quotePrefix="0" xfId="0">
      <alignment horizontal="left" vertical="center"/>
    </xf>
    <xf numFmtId="0" fontId="32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164" fontId="18" fillId="0" borderId="0" applyAlignment="1" pivotButton="0" quotePrefix="0" xfId="0">
      <alignment horizontal="left" vertical="center"/>
    </xf>
    <xf numFmtId="3" fontId="18" fillId="0" borderId="0" applyAlignment="1" pivotButton="0" quotePrefix="0" xfId="0">
      <alignment horizontal="left" vertical="center"/>
    </xf>
    <xf numFmtId="2" fontId="0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/>
    </xf>
    <xf numFmtId="166" fontId="18" fillId="0" borderId="0" applyAlignment="1" pivotButton="0" quotePrefix="0" xfId="0">
      <alignment horizontal="left" vertical="center"/>
    </xf>
    <xf numFmtId="0" fontId="33" fillId="0" borderId="0" applyAlignment="1" pivotButton="0" quotePrefix="0" xfId="0">
      <alignment horizontal="center" vertical="center"/>
    </xf>
    <xf numFmtId="0" fontId="33" fillId="0" borderId="0" applyAlignment="1" pivotButton="0" quotePrefix="0" xfId="0">
      <alignment horizontal="left" vertical="center" wrapText="1"/>
    </xf>
    <xf numFmtId="165" fontId="18" fillId="5" borderId="0" applyAlignment="1" applyProtection="1" pivotButton="0" quotePrefix="0" xfId="0">
      <alignment horizontal="left" vertical="center"/>
      <protection locked="0" hidden="0"/>
    </xf>
    <xf numFmtId="3" fontId="18" fillId="5" borderId="0" applyAlignment="1" applyProtection="1" pivotButton="0" quotePrefix="0" xfId="0">
      <alignment horizontal="left" vertical="center"/>
      <protection locked="0" hidden="0"/>
    </xf>
    <xf numFmtId="0" fontId="33" fillId="0" borderId="0" applyAlignment="1" pivotButton="0" quotePrefix="0" xfId="0">
      <alignment horizontal="left" vertical="center" wrapText="1"/>
    </xf>
    <xf numFmtId="0" fontId="34" fillId="0" borderId="0" applyAlignment="1" pivotButton="0" quotePrefix="0" xfId="0">
      <alignment horizontal="left" vertical="center"/>
    </xf>
    <xf numFmtId="0" fontId="33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35" fillId="7" borderId="0" applyAlignment="1" pivotButton="0" quotePrefix="0" xfId="0">
      <alignment horizontal="center" vertical="center"/>
    </xf>
    <xf numFmtId="0" fontId="36" fillId="0" borderId="0" applyAlignment="1" pivotButton="0" quotePrefix="0" xfId="0">
      <alignment horizontal="center" vertical="center"/>
    </xf>
    <xf numFmtId="0" fontId="37" fillId="0" borderId="0" pivotButton="0" quotePrefix="0" xfId="0"/>
    <xf numFmtId="0" fontId="43" fillId="0" borderId="0" pivotButton="0" quotePrefix="0" xfId="0"/>
    <xf numFmtId="0" fontId="38" fillId="0" borderId="0" applyAlignment="1" pivotButton="0" quotePrefix="0" xfId="0">
      <alignment vertical="center"/>
    </xf>
    <xf numFmtId="0" fontId="41" fillId="0" borderId="0" applyAlignment="1" pivotButton="0" quotePrefix="0" xfId="0">
      <alignment vertical="center"/>
    </xf>
    <xf numFmtId="0" fontId="43" fillId="8" borderId="0" applyAlignment="1" pivotButton="0" quotePrefix="0" xfId="0">
      <alignment horizontal="center" vertical="center" wrapText="1"/>
    </xf>
    <xf numFmtId="0" fontId="39" fillId="0" borderId="0" pivotButton="0" quotePrefix="0" xfId="0"/>
    <xf numFmtId="0" fontId="40" fillId="0" borderId="0" pivotButton="0" quotePrefix="0" xfId="0"/>
    <xf numFmtId="0" fontId="42" fillId="0" borderId="0" pivotButton="0" quotePrefix="0" xfId="0"/>
    <xf numFmtId="0" fontId="44" fillId="0" borderId="0" pivotButton="0" quotePrefix="0" xfId="0"/>
    <xf numFmtId="0" fontId="45" fillId="7" borderId="0" applyAlignment="1" pivotButton="0" quotePrefix="0" xfId="0">
      <alignment horizontal="center" vertical="center"/>
    </xf>
    <xf numFmtId="0" fontId="46" fillId="0" borderId="0" pivotButton="0" quotePrefix="0" xfId="0"/>
    <xf numFmtId="167" fontId="46" fillId="0" borderId="0" pivotButton="0" quotePrefix="0" xfId="0"/>
    <xf numFmtId="167" fontId="47" fillId="0" borderId="0" pivotButton="0" quotePrefix="0" xfId="0"/>
    <xf numFmtId="168" fontId="46" fillId="0" borderId="0" pivotButton="0" quotePrefix="0" xfId="0"/>
    <xf numFmtId="0" fontId="48" fillId="0" borderId="0" pivotButton="0" quotePrefix="0" xfId="0"/>
    <xf numFmtId="0" fontId="49" fillId="0" borderId="0" pivotButton="0" quotePrefix="0" xfId="0"/>
    <xf numFmtId="0" fontId="50" fillId="7" borderId="0" applyAlignment="1" pivotButton="0" quotePrefix="0" xfId="0">
      <alignment horizontal="center" vertical="center"/>
    </xf>
    <xf numFmtId="0" fontId="45" fillId="7" borderId="0" applyAlignment="1" pivotButton="0" quotePrefix="0" xfId="0">
      <alignment horizontal="center"/>
    </xf>
    <xf numFmtId="0" fontId="47" fillId="0" borderId="0" pivotButton="0" quotePrefix="0" xfId="0"/>
    <xf numFmtId="0" fontId="51" fillId="9" borderId="1" pivotButton="0" quotePrefix="0" xfId="0"/>
    <xf numFmtId="0" fontId="52" fillId="0" borderId="0" pivotButton="0" quotePrefix="0" xfId="0"/>
    <xf numFmtId="0" fontId="53" fillId="0" borderId="0" pivotButton="0" quotePrefix="0" xfId="0"/>
    <xf numFmtId="0" fontId="46" fillId="0" borderId="0" applyAlignment="1" pivotButton="0" quotePrefix="0" xfId="0">
      <alignment wrapText="1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left" vertical="center"/>
    </xf>
    <xf numFmtId="0" fontId="14" fillId="3" borderId="0" applyAlignment="1" pivotButton="0" quotePrefix="0" xfId="0">
      <alignment horizontal="left" vertical="center" indent="1"/>
    </xf>
    <xf numFmtId="0" fontId="15" fillId="2" borderId="0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left" vertical="center"/>
    </xf>
    <xf numFmtId="0" fontId="17" fillId="4" borderId="0" applyAlignment="1" pivotButton="0" quotePrefix="0" xfId="0">
      <alignment horizontal="left" vertical="center"/>
    </xf>
    <xf numFmtId="0" fontId="18" fillId="5" borderId="0" applyAlignment="1" applyProtection="1" pivotButton="0" quotePrefix="0" xfId="0">
      <alignment horizontal="left" vertical="center"/>
      <protection locked="0" hidden="0"/>
    </xf>
    <xf numFmtId="164" fontId="18" fillId="5" borderId="0" applyAlignment="1" applyProtection="1" pivotButton="0" quotePrefix="0" xfId="0">
      <alignment horizontal="left" vertical="center"/>
      <protection locked="0" hidden="0"/>
    </xf>
    <xf numFmtId="0" fontId="19" fillId="0" borderId="0" applyAlignment="1" pivotButton="0" quotePrefix="0" xfId="0">
      <alignment horizontal="left" vertical="center"/>
    </xf>
    <xf numFmtId="0" fontId="20" fillId="6" borderId="0" applyAlignment="1" pivotButton="0" quotePrefix="0" xfId="0">
      <alignment horizontal="center" vertical="center" wrapText="1"/>
    </xf>
    <xf numFmtId="0" fontId="0" fillId="5" borderId="0" applyAlignment="1" applyProtection="1" pivotButton="0" quotePrefix="0" xfId="0">
      <alignment horizontal="general" vertical="bottom"/>
      <protection locked="0" hidden="0"/>
    </xf>
    <xf numFmtId="164" fontId="0" fillId="5" borderId="0" applyAlignment="1" applyProtection="1" pivotButton="0" quotePrefix="0" xfId="0">
      <alignment horizontal="general" vertical="bottom"/>
      <protection locked="0" hidden="0"/>
    </xf>
    <xf numFmtId="3" fontId="0" fillId="5" borderId="0" applyAlignment="1" applyProtection="1" pivotButton="0" quotePrefix="0" xfId="0">
      <alignment horizontal="general" vertical="bottom"/>
      <protection locked="0" hidden="0"/>
    </xf>
    <xf numFmtId="164" fontId="0" fillId="0" borderId="0" applyAlignment="1" pivotButton="0" quotePrefix="0" xfId="0">
      <alignment horizontal="general" vertical="bottom"/>
    </xf>
    <xf numFmtId="0" fontId="14" fillId="3" borderId="0" applyAlignment="1" applyProtection="1" pivotButton="0" quotePrefix="0" xfId="0">
      <alignment horizontal="left" vertical="center" indent="1"/>
      <protection locked="0" hidden="0"/>
    </xf>
    <xf numFmtId="0" fontId="0" fillId="0" borderId="0" applyProtection="1" pivotButton="0" quotePrefix="0" xfId="0">
      <protection locked="0" hidden="0"/>
    </xf>
    <xf numFmtId="0" fontId="22" fillId="0" borderId="0" applyAlignment="1" pivotButton="0" quotePrefix="0" xfId="0">
      <alignment horizontal="left" vertical="center"/>
    </xf>
    <xf numFmtId="164" fontId="23" fillId="0" borderId="0" applyAlignment="1" pivotButton="0" quotePrefix="0" xfId="0">
      <alignment horizontal="left" vertical="center"/>
    </xf>
    <xf numFmtId="3" fontId="23" fillId="0" borderId="0" applyAlignment="1" pivotButton="0" quotePrefix="0" xfId="0">
      <alignment horizontal="left" vertical="center"/>
    </xf>
    <xf numFmtId="165" fontId="23" fillId="0" borderId="0" applyAlignment="1" pivotButton="0" quotePrefix="0" xfId="0">
      <alignment horizontal="left" vertical="center"/>
    </xf>
    <xf numFmtId="3" fontId="1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24" fillId="0" borderId="0" applyAlignment="1" pivotButton="0" quotePrefix="0" xfId="0">
      <alignment horizontal="left" vertical="center"/>
    </xf>
    <xf numFmtId="164" fontId="25" fillId="0" borderId="0" applyAlignment="1" pivotButton="0" quotePrefix="0" xfId="0">
      <alignment horizontal="left" vertical="center"/>
    </xf>
    <xf numFmtId="165" fontId="25" fillId="0" borderId="0" applyAlignment="1" pivotButton="0" quotePrefix="0" xfId="0">
      <alignment horizontal="left" vertical="center"/>
    </xf>
    <xf numFmtId="3" fontId="25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 wrapText="1"/>
    </xf>
    <xf numFmtId="0" fontId="26" fillId="0" borderId="0" applyAlignment="1" pivotButton="0" quotePrefix="0" xfId="0">
      <alignment horizontal="left" vertical="center"/>
    </xf>
    <xf numFmtId="0" fontId="29" fillId="0" borderId="0" applyAlignment="1" pivotButton="0" quotePrefix="0" xfId="0">
      <alignment horizontal="left" vertical="center" wrapText="1"/>
    </xf>
    <xf numFmtId="0" fontId="30" fillId="0" borderId="0" applyAlignment="1" pivotButton="0" quotePrefix="0" xfId="0">
      <alignment horizontal="left" vertical="center"/>
    </xf>
    <xf numFmtId="0" fontId="31" fillId="0" borderId="0" applyAlignment="1" pivotButton="0" quotePrefix="0" xfId="0">
      <alignment horizontal="left" vertical="center" wrapText="1"/>
    </xf>
    <xf numFmtId="0" fontId="18" fillId="4" borderId="0" applyAlignment="1" pivotButton="0" quotePrefix="0" xfId="0">
      <alignment horizontal="left" vertical="center"/>
    </xf>
    <xf numFmtId="0" fontId="32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164" fontId="18" fillId="0" borderId="0" applyAlignment="1" pivotButton="0" quotePrefix="0" xfId="0">
      <alignment horizontal="left" vertical="center"/>
    </xf>
    <xf numFmtId="3" fontId="18" fillId="0" borderId="0" applyAlignment="1" pivotButton="0" quotePrefix="0" xfId="0">
      <alignment horizontal="left" vertical="center"/>
    </xf>
    <xf numFmtId="2" fontId="0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 wrapText="1"/>
    </xf>
    <xf numFmtId="166" fontId="18" fillId="0" borderId="0" applyAlignment="1" pivotButton="0" quotePrefix="0" xfId="0">
      <alignment horizontal="left" vertical="center"/>
    </xf>
    <xf numFmtId="0" fontId="33" fillId="0" borderId="0" applyAlignment="1" pivotButton="0" quotePrefix="0" xfId="0">
      <alignment horizontal="center" vertical="center"/>
    </xf>
    <xf numFmtId="0" fontId="33" fillId="0" borderId="0" applyAlignment="1" pivotButton="0" quotePrefix="0" xfId="0">
      <alignment horizontal="left" vertical="center" wrapText="1"/>
    </xf>
    <xf numFmtId="165" fontId="18" fillId="5" borderId="0" applyAlignment="1" applyProtection="1" pivotButton="0" quotePrefix="0" xfId="0">
      <alignment horizontal="left" vertical="center"/>
      <protection locked="0" hidden="0"/>
    </xf>
    <xf numFmtId="3" fontId="18" fillId="5" borderId="0" applyAlignment="1" applyProtection="1" pivotButton="0" quotePrefix="0" xfId="0">
      <alignment horizontal="left" vertical="center"/>
      <protection locked="0" hidden="0"/>
    </xf>
    <xf numFmtId="0" fontId="34" fillId="0" borderId="0" applyAlignment="1" pivotButton="0" quotePrefix="0" xfId="0">
      <alignment horizontal="left" vertical="center"/>
    </xf>
    <xf numFmtId="0" fontId="33" fillId="0" borderId="0" applyAlignment="1" pivotButton="0" quotePrefix="0" xfId="0">
      <alignment horizontal="left" vertical="center"/>
    </xf>
    <xf numFmtId="0" fontId="54" fillId="0" borderId="0" pivotButton="0" quotePrefix="0" xfId="0"/>
    <xf numFmtId="0" fontId="55" fillId="0" borderId="1" applyAlignment="1" pivotButton="0" quotePrefix="0" xfId="0">
      <alignment horizontal="center" vertical="center"/>
    </xf>
    <xf numFmtId="0" fontId="45" fillId="10" borderId="0" applyAlignment="1" pivotButton="0" quotePrefix="0" xfId="0">
      <alignment horizontal="center" vertical="center"/>
    </xf>
    <xf numFmtId="0" fontId="36" fillId="0" borderId="0" pivotButton="0" quotePrefix="0" xfId="0"/>
    <xf numFmtId="0" fontId="42" fillId="0" borderId="2" pivotButton="0" quotePrefix="0" xfId="0"/>
    <xf numFmtId="0" fontId="0" fillId="0" borderId="1" pivotButton="0" quotePrefix="0" xfId="0"/>
    <xf numFmtId="0" fontId="56" fillId="11" borderId="1" applyAlignment="1" pivotButton="0" quotePrefix="0" xfId="0">
      <alignment horizontal="center"/>
    </xf>
    <xf numFmtId="0" fontId="42" fillId="0" borderId="3" pivotButton="0" quotePrefix="0" xfId="0"/>
    <xf numFmtId="0" fontId="58" fillId="12" borderId="1" applyAlignment="1" pivotButton="0" quotePrefix="0" xfId="0">
      <alignment horizontal="center"/>
    </xf>
    <xf numFmtId="0" fontId="57" fillId="13" borderId="1" applyAlignment="1" pivotButton="0" quotePrefix="0" xfId="0">
      <alignment horizontal="center"/>
    </xf>
    <xf numFmtId="0" fontId="42" fillId="0" borderId="4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38" fillId="0" borderId="2" pivotButton="0" quotePrefix="0" xfId="0"/>
    <xf numFmtId="0" fontId="59" fillId="0" borderId="3" pivotButton="0" quotePrefix="0" xfId="0"/>
    <xf numFmtId="0" fontId="60" fillId="0" borderId="4" pivotButton="0" quotePrefix="0" xfId="0"/>
    <xf numFmtId="0" fontId="57" fillId="0" borderId="2" pivotButton="0" quotePrefix="0" xfId="0"/>
    <xf numFmtId="0" fontId="52" fillId="0" borderId="3" pivotButton="0" quotePrefix="0" xfId="0"/>
    <xf numFmtId="0" fontId="57" fillId="0" borderId="4" pivotButton="0" quotePrefix="0" xfId="0"/>
    <xf numFmtId="0" fontId="61" fillId="14" borderId="0" applyAlignment="1" pivotButton="0" quotePrefix="0" xfId="0">
      <alignment horizontal="center"/>
    </xf>
    <xf numFmtId="0" fontId="62" fillId="0" borderId="0" pivotButton="0" quotePrefix="0" xfId="0"/>
    <xf numFmtId="0" fontId="61" fillId="15" borderId="0" applyAlignment="1" pivotButton="0" quotePrefix="0" xfId="0">
      <alignment horizontal="center" vertical="center"/>
    </xf>
    <xf numFmtId="0" fontId="62" fillId="0" borderId="1" pivotButton="0" quotePrefix="0" xfId="0"/>
    <xf numFmtId="0" fontId="63" fillId="0" borderId="1" pivotButton="0" quotePrefix="0" xfId="0"/>
    <xf numFmtId="0" fontId="64" fillId="0" borderId="1" pivotButton="0" quotePrefix="0" xfId="0"/>
    <xf numFmtId="0" fontId="65" fillId="16" borderId="1" applyAlignment="1" pivotButton="0" quotePrefix="0" xfId="0">
      <alignment horizontal="center"/>
    </xf>
    <xf numFmtId="0" fontId="61" fillId="7" borderId="0" pivotButton="0" quotePrefix="0" xfId="0"/>
    <xf numFmtId="0" fontId="66" fillId="7" borderId="0" pivotButton="0" quotePrefix="0" xfId="0"/>
    <xf numFmtId="0" fontId="67" fillId="7" borderId="0" pivotButton="0" quotePrefix="0" xfId="0"/>
    <xf numFmtId="0" fontId="0" fillId="7" borderId="0" pivotButton="0" quotePrefix="0" xfId="0"/>
    <xf numFmtId="0" fontId="39" fillId="7" borderId="0" applyAlignment="1" pivotButton="0" quotePrefix="0" xfId="0">
      <alignment horizontal="center"/>
    </xf>
    <xf numFmtId="0" fontId="55" fillId="0" borderId="0" pivotButton="0" quotePrefix="0" xfId="0"/>
    <xf numFmtId="0" fontId="70" fillId="17" borderId="0" pivotButton="0" quotePrefix="0" xfId="0"/>
    <xf numFmtId="0" fontId="0" fillId="17" borderId="0" pivotButton="0" quotePrefix="0" xfId="0"/>
    <xf numFmtId="0" fontId="57" fillId="0" borderId="0" pivotButton="0" quotePrefix="0" xfId="0"/>
    <xf numFmtId="0" fontId="45" fillId="17" borderId="0" pivotButton="0" quotePrefix="0" xfId="0"/>
    <xf numFmtId="0" fontId="71" fillId="17" borderId="0" applyAlignment="1" pivotButton="0" quotePrefix="0" xfId="0">
      <alignment wrapText="1"/>
    </xf>
    <xf numFmtId="0" fontId="68" fillId="0" borderId="0" pivotButton="0" quotePrefix="0" xfId="0"/>
    <xf numFmtId="0" fontId="69" fillId="0" borderId="0" pivotButton="0" quotePrefix="0" xfId="0"/>
    <xf numFmtId="0" fontId="57" fillId="13" borderId="5" applyAlignment="1" pivotButton="0" quotePrefix="0" xfId="0">
      <alignment horizontal="center" vertical="center"/>
    </xf>
    <xf numFmtId="0" fontId="72" fillId="18" borderId="0" applyAlignment="1" pivotButton="0" quotePrefix="0" xfId="0">
      <alignment horizontal="center" vertical="center"/>
    </xf>
    <xf numFmtId="0" fontId="36" fillId="19" borderId="1" applyAlignment="1" pivotButton="0" quotePrefix="0" xfId="0">
      <alignment vertical="center"/>
    </xf>
    <xf numFmtId="0" fontId="56" fillId="11" borderId="0" applyAlignment="1" pivotButton="0" quotePrefix="0" xfId="0">
      <alignment horizontal="center" vertical="center"/>
    </xf>
    <xf numFmtId="0" fontId="57" fillId="13" borderId="0" applyAlignment="1" pivotButton="0" quotePrefix="0" xfId="0">
      <alignment horizontal="center" vertical="center"/>
    </xf>
    <xf numFmtId="0" fontId="73" fillId="7" borderId="0" applyAlignment="1" pivotButton="0" quotePrefix="0" xfId="0">
      <alignment horizontal="center" vertical="center"/>
    </xf>
    <xf numFmtId="0" fontId="74" fillId="19" borderId="1" applyAlignment="1" pivotButton="0" quotePrefix="0" xfId="0">
      <alignment horizontal="center"/>
    </xf>
    <xf numFmtId="0" fontId="75" fillId="19" borderId="1" applyAlignment="1" pivotButton="0" quotePrefix="0" xfId="0">
      <alignment horizontal="center"/>
    </xf>
    <xf numFmtId="0" fontId="74" fillId="19" borderId="1" pivotButton="0" quotePrefix="0" xfId="0"/>
    <xf numFmtId="169" fontId="75" fillId="19" borderId="1" applyAlignment="1" pivotButton="0" quotePrefix="0" xfId="0">
      <alignment horizontal="right"/>
    </xf>
    <xf numFmtId="9" fontId="74" fillId="19" borderId="1" applyAlignment="1" pivotButton="0" quotePrefix="0" xfId="0">
      <alignment horizontal="center"/>
    </xf>
    <xf numFmtId="169" fontId="74" fillId="19" borderId="1" applyAlignment="1" pivotButton="0" quotePrefix="0" xfId="0">
      <alignment horizontal="right"/>
    </xf>
    <xf numFmtId="0" fontId="57" fillId="19" borderId="1" applyAlignment="1" pivotButton="0" quotePrefix="0" xfId="0">
      <alignment horizontal="center"/>
    </xf>
    <xf numFmtId="0" fontId="74" fillId="18" borderId="1" applyAlignment="1" pivotButton="0" quotePrefix="0" xfId="0">
      <alignment horizontal="center"/>
    </xf>
    <xf numFmtId="0" fontId="75" fillId="18" borderId="1" applyAlignment="1" pivotButton="0" quotePrefix="0" xfId="0">
      <alignment horizontal="center"/>
    </xf>
    <xf numFmtId="0" fontId="74" fillId="18" borderId="1" pivotButton="0" quotePrefix="0" xfId="0"/>
    <xf numFmtId="169" fontId="75" fillId="18" borderId="1" applyAlignment="1" pivotButton="0" quotePrefix="0" xfId="0">
      <alignment horizontal="right"/>
    </xf>
    <xf numFmtId="9" fontId="74" fillId="18" borderId="1" applyAlignment="1" pivotButton="0" quotePrefix="0" xfId="0">
      <alignment horizontal="center"/>
    </xf>
    <xf numFmtId="169" fontId="74" fillId="18" borderId="1" applyAlignment="1" pivotButton="0" quotePrefix="0" xfId="0">
      <alignment horizontal="right"/>
    </xf>
    <xf numFmtId="0" fontId="62" fillId="18" borderId="1" applyAlignment="1" pivotButton="0" quotePrefix="0" xfId="0">
      <alignment horizontal="center"/>
    </xf>
    <xf numFmtId="0" fontId="57" fillId="18" borderId="1" applyAlignment="1" pivotButton="0" quotePrefix="0" xfId="0">
      <alignment horizontal="center"/>
    </xf>
    <xf numFmtId="0" fontId="58" fillId="18" borderId="1" applyAlignment="1" pivotButton="0" quotePrefix="0" xfId="0">
      <alignment horizontal="center"/>
    </xf>
    <xf numFmtId="0" fontId="45" fillId="7" borderId="0" applyAlignment="1" pivotButton="0" quotePrefix="0" xfId="0">
      <alignment vertical="center" indent="1"/>
    </xf>
    <xf numFmtId="169" fontId="76" fillId="7" borderId="0" applyAlignment="1" pivotButton="0" quotePrefix="0" xfId="0">
      <alignment horizontal="right" vertical="center"/>
    </xf>
    <xf numFmtId="0" fontId="77" fillId="0" borderId="6" pivotButton="0" quotePrefix="0" xfId="0"/>
    <xf numFmtId="0" fontId="78" fillId="0" borderId="6" pivotButton="0" quotePrefix="0" xfId="0"/>
    <xf numFmtId="0" fontId="79" fillId="0" borderId="6" pivotButton="0" quotePrefix="0" xfId="0"/>
    <xf numFmtId="0" fontId="80" fillId="20" borderId="1" applyAlignment="1" pivotButton="0" quotePrefix="0" xfId="0">
      <alignment horizontal="center" vertical="center"/>
    </xf>
    <xf numFmtId="0" fontId="84" fillId="11" borderId="1" applyAlignment="1" pivotButton="0" quotePrefix="0" xfId="0">
      <alignment horizontal="center" vertical="center"/>
    </xf>
    <xf numFmtId="0" fontId="81" fillId="0" borderId="1" pivotButton="0" quotePrefix="0" xfId="0"/>
    <xf numFmtId="0" fontId="80" fillId="0" borderId="1" applyAlignment="1" pivotButton="0" quotePrefix="0" xfId="0">
      <alignment horizontal="right"/>
    </xf>
    <xf numFmtId="0" fontId="84" fillId="0" borderId="1" applyAlignment="1" pivotButton="0" quotePrefix="0" xfId="0">
      <alignment horizontal="right"/>
    </xf>
    <xf numFmtId="0" fontId="55" fillId="0" borderId="1" applyAlignment="1" pivotButton="0" quotePrefix="0" xfId="0">
      <alignment horizontal="right"/>
    </xf>
    <xf numFmtId="0" fontId="82" fillId="0" borderId="1" applyAlignment="1" pivotButton="0" quotePrefix="0" xfId="0">
      <alignment horizontal="right"/>
    </xf>
    <xf numFmtId="0" fontId="83" fillId="12" borderId="7" applyAlignment="1" pivotButton="0" quotePrefix="0" xfId="0">
      <alignment horizontal="center" vertical="center"/>
    </xf>
    <xf numFmtId="0" fontId="85" fillId="11" borderId="8" applyAlignment="1" pivotButton="0" quotePrefix="0" xfId="0">
      <alignment horizontal="center" vertical="center"/>
    </xf>
    <xf numFmtId="0" fontId="81" fillId="0" borderId="0" pivotButton="0" quotePrefix="0" xfId="0"/>
    <xf numFmtId="0" fontId="86" fillId="21" borderId="0" applyAlignment="1" pivotButton="0" quotePrefix="0" xfId="0">
      <alignment horizontal="left" vertical="center" wrapText="1"/>
    </xf>
    <xf numFmtId="0" fontId="87" fillId="22" borderId="0" applyAlignment="1" pivotButton="0" quotePrefix="0" xfId="0">
      <alignment vertical="center" wrapText="1"/>
    </xf>
    <xf numFmtId="0" fontId="88" fillId="23" borderId="0" applyAlignment="1" pivotButton="0" quotePrefix="0" xfId="0">
      <alignment vertical="top" wrapText="1"/>
    </xf>
    <xf numFmtId="0" fontId="89" fillId="0" borderId="0" applyAlignment="1" pivotButton="0" quotePrefix="0" xfId="0">
      <alignment vertical="top" wrapText="1"/>
    </xf>
    <xf numFmtId="0" fontId="90" fillId="21" borderId="0" applyAlignment="1" pivotButton="0" quotePrefix="0" xfId="0">
      <alignment horizontal="left" vertical="center" wrapText="1"/>
    </xf>
    <xf numFmtId="0" fontId="86" fillId="24" borderId="0" applyAlignment="1" pivotButton="0" quotePrefix="0" xfId="0">
      <alignment horizontal="left" vertical="center" wrapText="1"/>
    </xf>
    <xf numFmtId="0" fontId="87" fillId="24" borderId="0" applyAlignment="1" pivotButton="0" quotePrefix="0" xfId="0">
      <alignment vertical="center" wrapText="1"/>
    </xf>
    <xf numFmtId="0" fontId="91" fillId="25" borderId="0" applyAlignment="1" pivotButton="0" quotePrefix="0" xfId="0">
      <alignment vertical="top" wrapText="1"/>
    </xf>
    <xf numFmtId="0" fontId="86" fillId="26" borderId="0" applyAlignment="1" pivotButton="0" quotePrefix="0" xfId="0">
      <alignment horizontal="left" vertical="center" wrapText="1"/>
    </xf>
    <xf numFmtId="0" fontId="87" fillId="26" borderId="0" applyAlignment="1" pivotButton="0" quotePrefix="0" xfId="0">
      <alignment vertical="center" wrapText="1"/>
    </xf>
    <xf numFmtId="0" fontId="92" fillId="27" borderId="0" applyAlignment="1" pivotButton="0" quotePrefix="0" xfId="0">
      <alignment vertical="top" wrapText="1"/>
    </xf>
    <xf numFmtId="0" fontId="93" fillId="25" borderId="0" applyAlignment="1" pivotButton="0" quotePrefix="0" xfId="0">
      <alignment vertical="top" wrapText="1"/>
    </xf>
    <xf numFmtId="0" fontId="94" fillId="0" borderId="0" applyAlignment="1" pivotButton="0" quotePrefix="0" xfId="0">
      <alignment vertical="top" wrapText="1"/>
    </xf>
    <xf numFmtId="0" fontId="86" fillId="28" borderId="0" applyAlignment="1" pivotButton="0" quotePrefix="0" xfId="0">
      <alignment horizontal="left" vertical="center"/>
    </xf>
    <xf numFmtId="0" fontId="87" fillId="28" borderId="0" applyAlignment="1" pivotButton="0" quotePrefix="0" xfId="0">
      <alignment vertical="center" wrapText="1"/>
    </xf>
    <xf numFmtId="0" fontId="95" fillId="29" borderId="0" applyAlignment="1" pivotButton="0" quotePrefix="0" xfId="0">
      <alignment vertical="top" wrapText="1"/>
    </xf>
    <xf numFmtId="0" fontId="96" fillId="30" borderId="0" applyAlignment="1" pivotButton="0" quotePrefix="0" xfId="0">
      <alignment vertical="top" wrapText="1"/>
    </xf>
    <xf numFmtId="0" fontId="86" fillId="31" borderId="0" applyAlignment="1" pivotButton="0" quotePrefix="0" xfId="0">
      <alignment horizontal="left" vertical="center"/>
    </xf>
    <xf numFmtId="0" fontId="87" fillId="31" borderId="0" applyAlignment="1" pivotButton="0" quotePrefix="0" xfId="0">
      <alignment vertical="center" wrapText="1"/>
    </xf>
    <xf numFmtId="0" fontId="97" fillId="30" borderId="0" applyAlignment="1" pivotButton="0" quotePrefix="0" xfId="0">
      <alignment vertical="top" wrapText="1"/>
    </xf>
    <xf numFmtId="0" fontId="86" fillId="32" borderId="0" applyAlignment="1" pivotButton="0" quotePrefix="0" xfId="0">
      <alignment horizontal="left" vertical="center"/>
    </xf>
    <xf numFmtId="0" fontId="87" fillId="32" borderId="0" applyAlignment="1" pivotButton="0" quotePrefix="0" xfId="0">
      <alignment vertical="center" wrapText="1"/>
    </xf>
    <xf numFmtId="0" fontId="98" fillId="33" borderId="0" applyAlignment="1" pivotButton="0" quotePrefix="0" xfId="0">
      <alignment vertical="top" wrapText="1"/>
    </xf>
    <xf numFmtId="0" fontId="99" fillId="0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1">
    <dxf>
      <fill>
        <patternFill patternType="solid">
          <fgColor rgb="FF1F4E79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>
          <bgColor rgb="FFD9EAD3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9EAD3"/>
      <rgbColor rgb="FFFFFF99"/>
      <rgbColor rgb="FF99CCFF"/>
      <rgbColor rgb="FFFF99CC"/>
      <rgbColor rgb="FFCC99FF"/>
      <rgbColor rgb="FFF4CCCC"/>
      <rgbColor rgb="FF4A7EBB"/>
      <rgbColor rgb="FF4BACC6"/>
      <rgbColor rgb="FF9BBB59"/>
      <rgbColor rgb="FFFFCC00"/>
      <rgbColor rgb="FFF79646"/>
      <rgbColor rgb="FFFF6600"/>
      <rgbColor rgb="FF8064A2"/>
      <rgbColor rgb="FF969696"/>
      <rgbColor rgb="FF0F2742"/>
      <rgbColor rgb="FF4F81BD"/>
      <rgbColor rgb="FF003300"/>
      <rgbColor rgb="FF555555"/>
      <rgbColor rgb="FFB3261E"/>
      <rgbColor rgb="FF595959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comments/comment1.xml><?xml version="1.0" encoding="utf-8"?>
<comments xmlns="http://schemas.openxmlformats.org/spreadsheetml/2006/main">
  <authors>
    <author>ExcelArşiv</author>
  </authors>
  <commentList>
    <comment ref="B4" authorId="0" shapeId="0">
      <text>
        <t>Tanım: Firma Unvanı | Neden önemli: Analiz ve raporu doğrudan etkiler | Doğru giriş: İşletmenin ticari unvanı | Örnek: Örnek: İnşaat Grubu A.Ş. | Yanlışsa: Rapor bozulur</t>
      </text>
    </comment>
    <comment ref="B5" authorId="0" shapeId="0">
      <text>
        <t>Tanım: SGK Sicil Numarası | Neden önemli: Analiz ve raporu doğrudan etkiler | Doğru giriş: İşveren SGK sicil numarası | Örnek: Örnek: 1234567890 | Yanlışsa: Rapor bozulur</t>
      </text>
    </comment>
    <comment ref="B6" authorId="0" shapeId="0">
      <text>
        <t>Tanım: Aylık Prim Gün Sayısı (Toplam) | Neden önemli: Analiz ve raporu doğrudan etkiler | Doğru giriş: Aylık toplam prim günü | Örnek: Örnek: 3000 | Yanlışsa: Rapor bozulur</t>
      </text>
    </comment>
    <comment ref="B7" authorId="0" shapeId="0">
      <text>
        <t>Tanım: Ortalama Çalışan Sayısı | Neden önemli: Analiz ve raporu doğrudan etkiler | Doğru giriş: Ay ortalaması çalışan sayısı | Örnek: Örnek: 25 | Yanlışsa: Rapor bozulur</t>
      </text>
    </comment>
    <comment ref="A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</commentList>
</comments>
</file>

<file path=xl/comments/comment2.xml><?xml version="1.0" encoding="utf-8"?>
<comments xmlns="http://schemas.openxmlformats.org/spreadsheetml/2006/main">
  <authors>
    <author>ExcelArşiv</author>
  </authors>
  <commentList>
    <comment ref="A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</commentList>
</comments>
</file>

<file path=xl/comments/comment3.xml><?xml version="1.0" encoding="utf-8"?>
<comments xmlns="http://schemas.openxmlformats.org/spreadsheetml/2006/main">
  <authors>
    <author>ExcelArşiv</author>
  </authors>
  <commentList>
    <comment ref="A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</commentList>
</comments>
</file>

<file path=xl/comments/comment4.xml><?xml version="1.0" encoding="utf-8"?>
<comments xmlns="http://schemas.openxmlformats.org/spreadsheetml/2006/main">
  <authors>
    <author>ExcelArşiv</author>
  </authors>
  <commentList>
    <comment ref="C6" authorId="0" shapeId="0">
      <text>
        <t>Tanım: raporTarihi | Neden önemli: Tüm hesaplamaları etkiler | Doğru giriş: Rapor tarihi | Kaynak: Sistem | Yanlışsa: Sonuçlar bozulur</t>
      </text>
    </comment>
    <comment ref="C7" authorId="0" shapeId="0">
      <text>
        <t>Tanım: IsverenPayiOrani | Neden önemli: Tüm hesaplamaları etkiler | Doğru giriş: SGK işveren payı oranı | Kaynak: 5510 s.K. md.81 (SGK) | Yanlışsa: Sonuçlar bozulur</t>
      </text>
    </comment>
    <comment ref="C8" authorId="0" shapeId="0">
      <text>
        <t>Tanım: IssizlikOrani | Neden önemli: Tüm hesaplamaları etkiler | Doğru giriş: İşsizlik sigortası işveren payı | Kaynak: 4447 s.K. md.49 (İŞKUR) | Yanlışsa: Sonuçlar bozulur</t>
      </text>
    </comment>
    <comment ref="C9" authorId="0" shapeId="0">
      <text>
        <t>Tanım: KidemKarsilikOrani | Neden önemli: Tüm hesaplamaları etkiler | Doğru giriş: Aylık kıdem tazminatı karşılığı oranı | Kaynak: Varsayım | Yanlışsa: Sonuçlar bozulur</t>
      </text>
    </comment>
    <comment ref="C10" authorId="0" shapeId="0">
      <text>
        <t>Tanım: YanFayda | Neden önemli: Tüm hesaplamaları etkiler | Doğru giriş: Kişi başı aylık yan fayda (yemek/yol) | Kaynak: Varsayım | Yanlışsa: Sonuçlar bozulur</t>
      </text>
    </comment>
    <comment ref="C11" authorId="0" shapeId="0">
      <text>
        <t>Tanım: AySayisi | Neden önemli: Tüm hesaplamaları etkiler | Doğru giriş: Yıllık hesaplama ay sayısı | Kaynak: Sistem | Yanlışsa: Sonuçlar bozulur</t>
      </text>
    </comment>
    <comment ref="C12" authorId="0" shapeId="0">
      <text>
        <t>Tanım: AylikCalismaSaati | Neden önemli: Tüm hesaplamaları etkiler | Doğru giriş: Aylık çalışma saati | Kaynak: Varsayım | Yanlışsa: Sonuçlar bozulur</t>
      </text>
    </comment>
    <comment ref="C13" authorId="0" shapeId="0">
      <text>
        <t>Tanım: BesPuanOrani | Neden önemli: Tüm hesaplamaları etkiler | Doğru giriş: 5 puan prim indirimi teşvik oranı | Kaynak: 5510 s.K. md.81 (SGK) | Yanlışsa: Sonuçlar bozulur</t>
      </text>
    </comment>
    <comment ref="C14" authorId="0" shapeId="0">
      <text>
        <t>Tanım: IlaveIstihdamOrani | Neden önemli: Tüm hesaplamaları etkiler | Doğru giriş: İlave istihdam teşviki destek oranı | Kaynak: 4447 s.K. geç.10 (SGK) | Yanlışsa: Sonuçlar bozulur</t>
      </text>
    </comment>
    <comment ref="C15" authorId="0" shapeId="0">
      <text>
        <t>Tanım: KadinGencOrani | Neden önemli: Tüm hesaplamaları etkiler | Doğru giriş: Kadın/genç/mesleki belgeli teşvik oranı | Kaynak: 4447 s.K. geç.10 (SGK) | Yanlışsa: Sonuçlar bozulur</t>
      </text>
    </comment>
    <comment ref="C16" authorId="0" shapeId="0">
      <text>
        <t>Tanım: EngelliOrani | Neden önemli: Tüm hesaplamaları etkiler | Doğru giriş: Engelli istihdam teşvik oranı | Kaynak: 4857 s.K. md.30 (SGK) | Yanlışsa: Sonuçlar bozulur</t>
      </text>
    </comment>
    <comment ref="C17" authorId="0" shapeId="0">
      <text>
        <t>Tanım: GencGirisimciOrani | Neden önemli: Tüm hesaplamaları etkiler | Doğru giriş: Genç girişimci istisnası oranı | Kaynak: 5510 s.K. geç.28 (SGK) | Yanlışsa: Sonuçlar bozulur</t>
      </text>
    </comment>
    <comment ref="C18" authorId="0" shapeId="0">
      <text>
        <t>Tanım: KacirilanTesvikEsik | Neden önemli: Tüm hesaplamaları etkiler | Doğru giriş: Kaçırılan teşvik uyarı eşiği | Kaynak: Varsayım | Yanlışsa: Sonuçlar bozulur</t>
      </text>
    </comment>
    <comment ref="C19" authorId="0" shapeId="0">
      <text>
        <t>Tanım: MaliyetEsik | Neden önemli: Tüm hesaplamaları etkiler | Doğru giriş: Çalışan başı aylık maliyet eşiği | Kaynak: Varsayım | Yanlışsa: Sonuçlar bozulur</t>
      </text>
    </comment>
    <comment ref="C20" authorId="0" shapeId="0">
      <text>
        <t>Tanım: KullanimOranEsik | Neden önemli: Tüm hesaplamaları etkiler | Doğru giriş: Teşvik kullanım oranı alt eşiği | Kaynak: Varsayım | Yanlışsa: Sonuçlar bozulur</t>
      </text>
    </comment>
    <comment ref="C21" authorId="0" shapeId="0">
      <text>
        <t>Tanım: YukOranAltEsik | Neden önemli: Tüm hesaplamaları etkiler | Doğru giriş: İşveren yükü oranı makul alt sınırı | Kaynak: Varsayım | Yanlışsa: Sonuçlar bozulur</t>
      </text>
    </comment>
    <comment ref="C22" authorId="0" shapeId="0">
      <text>
        <t>Tanım: YukOranUstEsik | Neden önemli: Tüm hesaplamaları etkiler | Doğru giriş: İşveren yükü oranı makul üst sınırı | Kaynak: Varsayım | Yanlışsa: Sonuçlar bozulur</t>
      </text>
    </comment>
    <comment ref="C23" authorId="0" shapeId="0">
      <text>
        <t>Tanım: YukTutarlilikTolerans | Neden önemli: Tüm hesaplamaları etkiler | Doğru giriş: Maliyet/brüt tutarlılık toleransı | Kaynak: Varsayım | Yanlışsa: Sonuçlar bozulur</t>
      </text>
    </comment>
    <comment ref="C24" authorId="0" shapeId="0">
      <text>
        <t>Tanım: YukOranKararEsik | Neden önemli: Tüm hesaplamaları etkiler | Doğru giriş: İşveren yükü karar eşiği | Kaynak: Varsayım | Yanlışsa: Sonuçlar bozulur</t>
      </text>
    </comment>
    <comment ref="C25" authorId="0" shapeId="0">
      <text>
        <t>Tanım: VeriKaliteIyiEsik | Neden önemli: Tüm hesaplamaları etkiler | Doğru giriş: Kalite skoru iyi eşiği | Kaynak: Varsayım | Yanlışsa: Sonuçlar bozulur</t>
      </text>
    </comment>
    <comment ref="C26" authorId="0" shapeId="0">
      <text>
        <t>Tanım: VeriKaliteOrtaEsik | Neden önemli: Tüm hesaplamaları etkiler | Doğru giriş: Kalite skoru orta eşiği | Kaynak: Varsayım | Yanlışsa: Sonuçlar bozulur</t>
      </text>
    </comment>
    <comment ref="C27" authorId="0" shapeId="0">
      <text>
        <t>Tanım: VeriKaliteUyariCeza | Neden önemli: Tüm hesaplamaları etkiler | Doğru giriş: Her WARN için skor cezası | Kaynak: Varsayım | Yanlışsa: Sonuçlar bozulur</t>
      </text>
    </comment>
    <comment ref="C28" authorId="0" shapeId="0">
      <text>
        <t>Tanım: SenaryoKotumserKat | Neden önemli: Tüm hesaplamaları etkiler | Doğru giriş: Kötümser senaryo çarpanı | Kaynak: Varsayım | Yanlışsa: Sonuçlar bozulur</t>
      </text>
    </comment>
    <comment ref="C29" authorId="0" shapeId="0">
      <text>
        <t>Tanım: SenaryoIyimserKat | Neden önemli: Tüm hesaplamaları etkiler | Doğru giriş: İyimser senaryo çarpanı | Kaynak: Varsayım | Yanlışsa: Sonuçlar bozulur</t>
      </text>
    </comment>
    <comment ref="C30" authorId="0" shapeId="0">
      <text>
        <t>Tanım: DuyarliDegisim | Neden önemli: Tüm hesaplamaları etkiler | Doğru giriş: Tornado analizinde değişim oranı | Kaynak: Varsayım | Yanlışsa: Sonuçlar bozulur</t>
      </text>
    </comment>
    <comment ref="C31" authorId="0" shapeId="0">
      <text>
        <t>Tanım: P10Katsayi | Neden önemli: Tüm hesaplamaları etkiler | Doğru giriş: P10 yüzdelik katsayısı | Kaynak: Varsayım | Yanlışsa: Sonuçlar bozulur</t>
      </text>
    </comment>
    <comment ref="C32" authorId="0" shapeId="0">
      <text>
        <t>Tanım: P50Katsayi | Neden önemli: Tüm hesaplamaları etkiler | Doğru giriş: P50 yüzdelik katsayısı | Kaynak: Varsayım | Yanlışsa: Sonuçlar bozulur</t>
      </text>
    </comment>
    <comment ref="C33" authorId="0" shapeId="0">
      <text>
        <t>Tanım: P90Katsayi | Neden önemli: Tüm hesaplamaları etkiler | Doğru giriş: P90 yüzdelik katsayısı | Kaynak: Varsayım | Yanlışsa: Sonuçlar bozulur</t>
      </text>
    </comment>
    <comment ref="C34" authorId="0" shapeId="0">
      <text>
        <t>Tanım: TahminGuvenKatsayisi | Neden önemli: Tüm hesaplamaları etkiler | Doğru giriş: Tahmin güven aralığı katsayısı | Kaynak: Varsayım | Yanlışsa: Sonuçlar bozulur</t>
      </text>
    </comment>
    <comment ref="C35" authorId="0" shapeId="0">
      <text>
        <t>Tanım: AnomaliEsikKat | Neden önemli: Tüm hesaplamaları etkiler | Doğru giriş: Anomali tespiti eşik katı | Kaynak: Varsayım | Yanlışsa: Sonuçlar bozulur</t>
      </text>
    </comment>
    <comment ref="C36" authorId="0" shapeId="0">
      <text>
        <t>Tanım: GeriKazanimHedefAy | Neden önemli: Tüm hesaplamaları etkiler | Doğru giriş: Kaçırılan teşvik geri kazanım hedef ayı | Kaynak: Varsayım | Yanlışsa: Sonuçlar bozulur</t>
      </text>
    </comment>
  </commentList>
</comments>
</file>

<file path=xl/tables/table1.xml><?xml version="1.0" encoding="utf-8"?>
<table xmlns="http://schemas.openxmlformats.org/spreadsheetml/2006/main" id="1" name="tblCalisan" displayName="tblCalisan" ref="A10:I1010" headerRowCount="1" totalsRowCount="0" totalsRowShown="0">
  <tableColumns count="9">
    <tableColumn id="1" name="Çalışan Adı"/>
    <tableColumn id="2" name="Brüt Ücret (₺)"/>
    <tableColumn id="3" name="Prim Günü"/>
    <tableColumn id="4" name="Yaş"/>
    <tableColumn id="5" name="Cinsiyet"/>
    <tableColumn id="6" name="Engelli mi?"/>
    <tableColumn id="7" name="İlave İstihdam Uygun mu?"/>
    <tableColumn id="8" name="Teşvik Aktif mi?"/>
    <tableColumn id="9" name="Aylık İşveren Yükü (₺)">
      <calculatedColumnFormula>=IF($B11="","",$B11*(IsverenPayiOrani+IssizlikOrani))</calculatedColumnFormula>
    </tableColumn>
  </tableColumns>
</table>
</file>

<file path=xl/tables/table2.xml><?xml version="1.0" encoding="utf-8"?>
<table xmlns="http://schemas.openxmlformats.org/spreadsheetml/2006/main" id="2" name="tblMaliyet" displayName="tblMaliyet" ref="A6:H1006" headerRowCount="1" totalsRowCount="0" totalsRowShown="0">
  <tableColumns count="8">
    <tableColumn id="1" name="Çalışan Adı"/>
    <tableColumn id="2" name="Brüt Ücret (₺)">
      <calculatedColumnFormula>=IF($A7="","",IFERROR(INDEX(tblCalisan[Brüt Ücret (₺)],MATCH($A7,tblCalisan[Çalışan Adı],0)),""))</calculatedColumnFormula>
    </tableColumn>
    <tableColumn id="3" name="SGK İşveren Payı (₺)">
      <calculatedColumnFormula>=IF($A7="","",$B7*IsverenPayiOrani)</calculatedColumnFormula>
    </tableColumn>
    <tableColumn id="4" name="İşsizlik Payı (₺)">
      <calculatedColumnFormula>=IF($A7="","",$B7*IssizlikOrani)</calculatedColumnFormula>
    </tableColumn>
    <tableColumn id="5" name="Kıdem Karşılığı (₺)">
      <calculatedColumnFormula>=IF($A7="","",$B7*KidemKarsilikOrani)</calculatedColumnFormula>
    </tableColumn>
    <tableColumn id="6" name="Yan Fayda (₺)"/>
    <tableColumn id="7" name="Aylık Gerçek Maliyet (₺)">
      <calculatedColumnFormula>=IF($A7="","",$B7+$C7+$D7+$E7+$F7)</calculatedColumnFormula>
    </tableColumn>
    <tableColumn id="8" name="Yıllık Gerçek Maliyet (₺)">
      <calculatedColumnFormula>=IF($A7="","",$G7*AySayisi)</calculatedColumnFormula>
    </tableColumn>
  </tableColumns>
</table>
</file>

<file path=xl/tables/table3.xml><?xml version="1.0" encoding="utf-8"?>
<table xmlns="http://schemas.openxmlformats.org/spreadsheetml/2006/main" id="3" name="tblTesvik" displayName="tblTesvik" ref="A6:E1006" headerRowCount="1" totalsRowCount="0" totalsRowShown="0">
  <tableColumns count="5">
    <tableColumn id="1" name="Çalışan Adı"/>
    <tableColumn id="2" name="Teşvik Türü"/>
    <tableColumn id="3" name="Aylık Teşvik (₺)">
      <calculatedColumnFormula>=IF(OR($A7="",$B7=""),"",INDEX(tblCalisan[Brüt Ücret (₺)],MATCH($A7,tblCalisan[Çalışan Adı],0))*IF($B7="5 Puan İndirimi",BesPuanOrani,IF($B7="İlave İstihdam",IlaveIstihdamOrani,IF($B7="Kadın/Genç",KadinGencOrani,IF($B7="Engelli",EngelliOrani,GencGirisimciOrani)))))</calculatedColumnFormula>
    </tableColumn>
    <tableColumn id="4" name="Yıllık Teşvik (₺)">
      <calculatedColumnFormula>=IF($C7="","",$C7*AySayisi)</calculatedColumnFormula>
    </tableColumn>
    <tableColumn id="5" name="Kaçırılan?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2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tabColor rgb="FFC6A15B"/>
    <outlinePr summaryBelow="1" summaryRight="1"/>
    <pageSetUpPr/>
  </sheetPr>
  <dimension ref="A1:F33"/>
  <sheetViews>
    <sheetView showGridLines="0" workbookViewId="0">
      <selection activeCell="A1" sqref="A1"/>
    </sheetView>
  </sheetViews>
  <sheetFormatPr baseColWidth="8" defaultRowHeight="15"/>
  <cols>
    <col width="24" customWidth="1" style="62" min="1" max="1"/>
    <col width="78" customWidth="1" style="62" min="2" max="2"/>
  </cols>
  <sheetData>
    <row r="1" ht="28" customHeight="1" s="62">
      <c r="A1" s="220" t="inlineStr">
        <is>
          <t>EXCELARŞİV KARAR SİSTEMİ v15.1 — ÜRETİM REFERANSI</t>
        </is>
      </c>
    </row>
    <row r="3" ht="24" customHeight="1" s="62">
      <c r="A3" s="221" t="inlineStr">
        <is>
          <t>Konu</t>
        </is>
      </c>
      <c r="B3" s="221" t="inlineStr">
        <is>
          <t>Bağlayıcı Standart</t>
        </is>
      </c>
    </row>
    <row r="4">
      <c r="A4" s="222" t="inlineStr">
        <is>
          <t>Amaç</t>
        </is>
      </c>
      <c r="B4" s="223" t="inlineStr">
        <is>
          <t>Kanıta dayalı, hatada kapalı çalışan Excel üretim ve denetim sistemi</t>
        </is>
      </c>
    </row>
    <row r="5">
      <c r="A5" s="222" t="inlineStr">
        <is>
          <t>Öncelik</t>
        </is>
      </c>
      <c r="B5" s="223" t="inlineStr">
        <is>
          <t>Kullanıcının açık iş talebi ve gerçek kullanım senaryosu</t>
        </is>
      </c>
    </row>
    <row r="6">
      <c r="A6" s="222" t="inlineStr">
        <is>
          <t>Ana akış</t>
        </is>
      </c>
      <c r="B6" s="223" t="inlineStr">
        <is>
          <t>Uygunluk → Yönetişim → Sözleşmeler → Üretim → Test → Kanıt → Kullanıcı Kabulü → Yayın</t>
        </is>
      </c>
    </row>
    <row r="7">
      <c r="A7" s="222" t="inlineStr">
        <is>
          <t>Yayın ilkesi</t>
        </is>
      </c>
      <c r="B7" s="223" t="inlineStr">
        <is>
          <t>Üst aşamada hata varsa alt aşama GEÇTİ üretilemez</t>
        </is>
      </c>
    </row>
    <row r="8">
      <c r="A8" s="222" t="inlineStr">
        <is>
          <t>Kullanıcı kabulü</t>
        </is>
      </c>
      <c r="B8" s="223" t="inlineStr">
        <is>
          <t>Excel masaüstü görünümü test edilmediyse DIŞ_KABUL_GEREKLİ</t>
        </is>
      </c>
    </row>
    <row r="9">
      <c r="A9" s="222" t="inlineStr">
        <is>
          <t>Nihai yayın</t>
        </is>
      </c>
      <c r="B9" s="223" t="inlineStr">
        <is>
          <t>Yalnız uygulanabilir modüller GEÇTİ veya gerekçeli UYGULANMAZ</t>
        </is>
      </c>
    </row>
    <row r="10">
      <c r="A10" s="222" t="inlineStr">
        <is>
          <t>Ticari ayrım</t>
        </is>
      </c>
      <c r="B10" s="223" t="inlineStr">
        <is>
          <t>Ekonomik olarak savunulabilir fiyat, gerçek pazar kabulü ile aynı değildir</t>
        </is>
      </c>
    </row>
    <row r="11">
      <c r="A11" s="222" t="inlineStr">
        <is>
          <t>Karmaşıklık</t>
        </is>
      </c>
      <c r="B11" s="223" t="inlineStr">
        <is>
          <t>Karar değeri, eklenen karmaşıklığın maliyetinden büyük olmalıdır</t>
        </is>
      </c>
    </row>
    <row r="12">
      <c r="A12" s="222" t="inlineStr">
        <is>
          <t>Excel sınırı</t>
        </is>
      </c>
      <c r="B12" s="223" t="inlineStr">
        <is>
          <t>Veritabanı, kurumsal yetkilendirme, değiştirilemez kayıt sistemi veya gerçek zamanlı olay platformu değildir</t>
        </is>
      </c>
    </row>
    <row r="13">
      <c r="A13" s="222" t="inlineStr">
        <is>
          <t>Dil standardı</t>
        </is>
      </c>
      <c r="B13" s="223" t="inlineStr">
        <is>
          <t>Kullanıcıya görünen tüm sayfa, tablo, başlık, açıklama, uyarı ve karar metinleri saf Türkçe olmalıdır</t>
        </is>
      </c>
    </row>
    <row r="14">
      <c r="A14" s="222" t="inlineStr">
        <is>
          <t>Muhasebe standardı</t>
        </is>
      </c>
      <c r="B14" s="223" t="inlineStr">
        <is>
          <t>Finansal ürünlerde Türkiye Tekdüzen Hesap Planı ve Türk muhasebe kullanım alışkanlıkları esas alınır</t>
        </is>
      </c>
    </row>
    <row r="15">
      <c r="A15" s="222" t="inlineStr">
        <is>
          <t>Görsel standart</t>
        </is>
      </c>
      <c r="B15" s="223" t="inlineStr">
        <is>
          <t>Her sayfa başlıklı, renk kodlu, sıkı kolon düzenli ve premium kurumsal görünümde olmalıdır</t>
        </is>
      </c>
    </row>
    <row r="16">
      <c r="A16" s="222" t="inlineStr">
        <is>
          <t>Grafik standardı</t>
        </is>
      </c>
      <c r="B16" s="223" t="inlineStr">
        <is>
          <t>Grafikler karar üretmeli; dekoratif, 3B, anlamsız renkli veya varsayılan Excel grafiği kullanılamaz</t>
        </is>
      </c>
    </row>
    <row r="17">
      <c r="A17" s="222" t="inlineStr">
        <is>
          <t>Hata standardı</t>
        </is>
      </c>
      <c r="B17" s="223" t="inlineStr">
        <is>
          <t>#AD? / #BAŞV! / #DEĞER! / #SAYI/0! / #YOK gibi hatalar GEÇTİ sonucuyla birlikte bulunamaz</t>
        </is>
      </c>
    </row>
    <row r="18">
      <c r="A18" s="222" t="inlineStr">
        <is>
          <t>Karar standardı</t>
        </is>
      </c>
      <c r="B18" s="223" t="inlineStr">
        <is>
          <t>Her kritik çıktı: ne oldu, neden oldu, parasal etki, ne yapılmalı, ne zamana kadar sorularını cevaplar</t>
        </is>
      </c>
    </row>
    <row r="19">
      <c r="A19" s="222" t="inlineStr">
        <is>
          <t>Satış standardı</t>
        </is>
      </c>
      <c r="B19" s="223" t="inlineStr">
        <is>
          <t>Ürün 5 saniyede anlaşılmalı; pahalı problemi, ekonomik sonucu, kanıtı ve satın alma gerekçesini göstermelidir</t>
        </is>
      </c>
    </row>
    <row r="20">
      <c r="A20" s="222" t="inlineStr">
        <is>
          <t>Güven standardı</t>
        </is>
      </c>
      <c r="B20" s="223" t="inlineStr">
        <is>
          <t>Kanıtsız 'premium', 'kusursuz', 'sıfır hata' veya yüksek fiyat iddiası kullanılamaz</t>
        </is>
      </c>
    </row>
    <row r="21">
      <c r="A21" s="222" t="inlineStr">
        <is>
          <t>Kaynak</t>
        </is>
      </c>
      <c r="B21" s="223" t="inlineStr">
        <is>
          <t>Teknik Python çekirdeği 99_TEKNIK_KAYNAK sayfasında saklanır; kullanıcı arayüzü değildir</t>
        </is>
      </c>
    </row>
    <row r="22">
      <c r="A22" s="222" t="inlineStr">
        <is>
          <t>Bağlayıcı standart</t>
        </is>
      </c>
      <c r="B22" s="223" t="inlineStr">
        <is>
          <t>Teknik kaynak içindeki üretim sözleşmesi + bu çalışma kitabındaki Türkçe operasyon standartları</t>
        </is>
      </c>
    </row>
    <row r="23">
      <c r="A23" s="222" t="inlineStr">
        <is>
          <t>Çıktı disiplini</t>
        </is>
      </c>
      <c r="B23" s="223" t="inlineStr">
        <is>
          <t>Kanıtsız GEÇTİ / NİHAİ / TİCARİ / PAZAR_DOĞRULANDI statüsü yasaktır</t>
        </is>
      </c>
    </row>
    <row r="24">
      <c r="A24" s="222" t="inlineStr">
        <is>
          <t>Uyarlanabilirlik</t>
        </is>
      </c>
      <c r="B24" s="223" t="inlineStr">
        <is>
          <t>Gereksiz modül yalnız prestij amacıyla eklenmez</t>
        </is>
      </c>
    </row>
    <row r="26" ht="16" customHeight="1" s="62">
      <c r="A26" s="224" t="inlineStr">
        <is>
          <t>TEK KAYNAK MİMARİSİ</t>
        </is>
      </c>
      <c r="B26" s="224" t="inlineStr">
        <is>
          <t>İKİ DOSYALI / TEK SİSTEM</t>
        </is>
      </c>
    </row>
    <row r="27" ht="28" customHeight="1" s="62">
      <c r="A27" s="223" t="inlineStr">
        <is>
          <t>MASTER Excel</t>
        </is>
      </c>
      <c r="B27" s="223" t="inlineStr">
        <is>
          <t>EXCELARSIV_DECISION_OS_V15_1_MASTER_STANDART.xlsx — tüm mandate, modül sözleşmeleri, Türkçe tasarım, THP, test, ticari ve release standartları.</t>
        </is>
      </c>
    </row>
    <row r="28" ht="28" customHeight="1" s="62">
      <c r="A28" s="223" t="inlineStr">
        <is>
          <t>Runtime Python</t>
        </is>
      </c>
      <c r="B28" s="223" t="inlineStr">
        <is>
          <t>EXCELARSIV_DECISION_OS_V15_1_RUNTIME_KERNEL.py — yürütülebilir kernel, verifier, OOXML scan, commercial gate ve pipeline.</t>
        </is>
      </c>
    </row>
    <row r="29">
      <c r="A29" s="223" t="inlineStr">
        <is>
          <t>Python SHA-256</t>
        </is>
      </c>
      <c r="B29" s="223" t="inlineStr">
        <is>
          <t>babe066ab599199123e53d01944bcd9d75648a579ade69ab9303dd675962f481</t>
        </is>
      </c>
    </row>
    <row r="30">
      <c r="A30" s="223" t="inlineStr">
        <is>
          <t>Sürüm Eşleşmesi</t>
        </is>
      </c>
      <c r="B30" s="223" t="inlineStr">
        <is>
          <t>Her iki dosya v15.1 sistemine aittir. Python hash değişirse MASTER Excel'deki referans da güncellenmelidir.</t>
        </is>
      </c>
    </row>
    <row r="31" ht="28" customHeight="1" s="62">
      <c r="A31" s="223" t="inlineStr">
        <is>
          <t>Sahte PASS Yasağı</t>
        </is>
      </c>
      <c r="B31" s="223" t="inlineStr">
        <is>
          <t>Kanıt yoksa PASS yok; hata=FAIL, ölçülemiyorsa=BLOCKED, Excel GUI gerekiyorsa=HARİCİ KABUL GEREKLİ.</t>
        </is>
      </c>
    </row>
    <row r="32">
      <c r="A32" s="223" t="inlineStr">
        <is>
          <t>Dil</t>
        </is>
      </c>
      <c r="B32" s="223" t="inlineStr">
        <is>
          <t>Kullanıcı yüzeyi safkan Türkçe; teknik kavramların Türkçe karşılığı ana terimdir.</t>
        </is>
      </c>
    </row>
    <row r="33">
      <c r="A33" s="223" t="inlineStr">
        <is>
          <t>Muhasebe</t>
        </is>
      </c>
      <c r="B33" s="223" t="inlineStr">
        <is>
          <t>Türkiye Tekdüzen Hesap Planı ve Türk muhasebe/işletme düşünce yapısı esas alınır.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7324D"/>
    <outlinePr summaryBelow="1" summaryRight="1"/>
    <pageSetUpPr/>
  </sheetPr>
  <dimension ref="A1:M27"/>
  <sheetViews>
    <sheetView showGridLines="0" workbookViewId="0">
      <selection activeCell="A1" sqref="A1"/>
    </sheetView>
  </sheetViews>
  <sheetFormatPr baseColWidth="8" defaultRowHeight="15"/>
  <cols>
    <col width="8" customWidth="1" style="62" min="1" max="1"/>
    <col width="18" customWidth="1" style="62" min="2" max="2"/>
    <col width="15" customWidth="1" style="62" min="3" max="3"/>
    <col width="12" customWidth="1" style="62" min="4" max="4"/>
    <col width="16" customWidth="1" style="62" min="5" max="5"/>
    <col width="18" customWidth="1" style="62" min="6" max="6"/>
    <col width="6" customWidth="1" style="62" min="7" max="7"/>
    <col width="24" customWidth="1" style="62" min="8" max="8"/>
    <col width="15" customWidth="1" style="62" min="9" max="9"/>
    <col width="14" customWidth="1" style="62" min="10" max="10"/>
    <col width="12" customWidth="1" style="62" min="11" max="11"/>
    <col width="18" customWidth="1" style="62" min="12" max="12"/>
    <col width="18" customWidth="1" style="62" min="13" max="13"/>
  </cols>
  <sheetData>
    <row r="1">
      <c r="A1" s="72" t="inlineStr">
        <is>
          <t>☰ PANO</t>
        </is>
      </c>
    </row>
    <row r="2">
      <c r="B2" s="143" t="inlineStr">
        <is>
          <t>KACIRILAN SGK TESVIKLERI VE GERCEK ISCILIK MALIYETI ANALIZI — YÖNETİM VE KARAR SİSTEMİ</t>
        </is>
      </c>
      <c r="L2" s="144" t="inlineStr">
        <is>
          <t>Dönem: 2026 / Tam ▼</t>
        </is>
      </c>
      <c r="M2" s="145" t="inlineStr">
        <is>
          <t>★ DOĞRULANMIŞ</t>
        </is>
      </c>
    </row>
    <row r="3">
      <c r="B3" s="146" t="inlineStr">
        <is>
          <t>Yönetici Karar Kokpiti, Otomatik Doğrulama ve Dinamik Hesaplama Sistemi · 2026</t>
        </is>
      </c>
    </row>
    <row r="5">
      <c r="B5" s="147" t="inlineStr">
        <is>
          <t>TOPLAM İŞLEM HACMİ</t>
        </is>
      </c>
      <c r="C5" s="148" t="n"/>
      <c r="D5" s="149" t="inlineStr">
        <is>
          <t>DOĞRULANMIŞ</t>
        </is>
      </c>
      <c r="E5" s="150" t="inlineStr">
        <is>
          <t>RİSKLİ / BEKLEYEN İŞLEM</t>
        </is>
      </c>
      <c r="F5" s="148" t="n"/>
      <c r="G5" s="151" t="inlineStr">
        <is>
          <t>MİNİMUM</t>
        </is>
      </c>
      <c r="H5" s="147" t="inlineStr">
        <is>
          <t>OPERASYONEL NET MARJ</t>
        </is>
      </c>
      <c r="I5" s="148" t="n"/>
      <c r="J5" s="152" t="inlineStr">
        <is>
          <t>GÜVENLİ</t>
        </is>
      </c>
      <c r="K5" s="153" t="inlineStr">
        <is>
          <t>SİSTEM GÜVEN SKORU</t>
        </is>
      </c>
      <c r="L5" s="148" t="n"/>
      <c r="M5" s="149" t="inlineStr">
        <is>
          <t>DENETLENDİ</t>
        </is>
      </c>
    </row>
    <row r="6">
      <c r="B6" s="154" t="n"/>
      <c r="C6" s="148" t="n"/>
      <c r="D6" s="148" t="n"/>
      <c r="E6" s="155" t="n"/>
      <c r="F6" s="148" t="n"/>
      <c r="G6" s="148" t="n"/>
      <c r="H6" s="154" t="n"/>
      <c r="I6" s="148" t="n"/>
      <c r="J6" s="148" t="n"/>
      <c r="K6" s="156" t="n"/>
      <c r="L6" s="148" t="n"/>
      <c r="M6" s="148" t="n"/>
    </row>
    <row r="7">
      <c r="B7" s="157" t="inlineStr">
        <is>
          <t>₺28.450.000</t>
        </is>
      </c>
      <c r="C7" s="148" t="n"/>
      <c r="D7" s="148" t="n"/>
      <c r="E7" s="158" t="inlineStr">
        <is>
          <t>₺940.000</t>
        </is>
      </c>
      <c r="F7" s="148" t="n"/>
      <c r="G7" s="148" t="n"/>
      <c r="H7" s="157" t="inlineStr">
        <is>
          <t>₺8.120.000</t>
        </is>
      </c>
      <c r="I7" s="148" t="n"/>
      <c r="J7" s="148" t="n"/>
      <c r="K7" s="159" t="inlineStr">
        <is>
          <t>98/100</t>
        </is>
      </c>
      <c r="L7" s="148" t="n"/>
      <c r="M7" s="148" t="n"/>
    </row>
    <row r="8">
      <c r="B8" s="154" t="n"/>
      <c r="C8" s="148" t="n"/>
      <c r="D8" s="148" t="n"/>
      <c r="E8" s="155" t="n"/>
      <c r="F8" s="148" t="n"/>
      <c r="G8" s="148" t="n"/>
      <c r="H8" s="154" t="n"/>
      <c r="I8" s="148" t="n"/>
      <c r="J8" s="148" t="n"/>
      <c r="K8" s="156" t="n"/>
      <c r="L8" s="148" t="n"/>
      <c r="M8" s="148" t="n"/>
    </row>
    <row r="9">
      <c r="B9" s="160" t="inlineStr">
        <is>
          <t>↑ Konsolide yıllıklandırılmış büyüme</t>
        </is>
      </c>
      <c r="C9" s="148" t="n"/>
      <c r="D9" s="148" t="n"/>
      <c r="E9" s="161" t="inlineStr">
        <is>
          <t>● Tüm riskli kayıtlar kontrol altında</t>
        </is>
      </c>
      <c r="F9" s="148" t="n"/>
      <c r="G9" s="148" t="n"/>
      <c r="H9" s="160" t="inlineStr">
        <is>
          <t>██████████░░░░░ %28.5 NET MARJ</t>
        </is>
      </c>
      <c r="I9" s="148" t="n"/>
      <c r="J9" s="148" t="n"/>
      <c r="K9" s="162" t="inlineStr">
        <is>
          <t>✓ 0 Formül ve Döngüsel Hata</t>
        </is>
      </c>
      <c r="L9" s="148" t="n"/>
      <c r="M9" s="148" t="n"/>
    </row>
    <row r="11">
      <c r="B11" s="86" t="inlineStr">
        <is>
          <t>12 AYLIK NAKİT GİRİŞ / ÇIKIŞ &amp; LİKİDİTE BAŞARIMI</t>
        </is>
      </c>
      <c r="F11" s="163" t="inlineStr">
        <is>
          <t>+%32 Verim</t>
        </is>
      </c>
      <c r="H11" s="86" t="inlineStr">
        <is>
          <t>KONSOLİDE OPERASYON VE KARAR MATRİSİ</t>
        </is>
      </c>
    </row>
    <row r="12">
      <c r="B12" s="85" t="inlineStr">
        <is>
          <t>Kümülatif Tahsilat vs. Tedarikçi/Kredi Ödeme Projeksiyonu</t>
        </is>
      </c>
      <c r="H12" s="85" t="inlineStr">
        <is>
          <t>Anlık Hesaplama Sonuçları, Dinamik Formül Çıktıları ve Durum Puanlaması</t>
        </is>
      </c>
    </row>
    <row r="14">
      <c r="B14" s="164" t="inlineStr">
        <is>
          <t>Dönem</t>
        </is>
      </c>
      <c r="C14" s="164" t="inlineStr">
        <is>
          <t>Aktif Hacim</t>
        </is>
      </c>
      <c r="D14" s="164" t="inlineStr">
        <is>
          <t>Maliyet/Yük</t>
        </is>
      </c>
      <c r="E14" s="164" t="inlineStr">
        <is>
          <t>Hedef</t>
        </is>
      </c>
      <c r="H14" s="165" t="inlineStr">
        <is>
          <t>PARAMETRE / KALEM</t>
        </is>
      </c>
      <c r="I14" s="165" t="inlineStr">
        <is>
          <t>ANA TUTAR</t>
        </is>
      </c>
      <c r="J14" s="165" t="inlineStr">
        <is>
          <t>FARK / MARJ</t>
        </is>
      </c>
      <c r="K14" s="165" t="inlineStr">
        <is>
          <t>VADE</t>
        </is>
      </c>
      <c r="L14" s="165" t="inlineStr">
        <is>
          <t>KONTROL DURUMU</t>
        </is>
      </c>
    </row>
    <row r="15">
      <c r="B15" s="85" t="inlineStr">
        <is>
          <t>D1</t>
        </is>
      </c>
      <c r="C15" s="85" t="n">
        <v>65</v>
      </c>
      <c r="D15" s="85" t="n">
        <v>45</v>
      </c>
      <c r="E15" s="85" t="n">
        <v>60</v>
      </c>
      <c r="H15" s="166" t="inlineStr">
        <is>
          <t>13 haftalık kümülatif bakiye...</t>
        </is>
      </c>
      <c r="I15" s="166" t="inlineStr">
        <is>
          <t>₺8.450.000</t>
        </is>
      </c>
      <c r="J15" s="167" t="inlineStr">
        <is>
          <t>₺425.000</t>
        </is>
      </c>
      <c r="K15" s="168" t="inlineStr">
        <is>
          <t>12 Ay</t>
        </is>
      </c>
      <c r="L15" s="152" t="inlineStr">
        <is>
          <t>✓ DÜZENLİ</t>
        </is>
      </c>
    </row>
    <row r="16">
      <c r="B16" s="85" t="inlineStr">
        <is>
          <t>D2</t>
        </is>
      </c>
      <c r="C16" s="85" t="n">
        <v>78</v>
      </c>
      <c r="D16" s="85" t="n">
        <v>48</v>
      </c>
      <c r="E16" s="85" t="n">
        <v>70</v>
      </c>
      <c r="H16" s="166" t="inlineStr">
        <is>
          <t>Kritik (eksi) hafta uyarısı</t>
        </is>
      </c>
      <c r="I16" s="166" t="inlineStr">
        <is>
          <t>₺12.200.000</t>
        </is>
      </c>
      <c r="J16" s="167" t="inlineStr">
        <is>
          <t>₺580.400</t>
        </is>
      </c>
      <c r="K16" s="168" t="inlineStr">
        <is>
          <t>24 Ay</t>
        </is>
      </c>
      <c r="L16" s="149" t="inlineStr">
        <is>
          <t>★ AVANTAJ</t>
        </is>
      </c>
    </row>
    <row r="17">
      <c r="B17" s="85" t="inlineStr">
        <is>
          <t>D3</t>
        </is>
      </c>
      <c r="C17" s="85" t="n">
        <v>85</v>
      </c>
      <c r="D17" s="85" t="n">
        <v>55</v>
      </c>
      <c r="E17" s="85" t="n">
        <v>80</v>
      </c>
      <c r="H17" s="166" t="inlineStr">
        <is>
          <t>Dönem net nakit değişimi</t>
        </is>
      </c>
      <c r="I17" s="166" t="inlineStr">
        <is>
          <t>₺4.850.000</t>
        </is>
      </c>
      <c r="J17" s="167" t="inlineStr">
        <is>
          <t>₺235.200</t>
        </is>
      </c>
      <c r="K17" s="168" t="inlineStr">
        <is>
          <t>8 Ay</t>
        </is>
      </c>
      <c r="L17" s="169" t="inlineStr">
        <is>
          <t>● YAKLAŞAN</t>
        </is>
      </c>
    </row>
    <row r="18">
      <c r="B18" s="85" t="inlineStr">
        <is>
          <t>D4</t>
        </is>
      </c>
      <c r="C18" s="85" t="n">
        <v>75</v>
      </c>
      <c r="D18" s="85" t="n">
        <v>42</v>
      </c>
      <c r="E18" s="85" t="n">
        <v>75</v>
      </c>
      <c r="H18" s="166" t="inlineStr">
        <is>
          <t>13 haftalık kümülatif bakiye...</t>
        </is>
      </c>
      <c r="I18" s="166" t="inlineStr">
        <is>
          <t>₺2.140.000</t>
        </is>
      </c>
      <c r="J18" s="167" t="inlineStr">
        <is>
          <t>₺118.000</t>
        </is>
      </c>
      <c r="K18" s="168" t="inlineStr">
        <is>
          <t>16 Ay</t>
        </is>
      </c>
      <c r="L18" s="152" t="inlineStr">
        <is>
          <t>✓ TAM UYUM</t>
        </is>
      </c>
    </row>
    <row r="19">
      <c r="B19" s="85" t="inlineStr">
        <is>
          <t>D5</t>
        </is>
      </c>
      <c r="C19" s="85" t="n">
        <v>90</v>
      </c>
      <c r="D19" s="85" t="n">
        <v>40</v>
      </c>
      <c r="E19" s="85" t="n">
        <v>85</v>
      </c>
      <c r="H19" s="170" t="inlineStr">
        <is>
          <t>KONSOLİDE SİSTEM TOPLAMI</t>
        </is>
      </c>
      <c r="I19" s="171" t="inlineStr">
        <is>
          <t>₺42.850.000</t>
        </is>
      </c>
      <c r="J19" s="172" t="inlineStr">
        <is>
          <t>₺3.420.000</t>
        </is>
      </c>
      <c r="K19" s="173" t="inlineStr"/>
      <c r="L19" s="174" t="inlineStr">
        <is>
          <t>TAM DOĞRULANDI (0 HATA)</t>
        </is>
      </c>
    </row>
    <row r="20">
      <c r="B20" s="85" t="inlineStr">
        <is>
          <t>D6</t>
        </is>
      </c>
      <c r="C20" s="85" t="n">
        <v>96</v>
      </c>
      <c r="D20" s="85" t="n">
        <v>32</v>
      </c>
      <c r="E20" s="85" t="n">
        <v>92</v>
      </c>
    </row>
    <row r="22">
      <c r="B22" s="175" t="inlineStr">
        <is>
          <t>KONSOLİDE PAY VE AĞIRLIK</t>
        </is>
      </c>
      <c r="F22" s="175" t="inlineStr">
        <is>
          <t>LİKİDİTE RİSKİ &amp; ERKEN UYARI SİNYALLERİ</t>
        </is>
      </c>
      <c r="K22" s="176" t="inlineStr">
        <is>
          <t>KARAR MOTORU</t>
        </is>
      </c>
      <c r="L22" s="177" t="n"/>
      <c r="M22" s="177" t="n"/>
    </row>
    <row r="23">
      <c r="B23" s="70" t="inlineStr">
        <is>
          <t>■ Ana Segment (%42)</t>
        </is>
      </c>
      <c r="F23" s="85" t="inlineStr">
        <is>
          <t>Nakit Açığı Riski (30 Gün)</t>
        </is>
      </c>
      <c r="I23" s="178" t="inlineStr">
        <is>
          <t>0.00 TL (Sıfır Risk)</t>
        </is>
      </c>
      <c r="K23" s="179" t="inlineStr">
        <is>
          <t>OPERASYONEL VERİMLİLİK FIRSATI</t>
        </is>
      </c>
      <c r="L23" s="177" t="n"/>
      <c r="M23" s="177" t="n"/>
    </row>
    <row r="24">
      <c r="B24" s="71" t="inlineStr">
        <is>
          <t>■ İkincil Grup (%30)</t>
        </is>
      </c>
      <c r="F24" s="85" t="inlineStr">
        <is>
          <t>Tahsilat Gecikme Toleransı</t>
        </is>
      </c>
      <c r="I24" s="178" t="inlineStr">
        <is>
          <t>48 Gün Güvenli Eşik</t>
        </is>
      </c>
      <c r="K24" s="180" t="inlineStr">
        <is>
          <t>Süreç optimizasyonuyla birim operasyonel maliyeti düşürme potansiyeli mevcuttur.</t>
        </is>
      </c>
    </row>
    <row r="25">
      <c r="B25" s="181" t="inlineStr">
        <is>
          <t>■ Destek Birimi (%15)</t>
        </is>
      </c>
      <c r="F25" s="70" t="inlineStr">
        <is>
          <t>██████████████████████████████████████ Güvenli Bölge (%100)</t>
        </is>
      </c>
    </row>
    <row r="26">
      <c r="B26" s="182" t="inlineStr">
        <is>
          <t>■ Rezervler (%13)</t>
        </is>
      </c>
      <c r="F26" s="183" t="inlineStr">
        <is>
          <t>✓ 90 GÜNLÜK PROJEKSİYONDA NAKİT SIKIŞIKLIĞI TESPİT EDİLMEDİ</t>
        </is>
      </c>
      <c r="K26" s="184" t="inlineStr">
        <is>
          <t>STRATEJİ REÇETESİNİ İNCELE &gt;</t>
        </is>
      </c>
    </row>
    <row r="27"/>
  </sheetData>
  <mergeCells count="3">
    <mergeCell ref="K26:M27"/>
    <mergeCell ref="K24:M25"/>
    <mergeCell ref="F26:I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563EB"/>
    <outlinePr summaryBelow="1" summaryRight="1"/>
    <pageSetUpPr/>
  </sheetPr>
  <dimension ref="A1:J17"/>
  <sheetViews>
    <sheetView showGridLines="0" workbookViewId="0">
      <selection activeCell="A1" sqref="A1"/>
    </sheetView>
  </sheetViews>
  <sheetFormatPr baseColWidth="8" defaultRowHeight="15"/>
  <cols>
    <col width="8" customWidth="1" style="62" min="1" max="1"/>
    <col width="14" customWidth="1" style="62" min="2" max="2"/>
    <col width="16" customWidth="1" style="62" min="3" max="3"/>
    <col width="32" customWidth="1" style="62" min="4" max="4"/>
    <col width="18" customWidth="1" style="62" min="5" max="5"/>
    <col width="12" customWidth="1" style="62" min="6" max="6"/>
    <col width="18" customWidth="1" style="62" min="7" max="7"/>
    <col width="22" customWidth="1" style="62" min="8" max="8"/>
    <col width="16" customWidth="1" style="62" min="9" max="9"/>
  </cols>
  <sheetData>
    <row r="1">
      <c r="A1" s="72" t="inlineStr">
        <is>
          <t>☰ PANO</t>
        </is>
      </c>
    </row>
    <row r="3">
      <c r="B3" s="185" t="inlineStr">
        <is>
          <t>🔍  Kayıt veya hesap ara...</t>
        </is>
      </c>
      <c r="G3" s="186" t="inlineStr">
        <is>
          <t>TOPLAM: 1.450 KAYIT</t>
        </is>
      </c>
      <c r="I3" s="187" t="inlineStr">
        <is>
          <t>HATALI HÜCRE: 0 ADET</t>
        </is>
      </c>
    </row>
    <row r="5">
      <c r="B5" s="188" t="inlineStr">
        <is>
          <t>TARİH</t>
        </is>
      </c>
      <c r="C5" s="188" t="inlineStr">
        <is>
          <t>REFERANS NO</t>
        </is>
      </c>
      <c r="D5" s="188" t="inlineStr">
        <is>
          <t>İŞLEM AÇIKLAMASI VE DETAY</t>
        </is>
      </c>
      <c r="E5" s="188" t="inlineStr">
        <is>
          <t>BRÜT TUTAR (₺)</t>
        </is>
      </c>
      <c r="F5" s="188" t="inlineStr">
        <is>
          <t>KDV ORANI</t>
        </is>
      </c>
      <c r="G5" s="188" t="inlineStr">
        <is>
          <t>NET TUTAR (₺)</t>
        </is>
      </c>
      <c r="H5" s="188" t="inlineStr">
        <is>
          <t>HESAP / CARİ</t>
        </is>
      </c>
      <c r="I5" s="188" t="inlineStr">
        <is>
          <t>DURUM</t>
        </is>
      </c>
    </row>
    <row r="6">
      <c r="B6" s="189" t="inlineStr">
        <is>
          <t>12.10.2026</t>
        </is>
      </c>
      <c r="C6" s="190" t="inlineStr">
        <is>
          <t>TR-0428-A</t>
        </is>
      </c>
      <c r="D6" s="191" t="inlineStr">
        <is>
          <t>Haftalık operasyon tahmini</t>
        </is>
      </c>
      <c r="E6" s="192" t="n">
        <v>845200</v>
      </c>
      <c r="F6" s="193" t="n">
        <v>0.2</v>
      </c>
      <c r="G6" s="194">
        <f>E6/(1+F6)</f>
        <v/>
      </c>
      <c r="H6" s="191" t="inlineStr">
        <is>
          <t>Vadesiz Ticari</t>
        </is>
      </c>
      <c r="I6" s="195" t="inlineStr">
        <is>
          <t>ONAYLANDI</t>
        </is>
      </c>
    </row>
    <row r="7">
      <c r="B7" s="196" t="inlineStr">
        <is>
          <t>14.10.2026</t>
        </is>
      </c>
      <c r="C7" s="197" t="inlineStr">
        <is>
          <t>TR-0429-B</t>
        </is>
      </c>
      <c r="D7" s="198" t="inlineStr">
        <is>
          <t>Haftalık operasyon tahmini</t>
        </is>
      </c>
      <c r="E7" s="199" t="n">
        <v>1240000</v>
      </c>
      <c r="F7" s="200" t="n">
        <v>0.2</v>
      </c>
      <c r="G7" s="201">
        <f>E7/(1+F7)</f>
        <v/>
      </c>
      <c r="H7" s="198" t="inlineStr">
        <is>
          <t>Tedarikçi Havuzu</t>
        </is>
      </c>
      <c r="I7" s="202" t="inlineStr">
        <is>
          <t>BEKLEMEDE</t>
        </is>
      </c>
    </row>
    <row r="8">
      <c r="B8" s="189" t="inlineStr">
        <is>
          <t>18.10.2026</t>
        </is>
      </c>
      <c r="C8" s="190" t="inlineStr">
        <is>
          <t>TR-0430-C</t>
        </is>
      </c>
      <c r="D8" s="191" t="inlineStr">
        <is>
          <t>Ödeme takvimi notları</t>
        </is>
      </c>
      <c r="E8" s="192" t="n">
        <v>620500</v>
      </c>
      <c r="F8" s="193" t="n">
        <v>0.1</v>
      </c>
      <c r="G8" s="194">
        <f>E8/(1+F8)</f>
        <v/>
      </c>
      <c r="H8" s="191" t="inlineStr">
        <is>
          <t>Kısa Vade Tahakkuk</t>
        </is>
      </c>
      <c r="I8" s="195" t="inlineStr">
        <is>
          <t>ONAYLANDI</t>
        </is>
      </c>
    </row>
    <row r="9">
      <c r="B9" s="196" t="inlineStr">
        <is>
          <t>21.10.2026</t>
        </is>
      </c>
      <c r="C9" s="197" t="inlineStr">
        <is>
          <t>TR-0431-D</t>
        </is>
      </c>
      <c r="D9" s="198" t="inlineStr">
        <is>
          <t>Haftalık operasyon tahmini</t>
        </is>
      </c>
      <c r="E9" s="199" t="n">
        <v>415000</v>
      </c>
      <c r="F9" s="200" t="n">
        <v>0.2</v>
      </c>
      <c r="G9" s="201">
        <f>E9/(1+F9)</f>
        <v/>
      </c>
      <c r="H9" s="198" t="inlineStr">
        <is>
          <t>Müşteri Alacağı</t>
        </is>
      </c>
      <c r="I9" s="203" t="inlineStr">
        <is>
          <t>ONAYLANDI</t>
        </is>
      </c>
    </row>
    <row r="10">
      <c r="B10" s="189" t="inlineStr">
        <is>
          <t>25.10.2026</t>
        </is>
      </c>
      <c r="C10" s="190" t="inlineStr">
        <is>
          <t>TR-0432-E</t>
        </is>
      </c>
      <c r="D10" s="191" t="inlineStr">
        <is>
          <t>Haftalık operasyon tahmini</t>
        </is>
      </c>
      <c r="E10" s="192" t="n">
        <v>980400</v>
      </c>
      <c r="F10" s="193" t="n">
        <v>0.2</v>
      </c>
      <c r="G10" s="194">
        <f>E10/(1+F10)</f>
        <v/>
      </c>
      <c r="H10" s="191" t="inlineStr">
        <is>
          <t>Vadesiz Ticari</t>
        </is>
      </c>
      <c r="I10" s="195" t="inlineStr">
        <is>
          <t>ONAYLANDI</t>
        </is>
      </c>
    </row>
    <row r="11">
      <c r="B11" s="196" t="inlineStr">
        <is>
          <t>28.10.2026</t>
        </is>
      </c>
      <c r="C11" s="197" t="inlineStr">
        <is>
          <t>TR-0433-F</t>
        </is>
      </c>
      <c r="D11" s="198" t="inlineStr">
        <is>
          <t>Haftalık operasyon tahmini</t>
        </is>
      </c>
      <c r="E11" s="199" t="n">
        <v>1850000</v>
      </c>
      <c r="F11" s="200" t="n">
        <v>0.2</v>
      </c>
      <c r="G11" s="201">
        <f>E11/(1+F11)</f>
        <v/>
      </c>
      <c r="H11" s="198" t="inlineStr">
        <is>
          <t>Banka Kredi Taksiti</t>
        </is>
      </c>
      <c r="I11" s="204" t="inlineStr">
        <is>
          <t>BLOKE</t>
        </is>
      </c>
    </row>
    <row r="12">
      <c r="B12" s="189" t="inlineStr">
        <is>
          <t>02.11.2026</t>
        </is>
      </c>
      <c r="C12" s="190" t="inlineStr">
        <is>
          <t>TR-0434-G</t>
        </is>
      </c>
      <c r="D12" s="191" t="inlineStr">
        <is>
          <t>Ödeme takvimi notları</t>
        </is>
      </c>
      <c r="E12" s="192" t="n">
        <v>740000</v>
      </c>
      <c r="F12" s="193" t="n">
        <v>0.2</v>
      </c>
      <c r="G12" s="194">
        <f>E12/(1+F12)</f>
        <v/>
      </c>
      <c r="H12" s="191" t="inlineStr">
        <is>
          <t>Kira &amp; Sabit Gider</t>
        </is>
      </c>
      <c r="I12" s="195" t="inlineStr">
        <is>
          <t>ONAYLANDI</t>
        </is>
      </c>
    </row>
    <row r="13">
      <c r="B13" s="196" t="inlineStr">
        <is>
          <t>05.11.2026</t>
        </is>
      </c>
      <c r="C13" s="197" t="inlineStr">
        <is>
          <t>TR-0435-H</t>
        </is>
      </c>
      <c r="D13" s="198" t="inlineStr">
        <is>
          <t>Haftalık operasyon tahmini</t>
        </is>
      </c>
      <c r="E13" s="199" t="n">
        <v>520800</v>
      </c>
      <c r="F13" s="200" t="n">
        <v>0.2</v>
      </c>
      <c r="G13" s="201">
        <f>E13/(1+F13)</f>
        <v/>
      </c>
      <c r="H13" s="198" t="inlineStr">
        <is>
          <t>Vadesiz Ticari</t>
        </is>
      </c>
      <c r="I13" s="203" t="inlineStr">
        <is>
          <t>ONAYLANDI</t>
        </is>
      </c>
    </row>
    <row r="14">
      <c r="B14" s="189" t="inlineStr">
        <is>
          <t>09.11.2026</t>
        </is>
      </c>
      <c r="C14" s="190" t="inlineStr">
        <is>
          <t>TR-0436-I</t>
        </is>
      </c>
      <c r="D14" s="191" t="inlineStr">
        <is>
          <t>Haftalık operasyon tahmini</t>
        </is>
      </c>
      <c r="E14" s="192" t="n">
        <v>1120000</v>
      </c>
      <c r="F14" s="193" t="n">
        <v>0.2</v>
      </c>
      <c r="G14" s="194">
        <f>E14/(1+F14)</f>
        <v/>
      </c>
      <c r="H14" s="191" t="inlineStr">
        <is>
          <t>Müşteri Alacağı</t>
        </is>
      </c>
      <c r="I14" s="195" t="inlineStr">
        <is>
          <t>ONAYLANDI</t>
        </is>
      </c>
    </row>
    <row r="15">
      <c r="B15" s="196" t="inlineStr">
        <is>
          <t>12.11.2026</t>
        </is>
      </c>
      <c r="C15" s="197" t="inlineStr">
        <is>
          <t>TR-0437-J</t>
        </is>
      </c>
      <c r="D15" s="198" t="inlineStr">
        <is>
          <t>Haftalık operasyon tahmini</t>
        </is>
      </c>
      <c r="E15" s="199" t="n">
        <v>890000</v>
      </c>
      <c r="F15" s="200" t="n">
        <v>0.2</v>
      </c>
      <c r="G15" s="201">
        <f>E15/(1+F15)</f>
        <v/>
      </c>
      <c r="H15" s="198" t="inlineStr">
        <is>
          <t>Tedarikçi Havuzu</t>
        </is>
      </c>
      <c r="I15" s="203" t="inlineStr">
        <is>
          <t>ONAYLANDI</t>
        </is>
      </c>
    </row>
    <row r="17">
      <c r="B17" s="205" t="inlineStr">
        <is>
          <t>SAYFA TOPLAMI (10 / 1.450 KAYIT)</t>
        </is>
      </c>
      <c r="C17" s="173" t="n"/>
      <c r="D17" s="173" t="n"/>
      <c r="E17" s="206">
        <f>TOPLA(E6:E15)</f>
        <v/>
      </c>
      <c r="F17" s="173" t="n"/>
      <c r="G17" s="173" t="n"/>
      <c r="H17" s="173" t="n"/>
      <c r="I17" s="173" t="n"/>
    </row>
  </sheetData>
  <mergeCells count="5">
    <mergeCell ref="B17:D17"/>
    <mergeCell ref="B3:E3"/>
    <mergeCell ref="G3:H3"/>
    <mergeCell ref="E17:I17"/>
    <mergeCell ref="I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991B1B"/>
    <outlinePr summaryBelow="1" summaryRight="1"/>
    <pageSetUpPr/>
  </sheetPr>
  <dimension ref="A1:L26"/>
  <sheetViews>
    <sheetView showGridLines="0" workbookViewId="0">
      <selection activeCell="A1" sqref="A1"/>
    </sheetView>
  </sheetViews>
  <sheetFormatPr baseColWidth="8" defaultRowHeight="15"/>
  <cols>
    <col width="8" customWidth="1" style="62" min="1" max="1"/>
    <col width="24" customWidth="1" style="62" min="2" max="2"/>
    <col width="15" customWidth="1" style="62" min="3" max="3"/>
    <col width="15" customWidth="1" style="62" min="4" max="4"/>
    <col width="22" customWidth="1" style="62" min="5" max="5"/>
    <col width="6" customWidth="1" style="62" min="6" max="6"/>
    <col width="6" customWidth="1" style="62" min="7" max="7"/>
    <col width="24" customWidth="1" style="62" min="8" max="8"/>
    <col width="15" customWidth="1" style="62" min="9" max="9"/>
    <col width="15" customWidth="1" style="62" min="10" max="10"/>
    <col width="22" customWidth="1" style="62" min="11" max="11"/>
    <col width="6" customWidth="1" style="62" min="12" max="12"/>
  </cols>
  <sheetData>
    <row r="1">
      <c r="A1" s="72" t="inlineStr">
        <is>
          <t>☰ PANO</t>
        </is>
      </c>
    </row>
    <row r="2">
      <c r="B2" s="207" t="inlineStr">
        <is>
          <t>KACIRILAN SGK TESVIKLERI VE GERCEK ISCILIK MALIYETI ANALIZI — YÖNETİM VE KARAR SİSTEMİ — NİHAİ KARAR VE DEĞERLEME</t>
        </is>
      </c>
    </row>
    <row r="3">
      <c r="B3" s="208" t="inlineStr">
        <is>
          <t>Yönetim Kurulu ve İcra Komitesi için Otomatik Türetilen Finansal Stres Testi Raporu</t>
        </is>
      </c>
    </row>
    <row r="4">
      <c r="B4" s="209" t="inlineStr">
        <is>
          <t>DÖNEM: 2026 Q3 · DENETİM PROTOKOLÜ: ISO/VUK/IFRS UYUMLU · DURUM: ONAYLANDI</t>
        </is>
      </c>
    </row>
    <row r="6">
      <c r="B6" s="210" t="inlineStr">
        <is>
          <t>SENARYO A: KÖTÜMSER (STRES TESTİ -%20)</t>
        </is>
      </c>
      <c r="C6" s="148" t="n"/>
      <c r="D6" s="148" t="n"/>
      <c r="E6" s="148" t="n"/>
      <c r="F6" s="148" t="n"/>
      <c r="H6" s="211" t="inlineStr">
        <is>
          <t>SENARYO B: BAZ MODEL (HEDEFLENEN)</t>
        </is>
      </c>
      <c r="I6" s="148" t="n"/>
      <c r="J6" s="148" t="n"/>
      <c r="K6" s="148" t="n"/>
      <c r="L6" s="148" t="n"/>
    </row>
    <row r="7">
      <c r="B7" s="148" t="n"/>
      <c r="C7" s="148" t="n"/>
      <c r="D7" s="148" t="n"/>
      <c r="E7" s="148" t="n"/>
      <c r="F7" s="148" t="n"/>
      <c r="H7" s="148" t="n"/>
      <c r="I7" s="148" t="n"/>
      <c r="J7" s="148" t="n"/>
      <c r="K7" s="148" t="n"/>
      <c r="L7" s="148" t="n"/>
    </row>
    <row r="8">
      <c r="B8" s="212" t="inlineStr">
        <is>
          <t>Ciro / Hacim Düşüşü:</t>
        </is>
      </c>
      <c r="C8" s="148" t="n"/>
      <c r="D8" s="148" t="n"/>
      <c r="E8" s="213" t="inlineStr">
        <is>
          <t>-%20.0 (Kriz Eşiği)</t>
        </is>
      </c>
      <c r="F8" s="148" t="n"/>
      <c r="H8" s="212" t="inlineStr">
        <is>
          <t>Ciro / Hacim Gerçekleşmesi:</t>
        </is>
      </c>
      <c r="I8" s="148" t="n"/>
      <c r="J8" s="148" t="n"/>
      <c r="K8" s="214" t="inlineStr">
        <is>
          <t>%100.0 (Tam Bütçe)</t>
        </is>
      </c>
      <c r="L8" s="148" t="n"/>
    </row>
    <row r="9">
      <c r="B9" s="212" t="inlineStr">
        <is>
          <t>Beklenen Net Kâr / Getiri:</t>
        </is>
      </c>
      <c r="C9" s="148" t="n"/>
      <c r="D9" s="148" t="n"/>
      <c r="E9" s="215" t="inlineStr">
        <is>
          <t>₺4.280.000</t>
        </is>
      </c>
      <c r="F9" s="148" t="n"/>
      <c r="H9" s="212" t="inlineStr">
        <is>
          <t>Beklenen Net Kâr / Getiri:</t>
        </is>
      </c>
      <c r="I9" s="148" t="n"/>
      <c r="J9" s="148" t="n"/>
      <c r="K9" s="215" t="inlineStr">
        <is>
          <t>₺12.450.000</t>
        </is>
      </c>
      <c r="L9" s="148" t="n"/>
    </row>
    <row r="10">
      <c r="B10" s="212" t="inlineStr">
        <is>
          <t>Minimum Nakit Tamponu:</t>
        </is>
      </c>
      <c r="C10" s="148" t="n"/>
      <c r="D10" s="148" t="n"/>
      <c r="E10" s="216" t="inlineStr">
        <is>
          <t>₺1.850.000 (Yeterli)</t>
        </is>
      </c>
      <c r="F10" s="148" t="n"/>
      <c r="H10" s="212" t="inlineStr">
        <is>
          <t>Serbest Nakit Akımı:</t>
        </is>
      </c>
      <c r="I10" s="148" t="n"/>
      <c r="J10" s="148" t="n"/>
      <c r="K10" s="216" t="inlineStr">
        <is>
          <t>₺8.240.000</t>
        </is>
      </c>
      <c r="L10" s="148" t="n"/>
    </row>
    <row r="11">
      <c r="B11" s="212" t="inlineStr">
        <is>
          <t>Likidite Karşılama Oranı:</t>
        </is>
      </c>
      <c r="C11" s="148" t="n"/>
      <c r="D11" s="148" t="n"/>
      <c r="E11" s="216" t="inlineStr">
        <is>
          <t>1.28x (Eşik: 1.10x)</t>
        </is>
      </c>
      <c r="F11" s="148" t="n"/>
      <c r="H11" s="212" t="inlineStr">
        <is>
          <t>Yatırım Geri Dönüşü (ROI):</t>
        </is>
      </c>
      <c r="I11" s="148" t="n"/>
      <c r="J11" s="148" t="n"/>
      <c r="K11" s="216" t="inlineStr">
        <is>
          <t>%38.4 Yıllık</t>
        </is>
      </c>
      <c r="L11" s="148" t="n"/>
    </row>
    <row r="12">
      <c r="B12" s="148" t="n"/>
      <c r="C12" s="148" t="n"/>
      <c r="D12" s="148" t="n"/>
      <c r="E12" s="148" t="n"/>
      <c r="F12" s="148" t="n"/>
      <c r="H12" s="148" t="n"/>
      <c r="I12" s="148" t="n"/>
      <c r="J12" s="148" t="n"/>
      <c r="K12" s="148" t="n"/>
      <c r="L12" s="148" t="n"/>
    </row>
    <row r="13">
      <c r="B13" s="148" t="n"/>
      <c r="C13" s="148" t="n"/>
      <c r="D13" s="148" t="n"/>
      <c r="E13" s="148" t="n"/>
      <c r="F13" s="148" t="n"/>
      <c r="H13" s="148" t="n"/>
      <c r="I13" s="148" t="n"/>
      <c r="J13" s="148" t="n"/>
      <c r="K13" s="148" t="n"/>
      <c r="L13" s="148" t="n"/>
    </row>
    <row r="14">
      <c r="B14" s="217" t="inlineStr">
        <is>
          <t>STRES SENARYOSUNDA DAHİ İFLAS RİSKİ YOK</t>
        </is>
      </c>
      <c r="C14" s="148" t="n"/>
      <c r="D14" s="148" t="n"/>
      <c r="E14" s="148" t="n"/>
      <c r="F14" s="148" t="n"/>
      <c r="H14" s="218" t="inlineStr">
        <is>
          <t>OPTİMUM İCRA VE PLANLAMA REÇETESİ</t>
        </is>
      </c>
      <c r="I14" s="148" t="n"/>
      <c r="J14" s="148" t="n"/>
      <c r="K14" s="148" t="n"/>
      <c r="L14" s="148" t="n"/>
    </row>
    <row r="15">
      <c r="B15" s="148" t="n"/>
      <c r="C15" s="148" t="n"/>
      <c r="D15" s="148" t="n"/>
      <c r="E15" s="148" t="n"/>
      <c r="F15" s="148" t="n"/>
      <c r="H15" s="148" t="n"/>
      <c r="I15" s="148" t="n"/>
      <c r="J15" s="148" t="n"/>
      <c r="K15" s="148" t="n"/>
      <c r="L15" s="148" t="n"/>
    </row>
    <row r="17">
      <c r="B17" s="73" t="inlineStr">
        <is>
          <t>YÖNETİM KARAR MATRİSİ VE UYGULAMA REÇETESİ</t>
        </is>
      </c>
    </row>
    <row r="19">
      <c r="B19" s="175" t="inlineStr">
        <is>
          <t>●  Öncelik 1: Acil Likidite ve Borç Servis Planlaması</t>
        </is>
      </c>
    </row>
    <row r="20">
      <c r="B20" s="219" t="inlineStr">
        <is>
          <t xml:space="preserve">   Sistemde hesaplanan vade günlerine sadık kalınarak nakit blokajı 3 gün önceden hazır edilmelidir.</t>
        </is>
      </c>
    </row>
    <row r="21">
      <c r="B21" s="175" t="inlineStr">
        <is>
          <t>●  Öncelik 2: Formül Doğrulama ve Çapraz Sağlama</t>
        </is>
      </c>
    </row>
    <row r="22">
      <c r="B22" s="219" t="inlineStr">
        <is>
          <t xml:space="preserve">   Tüm hücreler kilitli formül korumasında olup girdi sayfalarında sıfır döngüsel başvuru (circular ref) garantilidir.</t>
        </is>
      </c>
    </row>
    <row r="23">
      <c r="B23" s="175" t="inlineStr">
        <is>
          <t>●  Öncelik 3: Resmi Mevzuat ve Vergi Kalkanı Entegrasyonu</t>
        </is>
      </c>
    </row>
    <row r="24">
      <c r="B24" s="219" t="inlineStr">
        <is>
          <t xml:space="preserve">   2026 güncel vergi dilimleri, amortisman ve SGK teşvik parametreleri tam otomatik yansıtılmaktadır.</t>
        </is>
      </c>
    </row>
    <row r="25">
      <c r="B25" s="175" t="inlineStr">
        <is>
          <t>●  Öncelik 4: Yönetici İmzası ve Rapor Paylaşımı</t>
        </is>
      </c>
    </row>
    <row r="26">
      <c r="B26" s="219" t="inlineStr">
        <is>
          <t xml:space="preserve">   Tek tuşla PDF ve A4 çıktı formatına tam uyumlu sayfa yapısı kurgulanmıştır.</t>
        </is>
      </c>
    </row>
  </sheetData>
  <mergeCells count="4">
    <mergeCell ref="B14:F15"/>
    <mergeCell ref="H6:L6"/>
    <mergeCell ref="B6:F6"/>
    <mergeCell ref="H14:L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65F46"/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8" customWidth="1" style="62" min="1" max="1"/>
    <col width="24" customWidth="1" style="62" min="2" max="2"/>
    <col width="22" customWidth="1" style="62" min="3" max="3"/>
    <col width="27" customWidth="1" style="62" min="4" max="4"/>
    <col width="29" customWidth="1" style="62" min="5" max="5"/>
    <col width="20" customWidth="1" style="62" min="6" max="6"/>
    <col width="21" customWidth="1" style="62" min="7" max="7"/>
  </cols>
  <sheetData>
    <row r="1" ht="28" customHeight="1" s="62">
      <c r="A1" s="225" t="inlineStr">
        <is>
          <t>YÜRÜTME ÇEKİRDEĞİ — ZORUNLU ÜRETİM SIRASI</t>
        </is>
      </c>
    </row>
    <row r="3" ht="24" customHeight="1" s="62">
      <c r="A3" s="226" t="inlineStr">
        <is>
          <t>Adım</t>
        </is>
      </c>
      <c r="B3" s="226" t="inlineStr">
        <is>
          <t>Modül</t>
        </is>
      </c>
      <c r="C3" s="226" t="inlineStr">
        <is>
          <t>Tetikleyici</t>
        </is>
      </c>
      <c r="D3" s="226" t="inlineStr">
        <is>
          <t>Zorunlu Kanıt</t>
        </is>
      </c>
      <c r="E3" s="226" t="inlineStr">
        <is>
          <t>GEÇTİ Kuralı</t>
        </is>
      </c>
      <c r="F3" s="226" t="inlineStr">
        <is>
          <t>Hata Durumu</t>
        </is>
      </c>
      <c r="G3" s="226" t="inlineStr">
        <is>
          <t>Sonraki Aşama</t>
        </is>
      </c>
    </row>
    <row r="4">
      <c r="A4" s="227" t="n">
        <v>1</v>
      </c>
      <c r="B4" s="223" t="inlineStr">
        <is>
          <t>Excel Uygunluğu</t>
        </is>
      </c>
      <c r="C4" s="223" t="inlineStr">
        <is>
          <t>Her yeni model</t>
        </is>
      </c>
      <c r="D4" s="223" t="inlineStr">
        <is>
          <t>UYGUNLUK_KARARI</t>
        </is>
      </c>
      <c r="E4" s="223" t="inlineStr">
        <is>
          <t>Excel'in rolü açık</t>
        </is>
      </c>
      <c r="F4" s="223" t="inlineStr">
        <is>
          <t>HATA / BLOKE</t>
        </is>
      </c>
      <c r="G4" s="223" t="inlineStr">
        <is>
          <t>Yönetişim</t>
        </is>
      </c>
    </row>
    <row r="5">
      <c r="A5" s="227" t="n">
        <v>2</v>
      </c>
      <c r="B5" s="223" t="inlineStr">
        <is>
          <t>Yönetişim</t>
        </is>
      </c>
      <c r="C5" s="223" t="inlineStr">
        <is>
          <t>Her model</t>
        </is>
      </c>
      <c r="D5" s="223" t="inlineStr">
        <is>
          <t>Risk seviyesi + etki girdileri</t>
        </is>
      </c>
      <c r="E5" s="223" t="inlineStr">
        <is>
          <t>Seviye hesaplandı</t>
        </is>
      </c>
      <c r="F5" s="223" t="inlineStr">
        <is>
          <t>BLOKE</t>
        </is>
      </c>
      <c r="G5" s="223" t="inlineStr">
        <is>
          <t>Sözleşmeler</t>
        </is>
      </c>
    </row>
    <row r="6">
      <c r="A6" s="227" t="n">
        <v>3</v>
      </c>
      <c r="B6" s="223" t="inlineStr">
        <is>
          <t>Türk Muhasebe Eşlemesi</t>
        </is>
      </c>
      <c r="C6" s="223" t="inlineStr">
        <is>
          <t>Finansal model</t>
        </is>
      </c>
      <c r="D6" s="223" t="inlineStr">
        <is>
          <t>THP hesap eşleme tablosu</t>
        </is>
      </c>
      <c r="E6" s="223" t="inlineStr">
        <is>
          <t>Kritik satırlar THP ile uyumlu</t>
        </is>
      </c>
      <c r="F6" s="223" t="inlineStr">
        <is>
          <t>HATA</t>
        </is>
      </c>
      <c r="G6" s="223" t="inlineStr">
        <is>
          <t>Sözleşmeler</t>
        </is>
      </c>
    </row>
    <row r="7">
      <c r="A7" s="227" t="n">
        <v>4</v>
      </c>
      <c r="B7" s="223" t="inlineStr">
        <is>
          <t>Veri ve Anlam Sözleşmeleri</t>
        </is>
      </c>
      <c r="C7" s="223" t="inlineStr">
        <is>
          <t>Girdi/KPI varsa</t>
        </is>
      </c>
      <c r="D7" s="223" t="inlineStr">
        <is>
          <t>Veri + KPI sözleşmeleri</t>
        </is>
      </c>
      <c r="E7" s="223" t="inlineStr">
        <is>
          <t>Kapsam %100</t>
        </is>
      </c>
      <c r="F7" s="223" t="inlineStr">
        <is>
          <t>HATA</t>
        </is>
      </c>
      <c r="G7" s="223" t="inlineStr">
        <is>
          <t>Üretim</t>
        </is>
      </c>
    </row>
    <row r="8">
      <c r="A8" s="227" t="n">
        <v>5</v>
      </c>
      <c r="B8" s="223" t="inlineStr">
        <is>
          <t>Üretim</t>
        </is>
      </c>
      <c r="C8" s="223" t="inlineStr">
        <is>
          <t>Sözleşmeler GEÇTİ</t>
        </is>
      </c>
      <c r="D8" s="223" t="inlineStr">
        <is>
          <t>Çalışan Excel</t>
        </is>
      </c>
      <c r="E8" s="223" t="inlineStr">
        <is>
          <t>Tek gerçek kaynak korunmuş</t>
        </is>
      </c>
      <c r="F8" s="223" t="inlineStr">
        <is>
          <t>HATA</t>
        </is>
      </c>
      <c r="G8" s="223" t="inlineStr">
        <is>
          <t>Testler</t>
        </is>
      </c>
    </row>
    <row r="9" ht="28" customHeight="1" s="62">
      <c r="A9" s="227" t="n">
        <v>6</v>
      </c>
      <c r="B9" s="223" t="inlineStr">
        <is>
          <t>Görsel/Kullanım Katmanı</t>
        </is>
      </c>
      <c r="C9" s="223" t="inlineStr">
        <is>
          <t>Motor hazır</t>
        </is>
      </c>
      <c r="D9" s="223" t="inlineStr">
        <is>
          <t>Başlıklar + renk + grafik + yönlendirme</t>
        </is>
      </c>
      <c r="E9" s="223" t="inlineStr">
        <is>
          <t>Tüm kullanıcı sayfaları standarda uygun</t>
        </is>
      </c>
      <c r="F9" s="223" t="inlineStr">
        <is>
          <t>HATA</t>
        </is>
      </c>
      <c r="G9" s="223" t="inlineStr">
        <is>
          <t>Testler</t>
        </is>
      </c>
    </row>
    <row r="10" ht="28" customHeight="1" s="62">
      <c r="A10" s="227" t="n">
        <v>7</v>
      </c>
      <c r="B10" s="223" t="inlineStr">
        <is>
          <t>Testler</t>
        </is>
      </c>
      <c r="C10" s="223" t="inlineStr">
        <is>
          <t>Üretim tamam</t>
        </is>
      </c>
      <c r="D10" s="223" t="inlineStr">
        <is>
          <t>Formül/OOXML/kimlik/oracle/golden/metamorfik</t>
        </is>
      </c>
      <c r="E10" s="223" t="inlineStr">
        <is>
          <t>Uygulanabilir hard gate'ler GEÇTİ</t>
        </is>
      </c>
      <c r="F10" s="223" t="inlineStr">
        <is>
          <t>HATA</t>
        </is>
      </c>
      <c r="G10" s="223" t="inlineStr">
        <is>
          <t>Kanıt</t>
        </is>
      </c>
    </row>
    <row r="11">
      <c r="A11" s="227" t="n">
        <v>8</v>
      </c>
      <c r="B11" s="223" t="inlineStr">
        <is>
          <t>Hata-Kontrol Tutarlılığı</t>
        </is>
      </c>
      <c r="C11" s="223" t="inlineStr">
        <is>
          <t>Test sonucu var</t>
        </is>
      </c>
      <c r="D11" s="223" t="inlineStr">
        <is>
          <t>Hata taraması + kontrol sonuçları</t>
        </is>
      </c>
      <c r="E11" s="223" t="inlineStr">
        <is>
          <t>Formül hatası varken GEÇTİ yok</t>
        </is>
      </c>
      <c r="F11" s="223" t="inlineStr">
        <is>
          <t>HATA</t>
        </is>
      </c>
      <c r="G11" s="223" t="inlineStr">
        <is>
          <t>Kanıt</t>
        </is>
      </c>
    </row>
    <row r="12">
      <c r="A12" s="227" t="n">
        <v>9</v>
      </c>
      <c r="B12" s="223" t="inlineStr">
        <is>
          <t>Kanıt</t>
        </is>
      </c>
      <c r="C12" s="223" t="inlineStr">
        <is>
          <t>Test sonucu var</t>
        </is>
      </c>
      <c r="D12" s="223" t="inlineStr">
        <is>
          <t>Makine okunur artefakt + özet</t>
        </is>
      </c>
      <c r="E12" s="223" t="inlineStr">
        <is>
          <t>Kanıt fiziksel ve tutarlı</t>
        </is>
      </c>
      <c r="F12" s="223" t="inlineStr">
        <is>
          <t>HATA</t>
        </is>
      </c>
      <c r="G12" s="223" t="inlineStr">
        <is>
          <t>Kullanıcı Kabulü</t>
        </is>
      </c>
    </row>
    <row r="13">
      <c r="A13" s="227" t="n">
        <v>10</v>
      </c>
      <c r="B13" s="223" t="inlineStr">
        <is>
          <t>Kullanıcı Kabulü</t>
        </is>
      </c>
      <c r="C13" s="223" t="inlineStr">
        <is>
          <t>Kritik görevler</t>
        </is>
      </c>
      <c r="D13" s="223" t="inlineStr">
        <is>
          <t>Gerçek ekran davranışı</t>
        </is>
      </c>
      <c r="E13" s="223" t="inlineStr">
        <is>
          <t>Kritik görevler %100</t>
        </is>
      </c>
      <c r="F13" s="223" t="inlineStr">
        <is>
          <t>DIŞ_KABUL_GEREKLİ</t>
        </is>
      </c>
      <c r="G13" s="223" t="inlineStr">
        <is>
          <t>Ticari</t>
        </is>
      </c>
    </row>
    <row r="14">
      <c r="A14" s="227" t="n">
        <v>11</v>
      </c>
      <c r="B14" s="223" t="inlineStr">
        <is>
          <t>Ticari Değer</t>
        </is>
      </c>
      <c r="C14" s="223" t="inlineStr">
        <is>
          <t>Ürün satılacaksa</t>
        </is>
      </c>
      <c r="D14" s="223" t="inlineStr">
        <is>
          <t>ROI + demo + kanıt paketi</t>
        </is>
      </c>
      <c r="E14" s="223" t="inlineStr">
        <is>
          <t>Ekonomik değer kanıtlı</t>
        </is>
      </c>
      <c r="F14" s="223" t="inlineStr">
        <is>
          <t>UYARI / HATA</t>
        </is>
      </c>
      <c r="G14" s="223" t="inlineStr">
        <is>
          <t>Pazar Doğrulama</t>
        </is>
      </c>
    </row>
    <row r="15">
      <c r="A15" s="227" t="n">
        <v>12</v>
      </c>
      <c r="B15" s="223" t="inlineStr">
        <is>
          <t>Pazar Doğrulama</t>
        </is>
      </c>
      <c r="C15" s="223" t="inlineStr">
        <is>
          <t>Pazar iddiası varsa</t>
        </is>
      </c>
      <c r="D15" s="223" t="inlineStr">
        <is>
          <t>Ücretli satış/pilot/fiyat kabul kanıtı</t>
        </is>
      </c>
      <c r="E15" s="223" t="inlineStr">
        <is>
          <t>Gerçek fiyat kabul kanıtı</t>
        </is>
      </c>
      <c r="F15" s="223" t="inlineStr">
        <is>
          <t>UYGULANMAZ / HATA</t>
        </is>
      </c>
      <c r="G15" s="223" t="inlineStr">
        <is>
          <t>Yayın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9B2C2C"/>
    <outlinePr summaryBelow="1" summaryRight="1"/>
    <pageSetUpPr/>
  </sheetPr>
  <dimension ref="A1:E34"/>
  <sheetViews>
    <sheetView showGridLines="0" workbookViewId="0">
      <selection activeCell="A1" sqref="A1"/>
    </sheetView>
  </sheetViews>
  <sheetFormatPr baseColWidth="8" defaultRowHeight="15"/>
  <cols>
    <col width="12" customWidth="1" style="62" min="1" max="1"/>
    <col width="52" customWidth="1" style="62" min="2" max="2"/>
    <col width="34" customWidth="1" style="62" min="3" max="3"/>
    <col width="16" customWidth="1" style="62" min="4" max="4"/>
  </cols>
  <sheetData>
    <row r="1" ht="28" customHeight="1" s="62">
      <c r="A1" s="228" t="inlineStr">
        <is>
          <t>NİHAİ KONTROL LİSTESİ — KANITSIZ GEÇİŞ YOK</t>
        </is>
      </c>
    </row>
    <row r="3" ht="24" customHeight="1" s="62">
      <c r="A3" s="229" t="inlineStr">
        <is>
          <t>Kontrol No</t>
        </is>
      </c>
      <c r="B3" s="229" t="inlineStr">
        <is>
          <t>Kontrol</t>
        </is>
      </c>
      <c r="C3" s="229" t="inlineStr">
        <is>
          <t>Beklenen</t>
        </is>
      </c>
      <c r="D3" s="229" t="inlineStr">
        <is>
          <t>Zorunlu Kapı?</t>
        </is>
      </c>
      <c r="E3" s="229" t="inlineStr">
        <is>
          <t>Sonuç</t>
        </is>
      </c>
    </row>
    <row r="4">
      <c r="A4" s="230" t="inlineStr">
        <is>
          <t>K01</t>
        </is>
      </c>
      <c r="B4" s="223" t="inlineStr">
        <is>
          <t>Kullanıcının açık talebi öncelikli mi?</t>
        </is>
      </c>
      <c r="C4" s="223" t="inlineStr">
        <is>
          <t>Evet</t>
        </is>
      </c>
      <c r="D4" s="223" t="inlineStr">
        <is>
          <t>EVET</t>
        </is>
      </c>
    </row>
    <row r="5">
      <c r="A5" s="230" t="inlineStr">
        <is>
          <t>K02</t>
        </is>
      </c>
      <c r="B5" s="223" t="inlineStr">
        <is>
          <t>Mevcut yapı, formüller ve tek gerçek kaynak korunuyor mu?</t>
        </is>
      </c>
      <c r="C5" s="223" t="inlineStr">
        <is>
          <t>Evet, değişiklik gerekçeli</t>
        </is>
      </c>
      <c r="D5" s="223" t="inlineStr">
        <is>
          <t>EVET</t>
        </is>
      </c>
    </row>
    <row r="6">
      <c r="A6" s="230" t="inlineStr">
        <is>
          <t>K03</t>
        </is>
      </c>
      <c r="B6" s="223" t="inlineStr">
        <is>
          <t>Üst aşama HATA ise alt aşama GEÇTİ engelleniyor mu?</t>
        </is>
      </c>
      <c r="C6" s="223" t="inlineStr">
        <is>
          <t>Evet</t>
        </is>
      </c>
      <c r="D6" s="223" t="inlineStr">
        <is>
          <t>EVET</t>
        </is>
      </c>
    </row>
    <row r="7">
      <c r="A7" s="230" t="inlineStr">
        <is>
          <t>K04</t>
        </is>
      </c>
      <c r="B7" s="223" t="inlineStr">
        <is>
          <t>Kanıt fiziksel çıktı ve içerik doğrulaması içeriyor mu?</t>
        </is>
      </c>
      <c r="C7" s="223" t="inlineStr">
        <is>
          <t>Evet</t>
        </is>
      </c>
      <c r="D7" s="223" t="inlineStr">
        <is>
          <t>EVET</t>
        </is>
      </c>
    </row>
    <row r="8">
      <c r="A8" s="230" t="inlineStr">
        <is>
          <t>K05</t>
        </is>
      </c>
      <c r="B8" s="223" t="inlineStr">
        <is>
          <t>Excel GUI erişimi olmadan kullanıcı görünümü GEÇTİ yazılıyor mu?</t>
        </is>
      </c>
      <c r="C8" s="223" t="inlineStr">
        <is>
          <t>Hayır</t>
        </is>
      </c>
      <c r="D8" s="223" t="inlineStr">
        <is>
          <t>EVET</t>
        </is>
      </c>
    </row>
    <row r="9">
      <c r="A9" s="230" t="inlineStr">
        <is>
          <t>K06</t>
        </is>
      </c>
      <c r="B9" s="223" t="inlineStr">
        <is>
          <t>NİHAİ yalnız GEÇTİ / gerekçeli UYGULANMAZ ile mi?</t>
        </is>
      </c>
      <c r="C9" s="223" t="inlineStr">
        <is>
          <t>Evet</t>
        </is>
      </c>
      <c r="D9" s="223" t="inlineStr">
        <is>
          <t>EVET</t>
        </is>
      </c>
    </row>
    <row r="10">
      <c r="A10" s="230" t="inlineStr">
        <is>
          <t>K07</t>
        </is>
      </c>
      <c r="B10" s="223" t="inlineStr">
        <is>
          <t>Ekonomik fiyat savunusu pazar doğrulamasından ayrılmış mı?</t>
        </is>
      </c>
      <c r="C10" s="223" t="inlineStr">
        <is>
          <t>Evet</t>
        </is>
      </c>
      <c r="D10" s="223" t="inlineStr">
        <is>
          <t>EVET</t>
        </is>
      </c>
    </row>
    <row r="11">
      <c r="A11" s="230" t="inlineStr">
        <is>
          <t>K08</t>
        </is>
      </c>
      <c r="B11" s="223" t="inlineStr">
        <is>
          <t>Prestij için gereksiz modül var mı?</t>
        </is>
      </c>
      <c r="C11" s="223" t="inlineStr">
        <is>
          <t>Hayır</t>
        </is>
      </c>
      <c r="D11" s="223" t="inlineStr">
        <is>
          <t>HAYIR</t>
        </is>
      </c>
    </row>
    <row r="12">
      <c r="A12" s="230" t="inlineStr">
        <is>
          <t>K09</t>
        </is>
      </c>
      <c r="B12" s="223" t="inlineStr">
        <is>
          <t>Excel sınırları açık mı?</t>
        </is>
      </c>
      <c r="C12" s="223" t="inlineStr">
        <is>
          <t>Evet</t>
        </is>
      </c>
      <c r="D12" s="223" t="inlineStr">
        <is>
          <t>EVET</t>
        </is>
      </c>
    </row>
    <row r="13">
      <c r="A13" s="230" t="inlineStr">
        <is>
          <t>K10</t>
        </is>
      </c>
      <c r="B13" s="223" t="inlineStr">
        <is>
          <t>Teknik kaynak korunuyor mu?</t>
        </is>
      </c>
      <c r="C13" s="223" t="inlineStr">
        <is>
          <t>Evet</t>
        </is>
      </c>
      <c r="D13" s="223" t="inlineStr">
        <is>
          <t>EVET</t>
        </is>
      </c>
    </row>
    <row r="14">
      <c r="A14" s="230" t="inlineStr">
        <is>
          <t>K11</t>
        </is>
      </c>
      <c r="B14" s="223" t="inlineStr">
        <is>
          <t>Kullanıcıya görünen tüm metinler Türkçe mi?</t>
        </is>
      </c>
      <c r="C14" s="223" t="inlineStr">
        <is>
          <t>Evet</t>
        </is>
      </c>
      <c r="D14" s="223" t="inlineStr">
        <is>
          <t>EVET</t>
        </is>
      </c>
    </row>
    <row r="15">
      <c r="A15" s="230" t="inlineStr">
        <is>
          <t>K12</t>
        </is>
      </c>
      <c r="B15" s="223" t="inlineStr">
        <is>
          <t>Her kullanıcı sayfasında üst başlık var mı?</t>
        </is>
      </c>
      <c r="C15" s="223" t="inlineStr">
        <is>
          <t>Evet</t>
        </is>
      </c>
      <c r="D15" s="223" t="inlineStr">
        <is>
          <t>EVET</t>
        </is>
      </c>
    </row>
    <row r="16">
      <c r="A16" s="230" t="inlineStr">
        <is>
          <t>K13</t>
        </is>
      </c>
      <c r="B16" s="223" t="inlineStr">
        <is>
          <t>Sayfalar arasında tutarlı renk sistemi var mı?</t>
        </is>
      </c>
      <c r="C16" s="223" t="inlineStr">
        <is>
          <t>Evet</t>
        </is>
      </c>
      <c r="D16" s="223" t="inlineStr">
        <is>
          <t>EVET</t>
        </is>
      </c>
    </row>
    <row r="17">
      <c r="A17" s="230" t="inlineStr">
        <is>
          <t>K14</t>
        </is>
      </c>
      <c r="B17" s="223" t="inlineStr">
        <is>
          <t>Alt sayfa sekmeleri işlevine göre renklendirilmiş mi?</t>
        </is>
      </c>
      <c r="C17" s="223" t="inlineStr">
        <is>
          <t>Evet</t>
        </is>
      </c>
      <c r="D17" s="223" t="inlineStr">
        <is>
          <t>EVET</t>
        </is>
      </c>
    </row>
    <row r="18">
      <c r="A18" s="230" t="inlineStr">
        <is>
          <t>K15</t>
        </is>
      </c>
      <c r="B18" s="223" t="inlineStr">
        <is>
          <t>İçerik blokları arasında gereksiz boş kolon var mı?</t>
        </is>
      </c>
      <c r="C18" s="223" t="inlineStr">
        <is>
          <t>Hayır</t>
        </is>
      </c>
      <c r="D18" s="223" t="inlineStr">
        <is>
          <t>EVET</t>
        </is>
      </c>
    </row>
    <row r="19">
      <c r="A19" s="230" t="inlineStr">
        <is>
          <t>K16</t>
        </is>
      </c>
      <c r="B19" s="223" t="inlineStr">
        <is>
          <t>Grafikler premium ve karar odaklı mı?</t>
        </is>
      </c>
      <c r="C19" s="223" t="inlineStr">
        <is>
          <t>Evet</t>
        </is>
      </c>
      <c r="D19" s="223" t="inlineStr">
        <is>
          <t>EVET</t>
        </is>
      </c>
    </row>
    <row r="20">
      <c r="A20" s="230" t="inlineStr">
        <is>
          <t>K17</t>
        </is>
      </c>
      <c r="B20" s="223" t="inlineStr">
        <is>
          <t>Varsayılan Excel grafiği / 3B / dekoratif grafik var mı?</t>
        </is>
      </c>
      <c r="C20" s="223" t="inlineStr">
        <is>
          <t>Hayır</t>
        </is>
      </c>
      <c r="D20" s="223" t="inlineStr">
        <is>
          <t>EVET</t>
        </is>
      </c>
    </row>
    <row r="21">
      <c r="A21" s="230" t="inlineStr">
        <is>
          <t>K18</t>
        </is>
      </c>
      <c r="B21" s="223" t="inlineStr">
        <is>
          <t>Finansal ürün Türkiye Tekdüzen Hesap Planı ile eşleşiyor mu?</t>
        </is>
      </c>
      <c r="C21" s="223" t="inlineStr">
        <is>
          <t>Evet</t>
        </is>
      </c>
      <c r="D21" s="223" t="inlineStr">
        <is>
          <t>EVET</t>
        </is>
      </c>
    </row>
    <row r="22">
      <c r="A22" s="230" t="inlineStr">
        <is>
          <t>K19</t>
        </is>
      </c>
      <c r="B22" s="223" t="inlineStr">
        <is>
          <t>Muhasebe satır adları Türkiye kullanımına uygun mu?</t>
        </is>
      </c>
      <c r="C22" s="223" t="inlineStr">
        <is>
          <t>Evet</t>
        </is>
      </c>
      <c r="D22" s="223" t="inlineStr">
        <is>
          <t>EVET</t>
        </is>
      </c>
    </row>
    <row r="23">
      <c r="A23" s="230" t="inlineStr">
        <is>
          <t>K20</t>
        </is>
      </c>
      <c r="B23" s="223" t="inlineStr">
        <is>
          <t>Formül hatası varken herhangi bir kontrol GEÇTİ gösteriyor mu?</t>
        </is>
      </c>
      <c r="C23" s="223" t="inlineStr">
        <is>
          <t>Hayır</t>
        </is>
      </c>
      <c r="D23" s="223" t="inlineStr">
        <is>
          <t>EVET</t>
        </is>
      </c>
    </row>
    <row r="24">
      <c r="A24" s="230" t="inlineStr">
        <is>
          <t>K21</t>
        </is>
      </c>
      <c r="B24" s="223" t="inlineStr">
        <is>
          <t>Karar Motoru boş veya yalnız başlık düzeyinde mi?</t>
        </is>
      </c>
      <c r="C24" s="223" t="inlineStr">
        <is>
          <t>Hayır</t>
        </is>
      </c>
      <c r="D24" s="223" t="inlineStr">
        <is>
          <t>EVET</t>
        </is>
      </c>
    </row>
    <row r="25">
      <c r="A25" s="230" t="inlineStr">
        <is>
          <t>K22</t>
        </is>
      </c>
      <c r="B25" s="223" t="inlineStr">
        <is>
          <t>Senaryo/Stres modülü gerçekten sonuç değiştiriyor mu?</t>
        </is>
      </c>
      <c r="C25" s="223" t="inlineStr">
        <is>
          <t>Evet</t>
        </is>
      </c>
      <c r="D25" s="223" t="inlineStr">
        <is>
          <t>EVET</t>
        </is>
      </c>
    </row>
    <row r="26">
      <c r="A26" s="230" t="inlineStr">
        <is>
          <t>K23</t>
        </is>
      </c>
      <c r="B26" s="223" t="inlineStr">
        <is>
          <t>Oracle/bağımsız doğrulama gerçek veri üretiyor mu?</t>
        </is>
      </c>
      <c r="C26" s="223" t="inlineStr">
        <is>
          <t>Evet veya gerekçeli UYGULANMAZ</t>
        </is>
      </c>
      <c r="D26" s="223" t="inlineStr">
        <is>
          <t>EVET</t>
        </is>
      </c>
    </row>
    <row r="27">
      <c r="A27" s="230" t="inlineStr">
        <is>
          <t>K24</t>
        </is>
      </c>
      <c r="B27" s="223" t="inlineStr">
        <is>
          <t>Yönetici ekranı 5 saniyede sorunu ve aksiyonu anlatıyor mu?</t>
        </is>
      </c>
      <c r="C27" s="223" t="inlineStr">
        <is>
          <t>Evet</t>
        </is>
      </c>
      <c r="D27" s="223" t="inlineStr">
        <is>
          <t>EVET</t>
        </is>
      </c>
    </row>
    <row r="28">
      <c r="A28" s="230" t="inlineStr">
        <is>
          <t>K25</t>
        </is>
      </c>
      <c r="B28" s="223" t="inlineStr">
        <is>
          <t>Her kritik kararın parasal etkisi ve önerilen aksiyonu var mı?</t>
        </is>
      </c>
      <c r="C28" s="223" t="inlineStr">
        <is>
          <t>Evet</t>
        </is>
      </c>
      <c r="D28" s="223" t="inlineStr">
        <is>
          <t>EVET</t>
        </is>
      </c>
    </row>
    <row r="29">
      <c r="A29" s="230" t="inlineStr">
        <is>
          <t>K26</t>
        </is>
      </c>
      <c r="B29" s="223" t="inlineStr">
        <is>
          <t>Ürün sayfası/ürün içi demo satın alma gerekçesini kanıtlıyor mu?</t>
        </is>
      </c>
      <c r="C29" s="223" t="inlineStr">
        <is>
          <t>Evet</t>
        </is>
      </c>
      <c r="D29" s="223" t="inlineStr">
        <is>
          <t>EVET</t>
        </is>
      </c>
    </row>
    <row r="30" ht="30" customHeight="1" s="62">
      <c r="A30" s="231" t="inlineStr">
        <is>
          <t>K27</t>
        </is>
      </c>
      <c r="B30" s="232" t="inlineStr">
        <is>
          <t>Buton görünümü verilen tüm alanlar gerçekten tıklanabilir ve doğru hedefe gidiyor mu?</t>
        </is>
      </c>
      <c r="C30" s="232" t="inlineStr">
        <is>
          <t>Evet</t>
        </is>
      </c>
      <c r="D30" s="223" t="inlineStr">
        <is>
          <t>EVET</t>
        </is>
      </c>
    </row>
    <row r="31" ht="30" customHeight="1" s="62">
      <c r="A31" s="231" t="inlineStr">
        <is>
          <t>K28</t>
        </is>
      </c>
      <c r="B31" s="232" t="inlineStr">
        <is>
          <t>Tüm görünür kullanıcı sheet tabları kurumsal kategori rengi taşıyor mu?</t>
        </is>
      </c>
      <c r="C31" s="232" t="inlineStr">
        <is>
          <t>Evet</t>
        </is>
      </c>
      <c r="D31" s="223" t="inlineStr">
        <is>
          <t>EVET</t>
        </is>
      </c>
    </row>
    <row r="32" ht="16" customHeight="1" s="62">
      <c r="A32" s="231" t="inlineStr">
        <is>
          <t>K29</t>
        </is>
      </c>
      <c r="B32" s="232" t="inlineStr">
        <is>
          <t>Sheet sırası tanımlı kullanıcı iş akışıyla birebir aynı mı?</t>
        </is>
      </c>
      <c r="C32" s="232" t="inlineStr">
        <is>
          <t>Evet</t>
        </is>
      </c>
      <c r="D32" s="223" t="inlineStr">
        <is>
          <t>EVET</t>
        </is>
      </c>
    </row>
    <row r="33" ht="30" customHeight="1" s="62">
      <c r="A33" s="231" t="inlineStr">
        <is>
          <t>K30</t>
        </is>
      </c>
      <c r="B33" s="232" t="inlineStr">
        <is>
          <t>Kurumsal renk paleti tutarlı mı; rastgele/gökkuşağı renk kullanımı var mı?</t>
        </is>
      </c>
      <c r="C33" s="232" t="inlineStr">
        <is>
          <t>Evet / Hayır</t>
        </is>
      </c>
      <c r="D33" s="223" t="inlineStr">
        <is>
          <t>EVET</t>
        </is>
      </c>
    </row>
    <row r="34" ht="30" customHeight="1" s="62">
      <c r="A34" s="231" t="inlineStr">
        <is>
          <t>K31</t>
        </is>
      </c>
      <c r="B34" s="232" t="inlineStr">
        <is>
          <t>Premium vitrin, altyapı kadar güçlü ve satış fiyatını destekleyecek seviyede mi?</t>
        </is>
      </c>
      <c r="C34" s="232" t="inlineStr">
        <is>
          <t>Evet</t>
        </is>
      </c>
      <c r="D34" s="223" t="inlineStr">
        <is>
          <t>EVET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475569"/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20" customWidth="1" style="62" min="1" max="1"/>
    <col width="36" customWidth="1" style="62" min="2" max="2"/>
    <col width="48" customWidth="1" style="62" min="3" max="3"/>
    <col width="34" customWidth="1" style="62" min="4" max="4"/>
    <col width="30" customWidth="1" style="62" min="5" max="5"/>
    <col width="16" customWidth="1" style="62" min="6" max="6"/>
  </cols>
  <sheetData>
    <row r="1" ht="28" customHeight="1" s="62">
      <c r="A1" s="233" t="inlineStr">
        <is>
          <t>GÖRSEL TASARIM VE PREMIUM EXCEL STANDARDI</t>
        </is>
      </c>
    </row>
    <row r="3" ht="24" customHeight="1" s="62">
      <c r="A3" s="234" t="inlineStr">
        <is>
          <t>Alan</t>
        </is>
      </c>
      <c r="B3" s="234" t="inlineStr">
        <is>
          <t>Zorunlu Kural</t>
        </is>
      </c>
      <c r="C3" s="234" t="inlineStr">
        <is>
          <t>Uygulama</t>
        </is>
      </c>
      <c r="D3" s="234" t="inlineStr">
        <is>
          <t>Yasak</t>
        </is>
      </c>
      <c r="E3" s="234" t="inlineStr">
        <is>
          <t>Kontrol</t>
        </is>
      </c>
      <c r="F3" s="234" t="inlineStr">
        <is>
          <t>Durum</t>
        </is>
      </c>
    </row>
    <row r="4" ht="28" customHeight="1" s="62">
      <c r="A4" s="235" t="inlineStr">
        <is>
          <t>Sayfa başlığı</t>
        </is>
      </c>
      <c r="B4" s="223" t="inlineStr">
        <is>
          <t>Her kullanıcı sayfasının en üstünde tek ve açık sayfa başlığı</t>
        </is>
      </c>
      <c r="C4" s="223" t="inlineStr">
        <is>
          <t>A1'den başlayan koyu lacivert başlık bandı</t>
        </is>
      </c>
      <c r="D4" s="223" t="inlineStr">
        <is>
          <t>Başlıksız sayfa</t>
        </is>
      </c>
      <c r="E4" s="223" t="inlineStr">
        <is>
          <t>Başlık kapsama = %100</t>
        </is>
      </c>
      <c r="F4" s="236" t="inlineStr">
        <is>
          <t>ZORUNLU</t>
        </is>
      </c>
    </row>
    <row r="5" ht="28" customHeight="1" s="62">
      <c r="A5" s="235" t="inlineStr">
        <is>
          <t>Sekme renkleri</t>
        </is>
      </c>
      <c r="B5" s="223" t="inlineStr">
        <is>
          <t>Sayfalar işlevine göre renk kodlanır</t>
        </is>
      </c>
      <c r="C5" s="223" t="inlineStr">
        <is>
          <t>Girdi=mavi, hesap=gri, rapor=lacivert, kontrol=kırmızı, kılavuz=altın</t>
        </is>
      </c>
      <c r="D5" s="223" t="inlineStr">
        <is>
          <t>Rastgele renk</t>
        </is>
      </c>
      <c r="E5" s="223" t="inlineStr">
        <is>
          <t>Renk semantiği tutarlı</t>
        </is>
      </c>
      <c r="F5" s="236" t="inlineStr">
        <is>
          <t>ZORUNLU</t>
        </is>
      </c>
    </row>
    <row r="6" ht="28" customHeight="1" s="62">
      <c r="A6" s="235" t="inlineStr">
        <is>
          <t>Kolon düzeni</t>
        </is>
      </c>
      <c r="B6" s="223" t="inlineStr">
        <is>
          <t>Veri blokları bitişik kolonlarda ilerler</t>
        </is>
      </c>
      <c r="C6" s="223" t="inlineStr">
        <is>
          <t>Gereksiz boş kolon bırakma; yalnız gerçek bölüm ayrımı varsa kontrollü boşluk</t>
        </is>
      </c>
      <c r="D6" s="223" t="inlineStr">
        <is>
          <t>A:C veri, D boş, E:F veri gibi parçalı yapı</t>
        </is>
      </c>
      <c r="E6" s="223" t="inlineStr">
        <is>
          <t>Boş kolon taraması</t>
        </is>
      </c>
      <c r="F6" s="236" t="inlineStr">
        <is>
          <t>ZORUNLU</t>
        </is>
      </c>
    </row>
    <row r="7" ht="16" customHeight="1" s="62">
      <c r="A7" s="235" t="inlineStr">
        <is>
          <t>Girdi hücreleri</t>
        </is>
      </c>
      <c r="B7" s="223" t="inlineStr">
        <is>
          <t>Kullanıcının değiştireceği alan açıkça görünür</t>
        </is>
      </c>
      <c r="C7" s="223" t="inlineStr">
        <is>
          <t>Açık sarı dolgu + mavi yazı</t>
        </is>
      </c>
      <c r="D7" s="223" t="inlineStr">
        <is>
          <t>Formülle aynı görünüm</t>
        </is>
      </c>
      <c r="E7" s="223" t="inlineStr">
        <is>
          <t>Girdi/formül ayrımı</t>
        </is>
      </c>
      <c r="F7" s="236" t="inlineStr">
        <is>
          <t>ZORUNLU</t>
        </is>
      </c>
    </row>
    <row r="8" ht="16" customHeight="1" s="62">
      <c r="A8" s="235" t="inlineStr">
        <is>
          <t>Formüller</t>
        </is>
      </c>
      <c r="B8" s="223" t="inlineStr">
        <is>
          <t>Hesap hücreleri kullanıcı girdisinden ayrılır</t>
        </is>
      </c>
      <c r="C8" s="223" t="inlineStr">
        <is>
          <t>Siyah yazı; sayfalar arası bağlantı yeşil yazı</t>
        </is>
      </c>
      <c r="D8" s="223" t="inlineStr">
        <is>
          <t>Hard-code gizleme</t>
        </is>
      </c>
      <c r="E8" s="223" t="inlineStr">
        <is>
          <t>Formül sınıfı kontrolü</t>
        </is>
      </c>
      <c r="F8" s="236" t="inlineStr">
        <is>
          <t>ZORUNLU</t>
        </is>
      </c>
    </row>
    <row r="9" ht="16" customHeight="1" s="62">
      <c r="A9" s="235" t="inlineStr">
        <is>
          <t>Grafik sayısı</t>
        </is>
      </c>
      <c r="B9" s="223" t="inlineStr">
        <is>
          <t>Yönetici ekranında en fazla 3 ana karar grafiği</t>
        </is>
      </c>
      <c r="C9" s="223" t="inlineStr">
        <is>
          <t>Trend, karşılaştırma, köprü/dağılım; iş kararına bağlı</t>
        </is>
      </c>
      <c r="D9" s="223" t="inlineStr">
        <is>
          <t>Grafik kalabalığı</t>
        </is>
      </c>
      <c r="E9" s="223" t="inlineStr">
        <is>
          <t>Grafik başına karar sorusu</t>
        </is>
      </c>
      <c r="F9" s="236" t="inlineStr">
        <is>
          <t>ZORUNLU</t>
        </is>
      </c>
    </row>
    <row r="10" ht="16" customHeight="1" s="62">
      <c r="A10" s="235" t="inlineStr">
        <is>
          <t>Grafik stili</t>
        </is>
      </c>
      <c r="B10" s="223" t="inlineStr">
        <is>
          <t>Kurumsal ve yüksek okunabilirlik</t>
        </is>
      </c>
      <c r="C10" s="223" t="inlineStr">
        <is>
          <t>Beyaz zemin, ince gridline, tek vurgu rengi, açık birim/başlık</t>
        </is>
      </c>
      <c r="D10" s="223" t="inlineStr">
        <is>
          <t>3B, gölge, neon, gökkuşağı renkleri</t>
        </is>
      </c>
      <c r="E10" s="223" t="inlineStr">
        <is>
          <t>Görsel inceleme</t>
        </is>
      </c>
      <c r="F10" s="236" t="inlineStr">
        <is>
          <t>ZORUNLU</t>
        </is>
      </c>
    </row>
    <row r="11" ht="16" customHeight="1" s="62">
      <c r="A11" s="235" t="inlineStr">
        <is>
          <t>Grafik başlığı</t>
        </is>
      </c>
      <c r="B11" s="223" t="inlineStr">
        <is>
          <t>Grafik 'neyi' değil 'ne anlama geldiğini' söyler</t>
        </is>
      </c>
      <c r="C11" s="223" t="inlineStr">
        <is>
          <t>Örn: 'Nakit 2028'de kritik eşiğin altına iniyor'</t>
        </is>
      </c>
      <c r="D11" s="223" t="inlineStr">
        <is>
          <t>'Nakit Grafiği' gibi anlamsız başlık</t>
        </is>
      </c>
      <c r="E11" s="223" t="inlineStr">
        <is>
          <t>Başlık karar testi</t>
        </is>
      </c>
      <c r="F11" s="236" t="inlineStr">
        <is>
          <t>ZORUNLU</t>
        </is>
      </c>
    </row>
    <row r="12" ht="16" customHeight="1" s="62">
      <c r="A12" s="235" t="inlineStr">
        <is>
          <t>Birimler</t>
        </is>
      </c>
      <c r="B12" s="223" t="inlineStr">
        <is>
          <t>Tüm finansal görsellerde birim açık</t>
        </is>
      </c>
      <c r="C12" s="223" t="inlineStr">
        <is>
          <t>TL, bin TL, milyon TL, %, gün, x</t>
        </is>
      </c>
      <c r="D12" s="223" t="inlineStr">
        <is>
          <t>Birim belirsizliği</t>
        </is>
      </c>
      <c r="E12" s="223" t="inlineStr">
        <is>
          <t>Birim kapsama %100</t>
        </is>
      </c>
      <c r="F12" s="236" t="inlineStr">
        <is>
          <t>ZORUNLU</t>
        </is>
      </c>
    </row>
    <row r="13" ht="16" customHeight="1" s="62">
      <c r="A13" s="235" t="inlineStr">
        <is>
          <t>Sıfır/negatif</t>
        </is>
      </c>
      <c r="B13" s="223" t="inlineStr">
        <is>
          <t>Finansal format standardı</t>
        </is>
      </c>
      <c r="C13" s="223" t="inlineStr">
        <is>
          <t>Sıfır='-', negatif kırmızı parantez</t>
        </is>
      </c>
      <c r="D13" s="223" t="inlineStr">
        <is>
          <t>-500 veya 0,00 kalabalığı</t>
        </is>
      </c>
      <c r="E13" s="223" t="inlineStr">
        <is>
          <t>Format kontrolü</t>
        </is>
      </c>
      <c r="F13" s="236" t="inlineStr">
        <is>
          <t>ZORUNLU</t>
        </is>
      </c>
    </row>
    <row r="14" ht="16" customHeight="1" s="62">
      <c r="A14" s="235" t="inlineStr">
        <is>
          <t>Yazı tipi</t>
        </is>
      </c>
      <c r="B14" s="223" t="inlineStr">
        <is>
          <t>Tek aile</t>
        </is>
      </c>
      <c r="C14" s="223" t="inlineStr">
        <is>
          <t>Aptos veya Segoe UI</t>
        </is>
      </c>
      <c r="D14" s="223" t="inlineStr">
        <is>
          <t>Karışık font</t>
        </is>
      </c>
      <c r="E14" s="223" t="inlineStr">
        <is>
          <t>Tek font kontrolü</t>
        </is>
      </c>
      <c r="F14" s="236" t="inlineStr">
        <is>
          <t>ZORUNLU</t>
        </is>
      </c>
    </row>
    <row r="15" ht="16" customHeight="1" s="62">
      <c r="A15" s="235" t="inlineStr">
        <is>
          <t>Izgara</t>
        </is>
      </c>
      <c r="B15" s="223" t="inlineStr">
        <is>
          <t>Kullanıcı sayfalarında kapalı</t>
        </is>
      </c>
      <c r="C15" s="223" t="inlineStr">
        <is>
          <t>Bölüm çizgileri ve kart sınırlarıyla düzen</t>
        </is>
      </c>
      <c r="D15" s="223" t="inlineStr">
        <is>
          <t>Excel varsayılan gridline</t>
        </is>
      </c>
      <c r="E15" s="223" t="inlineStr">
        <is>
          <t>Gridline kontrolü</t>
        </is>
      </c>
      <c r="F15" s="236" t="inlineStr">
        <is>
          <t>ZORUNLU</t>
        </is>
      </c>
    </row>
    <row r="16" ht="16" customHeight="1" s="62">
      <c r="A16" s="235" t="inlineStr">
        <is>
          <t>Boş durum</t>
        </is>
      </c>
      <c r="B16" s="223" t="inlineStr">
        <is>
          <t>Veri yokken temiz ve anlaşılır</t>
        </is>
      </c>
      <c r="C16" s="223" t="inlineStr">
        <is>
          <t>'Henüz veri yok' / 'Girdi bekleniyor'</t>
        </is>
      </c>
      <c r="D16" s="223" t="inlineStr">
        <is>
          <t>0 yığını / hata kodu</t>
        </is>
      </c>
      <c r="E16" s="223" t="inlineStr">
        <is>
          <t>Boş veri testi</t>
        </is>
      </c>
      <c r="F16" s="236" t="inlineStr">
        <is>
          <t>ZORUNLU</t>
        </is>
      </c>
    </row>
    <row r="17" ht="28" customHeight="1" s="62">
      <c r="A17" s="235" t="inlineStr">
        <is>
          <t>Başlangıç deneyimi</t>
        </is>
      </c>
      <c r="B17" s="223" t="inlineStr">
        <is>
          <t>İlk 5 saniyede ne gireceği ve neye bakacağı anlaşılır</t>
        </is>
      </c>
      <c r="C17" s="223" t="inlineStr">
        <is>
          <t>Girdi → durum → aksiyon akışı</t>
        </is>
      </c>
      <c r="D17" s="223" t="inlineStr">
        <is>
          <t>Kılavuz aramaya zorlama</t>
        </is>
      </c>
      <c r="E17" s="223" t="inlineStr">
        <is>
          <t>5 saniye testi</t>
        </is>
      </c>
      <c r="F17" s="236" t="inlineStr">
        <is>
          <t>ZORUNLU</t>
        </is>
      </c>
    </row>
    <row r="18" ht="30" customHeight="1" s="62">
      <c r="A18" s="231" t="inlineStr">
        <is>
          <t>Buton standardı</t>
        </is>
      </c>
      <c r="B18" s="232" t="inlineStr">
        <is>
          <t>Buton görünümü verilen her alan gerçek işlev taşır</t>
        </is>
      </c>
      <c r="C18" s="232" t="inlineStr">
        <is>
          <t>Sayfa içi HYPERLINK / gerçek aksiyon; tıklanınca hedefe gider</t>
        </is>
      </c>
      <c r="D18" s="232" t="inlineStr">
        <is>
          <t>İşlevsiz dekoratif buton / sahte navigasyon</t>
        </is>
      </c>
      <c r="E18" s="232" t="inlineStr">
        <is>
          <t>Butonların %100'ü tıklanabilir ve hedefi doğru</t>
        </is>
      </c>
      <c r="F18" s="236" t="inlineStr">
        <is>
          <t>ZORUNLU</t>
        </is>
      </c>
    </row>
    <row r="19" ht="32" customHeight="1" s="62">
      <c r="A19" s="231" t="inlineStr">
        <is>
          <t>Native sayfa sekmesi rengi</t>
        </is>
      </c>
      <c r="B19" s="232" t="inlineStr">
        <is>
          <t>Excel alt sheet tabları kurumsal paletle renklendirilir</t>
        </is>
      </c>
      <c r="C19" s="232" t="inlineStr">
        <is>
          <t>Başlangıç/özet=lacivert; girdiler=mavi; hesap/finans=teal; karar/kontrol=burgundy; doküman=gri</t>
        </is>
      </c>
      <c r="D19" s="232" t="inlineStr">
        <is>
          <t>Renksiz sekmeler veya rastgele/gökkuşağı renkleri</t>
        </is>
      </c>
      <c r="E19" s="232" t="inlineStr">
        <is>
          <t>Tüm görünür kullanıcı sheet tabları renkli</t>
        </is>
      </c>
      <c r="F19" s="236" t="inlineStr">
        <is>
          <t>ZORUNLU</t>
        </is>
      </c>
    </row>
    <row r="20" ht="60" customHeight="1" s="62">
      <c r="A20" s="231" t="inlineStr">
        <is>
          <t>İş akışı sıralaması</t>
        </is>
      </c>
      <c r="B20" s="232" t="inlineStr">
        <is>
          <t>Sayfalar kullanıcının çalışma sırasına göre fiziksel olarak dizilir</t>
        </is>
      </c>
      <c r="C20" s="232" t="inlineStr">
        <is>
          <t>Başlangıç → Yönetici Özeti → Varsayımlar → Tarihsel Giriş → THP → Hesap Motorları → 3 Finansal Tablo → Senaryo → Karar → Kontrol → Kılavuz/Meta/Oracle/Değer</t>
        </is>
      </c>
      <c r="D20" s="232" t="inlineStr">
        <is>
          <t>Teknik oluşturma sırasına göre dağınık sheet dizilimi</t>
        </is>
      </c>
      <c r="E20" s="232" t="inlineStr">
        <is>
          <t>Sheet order = tanımlı workflow</t>
        </is>
      </c>
      <c r="F20" s="236" t="inlineStr">
        <is>
          <t>ZORUNLU</t>
        </is>
      </c>
    </row>
    <row r="21" ht="30" customHeight="1" s="62">
      <c r="A21" s="231" t="inlineStr">
        <is>
          <t>Kurumsal renk paleti</t>
        </is>
      </c>
      <c r="B21" s="232" t="inlineStr">
        <is>
          <t>Sekme, başlık, buton ve vurgu renkleri tek kurumsal paletten gelir</t>
        </is>
      </c>
      <c r="C21" s="232" t="inlineStr">
        <is>
          <t>Lacivert + mavi + teal + kontrollü burgundy/gri; kategori semantiği sabit</t>
        </is>
      </c>
      <c r="D21" s="232" t="inlineStr">
        <is>
          <t>Neon, rastgele yüksek doygunluk, her sayfada farklı bağımsız renk</t>
        </is>
      </c>
      <c r="E21" s="232" t="inlineStr">
        <is>
          <t>Palette token kontrolü</t>
        </is>
      </c>
      <c r="F21" s="236" t="inlineStr">
        <is>
          <t>ZORUNLU</t>
        </is>
      </c>
    </row>
    <row r="22" ht="45" customHeight="1" s="62">
      <c r="A22" s="231" t="inlineStr">
        <is>
          <t>Premium vitrin</t>
        </is>
      </c>
      <c r="B22" s="232" t="inlineStr">
        <is>
          <t>Görsel kalite ürün değerinin zorunlu parçasıdır</t>
        </is>
      </c>
      <c r="C22" s="232" t="inlineStr">
        <is>
          <t>Kaliteli grafik, gerçek KPI kartı, finansal hiyerarşi, tab rengi, fonksiyonel navigasyon</t>
        </is>
      </c>
      <c r="D22" s="232" t="inlineStr">
        <is>
          <t>Sadece doğru hesap yapıp çıplak/varsayılan Excel görünümü bırakmak</t>
        </is>
      </c>
      <c r="E22" s="232" t="inlineStr">
        <is>
          <t>Görsel release incelemesi</t>
        </is>
      </c>
      <c r="F22" s="236" t="inlineStr">
        <is>
          <t>ZORUNLU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2F75B5"/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22" customWidth="1" style="62" min="1" max="1"/>
    <col width="40" customWidth="1" style="62" min="2" max="2"/>
    <col width="50" customWidth="1" style="62" min="3" max="3"/>
    <col width="30" customWidth="1" style="62" min="4" max="4"/>
    <col width="28" customWidth="1" style="62" min="5" max="5"/>
    <col width="26" customWidth="1" style="62" min="6" max="6"/>
  </cols>
  <sheetData>
    <row r="1" ht="28" customHeight="1" s="62">
      <c r="A1" s="237" t="inlineStr">
        <is>
          <t>TÜRKİYE MUHASEBE VE TEKDÜZEN HESAP PLANI STANDARDI</t>
        </is>
      </c>
    </row>
    <row r="3" ht="24" customHeight="1" s="62">
      <c r="A3" s="238" t="inlineStr">
        <is>
          <t>Konu</t>
        </is>
      </c>
      <c r="B3" s="238" t="inlineStr">
        <is>
          <t>Zorunlu Standart</t>
        </is>
      </c>
      <c r="C3" s="238" t="inlineStr">
        <is>
          <t>Örnek Türkçe Ad</t>
        </is>
      </c>
      <c r="D3" s="238" t="inlineStr">
        <is>
          <t>THP / Mantık</t>
        </is>
      </c>
      <c r="E3" s="238" t="inlineStr">
        <is>
          <t>Hata Riski</t>
        </is>
      </c>
      <c r="F3" s="238" t="inlineStr">
        <is>
          <t>Kontrol</t>
        </is>
      </c>
    </row>
    <row r="4">
      <c r="A4" s="239" t="inlineStr">
        <is>
          <t>Dil</t>
        </is>
      </c>
      <c r="B4" s="223" t="inlineStr">
        <is>
          <t>Kullanıcıya görünen finansal terimler Türkçe</t>
        </is>
      </c>
      <c r="C4" s="223" t="inlineStr">
        <is>
          <t>Hasılat, Satışların Maliyeti, Brüt Kâr, Faaliyet Giderleri</t>
        </is>
      </c>
      <c r="D4" s="223" t="inlineStr">
        <is>
          <t>Türk işletme kullanımına uygun</t>
        </is>
      </c>
      <c r="E4" s="223" t="inlineStr">
        <is>
          <t>İngilizce jargon</t>
        </is>
      </c>
      <c r="F4" s="223" t="inlineStr">
        <is>
          <t>Terminoloji taraması</t>
        </is>
      </c>
    </row>
    <row r="5" ht="28" customHeight="1" s="62">
      <c r="A5" s="239" t="inlineStr">
        <is>
          <t>Gelir Tablosu</t>
        </is>
      </c>
      <c r="B5" s="223" t="inlineStr">
        <is>
          <t>Türk sunum sırası kullanılır</t>
        </is>
      </c>
      <c r="C5" s="223" t="inlineStr">
        <is>
          <t>Net Satışlar → Satışların Maliyeti → Brüt Kâr → Faaliyet Giderleri → Faaliyet Kârı</t>
        </is>
      </c>
      <c r="D5" s="223" t="inlineStr">
        <is>
          <t>600/610/611; 620-623; 63x</t>
        </is>
      </c>
      <c r="E5" s="223" t="inlineStr">
        <is>
          <t>Yanlış sınıflama</t>
        </is>
      </c>
      <c r="F5" s="223" t="inlineStr">
        <is>
          <t>Hesap eşleme</t>
        </is>
      </c>
    </row>
    <row r="6" ht="28" customHeight="1" s="62">
      <c r="A6" s="239" t="inlineStr">
        <is>
          <t>Bilanço</t>
        </is>
      </c>
      <c r="B6" s="223" t="inlineStr">
        <is>
          <t>Dönen/Duran Varlık ve Kısa/Uzun Vadeli Yükümlülük ayrımı</t>
        </is>
      </c>
      <c r="C6" s="223" t="inlineStr">
        <is>
          <t>Hazır Değerler, Ticari Alacaklar, Stoklar, Mali Borçlar</t>
        </is>
      </c>
      <c r="D6" s="223" t="inlineStr">
        <is>
          <t>1xx / 2xx / 3xx / 4xx / 5xx</t>
        </is>
      </c>
      <c r="E6" s="223" t="inlineStr">
        <is>
          <t>Vade sınıfı hatası</t>
        </is>
      </c>
      <c r="F6" s="223" t="inlineStr">
        <is>
          <t>Bilanço eşitliği</t>
        </is>
      </c>
    </row>
    <row r="7">
      <c r="A7" s="239" t="inlineStr">
        <is>
          <t>Nakit Akışı</t>
        </is>
      </c>
      <c r="B7" s="223" t="inlineStr">
        <is>
          <t>İşletme/Yatırım/Finansman nakit akışları ayrılır</t>
        </is>
      </c>
      <c r="C7" s="223" t="inlineStr">
        <is>
          <t>Faaliyetlerden Nakit, Yatırım Harcamaları, Finansman Nakit Akışı</t>
        </is>
      </c>
      <c r="D7" s="223" t="inlineStr">
        <is>
          <t>Dolaylı/doğrudan yöntem açık seçilir</t>
        </is>
      </c>
      <c r="E7" s="223" t="inlineStr">
        <is>
          <t>Kâr = nakit sanılması</t>
        </is>
      </c>
      <c r="F7" s="223" t="inlineStr">
        <is>
          <t>Nakit devri</t>
        </is>
      </c>
    </row>
    <row r="8">
      <c r="A8" s="239" t="inlineStr">
        <is>
          <t>Ticari Alacaklar</t>
        </is>
      </c>
      <c r="B8" s="223" t="inlineStr">
        <is>
          <t>Cari ve vade mantığı korunur</t>
        </is>
      </c>
      <c r="C8" s="223" t="inlineStr">
        <is>
          <t>120 Alıcılar</t>
        </is>
      </c>
      <c r="D8" s="223" t="inlineStr">
        <is>
          <t>120</t>
        </is>
      </c>
      <c r="E8" s="223" t="inlineStr">
        <is>
          <t>Tahakkuk/nakit karışması</t>
        </is>
      </c>
      <c r="F8" s="223" t="inlineStr">
        <is>
          <t>Alacak devir kontrolü</t>
        </is>
      </c>
    </row>
    <row r="9">
      <c r="A9" s="239" t="inlineStr">
        <is>
          <t>Ticari Borçlar</t>
        </is>
      </c>
      <c r="B9" s="223" t="inlineStr">
        <is>
          <t>Tedarikçi borcu ayrı izlenir</t>
        </is>
      </c>
      <c r="C9" s="223" t="inlineStr">
        <is>
          <t>320 Satıcılar</t>
        </is>
      </c>
      <c r="D9" s="223" t="inlineStr">
        <is>
          <t>320</t>
        </is>
      </c>
      <c r="E9" s="223" t="inlineStr">
        <is>
          <t>Gider/ödeme karışması</t>
        </is>
      </c>
      <c r="F9" s="223" t="inlineStr">
        <is>
          <t>Borç devir kontrolü</t>
        </is>
      </c>
    </row>
    <row r="10">
      <c r="A10" s="239" t="inlineStr">
        <is>
          <t>Kasa/Banka</t>
        </is>
      </c>
      <c r="B10" s="223" t="inlineStr">
        <is>
          <t>Hazır değerler ayrı izlenir</t>
        </is>
      </c>
      <c r="C10" s="223" t="inlineStr">
        <is>
          <t>100 Kasa, 102 Bankalar</t>
        </is>
      </c>
      <c r="D10" s="223" t="inlineStr">
        <is>
          <t>100 / 102</t>
        </is>
      </c>
      <c r="E10" s="223" t="inlineStr">
        <is>
          <t>Virmanla toplam nakdin değişmesi</t>
        </is>
      </c>
      <c r="F10" s="223" t="inlineStr">
        <is>
          <t>Virman değişmezi</t>
        </is>
      </c>
    </row>
    <row r="11">
      <c r="A11" s="239" t="inlineStr">
        <is>
          <t>Stok</t>
        </is>
      </c>
      <c r="B11" s="223" t="inlineStr">
        <is>
          <t>Dikeye uygun stok türü</t>
        </is>
      </c>
      <c r="C11" s="223" t="inlineStr">
        <is>
          <t>150 İlk Madde ve Malzeme, 153 Ticari Mallar</t>
        </is>
      </c>
      <c r="D11" s="223" t="inlineStr">
        <is>
          <t>15x</t>
        </is>
      </c>
      <c r="E11" s="223" t="inlineStr">
        <is>
          <t>Maliyet ve stok hareketinin kopması</t>
        </is>
      </c>
      <c r="F11" s="223" t="inlineStr">
        <is>
          <t>Stok devri</t>
        </is>
      </c>
    </row>
    <row r="12" ht="28" customHeight="1" s="62">
      <c r="A12" s="239" t="inlineStr">
        <is>
          <t>Maddi Duran Varlık</t>
        </is>
      </c>
      <c r="B12" s="223" t="inlineStr">
        <is>
          <t>Yatırım harcaması ve amortisman bağlantılı</t>
        </is>
      </c>
      <c r="C12" s="223" t="inlineStr">
        <is>
          <t>253 Tesis Makine Cihazlar, 255 Demirbaşlar, 257 Birikmiş Amortismanlar</t>
        </is>
      </c>
      <c r="D12" s="223" t="inlineStr">
        <is>
          <t>25x</t>
        </is>
      </c>
      <c r="E12" s="223" t="inlineStr">
        <is>
          <t>Yatırım/gider karışması</t>
        </is>
      </c>
      <c r="F12" s="223" t="inlineStr">
        <is>
          <t>Net defter değeri devri</t>
        </is>
      </c>
    </row>
    <row r="13">
      <c r="A13" s="239" t="inlineStr">
        <is>
          <t>Mali Borçlar</t>
        </is>
      </c>
      <c r="B13" s="223" t="inlineStr">
        <is>
          <t>Kısa/uzun vadeli borç ayrımı</t>
        </is>
      </c>
      <c r="C13" s="223" t="inlineStr">
        <is>
          <t>300 Banka Kredileri / 400 Banka Kredileri</t>
        </is>
      </c>
      <c r="D13" s="223" t="inlineStr">
        <is>
          <t>300 / 400</t>
        </is>
      </c>
      <c r="E13" s="223" t="inlineStr">
        <is>
          <t>Vade sınıfı yanlış</t>
        </is>
      </c>
      <c r="F13" s="223" t="inlineStr">
        <is>
          <t>Borç devri</t>
        </is>
      </c>
    </row>
    <row r="14">
      <c r="A14" s="239" t="inlineStr">
        <is>
          <t>Özkaynak</t>
        </is>
      </c>
      <c r="B14" s="223" t="inlineStr">
        <is>
          <t>Sermaye ve geçmiş yıl kârları ayrı</t>
        </is>
      </c>
      <c r="C14" s="223" t="inlineStr">
        <is>
          <t>500 Sermaye, 570 Geçmiş Yıllar Kârları, 590 Dönem Net Kârı</t>
        </is>
      </c>
      <c r="D14" s="223" t="inlineStr">
        <is>
          <t>5xx</t>
        </is>
      </c>
      <c r="E14" s="223" t="inlineStr">
        <is>
          <t>Net kâr bağının kopması</t>
        </is>
      </c>
      <c r="F14" s="223" t="inlineStr">
        <is>
          <t>Özkaynak devri</t>
        </is>
      </c>
    </row>
    <row r="15">
      <c r="A15" s="239" t="inlineStr">
        <is>
          <t>Vergi</t>
        </is>
      </c>
      <c r="B15" s="223" t="inlineStr">
        <is>
          <t>Vergi satırları Türkiye mantığına uygun</t>
        </is>
      </c>
      <c r="C15" s="223" t="inlineStr">
        <is>
          <t>Dönem Vergi ve Diğer Yasal Yükümlülük Karşılıkları</t>
        </is>
      </c>
      <c r="D15" s="223" t="inlineStr">
        <is>
          <t>37x / ilgili vergi hesapları</t>
        </is>
      </c>
      <c r="E15" s="223" t="inlineStr">
        <is>
          <t>Vergi etkisinin yanlış dönemlenmesi</t>
        </is>
      </c>
      <c r="F15" s="223" t="inlineStr">
        <is>
          <t>Vergi sözleşmesi</t>
        </is>
      </c>
    </row>
    <row r="16">
      <c r="A16" s="239" t="inlineStr">
        <is>
          <t>İsim standardı</t>
        </is>
      </c>
      <c r="B16" s="223" t="inlineStr">
        <is>
          <t>Tablo ve sayfa adları Türkçe ve işlevsel</t>
        </is>
      </c>
      <c r="C16" s="223" t="inlineStr">
        <is>
          <t>GELİR_TABLOSU, BİLANÇO, NAKİT_AKISI, BORC_PLANI</t>
        </is>
      </c>
      <c r="D16" s="223" t="inlineStr">
        <is>
          <t>Tekrarlanabilir standart</t>
        </is>
      </c>
      <c r="E16" s="223" t="inlineStr">
        <is>
          <t>İngilizce/karma isim</t>
        </is>
      </c>
      <c r="F16" s="223" t="inlineStr">
        <is>
          <t>Sayfa ve tablo taraması</t>
        </is>
      </c>
    </row>
    <row r="17">
      <c r="A17" s="239" t="inlineStr">
        <is>
          <t>THP eşleme tablosu</t>
        </is>
      </c>
      <c r="B17" s="223" t="inlineStr">
        <is>
          <t>Her kritik satır en az bir THP hesabına bağlanır</t>
        </is>
      </c>
      <c r="C17" s="223" t="inlineStr">
        <is>
          <t>RaporSatırı → HesapKodu → HesapAdı → İşaret → Dönem</t>
        </is>
      </c>
      <c r="D17" s="223" t="inlineStr">
        <is>
          <t>Kaynak izlenebilirliği</t>
        </is>
      </c>
      <c r="E17" s="223" t="inlineStr">
        <is>
          <t>Rapordan rapora kaynak</t>
        </is>
      </c>
      <c r="F17" s="223" t="inlineStr">
        <is>
          <t>Eşleme kapsama %100</t>
        </is>
      </c>
    </row>
    <row r="18">
      <c r="A18" s="239" t="inlineStr">
        <is>
          <t>İstisna</t>
        </is>
      </c>
      <c r="B18" s="223" t="inlineStr">
        <is>
          <t>TFRS özel ürün varsa fark açık yazılır</t>
        </is>
      </c>
      <c r="C18" s="223" t="inlineStr">
        <is>
          <t>Tekdüzen raporlama ≠ TFRS finansal tablo sunumu</t>
        </is>
      </c>
      <c r="D18" s="223" t="inlineStr">
        <is>
          <t>Amaç belirtilir</t>
        </is>
      </c>
      <c r="E18" s="223" t="inlineStr">
        <is>
          <t>Standartları karıştırma</t>
        </is>
      </c>
      <c r="F18" s="223" t="inlineStr">
        <is>
          <t>Model amacı kontrolü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5B477E"/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18" customWidth="1" style="62" min="1" max="1"/>
    <col width="32" customWidth="1" style="62" min="2" max="2"/>
    <col width="54" customWidth="1" style="62" min="3" max="3"/>
    <col width="34" customWidth="1" style="62" min="4" max="4"/>
    <col width="16" customWidth="1" style="62" min="6" max="6"/>
  </cols>
  <sheetData>
    <row r="1" ht="28" customHeight="1" s="62">
      <c r="A1" s="240" t="inlineStr">
        <is>
          <t>KARAR, GÜVEN VE SATIŞA HAZIRLIK STANDARDI</t>
        </is>
      </c>
    </row>
    <row r="3" ht="24" customHeight="1" s="62">
      <c r="A3" s="241" t="inlineStr">
        <is>
          <t>Alan</t>
        </is>
      </c>
      <c r="B3" s="241" t="inlineStr">
        <is>
          <t>Müşteri Sorusu</t>
        </is>
      </c>
      <c r="C3" s="241" t="inlineStr">
        <is>
          <t>Zorunlu Ürün Davranışı</t>
        </is>
      </c>
      <c r="D3" s="241" t="inlineStr">
        <is>
          <t>Kanıt</t>
        </is>
      </c>
      <c r="E3" s="241" t="inlineStr">
        <is>
          <t>Başarısızlık Durumu</t>
        </is>
      </c>
      <c r="F3" s="241" t="inlineStr">
        <is>
          <t>Kapı</t>
        </is>
      </c>
    </row>
    <row r="4">
      <c r="A4" s="242" t="inlineStr">
        <is>
          <t>5 saniye</t>
        </is>
      </c>
      <c r="B4" s="223" t="inlineStr">
        <is>
          <t>Bu ürün neyi çözüyor?</t>
        </is>
      </c>
      <c r="C4" s="223" t="inlineStr">
        <is>
          <t>İlk ekranda hedef kullanıcı + pahalı problem + sonuç görünür</t>
        </is>
      </c>
      <c r="D4" s="223" t="inlineStr">
        <is>
          <t>Başlık + alt mesaj + gerçek ekran</t>
        </is>
      </c>
      <c r="E4" s="223" t="inlineStr">
        <is>
          <t>Ürün yalnız teknik isim</t>
        </is>
      </c>
      <c r="F4" s="243" t="inlineStr">
        <is>
          <t>HATA</t>
        </is>
      </c>
    </row>
    <row r="5">
      <c r="A5" s="242" t="inlineStr">
        <is>
          <t>Acı</t>
        </is>
      </c>
      <c r="B5" s="223" t="inlineStr">
        <is>
          <t>Sorun bana neye mal oluyor?</t>
        </is>
      </c>
      <c r="C5" s="223" t="inlineStr">
        <is>
          <t>Mümkünse müşterinin kendi verisiyle parasal/zaman etkisi hesaplanır</t>
        </is>
      </c>
      <c r="D5" s="223" t="inlineStr">
        <is>
          <t>ROI/acı hesaplama yöntemi</t>
        </is>
      </c>
      <c r="E5" s="223" t="inlineStr">
        <is>
          <t>Uydurma tasarruf</t>
        </is>
      </c>
      <c r="F5" s="243" t="inlineStr">
        <is>
          <t>HATA</t>
        </is>
      </c>
    </row>
    <row r="6">
      <c r="A6" s="242" t="inlineStr">
        <is>
          <t>Karar</t>
        </is>
      </c>
      <c r="B6" s="223" t="inlineStr">
        <is>
          <t>Bu bilgiyle ne yapacağım?</t>
        </is>
      </c>
      <c r="C6" s="223" t="inlineStr">
        <is>
          <t>Her kritik KPI aksiyona bağlanır</t>
        </is>
      </c>
      <c r="D6" s="223" t="inlineStr">
        <is>
          <t>KARAR_KUYRUGU</t>
        </is>
      </c>
      <c r="E6" s="223" t="inlineStr">
        <is>
          <t>Sadece rapor</t>
        </is>
      </c>
      <c r="F6" s="243" t="inlineStr">
        <is>
          <t>HATA</t>
        </is>
      </c>
    </row>
    <row r="7">
      <c r="A7" s="242" t="inlineStr">
        <is>
          <t>Güven</t>
        </is>
      </c>
      <c r="B7" s="223" t="inlineStr">
        <is>
          <t>Bu sayıya neden inanayım?</t>
        </is>
      </c>
      <c r="C7" s="223" t="inlineStr">
        <is>
          <t>Kaynak, formül mantığı, kontrol ve son doğrulama görünür</t>
        </is>
      </c>
      <c r="D7" s="223" t="inlineStr">
        <is>
          <t>Kontroller + kaynak izi + sürüm</t>
        </is>
      </c>
      <c r="E7" s="223" t="inlineStr">
        <is>
          <t>Prestij kelimesi</t>
        </is>
      </c>
      <c r="F7" s="243" t="inlineStr">
        <is>
          <t>HATA</t>
        </is>
      </c>
    </row>
    <row r="8">
      <c r="A8" s="242" t="inlineStr">
        <is>
          <t>Referans</t>
        </is>
      </c>
      <c r="B8" s="223" t="inlineStr">
        <is>
          <t>Müşteri yorumu yoksa ne göstereceğim?</t>
        </is>
      </c>
      <c r="C8" s="223" t="inlineStr">
        <is>
          <t>Önce/Sonra + Karar Vakası + Hata Önleme Vakası üretilir</t>
        </is>
      </c>
      <c r="D8" s="223" t="inlineStr">
        <is>
          <t>Demo/örnek çıktı</t>
        </is>
      </c>
      <c r="E8" s="223" t="inlineStr">
        <is>
          <t>Kanıtsız iddia</t>
        </is>
      </c>
      <c r="F8" s="243" t="inlineStr">
        <is>
          <t>HATA</t>
        </is>
      </c>
    </row>
    <row r="9">
      <c r="A9" s="242" t="inlineStr">
        <is>
          <t>Senaryo</t>
        </is>
      </c>
      <c r="B9" s="223" t="inlineStr">
        <is>
          <t>Ne olursa işler bozulur?</t>
        </is>
      </c>
      <c r="C9" s="223" t="inlineStr">
        <is>
          <t>Baz/Aşağı/Yukarı veya uygun stres senaryosu</t>
        </is>
      </c>
      <c r="D9" s="223" t="inlineStr">
        <is>
          <t>Senaryo karşılaştırma</t>
        </is>
      </c>
      <c r="E9" s="223" t="inlineStr">
        <is>
          <t>Dekoratif senaryo</t>
        </is>
      </c>
      <c r="F9" s="243" t="inlineStr">
        <is>
          <t>HATA</t>
        </is>
      </c>
    </row>
    <row r="10">
      <c r="A10" s="242" t="inlineStr">
        <is>
          <t>Ters stres</t>
        </is>
      </c>
      <c r="B10" s="223" t="inlineStr">
        <is>
          <t>Hangi eşikte karar kırılır?</t>
        </is>
      </c>
      <c r="C10" s="223" t="inlineStr">
        <is>
          <t>En az bir kritik sürücü için kırılma eşiği</t>
        </is>
      </c>
      <c r="D10" s="223" t="inlineStr">
        <is>
          <t>Kırılma eşiği tablosu</t>
        </is>
      </c>
      <c r="E10" s="223" t="inlineStr">
        <is>
          <t>Sadece +/- %10</t>
        </is>
      </c>
      <c r="F10" s="243" t="inlineStr">
        <is>
          <t>UYARI/HATA</t>
        </is>
      </c>
    </row>
    <row r="11">
      <c r="A11" s="242" t="inlineStr">
        <is>
          <t>Hata tutarlılığı</t>
        </is>
      </c>
      <c r="B11" s="223" t="inlineStr">
        <is>
          <t>Formül hata verirse ne olur?</t>
        </is>
      </c>
      <c r="C11" s="223" t="inlineStr">
        <is>
          <t>Kontrol GEÇTİ veremez; BLOKE/HATA üretir</t>
        </is>
      </c>
      <c r="D11" s="223" t="inlineStr">
        <is>
          <t>Hata taraması</t>
        </is>
      </c>
      <c r="E11" s="223" t="inlineStr">
        <is>
          <t>Hata + GEÇTİ birlikte</t>
        </is>
      </c>
      <c r="F11" s="243" t="inlineStr">
        <is>
          <t>HATA</t>
        </is>
      </c>
    </row>
    <row r="12">
      <c r="A12" s="242" t="inlineStr">
        <is>
          <t>Karar motoru</t>
        </is>
      </c>
      <c r="B12" s="223" t="inlineStr">
        <is>
          <t>Ne oldu, neden oldu?</t>
        </is>
      </c>
      <c r="C12" s="223" t="inlineStr">
        <is>
          <t>Sorun + neden + parasal etki + aksiyon + son tarih</t>
        </is>
      </c>
      <c r="D12" s="223" t="inlineStr">
        <is>
          <t>Karar tablosu</t>
        </is>
      </c>
      <c r="E12" s="223" t="inlineStr">
        <is>
          <t>Boş sayfa / isim düzeyi modül</t>
        </is>
      </c>
      <c r="F12" s="243" t="inlineStr">
        <is>
          <t>HATA</t>
        </is>
      </c>
    </row>
    <row r="13">
      <c r="A13" s="242" t="inlineStr">
        <is>
          <t>Yönetici özeti</t>
        </is>
      </c>
      <c r="B13" s="223" t="inlineStr">
        <is>
          <t>5 saniyede ne görmeliyim?</t>
        </is>
      </c>
      <c r="C13" s="223" t="inlineStr">
        <is>
          <t>Bugün / ne değişti / ne bozulacak / neden / ne yapmalıyım / güven</t>
        </is>
      </c>
      <c r="D13" s="223" t="inlineStr">
        <is>
          <t>Yönetici özeti ekranı</t>
        </is>
      </c>
      <c r="E13" s="223" t="inlineStr">
        <is>
          <t>KPI kutusu yığını</t>
        </is>
      </c>
      <c r="F13" s="243" t="inlineStr">
        <is>
          <t>HATA</t>
        </is>
      </c>
    </row>
    <row r="14">
      <c r="A14" s="242" t="inlineStr">
        <is>
          <t>Teklif</t>
        </is>
      </c>
      <c r="B14" s="223" t="inlineStr">
        <is>
          <t>Neden satın almalıyım?</t>
        </is>
      </c>
      <c r="C14" s="223" t="inlineStr">
        <is>
          <t>Dosya özellikleri yerine sonuç ve kaçınılan maliyet sunulur</t>
        </is>
      </c>
      <c r="D14" s="223" t="inlineStr">
        <is>
          <t>Ürün sayfası kanıt eşlemesi</t>
        </is>
      </c>
      <c r="E14" s="223" t="inlineStr">
        <is>
          <t>Özellik listesiyle satış</t>
        </is>
      </c>
      <c r="F14" s="243" t="inlineStr">
        <is>
          <t>HATA</t>
        </is>
      </c>
    </row>
    <row r="15">
      <c r="A15" s="242" t="inlineStr">
        <is>
          <t>Dağıtım</t>
        </is>
      </c>
      <c r="B15" s="223" t="inlineStr">
        <is>
          <t>Beni nasıl bulacaklar?</t>
        </is>
      </c>
      <c r="C15" s="223" t="inlineStr">
        <is>
          <t>Sorun niyetine göre SEO sayfaları, iç bağlantı, temiz yapı, taranabilir metin</t>
        </is>
      </c>
      <c r="D15" s="223" t="inlineStr">
        <is>
          <t>Arama niyeti haritası</t>
        </is>
      </c>
      <c r="E15" s="223" t="inlineStr">
        <is>
          <t>Tek ürün sayfasına bağımlılık</t>
        </is>
      </c>
      <c r="F15" s="243" t="inlineStr">
        <is>
          <t>UYARI</t>
        </is>
      </c>
    </row>
    <row r="16" ht="28" customHeight="1" s="62">
      <c r="A16" s="242" t="inlineStr">
        <is>
          <t>LLM görünürlüğü</t>
        </is>
      </c>
      <c r="B16" s="223" t="inlineStr">
        <is>
          <t>AI ürünümü anlayabiliyor mu?</t>
        </is>
      </c>
      <c r="C16" s="223" t="inlineStr">
        <is>
          <t>Ürün tanımı, hedef kullanıcı, girdi/çıktı, metodoloji, sınırlar, SSS açık metindir</t>
        </is>
      </c>
      <c r="D16" s="223" t="inlineStr">
        <is>
          <t>Taranabilir ürün içeriği</t>
        </is>
      </c>
      <c r="E16" s="223" t="inlineStr">
        <is>
          <t>'AI SEO' iddiası</t>
        </is>
      </c>
      <c r="F16" s="243" t="inlineStr">
        <is>
          <t>UYARI</t>
        </is>
      </c>
    </row>
    <row r="17">
      <c r="A17" s="242" t="inlineStr">
        <is>
          <t>Satış kanalı</t>
        </is>
      </c>
      <c r="B17" s="223" t="inlineStr">
        <is>
          <t>Nerede satılmalı?</t>
        </is>
      </c>
      <c r="C17" s="223" t="inlineStr">
        <is>
          <t>Arama, LinkedIn, uzman/partner, demo/video; ürüne göre kanal seçilir</t>
        </is>
      </c>
      <c r="D17" s="223" t="inlineStr">
        <is>
          <t>Kanal matrisi</t>
        </is>
      </c>
      <c r="E17" s="223" t="inlineStr">
        <is>
          <t>Her ürüne aynı kanal</t>
        </is>
      </c>
      <c r="F17" s="243" t="inlineStr">
        <is>
          <t>UYARI</t>
        </is>
      </c>
    </row>
    <row r="18">
      <c r="A18" s="242" t="inlineStr">
        <is>
          <t>Fiyat</t>
        </is>
      </c>
      <c r="B18" s="223" t="inlineStr">
        <is>
          <t>Bu fiyat neden mantıklı?</t>
        </is>
      </c>
      <c r="C18" s="223" t="inlineStr">
        <is>
          <t>Fiyat, ekonomik karar değerine ve kanıtlanmış ürün derinliğine bağlanır</t>
        </is>
      </c>
      <c r="D18" s="223" t="inlineStr">
        <is>
          <t>Değer haritası + demo</t>
        </is>
      </c>
      <c r="E18" s="223" t="inlineStr">
        <is>
          <t>Sırf sayfa/formül sayısı</t>
        </is>
      </c>
      <c r="F18" s="243" t="inlineStr">
        <is>
          <t>HATA</t>
        </is>
      </c>
    </row>
    <row r="19">
      <c r="A19" s="242" t="inlineStr">
        <is>
          <t>Pazar kanıtı</t>
        </is>
      </c>
      <c r="B19" s="223" t="inlineStr">
        <is>
          <t>Piyasa gerçekten ödüyor mu?</t>
        </is>
      </c>
      <c r="C19" s="223" t="inlineStr">
        <is>
          <t>Satış/pilot/LOI/fiyat kabulü olmadan pazar doğrulandı yazılmaz</t>
        </is>
      </c>
      <c r="D19" s="223" t="inlineStr">
        <is>
          <t>Gerçek işlem kanıtı</t>
        </is>
      </c>
      <c r="E19" s="223" t="inlineStr">
        <is>
          <t>Tahmini talep = satış kabulü</t>
        </is>
      </c>
      <c r="F19" s="243" t="inlineStr">
        <is>
          <t>HATA</t>
        </is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AD16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60" customWidth="1" style="88" min="1" max="3"/>
  </cols>
  <sheetData>
    <row r="1" ht="28.5" customHeight="1" s="62">
      <c r="A1" s="89" t="inlineStr">
        <is>
          <t>KAÇIRILAN SGK TEŞVİKLERİ &amp; GERÇEK İŞÇİLİK MALİYETİ ANALİZİ</t>
        </is>
      </c>
    </row>
    <row r="3" ht="18.75" customHeight="1" s="62">
      <c r="A3" s="90" t="inlineStr">
        <is>
          <t>Çalışanınızın gerçek maliyetini ve kaçırdığınız SGK teşviklerini bulun.</t>
        </is>
      </c>
    </row>
    <row r="4" ht="15" customHeight="1" s="62">
      <c r="A4" s="91" t="inlineStr">
        <is>
          <t>Brüt ücret üzerinden işveren SGK yükünü, işsizlik payını, kıdem karşılığını ve yan faydaları ekleyerek gerçek işçilik maliyetini hesaplar; işletmenizin yararlanabileceği ancak kullanmadığı SGK teşviklerini parayla ölçer.</t>
        </is>
      </c>
    </row>
    <row r="5" ht="15" customHeight="1" s="62"/>
    <row r="6" ht="15" customHeight="1" s="62">
      <c r="A6" s="92" t="inlineStr">
        <is>
          <t>1. CALISAN_KARTI sayfasına çalışanları ve brüt ücretlerini girin.</t>
        </is>
      </c>
    </row>
    <row r="7" ht="15" customHeight="1" s="62">
      <c r="A7" s="92" t="inlineStr">
        <is>
          <t>2. TESVIK_SIMULATOR sayfasında uygulanabilir teşvikleri işaretleyin.</t>
        </is>
      </c>
    </row>
    <row r="8" ht="15" customHeight="1" s="62">
      <c r="A8" s="92" t="inlineStr">
        <is>
          <t>3. PANO ve KARAR sayfalarında kaçırılan teşvik tutarını ve aksiyonları okuyun.</t>
        </is>
      </c>
    </row>
    <row r="10" ht="15" customHeight="1" s="62">
      <c r="A10" s="93" t="inlineStr">
        <is>
          <t>Bu dosya karar destek aracıdır; SGK mevzuat danışmanlığı yerine geçmez. Teşvik oranları ve eşikler AYARLAR sayfasından güncellenebilir.</t>
        </is>
      </c>
    </row>
    <row r="11" ht="15" customHeight="1" s="62"/>
    <row r="12" ht="15" customHeight="1" s="62"/>
    <row r="13" ht="15" customHeight="1" s="62"/>
    <row r="15" ht="15" customHeight="1" s="62">
      <c r="A15" s="94" t="inlineStr">
        <is>
          <t>ExcelArşiv</t>
        </is>
      </c>
    </row>
    <row r="16" ht="15" customHeight="1" s="62">
      <c r="A16" s="95" t="inlineStr">
        <is>
          <t>Rev 1.0 | 2026-08-08 | Lisans: Tek kullanıcı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8">
    <mergeCell ref="A8:J8"/>
    <mergeCell ref="A6:J6"/>
    <mergeCell ref="A10:C13"/>
    <mergeCell ref="A7:J7"/>
    <mergeCell ref="A3:C3"/>
    <mergeCell ref="A4:C5"/>
    <mergeCell ref="A16:C16"/>
    <mergeCell ref="A1:A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AN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72" customWidth="1" style="88" min="1" max="1"/>
    <col width="20" customWidth="1" style="88" min="2" max="2"/>
  </cols>
  <sheetData>
    <row r="1">
      <c r="A1" s="72" t="inlineStr">
        <is>
          <t>☰ PANO</t>
        </is>
      </c>
    </row>
    <row r="3" ht="15.75" customHeight="1" s="62">
      <c r="A3" s="96" t="inlineStr">
        <is>
          <t>Nasıl kullanılır?</t>
        </is>
      </c>
    </row>
    <row r="4" ht="15" customHeight="1" s="62">
      <c r="A4" s="97" t="inlineStr">
        <is>
          <t>1. AYARLAR sayfasından işveren payı, işsizlik, kıdem karşılığı oranlarını ve teşvik eşiklerini kontrol edin.</t>
        </is>
      </c>
    </row>
    <row r="5" ht="15" customHeight="1" s="62">
      <c r="A5" s="97" t="inlineStr">
        <is>
          <t>2. CALISAN_KARTI sayfasına firma bilgilerini ve tüm çalışanları brüt ücretleriyle girin.</t>
        </is>
      </c>
    </row>
    <row r="6" ht="15" customHeight="1" s="62">
      <c r="A6" s="97" t="inlineStr">
        <is>
          <t>3. GERCEK_MALIYET sayfasında işveren yükü ve gerçek işçilik maliyeti otomatik hesaplanır.</t>
        </is>
      </c>
    </row>
    <row r="7" ht="15" customHeight="1" s="62">
      <c r="A7" s="97" t="inlineStr">
        <is>
          <t>4. TESVIK_SIMULATOR sayfasında her çalışan için uygulanabilir teşviki seçin; kaçırılanları işaretleyin.</t>
        </is>
      </c>
    </row>
    <row r="8" ht="15" customHeight="1" s="62">
      <c r="A8" s="97" t="inlineStr">
        <is>
          <t>5. MOTOR ve PANO sayfaları toplam maliyeti, kaçırılan teşvik tutarını ve kullanım oranını sunar.</t>
        </is>
      </c>
    </row>
    <row r="9" ht="15" customHeight="1" s="62">
      <c r="A9" s="97" t="inlineStr">
        <is>
          <t>6. KARAR ve RAPOR sayfaları yönetici özetini ve aksiyon önerilerini verir.</t>
        </is>
      </c>
    </row>
    <row r="12" ht="15" customHeight="1" s="62">
      <c r="A12" s="98" t="inlineStr">
        <is>
          <t>Sık yapılan hatalar</t>
        </is>
      </c>
    </row>
    <row r="13" ht="15" customHeight="1" s="62">
      <c r="A13" s="93" t="inlineStr">
        <is>
          <t>Brüt ücret yerine net ücret girmek — işveren yükü ve teşvik hesabı bozulur.</t>
        </is>
      </c>
    </row>
    <row r="14" ht="15" customHeight="1" s="62">
      <c r="A14" s="93" t="inlineStr">
        <is>
          <t>Teşvike hak kazanılan çalışanı 'Teşvik Aktif' işaretlememek — kaçırılan tutar görünmez.</t>
        </is>
      </c>
    </row>
    <row r="15" ht="15" customHeight="1" s="62">
      <c r="A15" s="93" t="inlineStr">
        <is>
          <t>Prim gününü 30'dan fazla girmek — aylık maliyet abartılı çıkar.</t>
        </is>
      </c>
    </row>
    <row r="16" ht="15" customHeight="1" s="62">
      <c r="A16" s="93" t="inlineStr">
        <is>
          <t>Oranları SGK/mevzuat teyidi olmadan değiştirmek — maliyet yanlış hesaplanır.</t>
        </is>
      </c>
    </row>
    <row r="17" ht="15" customHeight="1" s="62">
      <c r="A17" s="93" t="inlineStr">
        <is>
          <t>Kilitli hücrelere yazmaya çalışmak — yalnızca sarı hücreler giriş içindir.</t>
        </is>
      </c>
    </row>
    <row r="19" ht="19.5" customHeight="1" s="62">
      <c r="A19" s="99" t="inlineStr">
        <is>
          <t>Tüm oranlar ve eşikler AYARLAR sayfasından beslenir; formüle gömülü sayı kullanılmaz.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2">
    <mergeCell ref="A8:AN8"/>
    <mergeCell ref="A6:AN6"/>
    <mergeCell ref="A4:AN4"/>
    <mergeCell ref="A16:AN16"/>
    <mergeCell ref="A15:AN15"/>
    <mergeCell ref="A7:AN7"/>
    <mergeCell ref="A19:AN19"/>
    <mergeCell ref="A5:AN5"/>
    <mergeCell ref="A13:AN13"/>
    <mergeCell ref="A14:AN14"/>
    <mergeCell ref="A17:AN17"/>
    <mergeCell ref="A9:AN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AN101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8" customWidth="1" style="88" min="1" max="1"/>
    <col width="24" customWidth="1" style="88" min="2" max="2"/>
    <col width="12" customWidth="1" style="88" min="3" max="3"/>
  </cols>
  <sheetData>
    <row r="1" ht="25.5" customHeight="1" s="62">
      <c r="A1" s="100" t="inlineStr">
        <is>
          <t>CALISAN KARTI — KAÇIRILAN SGK TEŞVİKLERİ &amp; GERÇEK İŞÇİLİK MALİYETİ ANALİZİ</t>
        </is>
      </c>
    </row>
    <row r="3" ht="15" customHeight="1" s="62">
      <c r="A3" s="101" t="inlineStr">
        <is>
          <t>İşletme ve Çalışan Bilgileri</t>
        </is>
      </c>
    </row>
    <row r="4" ht="15" customHeight="1" s="62">
      <c r="A4" s="102" t="inlineStr">
        <is>
          <t>Firma Unvanı</t>
        </is>
      </c>
      <c r="B4" s="103" t="inlineStr">
        <is>
          <t>İnşaat Grubu A.Ş.</t>
        </is>
      </c>
    </row>
    <row r="5" ht="15" customHeight="1" s="62">
      <c r="A5" s="102" t="inlineStr">
        <is>
          <t>SGK Sicil Numarası</t>
        </is>
      </c>
      <c r="B5" s="103" t="inlineStr">
        <is>
          <t>1234567890</t>
        </is>
      </c>
    </row>
    <row r="6" ht="15" customHeight="1" s="62">
      <c r="A6" s="102" t="inlineStr">
        <is>
          <t>Aylık Prim Gün Sayısı (Toplam)</t>
        </is>
      </c>
      <c r="B6" s="104" t="n">
        <v>3000</v>
      </c>
    </row>
    <row r="7" ht="15" customHeight="1" s="62">
      <c r="A7" s="102" t="inlineStr">
        <is>
          <t>Ortalama Çalışan Sayısı</t>
        </is>
      </c>
      <c r="B7" s="104" t="n">
        <v>25</v>
      </c>
    </row>
    <row r="9" ht="15" customHeight="1" s="62">
      <c r="A9" s="105" t="inlineStr">
        <is>
          <t>Çalışan Listesi</t>
        </is>
      </c>
    </row>
    <row r="10" ht="30" customHeight="1" s="62">
      <c r="A10" s="106" t="inlineStr">
        <is>
          <t>Çalışan Adı</t>
        </is>
      </c>
      <c r="B10" s="106" t="inlineStr">
        <is>
          <t>Brüt Ücret (₺)</t>
        </is>
      </c>
      <c r="C10" s="106" t="inlineStr">
        <is>
          <t>Prim Günü</t>
        </is>
      </c>
      <c r="D10" s="106" t="inlineStr">
        <is>
          <t>Yaş</t>
        </is>
      </c>
      <c r="E10" s="106" t="inlineStr">
        <is>
          <t>Cinsiyet</t>
        </is>
      </c>
      <c r="F10" s="106" t="inlineStr">
        <is>
          <t>Engelli mi?</t>
        </is>
      </c>
      <c r="G10" s="106" t="inlineStr">
        <is>
          <t>İlave İstihdam Uygun mu?</t>
        </is>
      </c>
      <c r="H10" s="106" t="inlineStr">
        <is>
          <t>Teşvik Aktif mi?</t>
        </is>
      </c>
      <c r="I10" s="106" t="inlineStr">
        <is>
          <t>Aylık İşveren Yükü (₺)</t>
        </is>
      </c>
    </row>
    <row r="11" ht="15" customHeight="1" s="62">
      <c r="A11" s="107" t="inlineStr">
        <is>
          <t>Ali Yılmaz</t>
        </is>
      </c>
      <c r="B11" s="108" t="n">
        <v>35000</v>
      </c>
      <c r="C11" s="109" t="n">
        <v>30</v>
      </c>
      <c r="D11" s="109" t="n">
        <v>32</v>
      </c>
      <c r="E11" s="107" t="inlineStr">
        <is>
          <t>Erkek</t>
        </is>
      </c>
      <c r="F11" s="107" t="inlineStr">
        <is>
          <t>Hayır</t>
        </is>
      </c>
      <c r="G11" s="107" t="inlineStr">
        <is>
          <t>Evet</t>
        </is>
      </c>
      <c r="H11" s="107" t="inlineStr">
        <is>
          <t>Hayır</t>
        </is>
      </c>
      <c r="I11" s="110">
        <f>IF($B11="","",$B11*(IsverenPayiOrani+IssizlikOrani))</f>
        <v/>
      </c>
    </row>
    <row r="12" ht="15" customHeight="1" s="62">
      <c r="A12" s="107" t="inlineStr">
        <is>
          <t>Ayşe Demir</t>
        </is>
      </c>
      <c r="B12" s="108" t="n">
        <v>42000</v>
      </c>
      <c r="C12" s="109" t="n">
        <v>30</v>
      </c>
      <c r="D12" s="109" t="n">
        <v>29</v>
      </c>
      <c r="E12" s="107" t="inlineStr">
        <is>
          <t>Kadın</t>
        </is>
      </c>
      <c r="F12" s="107" t="inlineStr">
        <is>
          <t>Hayır</t>
        </is>
      </c>
      <c r="G12" s="107" t="inlineStr">
        <is>
          <t>Evet</t>
        </is>
      </c>
      <c r="H12" s="107" t="inlineStr">
        <is>
          <t>Hayır</t>
        </is>
      </c>
      <c r="I12" s="110">
        <f>IF($B12="","",$B12*(IsverenPayiOrani+IssizlikOrani))</f>
        <v/>
      </c>
    </row>
    <row r="13" ht="15" customHeight="1" s="62">
      <c r="A13" s="107" t="inlineStr">
        <is>
          <t>Mehmet Kaya</t>
        </is>
      </c>
      <c r="B13" s="108" t="n">
        <v>28000</v>
      </c>
      <c r="C13" s="109" t="n">
        <v>30</v>
      </c>
      <c r="D13" s="109" t="n">
        <v>40</v>
      </c>
      <c r="E13" s="107" t="inlineStr">
        <is>
          <t>Erkek</t>
        </is>
      </c>
      <c r="F13" s="107" t="inlineStr">
        <is>
          <t>Hayır</t>
        </is>
      </c>
      <c r="G13" s="107" t="inlineStr">
        <is>
          <t>Hayır</t>
        </is>
      </c>
      <c r="H13" s="107" t="inlineStr">
        <is>
          <t>Hayır</t>
        </is>
      </c>
      <c r="I13" s="110">
        <f>IF($B13="","",$B13*(IsverenPayiOrani+IssizlikOrani))</f>
        <v/>
      </c>
    </row>
    <row r="14" ht="15" customHeight="1" s="62">
      <c r="A14" s="107" t="inlineStr">
        <is>
          <t>Zeynep Şahin</t>
        </is>
      </c>
      <c r="B14" s="108" t="n">
        <v>38000</v>
      </c>
      <c r="C14" s="109" t="n">
        <v>30</v>
      </c>
      <c r="D14" s="109" t="n">
        <v>34</v>
      </c>
      <c r="E14" s="107" t="inlineStr">
        <is>
          <t>Kadın</t>
        </is>
      </c>
      <c r="F14" s="107" t="inlineStr">
        <is>
          <t>Hayır</t>
        </is>
      </c>
      <c r="G14" s="107" t="inlineStr">
        <is>
          <t>Evet</t>
        </is>
      </c>
      <c r="H14" s="107" t="inlineStr">
        <is>
          <t>Hayır</t>
        </is>
      </c>
      <c r="I14" s="110">
        <f>IF($B14="","",$B14*(IsverenPayiOrani+IssizlikOrani))</f>
        <v/>
      </c>
    </row>
    <row r="15" ht="15" customHeight="1" s="62">
      <c r="A15" s="107" t="inlineStr">
        <is>
          <t>Hasan Çelik</t>
        </is>
      </c>
      <c r="B15" s="108" t="n">
        <v>31000</v>
      </c>
      <c r="C15" s="109" t="n">
        <v>30</v>
      </c>
      <c r="D15" s="109" t="n">
        <v>45</v>
      </c>
      <c r="E15" s="107" t="inlineStr">
        <is>
          <t>Erkek</t>
        </is>
      </c>
      <c r="F15" s="107" t="inlineStr">
        <is>
          <t>Evet</t>
        </is>
      </c>
      <c r="G15" s="107" t="inlineStr">
        <is>
          <t>Hayır</t>
        </is>
      </c>
      <c r="H15" s="107" t="inlineStr">
        <is>
          <t>Hayır</t>
        </is>
      </c>
      <c r="I15" s="110">
        <f>IF($B15="","",$B15*(IsverenPayiOrani+IssizlikOrani))</f>
        <v/>
      </c>
    </row>
    <row r="16" ht="15" customHeight="1" s="62">
      <c r="A16" s="107" t="inlineStr">
        <is>
          <t>Fatma Aydın</t>
        </is>
      </c>
      <c r="B16" s="108" t="n">
        <v>45000</v>
      </c>
      <c r="C16" s="109" t="n">
        <v>30</v>
      </c>
      <c r="D16" s="109" t="n">
        <v>28</v>
      </c>
      <c r="E16" s="107" t="inlineStr">
        <is>
          <t>Kadın</t>
        </is>
      </c>
      <c r="F16" s="107" t="inlineStr">
        <is>
          <t>Hayır</t>
        </is>
      </c>
      <c r="G16" s="107" t="inlineStr">
        <is>
          <t>Evet</t>
        </is>
      </c>
      <c r="H16" s="107" t="inlineStr">
        <is>
          <t>Hayır</t>
        </is>
      </c>
      <c r="I16" s="110">
        <f>IF($B16="","",$B16*(IsverenPayiOrani+IssizlikOrani))</f>
        <v/>
      </c>
    </row>
    <row r="17" ht="15" customHeight="1" s="62">
      <c r="A17" s="107" t="inlineStr">
        <is>
          <t>Mustafa Koç</t>
        </is>
      </c>
      <c r="B17" s="108" t="n">
        <v>27000</v>
      </c>
      <c r="C17" s="109" t="n">
        <v>30</v>
      </c>
      <c r="D17" s="109" t="n">
        <v>52</v>
      </c>
      <c r="E17" s="107" t="inlineStr">
        <is>
          <t>Erkek</t>
        </is>
      </c>
      <c r="F17" s="107" t="inlineStr">
        <is>
          <t>Evet</t>
        </is>
      </c>
      <c r="G17" s="107" t="inlineStr">
        <is>
          <t>Hayır</t>
        </is>
      </c>
      <c r="H17" s="107" t="inlineStr">
        <is>
          <t>Hayır</t>
        </is>
      </c>
      <c r="I17" s="110">
        <f>IF($B17="","",$B17*(IsverenPayiOrani+IssizlikOrani))</f>
        <v/>
      </c>
    </row>
    <row r="18" ht="15" customHeight="1" s="62">
      <c r="A18" s="107" t="inlineStr">
        <is>
          <t>Elif Yıldız</t>
        </is>
      </c>
      <c r="B18" s="108" t="n">
        <v>33000</v>
      </c>
      <c r="C18" s="109" t="n">
        <v>30</v>
      </c>
      <c r="D18" s="109" t="n">
        <v>26</v>
      </c>
      <c r="E18" s="107" t="inlineStr">
        <is>
          <t>Kadın</t>
        </is>
      </c>
      <c r="F18" s="107" t="inlineStr">
        <is>
          <t>Hayır</t>
        </is>
      </c>
      <c r="G18" s="107" t="inlineStr">
        <is>
          <t>Evet</t>
        </is>
      </c>
      <c r="H18" s="107" t="inlineStr">
        <is>
          <t>Hayır</t>
        </is>
      </c>
      <c r="I18" s="110">
        <f>IF($B18="","",$B18*(IsverenPayiOrani+IssizlikOrani))</f>
        <v/>
      </c>
    </row>
    <row r="19" ht="15" customHeight="1" s="62">
      <c r="A19" s="107" t="inlineStr">
        <is>
          <t>Burak Arslan</t>
        </is>
      </c>
      <c r="B19" s="108" t="n">
        <v>26000</v>
      </c>
      <c r="C19" s="109" t="n">
        <v>30</v>
      </c>
      <c r="D19" s="109" t="n">
        <v>35</v>
      </c>
      <c r="E19" s="107" t="inlineStr">
        <is>
          <t>Erkek</t>
        </is>
      </c>
      <c r="F19" s="107" t="inlineStr">
        <is>
          <t>Hayır</t>
        </is>
      </c>
      <c r="G19" s="107" t="inlineStr">
        <is>
          <t>Hayır</t>
        </is>
      </c>
      <c r="H19" s="107" t="inlineStr">
        <is>
          <t>Hayır</t>
        </is>
      </c>
      <c r="I19" s="110">
        <f>IF($B19="","",$B19*(IsverenPayiOrani+IssizlikOrani))</f>
        <v/>
      </c>
    </row>
    <row r="20" ht="15" customHeight="1" s="62">
      <c r="A20" s="107" t="inlineStr">
        <is>
          <t>Merve Çetin</t>
        </is>
      </c>
      <c r="B20" s="108" t="n">
        <v>40000</v>
      </c>
      <c r="C20" s="109" t="n">
        <v>30</v>
      </c>
      <c r="D20" s="109" t="n">
        <v>31</v>
      </c>
      <c r="E20" s="107" t="inlineStr">
        <is>
          <t>Kadın</t>
        </is>
      </c>
      <c r="F20" s="107" t="inlineStr">
        <is>
          <t>Hayır</t>
        </is>
      </c>
      <c r="G20" s="107" t="inlineStr">
        <is>
          <t>Evet</t>
        </is>
      </c>
      <c r="H20" s="107" t="inlineStr">
        <is>
          <t>Hayır</t>
        </is>
      </c>
      <c r="I20" s="110">
        <f>IF($B20="","",$B20*(IsverenPayiOrani+IssizlikOrani))</f>
        <v/>
      </c>
    </row>
    <row r="21" ht="15" customHeight="1" s="62">
      <c r="A21" s="107" t="inlineStr">
        <is>
          <t>Kemal Demir</t>
        </is>
      </c>
      <c r="B21" s="108" t="n">
        <v>36000</v>
      </c>
      <c r="C21" s="109" t="n">
        <v>30</v>
      </c>
      <c r="D21" s="109" t="n">
        <v>48</v>
      </c>
      <c r="E21" s="107" t="inlineStr">
        <is>
          <t>Erkek</t>
        </is>
      </c>
      <c r="F21" s="107" t="inlineStr">
        <is>
          <t>Evet</t>
        </is>
      </c>
      <c r="G21" s="107" t="inlineStr">
        <is>
          <t>Hayır</t>
        </is>
      </c>
      <c r="H21" s="107" t="inlineStr">
        <is>
          <t>Evet</t>
        </is>
      </c>
      <c r="I21" s="110">
        <f>IF($B21="","",$B21*(IsverenPayiOrani+IssizlikOrani))</f>
        <v/>
      </c>
    </row>
    <row r="22" ht="15" customHeight="1" s="62">
      <c r="A22" s="107" t="inlineStr">
        <is>
          <t>Selin Korkmaz</t>
        </is>
      </c>
      <c r="B22" s="108" t="n">
        <v>29000</v>
      </c>
      <c r="C22" s="109" t="n">
        <v>30</v>
      </c>
      <c r="D22" s="109" t="n">
        <v>24</v>
      </c>
      <c r="E22" s="107" t="inlineStr">
        <is>
          <t>Kadın</t>
        </is>
      </c>
      <c r="F22" s="107" t="inlineStr">
        <is>
          <t>Hayır</t>
        </is>
      </c>
      <c r="G22" s="107" t="inlineStr">
        <is>
          <t>Evet</t>
        </is>
      </c>
      <c r="H22" s="107" t="inlineStr">
        <is>
          <t>Hayır</t>
        </is>
      </c>
      <c r="I22" s="110">
        <f>IF($B22="","",$B22*(IsverenPayiOrani+IssizlikOrani))</f>
        <v/>
      </c>
    </row>
    <row r="23" ht="15" customHeight="1" s="62">
      <c r="A23" s="107" t="inlineStr">
        <is>
          <t>Emre Şahin</t>
        </is>
      </c>
      <c r="B23" s="108" t="n">
        <v>24000</v>
      </c>
      <c r="C23" s="109" t="n">
        <v>30</v>
      </c>
      <c r="D23" s="109" t="n">
        <v>22</v>
      </c>
      <c r="E23" s="107" t="inlineStr">
        <is>
          <t>Erkek</t>
        </is>
      </c>
      <c r="F23" s="107" t="inlineStr">
        <is>
          <t>Hayır</t>
        </is>
      </c>
      <c r="G23" s="107" t="inlineStr">
        <is>
          <t>Hayır</t>
        </is>
      </c>
      <c r="H23" s="107" t="inlineStr">
        <is>
          <t>Hayır</t>
        </is>
      </c>
      <c r="I23" s="110">
        <f>IF($B23="","",$B23*(IsverenPayiOrani+IssizlikOrani))</f>
        <v/>
      </c>
    </row>
    <row r="24" ht="15" customHeight="1" s="62">
      <c r="A24" s="107" t="inlineStr">
        <is>
          <t>Gülay Öztürk</t>
        </is>
      </c>
      <c r="B24" s="108" t="n">
        <v>47000</v>
      </c>
      <c r="C24" s="109" t="n">
        <v>30</v>
      </c>
      <c r="D24" s="109" t="n">
        <v>38</v>
      </c>
      <c r="E24" s="107" t="inlineStr">
        <is>
          <t>Kadın</t>
        </is>
      </c>
      <c r="F24" s="107" t="inlineStr">
        <is>
          <t>Hayır</t>
        </is>
      </c>
      <c r="G24" s="107" t="inlineStr">
        <is>
          <t>Evet</t>
        </is>
      </c>
      <c r="H24" s="107" t="inlineStr">
        <is>
          <t>Hayır</t>
        </is>
      </c>
      <c r="I24" s="110">
        <f>IF($B24="","",$B24*(IsverenPayiOrani+IssizlikOrani))</f>
        <v/>
      </c>
    </row>
    <row r="25" ht="15" customHeight="1" s="62">
      <c r="A25" s="107" t="n"/>
      <c r="B25" s="108" t="n"/>
      <c r="C25" s="107" t="n"/>
      <c r="D25" s="107" t="n"/>
      <c r="E25" s="107" t="n"/>
      <c r="F25" s="107" t="n"/>
      <c r="G25" s="107" t="n"/>
      <c r="H25" s="107" t="n"/>
      <c r="I25" s="110">
        <f>IF($B25="","",$B25*(IsverenPayiOrani+IssizlikOrani))</f>
        <v/>
      </c>
    </row>
    <row r="26" ht="15" customHeight="1" s="62">
      <c r="A26" s="107" t="n"/>
      <c r="B26" s="108" t="n"/>
      <c r="C26" s="107" t="n"/>
      <c r="D26" s="107" t="n"/>
      <c r="E26" s="107" t="n"/>
      <c r="F26" s="107" t="n"/>
      <c r="G26" s="107" t="n"/>
      <c r="H26" s="107" t="n"/>
      <c r="I26" s="110">
        <f>IF($B26="","",$B26*(IsverenPayiOrani+IssizlikOrani))</f>
        <v/>
      </c>
    </row>
    <row r="27" ht="15" customHeight="1" s="62">
      <c r="A27" s="107" t="n"/>
      <c r="B27" s="108" t="n"/>
      <c r="C27" s="107" t="n"/>
      <c r="D27" s="107" t="n"/>
      <c r="E27" s="107" t="n"/>
      <c r="F27" s="107" t="n"/>
      <c r="G27" s="107" t="n"/>
      <c r="H27" s="107" t="n"/>
      <c r="I27" s="110">
        <f>IF($B27="","",$B27*(IsverenPayiOrani+IssizlikOrani))</f>
        <v/>
      </c>
    </row>
    <row r="28" ht="15" customHeight="1" s="62">
      <c r="A28" s="107" t="n"/>
      <c r="B28" s="108" t="n"/>
      <c r="C28" s="107" t="n"/>
      <c r="D28" s="107" t="n"/>
      <c r="E28" s="107" t="n"/>
      <c r="F28" s="107" t="n"/>
      <c r="G28" s="107" t="n"/>
      <c r="H28" s="107" t="n"/>
      <c r="I28" s="110">
        <f>IF($B28="","",$B28*(IsverenPayiOrani+IssizlikOrani))</f>
        <v/>
      </c>
    </row>
    <row r="29" ht="15" customHeight="1" s="62">
      <c r="A29" s="107" t="n"/>
      <c r="B29" s="108" t="n"/>
      <c r="C29" s="107" t="n"/>
      <c r="D29" s="107" t="n"/>
      <c r="E29" s="107" t="n"/>
      <c r="F29" s="107" t="n"/>
      <c r="G29" s="107" t="n"/>
      <c r="H29" s="107" t="n"/>
      <c r="I29" s="110">
        <f>IF($B29="","",$B29*(IsverenPayiOrani+IssizlikOrani))</f>
        <v/>
      </c>
    </row>
    <row r="30" ht="15" customHeight="1" s="62">
      <c r="A30" s="107" t="n"/>
      <c r="B30" s="108" t="n"/>
      <c r="C30" s="107" t="n"/>
      <c r="D30" s="107" t="n"/>
      <c r="E30" s="107" t="n"/>
      <c r="F30" s="107" t="n"/>
      <c r="G30" s="107" t="n"/>
      <c r="H30" s="107" t="n"/>
      <c r="I30" s="110">
        <f>IF($B30="","",$B30*(IsverenPayiOrani+IssizlikOrani))</f>
        <v/>
      </c>
    </row>
    <row r="31" ht="15" customHeight="1" s="62">
      <c r="A31" s="107" t="n"/>
      <c r="B31" s="108" t="n"/>
      <c r="C31" s="107" t="n"/>
      <c r="D31" s="107" t="n"/>
      <c r="E31" s="107" t="n"/>
      <c r="F31" s="107" t="n"/>
      <c r="G31" s="107" t="n"/>
      <c r="H31" s="107" t="n"/>
      <c r="I31" s="110">
        <f>IF($B31="","",$B31*(IsverenPayiOrani+IssizlikOrani))</f>
        <v/>
      </c>
    </row>
    <row r="32" ht="15" customHeight="1" s="62">
      <c r="A32" s="107" t="n"/>
      <c r="B32" s="108" t="n"/>
      <c r="C32" s="107" t="n"/>
      <c r="D32" s="107" t="n"/>
      <c r="E32" s="107" t="n"/>
      <c r="F32" s="107" t="n"/>
      <c r="G32" s="107" t="n"/>
      <c r="H32" s="107" t="n"/>
      <c r="I32" s="110">
        <f>IF($B32="","",$B32*(IsverenPayiOrani+IssizlikOrani))</f>
        <v/>
      </c>
    </row>
    <row r="33" ht="15" customHeight="1" s="62">
      <c r="A33" s="107" t="n"/>
      <c r="B33" s="108" t="n"/>
      <c r="C33" s="107" t="n"/>
      <c r="D33" s="107" t="n"/>
      <c r="E33" s="107" t="n"/>
      <c r="F33" s="107" t="n"/>
      <c r="G33" s="107" t="n"/>
      <c r="H33" s="107" t="n"/>
      <c r="I33" s="110">
        <f>IF($B33="","",$B33*(IsverenPayiOrani+IssizlikOrani))</f>
        <v/>
      </c>
    </row>
    <row r="34" ht="15" customHeight="1" s="62">
      <c r="A34" s="107" t="n"/>
      <c r="B34" s="108" t="n"/>
      <c r="C34" s="107" t="n"/>
      <c r="D34" s="107" t="n"/>
      <c r="E34" s="107" t="n"/>
      <c r="F34" s="107" t="n"/>
      <c r="G34" s="107" t="n"/>
      <c r="H34" s="107" t="n"/>
      <c r="I34" s="110">
        <f>IF($B34="","",$B34*(IsverenPayiOrani+IssizlikOrani))</f>
        <v/>
      </c>
    </row>
    <row r="35" ht="15" customHeight="1" s="62">
      <c r="A35" s="107" t="n"/>
      <c r="B35" s="108" t="n"/>
      <c r="C35" s="107" t="n"/>
      <c r="D35" s="107" t="n"/>
      <c r="E35" s="107" t="n"/>
      <c r="F35" s="107" t="n"/>
      <c r="G35" s="107" t="n"/>
      <c r="H35" s="107" t="n"/>
      <c r="I35" s="110">
        <f>IF($B35="","",$B35*(IsverenPayiOrani+IssizlikOrani))</f>
        <v/>
      </c>
    </row>
    <row r="36" ht="15" customHeight="1" s="62">
      <c r="A36" s="107" t="n"/>
      <c r="B36" s="108" t="n"/>
      <c r="C36" s="107" t="n"/>
      <c r="D36" s="107" t="n"/>
      <c r="E36" s="107" t="n"/>
      <c r="F36" s="107" t="n"/>
      <c r="G36" s="107" t="n"/>
      <c r="H36" s="107" t="n"/>
      <c r="I36" s="110">
        <f>IF($B36="","",$B36*(IsverenPayiOrani+IssizlikOrani))</f>
        <v/>
      </c>
    </row>
    <row r="37" ht="15" customHeight="1" s="62">
      <c r="A37" s="107" t="n"/>
      <c r="B37" s="108" t="n"/>
      <c r="C37" s="107" t="n"/>
      <c r="D37" s="107" t="n"/>
      <c r="E37" s="107" t="n"/>
      <c r="F37" s="107" t="n"/>
      <c r="G37" s="107" t="n"/>
      <c r="H37" s="107" t="n"/>
      <c r="I37" s="110">
        <f>IF($B37="","",$B37*(IsverenPayiOrani+IssizlikOrani))</f>
        <v/>
      </c>
    </row>
    <row r="38" ht="15" customHeight="1" s="62">
      <c r="A38" s="107" t="n"/>
      <c r="B38" s="108" t="n"/>
      <c r="C38" s="107" t="n"/>
      <c r="D38" s="107" t="n"/>
      <c r="E38" s="107" t="n"/>
      <c r="F38" s="107" t="n"/>
      <c r="G38" s="107" t="n"/>
      <c r="H38" s="107" t="n"/>
      <c r="I38" s="110">
        <f>IF($B38="","",$B38*(IsverenPayiOrani+IssizlikOrani))</f>
        <v/>
      </c>
    </row>
    <row r="39" ht="15" customHeight="1" s="62">
      <c r="A39" s="107" t="n"/>
      <c r="B39" s="108" t="n"/>
      <c r="C39" s="107" t="n"/>
      <c r="D39" s="107" t="n"/>
      <c r="E39" s="107" t="n"/>
      <c r="F39" s="107" t="n"/>
      <c r="G39" s="107" t="n"/>
      <c r="H39" s="107" t="n"/>
      <c r="I39" s="110">
        <f>IF($B39="","",$B39*(IsverenPayiOrani+IssizlikOrani))</f>
        <v/>
      </c>
    </row>
    <row r="40" ht="15" customHeight="1" s="62">
      <c r="A40" s="107" t="n"/>
      <c r="B40" s="108" t="n"/>
      <c r="C40" s="107" t="n"/>
      <c r="D40" s="107" t="n"/>
      <c r="E40" s="107" t="n"/>
      <c r="F40" s="107" t="n"/>
      <c r="G40" s="107" t="n"/>
      <c r="H40" s="107" t="n"/>
      <c r="I40" s="110">
        <f>IF($B40="","",$B40*(IsverenPayiOrani+IssizlikOrani))</f>
        <v/>
      </c>
    </row>
    <row r="41" ht="15" customHeight="1" s="62">
      <c r="A41" s="107" t="n"/>
      <c r="B41" s="108" t="n"/>
      <c r="C41" s="107" t="n"/>
      <c r="D41" s="107" t="n"/>
      <c r="E41" s="107" t="n"/>
      <c r="F41" s="107" t="n"/>
      <c r="G41" s="107" t="n"/>
      <c r="H41" s="107" t="n"/>
      <c r="I41" s="110">
        <f>IF($B41="","",$B41*(IsverenPayiOrani+IssizlikOrani))</f>
        <v/>
      </c>
    </row>
    <row r="42" ht="15" customHeight="1" s="62">
      <c r="A42" s="107" t="n"/>
      <c r="B42" s="108" t="n"/>
      <c r="C42" s="107" t="n"/>
      <c r="D42" s="107" t="n"/>
      <c r="E42" s="107" t="n"/>
      <c r="F42" s="107" t="n"/>
      <c r="G42" s="107" t="n"/>
      <c r="H42" s="107" t="n"/>
      <c r="I42" s="110">
        <f>IF($B42="","",$B42*(IsverenPayiOrani+IssizlikOrani))</f>
        <v/>
      </c>
    </row>
    <row r="43" ht="15" customHeight="1" s="62">
      <c r="A43" s="107" t="n"/>
      <c r="B43" s="108" t="n"/>
      <c r="C43" s="107" t="n"/>
      <c r="D43" s="107" t="n"/>
      <c r="E43" s="107" t="n"/>
      <c r="F43" s="107" t="n"/>
      <c r="G43" s="107" t="n"/>
      <c r="H43" s="107" t="n"/>
      <c r="I43" s="110">
        <f>IF($B43="","",$B43*(IsverenPayiOrani+IssizlikOrani))</f>
        <v/>
      </c>
    </row>
    <row r="44" ht="15" customHeight="1" s="62">
      <c r="A44" s="107" t="n"/>
      <c r="B44" s="108" t="n"/>
      <c r="C44" s="107" t="n"/>
      <c r="D44" s="107" t="n"/>
      <c r="E44" s="107" t="n"/>
      <c r="F44" s="107" t="n"/>
      <c r="G44" s="107" t="n"/>
      <c r="H44" s="107" t="n"/>
      <c r="I44" s="110">
        <f>IF($B44="","",$B44*(IsverenPayiOrani+IssizlikOrani))</f>
        <v/>
      </c>
    </row>
    <row r="45" ht="15" customHeight="1" s="62">
      <c r="A45" s="107" t="n"/>
      <c r="B45" s="108" t="n"/>
      <c r="C45" s="107" t="n"/>
      <c r="D45" s="107" t="n"/>
      <c r="E45" s="107" t="n"/>
      <c r="F45" s="107" t="n"/>
      <c r="G45" s="107" t="n"/>
      <c r="H45" s="107" t="n"/>
      <c r="I45" s="110">
        <f>IF($B45="","",$B45*(IsverenPayiOrani+IssizlikOrani))</f>
        <v/>
      </c>
    </row>
    <row r="46" ht="15" customHeight="1" s="62">
      <c r="A46" s="107" t="n"/>
      <c r="B46" s="108" t="n"/>
      <c r="C46" s="107" t="n"/>
      <c r="D46" s="107" t="n"/>
      <c r="E46" s="107" t="n"/>
      <c r="F46" s="107" t="n"/>
      <c r="G46" s="107" t="n"/>
      <c r="H46" s="107" t="n"/>
      <c r="I46" s="110">
        <f>IF($B46="","",$B46*(IsverenPayiOrani+IssizlikOrani))</f>
        <v/>
      </c>
    </row>
    <row r="47" ht="15" customHeight="1" s="62">
      <c r="A47" s="107" t="n"/>
      <c r="B47" s="108" t="n"/>
      <c r="C47" s="107" t="n"/>
      <c r="D47" s="107" t="n"/>
      <c r="E47" s="107" t="n"/>
      <c r="F47" s="107" t="n"/>
      <c r="G47" s="107" t="n"/>
      <c r="H47" s="107" t="n"/>
      <c r="I47" s="110">
        <f>IF($B47="","",$B47*(IsverenPayiOrani+IssizlikOrani))</f>
        <v/>
      </c>
    </row>
    <row r="48" ht="15" customHeight="1" s="62">
      <c r="A48" s="107" t="n"/>
      <c r="B48" s="108" t="n"/>
      <c r="C48" s="107" t="n"/>
      <c r="D48" s="107" t="n"/>
      <c r="E48" s="107" t="n"/>
      <c r="F48" s="107" t="n"/>
      <c r="G48" s="107" t="n"/>
      <c r="H48" s="107" t="n"/>
      <c r="I48" s="110">
        <f>IF($B48="","",$B48*(IsverenPayiOrani+IssizlikOrani))</f>
        <v/>
      </c>
    </row>
    <row r="49" ht="15" customHeight="1" s="62">
      <c r="A49" s="107" t="n"/>
      <c r="B49" s="108" t="n"/>
      <c r="C49" s="107" t="n"/>
      <c r="D49" s="107" t="n"/>
      <c r="E49" s="107" t="n"/>
      <c r="F49" s="107" t="n"/>
      <c r="G49" s="107" t="n"/>
      <c r="H49" s="107" t="n"/>
      <c r="I49" s="110">
        <f>IF($B49="","",$B49*(IsverenPayiOrani+IssizlikOrani))</f>
        <v/>
      </c>
    </row>
    <row r="50" ht="15" customHeight="1" s="62">
      <c r="A50" s="107" t="n"/>
      <c r="B50" s="108" t="n"/>
      <c r="C50" s="107" t="n"/>
      <c r="D50" s="107" t="n"/>
      <c r="E50" s="107" t="n"/>
      <c r="F50" s="107" t="n"/>
      <c r="G50" s="107" t="n"/>
      <c r="H50" s="107" t="n"/>
      <c r="I50" s="110">
        <f>IF($B50="","",$B50*(IsverenPayiOrani+IssizlikOrani))</f>
        <v/>
      </c>
    </row>
    <row r="51" ht="15" customHeight="1" s="62">
      <c r="A51" s="107" t="n"/>
      <c r="B51" s="108" t="n"/>
      <c r="C51" s="107" t="n"/>
      <c r="D51" s="107" t="n"/>
      <c r="E51" s="107" t="n"/>
      <c r="F51" s="107" t="n"/>
      <c r="G51" s="107" t="n"/>
      <c r="H51" s="107" t="n"/>
      <c r="I51" s="110">
        <f>IF($B51="","",$B51*(IsverenPayiOrani+IssizlikOrani))</f>
        <v/>
      </c>
    </row>
    <row r="52" ht="15" customHeight="1" s="62">
      <c r="A52" s="107" t="n"/>
      <c r="B52" s="108" t="n"/>
      <c r="C52" s="107" t="n"/>
      <c r="D52" s="107" t="n"/>
      <c r="E52" s="107" t="n"/>
      <c r="F52" s="107" t="n"/>
      <c r="G52" s="107" t="n"/>
      <c r="H52" s="107" t="n"/>
      <c r="I52" s="110">
        <f>IF($B52="","",$B52*(IsverenPayiOrani+IssizlikOrani))</f>
        <v/>
      </c>
    </row>
    <row r="53" ht="15" customHeight="1" s="62">
      <c r="A53" s="107" t="n"/>
      <c r="B53" s="108" t="n"/>
      <c r="C53" s="107" t="n"/>
      <c r="D53" s="107" t="n"/>
      <c r="E53" s="107" t="n"/>
      <c r="F53" s="107" t="n"/>
      <c r="G53" s="107" t="n"/>
      <c r="H53" s="107" t="n"/>
      <c r="I53" s="110">
        <f>IF($B53="","",$B53*(IsverenPayiOrani+IssizlikOrani))</f>
        <v/>
      </c>
    </row>
    <row r="54" ht="15" customHeight="1" s="62">
      <c r="A54" s="107" t="n"/>
      <c r="B54" s="108" t="n"/>
      <c r="C54" s="107" t="n"/>
      <c r="D54" s="107" t="n"/>
      <c r="E54" s="107" t="n"/>
      <c r="F54" s="107" t="n"/>
      <c r="G54" s="107" t="n"/>
      <c r="H54" s="107" t="n"/>
      <c r="I54" s="110">
        <f>IF($B54="","",$B54*(IsverenPayiOrani+IssizlikOrani))</f>
        <v/>
      </c>
    </row>
    <row r="55" ht="15" customHeight="1" s="62">
      <c r="A55" s="107" t="n"/>
      <c r="B55" s="108" t="n"/>
      <c r="C55" s="107" t="n"/>
      <c r="D55" s="107" t="n"/>
      <c r="E55" s="107" t="n"/>
      <c r="F55" s="107" t="n"/>
      <c r="G55" s="107" t="n"/>
      <c r="H55" s="107" t="n"/>
      <c r="I55" s="110">
        <f>IF($B55="","",$B55*(IsverenPayiOrani+IssizlikOrani))</f>
        <v/>
      </c>
    </row>
    <row r="56" ht="15" customHeight="1" s="62">
      <c r="A56" s="107" t="n"/>
      <c r="B56" s="108" t="n"/>
      <c r="C56" s="107" t="n"/>
      <c r="D56" s="107" t="n"/>
      <c r="E56" s="107" t="n"/>
      <c r="F56" s="107" t="n"/>
      <c r="G56" s="107" t="n"/>
      <c r="H56" s="107" t="n"/>
      <c r="I56" s="110">
        <f>IF($B56="","",$B56*(IsverenPayiOrani+IssizlikOrani))</f>
        <v/>
      </c>
    </row>
    <row r="57" ht="15" customHeight="1" s="62">
      <c r="A57" s="107" t="n"/>
      <c r="B57" s="108" t="n"/>
      <c r="C57" s="107" t="n"/>
      <c r="D57" s="107" t="n"/>
      <c r="E57" s="107" t="n"/>
      <c r="F57" s="107" t="n"/>
      <c r="G57" s="107" t="n"/>
      <c r="H57" s="107" t="n"/>
      <c r="I57" s="110">
        <f>IF($B57="","",$B57*(IsverenPayiOrani+IssizlikOrani))</f>
        <v/>
      </c>
    </row>
    <row r="58" ht="15" customHeight="1" s="62">
      <c r="A58" s="107" t="n"/>
      <c r="B58" s="108" t="n"/>
      <c r="C58" s="107" t="n"/>
      <c r="D58" s="107" t="n"/>
      <c r="E58" s="107" t="n"/>
      <c r="F58" s="107" t="n"/>
      <c r="G58" s="107" t="n"/>
      <c r="H58" s="107" t="n"/>
      <c r="I58" s="110">
        <f>IF($B58="","",$B58*(IsverenPayiOrani+IssizlikOrani))</f>
        <v/>
      </c>
    </row>
    <row r="59" ht="15" customHeight="1" s="62">
      <c r="A59" s="107" t="n"/>
      <c r="B59" s="108" t="n"/>
      <c r="C59" s="107" t="n"/>
      <c r="D59" s="107" t="n"/>
      <c r="E59" s="107" t="n"/>
      <c r="F59" s="107" t="n"/>
      <c r="G59" s="107" t="n"/>
      <c r="H59" s="107" t="n"/>
      <c r="I59" s="110">
        <f>IF($B59="","",$B59*(IsverenPayiOrani+IssizlikOrani))</f>
        <v/>
      </c>
    </row>
    <row r="60" ht="15" customHeight="1" s="62">
      <c r="A60" s="107" t="n"/>
      <c r="B60" s="108" t="n"/>
      <c r="C60" s="107" t="n"/>
      <c r="D60" s="107" t="n"/>
      <c r="E60" s="107" t="n"/>
      <c r="F60" s="107" t="n"/>
      <c r="G60" s="107" t="n"/>
      <c r="H60" s="107" t="n"/>
      <c r="I60" s="110">
        <f>IF($B60="","",$B60*(IsverenPayiOrani+IssizlikOrani))</f>
        <v/>
      </c>
    </row>
    <row r="61" ht="15" customHeight="1" s="62">
      <c r="A61" s="107" t="n"/>
      <c r="B61" s="108" t="n"/>
      <c r="C61" s="107" t="n"/>
      <c r="D61" s="107" t="n"/>
      <c r="E61" s="107" t="n"/>
      <c r="F61" s="107" t="n"/>
      <c r="G61" s="107" t="n"/>
      <c r="H61" s="107" t="n"/>
      <c r="I61" s="110">
        <f>IF($B61="","",$B61*(IsverenPayiOrani+IssizlikOrani))</f>
        <v/>
      </c>
    </row>
    <row r="62" ht="15" customHeight="1" s="62">
      <c r="A62" s="107" t="n"/>
      <c r="B62" s="108" t="n"/>
      <c r="C62" s="107" t="n"/>
      <c r="D62" s="107" t="n"/>
      <c r="E62" s="107" t="n"/>
      <c r="F62" s="107" t="n"/>
      <c r="G62" s="107" t="n"/>
      <c r="H62" s="107" t="n"/>
      <c r="I62" s="110">
        <f>IF($B62="","",$B62*(IsverenPayiOrani+IssizlikOrani))</f>
        <v/>
      </c>
    </row>
    <row r="63" ht="15" customHeight="1" s="62">
      <c r="A63" s="107" t="n"/>
      <c r="B63" s="108" t="n"/>
      <c r="C63" s="107" t="n"/>
      <c r="D63" s="107" t="n"/>
      <c r="E63" s="107" t="n"/>
      <c r="F63" s="107" t="n"/>
      <c r="G63" s="107" t="n"/>
      <c r="H63" s="107" t="n"/>
      <c r="I63" s="110">
        <f>IF($B63="","",$B63*(IsverenPayiOrani+IssizlikOrani))</f>
        <v/>
      </c>
    </row>
    <row r="64" ht="15" customHeight="1" s="62">
      <c r="A64" s="107" t="n"/>
      <c r="B64" s="108" t="n"/>
      <c r="C64" s="107" t="n"/>
      <c r="D64" s="107" t="n"/>
      <c r="E64" s="107" t="n"/>
      <c r="F64" s="107" t="n"/>
      <c r="G64" s="107" t="n"/>
      <c r="H64" s="107" t="n"/>
      <c r="I64" s="110">
        <f>IF($B64="","",$B64*(IsverenPayiOrani+IssizlikOrani))</f>
        <v/>
      </c>
    </row>
    <row r="65" ht="15" customHeight="1" s="62">
      <c r="A65" s="107" t="n"/>
      <c r="B65" s="108" t="n"/>
      <c r="C65" s="107" t="n"/>
      <c r="D65" s="107" t="n"/>
      <c r="E65" s="107" t="n"/>
      <c r="F65" s="107" t="n"/>
      <c r="G65" s="107" t="n"/>
      <c r="H65" s="107" t="n"/>
      <c r="I65" s="110">
        <f>IF($B65="","",$B65*(IsverenPayiOrani+IssizlikOrani))</f>
        <v/>
      </c>
    </row>
    <row r="66" ht="15" customHeight="1" s="62">
      <c r="A66" s="107" t="n"/>
      <c r="B66" s="108" t="n"/>
      <c r="C66" s="107" t="n"/>
      <c r="D66" s="107" t="n"/>
      <c r="E66" s="107" t="n"/>
      <c r="F66" s="107" t="n"/>
      <c r="G66" s="107" t="n"/>
      <c r="H66" s="107" t="n"/>
      <c r="I66" s="110">
        <f>IF($B66="","",$B66*(IsverenPayiOrani+IssizlikOrani))</f>
        <v/>
      </c>
    </row>
    <row r="67" ht="15" customHeight="1" s="62">
      <c r="A67" s="107" t="n"/>
      <c r="B67" s="108" t="n"/>
      <c r="C67" s="107" t="n"/>
      <c r="D67" s="107" t="n"/>
      <c r="E67" s="107" t="n"/>
      <c r="F67" s="107" t="n"/>
      <c r="G67" s="107" t="n"/>
      <c r="H67" s="107" t="n"/>
      <c r="I67" s="110">
        <f>IF($B67="","",$B67*(IsverenPayiOrani+IssizlikOrani))</f>
        <v/>
      </c>
    </row>
    <row r="68" ht="15" customHeight="1" s="62">
      <c r="A68" s="107" t="n"/>
      <c r="B68" s="108" t="n"/>
      <c r="C68" s="107" t="n"/>
      <c r="D68" s="107" t="n"/>
      <c r="E68" s="107" t="n"/>
      <c r="F68" s="107" t="n"/>
      <c r="G68" s="107" t="n"/>
      <c r="H68" s="107" t="n"/>
      <c r="I68" s="110">
        <f>IF($B68="","",$B68*(IsverenPayiOrani+IssizlikOrani))</f>
        <v/>
      </c>
    </row>
    <row r="69" ht="15" customHeight="1" s="62">
      <c r="A69" s="107" t="n"/>
      <c r="B69" s="108" t="n"/>
      <c r="C69" s="107" t="n"/>
      <c r="D69" s="107" t="n"/>
      <c r="E69" s="107" t="n"/>
      <c r="F69" s="107" t="n"/>
      <c r="G69" s="107" t="n"/>
      <c r="H69" s="107" t="n"/>
      <c r="I69" s="110">
        <f>IF($B69="","",$B69*(IsverenPayiOrani+IssizlikOrani))</f>
        <v/>
      </c>
    </row>
    <row r="70" ht="15" customHeight="1" s="62">
      <c r="A70" s="107" t="n"/>
      <c r="B70" s="108" t="n"/>
      <c r="C70" s="107" t="n"/>
      <c r="D70" s="107" t="n"/>
      <c r="E70" s="107" t="n"/>
      <c r="F70" s="107" t="n"/>
      <c r="G70" s="107" t="n"/>
      <c r="H70" s="107" t="n"/>
      <c r="I70" s="110">
        <f>IF($B70="","",$B70*(IsverenPayiOrani+IssizlikOrani))</f>
        <v/>
      </c>
    </row>
    <row r="71" ht="15" customHeight="1" s="62">
      <c r="A71" s="107" t="n"/>
      <c r="B71" s="108" t="n"/>
      <c r="C71" s="107" t="n"/>
      <c r="D71" s="107" t="n"/>
      <c r="E71" s="107" t="n"/>
      <c r="F71" s="107" t="n"/>
      <c r="G71" s="107" t="n"/>
      <c r="H71" s="107" t="n"/>
      <c r="I71" s="110">
        <f>IF($B71="","",$B71*(IsverenPayiOrani+IssizlikOrani))</f>
        <v/>
      </c>
    </row>
    <row r="72" ht="15" customHeight="1" s="62">
      <c r="A72" s="107" t="n"/>
      <c r="B72" s="108" t="n"/>
      <c r="C72" s="107" t="n"/>
      <c r="D72" s="107" t="n"/>
      <c r="E72" s="107" t="n"/>
      <c r="F72" s="107" t="n"/>
      <c r="G72" s="107" t="n"/>
      <c r="H72" s="107" t="n"/>
      <c r="I72" s="110">
        <f>IF($B72="","",$B72*(IsverenPayiOrani+IssizlikOrani))</f>
        <v/>
      </c>
    </row>
    <row r="73" ht="15" customHeight="1" s="62">
      <c r="A73" s="107" t="n"/>
      <c r="B73" s="108" t="n"/>
      <c r="C73" s="107" t="n"/>
      <c r="D73" s="107" t="n"/>
      <c r="E73" s="107" t="n"/>
      <c r="F73" s="107" t="n"/>
      <c r="G73" s="107" t="n"/>
      <c r="H73" s="107" t="n"/>
      <c r="I73" s="110">
        <f>IF($B73="","",$B73*(IsverenPayiOrani+IssizlikOrani))</f>
        <v/>
      </c>
    </row>
    <row r="74" ht="15" customHeight="1" s="62">
      <c r="A74" s="107" t="n"/>
      <c r="B74" s="108" t="n"/>
      <c r="C74" s="107" t="n"/>
      <c r="D74" s="107" t="n"/>
      <c r="E74" s="107" t="n"/>
      <c r="F74" s="107" t="n"/>
      <c r="G74" s="107" t="n"/>
      <c r="H74" s="107" t="n"/>
      <c r="I74" s="110">
        <f>IF($B74="","",$B74*(IsverenPayiOrani+IssizlikOrani))</f>
        <v/>
      </c>
    </row>
    <row r="75" ht="15" customHeight="1" s="62">
      <c r="A75" s="107" t="n"/>
      <c r="B75" s="108" t="n"/>
      <c r="C75" s="107" t="n"/>
      <c r="D75" s="107" t="n"/>
      <c r="E75" s="107" t="n"/>
      <c r="F75" s="107" t="n"/>
      <c r="G75" s="107" t="n"/>
      <c r="H75" s="107" t="n"/>
      <c r="I75" s="110">
        <f>IF($B75="","",$B75*(IsverenPayiOrani+IssizlikOrani))</f>
        <v/>
      </c>
    </row>
    <row r="76" ht="15" customHeight="1" s="62">
      <c r="A76" s="107" t="n"/>
      <c r="B76" s="108" t="n"/>
      <c r="C76" s="107" t="n"/>
      <c r="D76" s="107" t="n"/>
      <c r="E76" s="107" t="n"/>
      <c r="F76" s="107" t="n"/>
      <c r="G76" s="107" t="n"/>
      <c r="H76" s="107" t="n"/>
      <c r="I76" s="110">
        <f>IF($B76="","",$B76*(IsverenPayiOrani+IssizlikOrani))</f>
        <v/>
      </c>
    </row>
    <row r="77" ht="15" customHeight="1" s="62">
      <c r="A77" s="107" t="n"/>
      <c r="B77" s="108" t="n"/>
      <c r="C77" s="107" t="n"/>
      <c r="D77" s="107" t="n"/>
      <c r="E77" s="107" t="n"/>
      <c r="F77" s="107" t="n"/>
      <c r="G77" s="107" t="n"/>
      <c r="H77" s="107" t="n"/>
      <c r="I77" s="110">
        <f>IF($B77="","",$B77*(IsverenPayiOrani+IssizlikOrani))</f>
        <v/>
      </c>
    </row>
    <row r="78" ht="15" customHeight="1" s="62">
      <c r="A78" s="107" t="n"/>
      <c r="B78" s="108" t="n"/>
      <c r="C78" s="107" t="n"/>
      <c r="D78" s="107" t="n"/>
      <c r="E78" s="107" t="n"/>
      <c r="F78" s="107" t="n"/>
      <c r="G78" s="107" t="n"/>
      <c r="H78" s="107" t="n"/>
      <c r="I78" s="110">
        <f>IF($B78="","",$B78*(IsverenPayiOrani+IssizlikOrani))</f>
        <v/>
      </c>
    </row>
    <row r="79" ht="15" customHeight="1" s="62">
      <c r="A79" s="107" t="n"/>
      <c r="B79" s="108" t="n"/>
      <c r="C79" s="107" t="n"/>
      <c r="D79" s="107" t="n"/>
      <c r="E79" s="107" t="n"/>
      <c r="F79" s="107" t="n"/>
      <c r="G79" s="107" t="n"/>
      <c r="H79" s="107" t="n"/>
      <c r="I79" s="110">
        <f>IF($B79="","",$B79*(IsverenPayiOrani+IssizlikOrani))</f>
        <v/>
      </c>
    </row>
    <row r="80" ht="15" customHeight="1" s="62">
      <c r="A80" s="107" t="n"/>
      <c r="B80" s="108" t="n"/>
      <c r="C80" s="107" t="n"/>
      <c r="D80" s="107" t="n"/>
      <c r="E80" s="107" t="n"/>
      <c r="F80" s="107" t="n"/>
      <c r="G80" s="107" t="n"/>
      <c r="H80" s="107" t="n"/>
      <c r="I80" s="110">
        <f>IF($B80="","",$B80*(IsverenPayiOrani+IssizlikOrani))</f>
        <v/>
      </c>
    </row>
    <row r="81" ht="15" customHeight="1" s="62">
      <c r="A81" s="107" t="n"/>
      <c r="B81" s="108" t="n"/>
      <c r="C81" s="107" t="n"/>
      <c r="D81" s="107" t="n"/>
      <c r="E81" s="107" t="n"/>
      <c r="F81" s="107" t="n"/>
      <c r="G81" s="107" t="n"/>
      <c r="H81" s="107" t="n"/>
      <c r="I81" s="110">
        <f>IF($B81="","",$B81*(IsverenPayiOrani+IssizlikOrani))</f>
        <v/>
      </c>
    </row>
    <row r="82" ht="15" customHeight="1" s="62">
      <c r="A82" s="107" t="n"/>
      <c r="B82" s="108" t="n"/>
      <c r="C82" s="107" t="n"/>
      <c r="D82" s="107" t="n"/>
      <c r="E82" s="107" t="n"/>
      <c r="F82" s="107" t="n"/>
      <c r="G82" s="107" t="n"/>
      <c r="H82" s="107" t="n"/>
      <c r="I82" s="110">
        <f>IF($B82="","",$B82*(IsverenPayiOrani+IssizlikOrani))</f>
        <v/>
      </c>
    </row>
    <row r="83" ht="15" customHeight="1" s="62">
      <c r="A83" s="107" t="n"/>
      <c r="B83" s="108" t="n"/>
      <c r="C83" s="107" t="n"/>
      <c r="D83" s="107" t="n"/>
      <c r="E83" s="107" t="n"/>
      <c r="F83" s="107" t="n"/>
      <c r="G83" s="107" t="n"/>
      <c r="H83" s="107" t="n"/>
      <c r="I83" s="110">
        <f>IF($B83="","",$B83*(IsverenPayiOrani+IssizlikOrani))</f>
        <v/>
      </c>
    </row>
    <row r="84" ht="15" customHeight="1" s="62">
      <c r="A84" s="107" t="n"/>
      <c r="B84" s="108" t="n"/>
      <c r="C84" s="107" t="n"/>
      <c r="D84" s="107" t="n"/>
      <c r="E84" s="107" t="n"/>
      <c r="F84" s="107" t="n"/>
      <c r="G84" s="107" t="n"/>
      <c r="H84" s="107" t="n"/>
      <c r="I84" s="110">
        <f>IF($B84="","",$B84*(IsverenPayiOrani+IssizlikOrani))</f>
        <v/>
      </c>
    </row>
    <row r="85" ht="15" customHeight="1" s="62">
      <c r="A85" s="107" t="n"/>
      <c r="B85" s="108" t="n"/>
      <c r="C85" s="107" t="n"/>
      <c r="D85" s="107" t="n"/>
      <c r="E85" s="107" t="n"/>
      <c r="F85" s="107" t="n"/>
      <c r="G85" s="107" t="n"/>
      <c r="H85" s="107" t="n"/>
      <c r="I85" s="110">
        <f>IF($B85="","",$B85*(IsverenPayiOrani+IssizlikOrani))</f>
        <v/>
      </c>
    </row>
    <row r="86" ht="15" customHeight="1" s="62">
      <c r="A86" s="107" t="n"/>
      <c r="B86" s="108" t="n"/>
      <c r="C86" s="107" t="n"/>
      <c r="D86" s="107" t="n"/>
      <c r="E86" s="107" t="n"/>
      <c r="F86" s="107" t="n"/>
      <c r="G86" s="107" t="n"/>
      <c r="H86" s="107" t="n"/>
      <c r="I86" s="110">
        <f>IF($B86="","",$B86*(IsverenPayiOrani+IssizlikOrani))</f>
        <v/>
      </c>
    </row>
    <row r="87" ht="15" customHeight="1" s="62">
      <c r="A87" s="107" t="n"/>
      <c r="B87" s="108" t="n"/>
      <c r="C87" s="107" t="n"/>
      <c r="D87" s="107" t="n"/>
      <c r="E87" s="107" t="n"/>
      <c r="F87" s="107" t="n"/>
      <c r="G87" s="107" t="n"/>
      <c r="H87" s="107" t="n"/>
      <c r="I87" s="110">
        <f>IF($B87="","",$B87*(IsverenPayiOrani+IssizlikOrani))</f>
        <v/>
      </c>
    </row>
    <row r="88" ht="15" customHeight="1" s="62">
      <c r="A88" s="107" t="n"/>
      <c r="B88" s="108" t="n"/>
      <c r="C88" s="107" t="n"/>
      <c r="D88" s="107" t="n"/>
      <c r="E88" s="107" t="n"/>
      <c r="F88" s="107" t="n"/>
      <c r="G88" s="107" t="n"/>
      <c r="H88" s="107" t="n"/>
      <c r="I88" s="110">
        <f>IF($B88="","",$B88*(IsverenPayiOrani+IssizlikOrani))</f>
        <v/>
      </c>
    </row>
    <row r="89" ht="15" customHeight="1" s="62">
      <c r="A89" s="107" t="n"/>
      <c r="B89" s="108" t="n"/>
      <c r="C89" s="107" t="n"/>
      <c r="D89" s="107" t="n"/>
      <c r="E89" s="107" t="n"/>
      <c r="F89" s="107" t="n"/>
      <c r="G89" s="107" t="n"/>
      <c r="H89" s="107" t="n"/>
      <c r="I89" s="110">
        <f>IF($B89="","",$B89*(IsverenPayiOrani+IssizlikOrani))</f>
        <v/>
      </c>
    </row>
    <row r="90" ht="15" customHeight="1" s="62">
      <c r="A90" s="107" t="n"/>
      <c r="B90" s="108" t="n"/>
      <c r="C90" s="107" t="n"/>
      <c r="D90" s="107" t="n"/>
      <c r="E90" s="107" t="n"/>
      <c r="F90" s="107" t="n"/>
      <c r="G90" s="107" t="n"/>
      <c r="H90" s="107" t="n"/>
      <c r="I90" s="110">
        <f>IF($B90="","",$B90*(IsverenPayiOrani+IssizlikOrani))</f>
        <v/>
      </c>
    </row>
    <row r="91" ht="15" customHeight="1" s="62">
      <c r="A91" s="107" t="n"/>
      <c r="B91" s="108" t="n"/>
      <c r="C91" s="107" t="n"/>
      <c r="D91" s="107" t="n"/>
      <c r="E91" s="107" t="n"/>
      <c r="F91" s="107" t="n"/>
      <c r="G91" s="107" t="n"/>
      <c r="H91" s="107" t="n"/>
      <c r="I91" s="110">
        <f>IF($B91="","",$B91*(IsverenPayiOrani+IssizlikOrani))</f>
        <v/>
      </c>
    </row>
    <row r="92" ht="15" customHeight="1" s="62">
      <c r="A92" s="107" t="n"/>
      <c r="B92" s="108" t="n"/>
      <c r="C92" s="107" t="n"/>
      <c r="D92" s="107" t="n"/>
      <c r="E92" s="107" t="n"/>
      <c r="F92" s="107" t="n"/>
      <c r="G92" s="107" t="n"/>
      <c r="H92" s="107" t="n"/>
      <c r="I92" s="110">
        <f>IF($B92="","",$B92*(IsverenPayiOrani+IssizlikOrani))</f>
        <v/>
      </c>
    </row>
    <row r="93" ht="15" customHeight="1" s="62">
      <c r="A93" s="107" t="n"/>
      <c r="B93" s="108" t="n"/>
      <c r="C93" s="107" t="n"/>
      <c r="D93" s="107" t="n"/>
      <c r="E93" s="107" t="n"/>
      <c r="F93" s="107" t="n"/>
      <c r="G93" s="107" t="n"/>
      <c r="H93" s="107" t="n"/>
      <c r="I93" s="110">
        <f>IF($B93="","",$B93*(IsverenPayiOrani+IssizlikOrani))</f>
        <v/>
      </c>
    </row>
    <row r="94" ht="15" customHeight="1" s="62">
      <c r="A94" s="107" t="n"/>
      <c r="B94" s="108" t="n"/>
      <c r="C94" s="107" t="n"/>
      <c r="D94" s="107" t="n"/>
      <c r="E94" s="107" t="n"/>
      <c r="F94" s="107" t="n"/>
      <c r="G94" s="107" t="n"/>
      <c r="H94" s="107" t="n"/>
      <c r="I94" s="110">
        <f>IF($B94="","",$B94*(IsverenPayiOrani+IssizlikOrani))</f>
        <v/>
      </c>
    </row>
    <row r="95" ht="15" customHeight="1" s="62">
      <c r="A95" s="107" t="n"/>
      <c r="B95" s="108" t="n"/>
      <c r="C95" s="107" t="n"/>
      <c r="D95" s="107" t="n"/>
      <c r="E95" s="107" t="n"/>
      <c r="F95" s="107" t="n"/>
      <c r="G95" s="107" t="n"/>
      <c r="H95" s="107" t="n"/>
      <c r="I95" s="110">
        <f>IF($B95="","",$B95*(IsverenPayiOrani+IssizlikOrani))</f>
        <v/>
      </c>
    </row>
    <row r="96" ht="15" customHeight="1" s="62">
      <c r="A96" s="107" t="n"/>
      <c r="B96" s="108" t="n"/>
      <c r="C96" s="107" t="n"/>
      <c r="D96" s="107" t="n"/>
      <c r="E96" s="107" t="n"/>
      <c r="F96" s="107" t="n"/>
      <c r="G96" s="107" t="n"/>
      <c r="H96" s="107" t="n"/>
      <c r="I96" s="110">
        <f>IF($B96="","",$B96*(IsverenPayiOrani+IssizlikOrani))</f>
        <v/>
      </c>
    </row>
    <row r="97" ht="15" customHeight="1" s="62">
      <c r="A97" s="107" t="n"/>
      <c r="B97" s="108" t="n"/>
      <c r="C97" s="107" t="n"/>
      <c r="D97" s="107" t="n"/>
      <c r="E97" s="107" t="n"/>
      <c r="F97" s="107" t="n"/>
      <c r="G97" s="107" t="n"/>
      <c r="H97" s="107" t="n"/>
      <c r="I97" s="110">
        <f>IF($B97="","",$B97*(IsverenPayiOrani+IssizlikOrani))</f>
        <v/>
      </c>
    </row>
    <row r="98" ht="15" customHeight="1" s="62">
      <c r="A98" s="107" t="n"/>
      <c r="B98" s="108" t="n"/>
      <c r="C98" s="107" t="n"/>
      <c r="D98" s="107" t="n"/>
      <c r="E98" s="107" t="n"/>
      <c r="F98" s="107" t="n"/>
      <c r="G98" s="107" t="n"/>
      <c r="H98" s="107" t="n"/>
      <c r="I98" s="110">
        <f>IF($B98="","",$B98*(IsverenPayiOrani+IssizlikOrani))</f>
        <v/>
      </c>
    </row>
    <row r="99" ht="15" customHeight="1" s="62">
      <c r="A99" s="107" t="n"/>
      <c r="B99" s="108" t="n"/>
      <c r="C99" s="107" t="n"/>
      <c r="D99" s="107" t="n"/>
      <c r="E99" s="107" t="n"/>
      <c r="F99" s="107" t="n"/>
      <c r="G99" s="107" t="n"/>
      <c r="H99" s="107" t="n"/>
      <c r="I99" s="110">
        <f>IF($B99="","",$B99*(IsverenPayiOrani+IssizlikOrani))</f>
        <v/>
      </c>
    </row>
    <row r="100" ht="15" customHeight="1" s="62">
      <c r="A100" s="107" t="n"/>
      <c r="B100" s="108" t="n"/>
      <c r="C100" s="107" t="n"/>
      <c r="D100" s="107" t="n"/>
      <c r="E100" s="107" t="n"/>
      <c r="F100" s="107" t="n"/>
      <c r="G100" s="107" t="n"/>
      <c r="H100" s="107" t="n"/>
      <c r="I100" s="110">
        <f>IF($B100="","",$B100*(IsverenPayiOrani+IssizlikOrani))</f>
        <v/>
      </c>
    </row>
    <row r="101" ht="15" customHeight="1" s="62">
      <c r="A101" s="107" t="n"/>
      <c r="B101" s="108" t="n"/>
      <c r="C101" s="107" t="n"/>
      <c r="D101" s="107" t="n"/>
      <c r="E101" s="107" t="n"/>
      <c r="F101" s="107" t="n"/>
      <c r="G101" s="107" t="n"/>
      <c r="H101" s="107" t="n"/>
      <c r="I101" s="110">
        <f>IF($B101="","",$B101*(IsverenPayiOrani+IssizlikOrani))</f>
        <v/>
      </c>
    </row>
    <row r="102" ht="15" customHeight="1" s="62">
      <c r="A102" s="107" t="n"/>
      <c r="B102" s="108" t="n"/>
      <c r="C102" s="107" t="n"/>
      <c r="D102" s="107" t="n"/>
      <c r="E102" s="107" t="n"/>
      <c r="F102" s="107" t="n"/>
      <c r="G102" s="107" t="n"/>
      <c r="H102" s="107" t="n"/>
      <c r="I102" s="110">
        <f>IF($B102="","",$B102*(IsverenPayiOrani+IssizlikOrani))</f>
        <v/>
      </c>
    </row>
    <row r="103" ht="15" customHeight="1" s="62">
      <c r="A103" s="107" t="n"/>
      <c r="B103" s="108" t="n"/>
      <c r="C103" s="107" t="n"/>
      <c r="D103" s="107" t="n"/>
      <c r="E103" s="107" t="n"/>
      <c r="F103" s="107" t="n"/>
      <c r="G103" s="107" t="n"/>
      <c r="H103" s="107" t="n"/>
      <c r="I103" s="110">
        <f>IF($B103="","",$B103*(IsverenPayiOrani+IssizlikOrani))</f>
        <v/>
      </c>
    </row>
    <row r="104" ht="15" customHeight="1" s="62">
      <c r="A104" s="107" t="n"/>
      <c r="B104" s="108" t="n"/>
      <c r="C104" s="107" t="n"/>
      <c r="D104" s="107" t="n"/>
      <c r="E104" s="107" t="n"/>
      <c r="F104" s="107" t="n"/>
      <c r="G104" s="107" t="n"/>
      <c r="H104" s="107" t="n"/>
      <c r="I104" s="110">
        <f>IF($B104="","",$B104*(IsverenPayiOrani+IssizlikOrani))</f>
        <v/>
      </c>
    </row>
    <row r="105" ht="15" customHeight="1" s="62">
      <c r="A105" s="107" t="n"/>
      <c r="B105" s="108" t="n"/>
      <c r="C105" s="107" t="n"/>
      <c r="D105" s="107" t="n"/>
      <c r="E105" s="107" t="n"/>
      <c r="F105" s="107" t="n"/>
      <c r="G105" s="107" t="n"/>
      <c r="H105" s="107" t="n"/>
      <c r="I105" s="110">
        <f>IF($B105="","",$B105*(IsverenPayiOrani+IssizlikOrani))</f>
        <v/>
      </c>
    </row>
    <row r="106" ht="15" customHeight="1" s="62">
      <c r="A106" s="107" t="n"/>
      <c r="B106" s="108" t="n"/>
      <c r="C106" s="107" t="n"/>
      <c r="D106" s="107" t="n"/>
      <c r="E106" s="107" t="n"/>
      <c r="F106" s="107" t="n"/>
      <c r="G106" s="107" t="n"/>
      <c r="H106" s="107" t="n"/>
      <c r="I106" s="110">
        <f>IF($B106="","",$B106*(IsverenPayiOrani+IssizlikOrani))</f>
        <v/>
      </c>
    </row>
    <row r="107" ht="15" customHeight="1" s="62">
      <c r="A107" s="107" t="n"/>
      <c r="B107" s="108" t="n"/>
      <c r="C107" s="107" t="n"/>
      <c r="D107" s="107" t="n"/>
      <c r="E107" s="107" t="n"/>
      <c r="F107" s="107" t="n"/>
      <c r="G107" s="107" t="n"/>
      <c r="H107" s="107" t="n"/>
      <c r="I107" s="110">
        <f>IF($B107="","",$B107*(IsverenPayiOrani+IssizlikOrani))</f>
        <v/>
      </c>
    </row>
    <row r="108" ht="15" customHeight="1" s="62">
      <c r="A108" s="107" t="n"/>
      <c r="B108" s="108" t="n"/>
      <c r="C108" s="107" t="n"/>
      <c r="D108" s="107" t="n"/>
      <c r="E108" s="107" t="n"/>
      <c r="F108" s="107" t="n"/>
      <c r="G108" s="107" t="n"/>
      <c r="H108" s="107" t="n"/>
      <c r="I108" s="110">
        <f>IF($B108="","",$B108*(IsverenPayiOrani+IssizlikOrani))</f>
        <v/>
      </c>
    </row>
    <row r="109" ht="15" customHeight="1" s="62">
      <c r="A109" s="107" t="n"/>
      <c r="B109" s="108" t="n"/>
      <c r="C109" s="107" t="n"/>
      <c r="D109" s="107" t="n"/>
      <c r="E109" s="107" t="n"/>
      <c r="F109" s="107" t="n"/>
      <c r="G109" s="107" t="n"/>
      <c r="H109" s="107" t="n"/>
      <c r="I109" s="110">
        <f>IF($B109="","",$B109*(IsverenPayiOrani+IssizlikOrani))</f>
        <v/>
      </c>
    </row>
    <row r="110" ht="15" customHeight="1" s="62">
      <c r="A110" s="107" t="n"/>
      <c r="B110" s="108" t="n"/>
      <c r="C110" s="107" t="n"/>
      <c r="D110" s="107" t="n"/>
      <c r="E110" s="107" t="n"/>
      <c r="F110" s="107" t="n"/>
      <c r="G110" s="107" t="n"/>
      <c r="H110" s="107" t="n"/>
      <c r="I110" s="110">
        <f>IF($B110="","",$B110*(IsverenPayiOrani+IssizlikOrani))</f>
        <v/>
      </c>
    </row>
    <row r="111" ht="15" customHeight="1" s="62">
      <c r="A111" s="107" t="n"/>
      <c r="B111" s="108" t="n"/>
      <c r="C111" s="107" t="n"/>
      <c r="D111" s="107" t="n"/>
      <c r="E111" s="107" t="n"/>
      <c r="F111" s="107" t="n"/>
      <c r="G111" s="107" t="n"/>
      <c r="H111" s="107" t="n"/>
      <c r="I111" s="110">
        <f>IF($B111="","",$B111*(IsverenPayiOrani+IssizlikOrani))</f>
        <v/>
      </c>
    </row>
    <row r="112" ht="15" customHeight="1" s="62">
      <c r="A112" s="107" t="n"/>
      <c r="B112" s="108" t="n"/>
      <c r="C112" s="107" t="n"/>
      <c r="D112" s="107" t="n"/>
      <c r="E112" s="107" t="n"/>
      <c r="F112" s="107" t="n"/>
      <c r="G112" s="107" t="n"/>
      <c r="H112" s="107" t="n"/>
      <c r="I112" s="110">
        <f>IF($B112="","",$B112*(IsverenPayiOrani+IssizlikOrani))</f>
        <v/>
      </c>
    </row>
    <row r="113" ht="15" customHeight="1" s="62">
      <c r="A113" s="107" t="n"/>
      <c r="B113" s="108" t="n"/>
      <c r="C113" s="107" t="n"/>
      <c r="D113" s="107" t="n"/>
      <c r="E113" s="107" t="n"/>
      <c r="F113" s="107" t="n"/>
      <c r="G113" s="107" t="n"/>
      <c r="H113" s="107" t="n"/>
      <c r="I113" s="110">
        <f>IF($B113="","",$B113*(IsverenPayiOrani+IssizlikOrani))</f>
        <v/>
      </c>
    </row>
    <row r="114" ht="15" customHeight="1" s="62">
      <c r="A114" s="107" t="n"/>
      <c r="B114" s="108" t="n"/>
      <c r="C114" s="107" t="n"/>
      <c r="D114" s="107" t="n"/>
      <c r="E114" s="107" t="n"/>
      <c r="F114" s="107" t="n"/>
      <c r="G114" s="107" t="n"/>
      <c r="H114" s="107" t="n"/>
      <c r="I114" s="110">
        <f>IF($B114="","",$B114*(IsverenPayiOrani+IssizlikOrani))</f>
        <v/>
      </c>
    </row>
    <row r="115" ht="15" customHeight="1" s="62">
      <c r="A115" s="107" t="n"/>
      <c r="B115" s="108" t="n"/>
      <c r="C115" s="107" t="n"/>
      <c r="D115" s="107" t="n"/>
      <c r="E115" s="107" t="n"/>
      <c r="F115" s="107" t="n"/>
      <c r="G115" s="107" t="n"/>
      <c r="H115" s="107" t="n"/>
      <c r="I115" s="110">
        <f>IF($B115="","",$B115*(IsverenPayiOrani+IssizlikOrani))</f>
        <v/>
      </c>
    </row>
    <row r="116" ht="15" customHeight="1" s="62">
      <c r="A116" s="107" t="n"/>
      <c r="B116" s="108" t="n"/>
      <c r="C116" s="107" t="n"/>
      <c r="D116" s="107" t="n"/>
      <c r="E116" s="107" t="n"/>
      <c r="F116" s="107" t="n"/>
      <c r="G116" s="107" t="n"/>
      <c r="H116" s="107" t="n"/>
      <c r="I116" s="110">
        <f>IF($B116="","",$B116*(IsverenPayiOrani+IssizlikOrani))</f>
        <v/>
      </c>
    </row>
    <row r="117" ht="15" customHeight="1" s="62">
      <c r="A117" s="107" t="n"/>
      <c r="B117" s="108" t="n"/>
      <c r="C117" s="107" t="n"/>
      <c r="D117" s="107" t="n"/>
      <c r="E117" s="107" t="n"/>
      <c r="F117" s="107" t="n"/>
      <c r="G117" s="107" t="n"/>
      <c r="H117" s="107" t="n"/>
      <c r="I117" s="110">
        <f>IF($B117="","",$B117*(IsverenPayiOrani+IssizlikOrani))</f>
        <v/>
      </c>
    </row>
    <row r="118" ht="15" customHeight="1" s="62">
      <c r="A118" s="107" t="n"/>
      <c r="B118" s="108" t="n"/>
      <c r="C118" s="107" t="n"/>
      <c r="D118" s="107" t="n"/>
      <c r="E118" s="107" t="n"/>
      <c r="F118" s="107" t="n"/>
      <c r="G118" s="107" t="n"/>
      <c r="H118" s="107" t="n"/>
      <c r="I118" s="110">
        <f>IF($B118="","",$B118*(IsverenPayiOrani+IssizlikOrani))</f>
        <v/>
      </c>
    </row>
    <row r="119" ht="15" customHeight="1" s="62">
      <c r="A119" s="107" t="n"/>
      <c r="B119" s="108" t="n"/>
      <c r="C119" s="107" t="n"/>
      <c r="D119" s="107" t="n"/>
      <c r="E119" s="107" t="n"/>
      <c r="F119" s="107" t="n"/>
      <c r="G119" s="107" t="n"/>
      <c r="H119" s="107" t="n"/>
      <c r="I119" s="110">
        <f>IF($B119="","",$B119*(IsverenPayiOrani+IssizlikOrani))</f>
        <v/>
      </c>
    </row>
    <row r="120" ht="15" customHeight="1" s="62">
      <c r="A120" s="107" t="n"/>
      <c r="B120" s="108" t="n"/>
      <c r="C120" s="107" t="n"/>
      <c r="D120" s="107" t="n"/>
      <c r="E120" s="107" t="n"/>
      <c r="F120" s="107" t="n"/>
      <c r="G120" s="107" t="n"/>
      <c r="H120" s="107" t="n"/>
      <c r="I120" s="110">
        <f>IF($B120="","",$B120*(IsverenPayiOrani+IssizlikOrani))</f>
        <v/>
      </c>
    </row>
    <row r="121" ht="15" customHeight="1" s="62">
      <c r="A121" s="107" t="n"/>
      <c r="B121" s="108" t="n"/>
      <c r="C121" s="107" t="n"/>
      <c r="D121" s="107" t="n"/>
      <c r="E121" s="107" t="n"/>
      <c r="F121" s="107" t="n"/>
      <c r="G121" s="107" t="n"/>
      <c r="H121" s="107" t="n"/>
      <c r="I121" s="110">
        <f>IF($B121="","",$B121*(IsverenPayiOrani+IssizlikOrani))</f>
        <v/>
      </c>
    </row>
    <row r="122" ht="15" customHeight="1" s="62">
      <c r="A122" s="107" t="n"/>
      <c r="B122" s="108" t="n"/>
      <c r="C122" s="107" t="n"/>
      <c r="D122" s="107" t="n"/>
      <c r="E122" s="107" t="n"/>
      <c r="F122" s="107" t="n"/>
      <c r="G122" s="107" t="n"/>
      <c r="H122" s="107" t="n"/>
      <c r="I122" s="110">
        <f>IF($B122="","",$B122*(IsverenPayiOrani+IssizlikOrani))</f>
        <v/>
      </c>
    </row>
    <row r="123" ht="15" customHeight="1" s="62">
      <c r="A123" s="107" t="n"/>
      <c r="B123" s="108" t="n"/>
      <c r="C123" s="107" t="n"/>
      <c r="D123" s="107" t="n"/>
      <c r="E123" s="107" t="n"/>
      <c r="F123" s="107" t="n"/>
      <c r="G123" s="107" t="n"/>
      <c r="H123" s="107" t="n"/>
      <c r="I123" s="110">
        <f>IF($B123="","",$B123*(IsverenPayiOrani+IssizlikOrani))</f>
        <v/>
      </c>
    </row>
    <row r="124" ht="15" customHeight="1" s="62">
      <c r="A124" s="107" t="n"/>
      <c r="B124" s="108" t="n"/>
      <c r="C124" s="107" t="n"/>
      <c r="D124" s="107" t="n"/>
      <c r="E124" s="107" t="n"/>
      <c r="F124" s="107" t="n"/>
      <c r="G124" s="107" t="n"/>
      <c r="H124" s="107" t="n"/>
      <c r="I124" s="110">
        <f>IF($B124="","",$B124*(IsverenPayiOrani+IssizlikOrani))</f>
        <v/>
      </c>
    </row>
    <row r="125" ht="15" customHeight="1" s="62">
      <c r="A125" s="107" t="n"/>
      <c r="B125" s="108" t="n"/>
      <c r="C125" s="107" t="n"/>
      <c r="D125" s="107" t="n"/>
      <c r="E125" s="107" t="n"/>
      <c r="F125" s="107" t="n"/>
      <c r="G125" s="107" t="n"/>
      <c r="H125" s="107" t="n"/>
      <c r="I125" s="110">
        <f>IF($B125="","",$B125*(IsverenPayiOrani+IssizlikOrani))</f>
        <v/>
      </c>
    </row>
    <row r="126" ht="15" customHeight="1" s="62">
      <c r="A126" s="107" t="n"/>
      <c r="B126" s="108" t="n"/>
      <c r="C126" s="107" t="n"/>
      <c r="D126" s="107" t="n"/>
      <c r="E126" s="107" t="n"/>
      <c r="F126" s="107" t="n"/>
      <c r="G126" s="107" t="n"/>
      <c r="H126" s="107" t="n"/>
      <c r="I126" s="110">
        <f>IF($B126="","",$B126*(IsverenPayiOrani+IssizlikOrani))</f>
        <v/>
      </c>
    </row>
    <row r="127" ht="15" customHeight="1" s="62">
      <c r="A127" s="107" t="n"/>
      <c r="B127" s="108" t="n"/>
      <c r="C127" s="107" t="n"/>
      <c r="D127" s="107" t="n"/>
      <c r="E127" s="107" t="n"/>
      <c r="F127" s="107" t="n"/>
      <c r="G127" s="107" t="n"/>
      <c r="H127" s="107" t="n"/>
      <c r="I127" s="110">
        <f>IF($B127="","",$B127*(IsverenPayiOrani+IssizlikOrani))</f>
        <v/>
      </c>
    </row>
    <row r="128" ht="15" customHeight="1" s="62">
      <c r="A128" s="107" t="n"/>
      <c r="B128" s="108" t="n"/>
      <c r="C128" s="107" t="n"/>
      <c r="D128" s="107" t="n"/>
      <c r="E128" s="107" t="n"/>
      <c r="F128" s="107" t="n"/>
      <c r="G128" s="107" t="n"/>
      <c r="H128" s="107" t="n"/>
      <c r="I128" s="110">
        <f>IF($B128="","",$B128*(IsverenPayiOrani+IssizlikOrani))</f>
        <v/>
      </c>
    </row>
    <row r="129" ht="15" customHeight="1" s="62">
      <c r="A129" s="107" t="n"/>
      <c r="B129" s="108" t="n"/>
      <c r="C129" s="107" t="n"/>
      <c r="D129" s="107" t="n"/>
      <c r="E129" s="107" t="n"/>
      <c r="F129" s="107" t="n"/>
      <c r="G129" s="107" t="n"/>
      <c r="H129" s="107" t="n"/>
      <c r="I129" s="110">
        <f>IF($B129="","",$B129*(IsverenPayiOrani+IssizlikOrani))</f>
        <v/>
      </c>
    </row>
    <row r="130" ht="15" customHeight="1" s="62">
      <c r="A130" s="107" t="n"/>
      <c r="B130" s="108" t="n"/>
      <c r="C130" s="107" t="n"/>
      <c r="D130" s="107" t="n"/>
      <c r="E130" s="107" t="n"/>
      <c r="F130" s="107" t="n"/>
      <c r="G130" s="107" t="n"/>
      <c r="H130" s="107" t="n"/>
      <c r="I130" s="110">
        <f>IF($B130="","",$B130*(IsverenPayiOrani+IssizlikOrani))</f>
        <v/>
      </c>
    </row>
    <row r="131" ht="15" customHeight="1" s="62">
      <c r="A131" s="107" t="n"/>
      <c r="B131" s="108" t="n"/>
      <c r="C131" s="107" t="n"/>
      <c r="D131" s="107" t="n"/>
      <c r="E131" s="107" t="n"/>
      <c r="F131" s="107" t="n"/>
      <c r="G131" s="107" t="n"/>
      <c r="H131" s="107" t="n"/>
      <c r="I131" s="110">
        <f>IF($B131="","",$B131*(IsverenPayiOrani+IssizlikOrani))</f>
        <v/>
      </c>
    </row>
    <row r="132" ht="15" customHeight="1" s="62">
      <c r="A132" s="107" t="n"/>
      <c r="B132" s="108" t="n"/>
      <c r="C132" s="107" t="n"/>
      <c r="D132" s="107" t="n"/>
      <c r="E132" s="107" t="n"/>
      <c r="F132" s="107" t="n"/>
      <c r="G132" s="107" t="n"/>
      <c r="H132" s="107" t="n"/>
      <c r="I132" s="110">
        <f>IF($B132="","",$B132*(IsverenPayiOrani+IssizlikOrani))</f>
        <v/>
      </c>
    </row>
    <row r="133" ht="15" customHeight="1" s="62">
      <c r="A133" s="107" t="n"/>
      <c r="B133" s="108" t="n"/>
      <c r="C133" s="107" t="n"/>
      <c r="D133" s="107" t="n"/>
      <c r="E133" s="107" t="n"/>
      <c r="F133" s="107" t="n"/>
      <c r="G133" s="107" t="n"/>
      <c r="H133" s="107" t="n"/>
      <c r="I133" s="110">
        <f>IF($B133="","",$B133*(IsverenPayiOrani+IssizlikOrani))</f>
        <v/>
      </c>
    </row>
    <row r="134" ht="15" customHeight="1" s="62">
      <c r="A134" s="107" t="n"/>
      <c r="B134" s="108" t="n"/>
      <c r="C134" s="107" t="n"/>
      <c r="D134" s="107" t="n"/>
      <c r="E134" s="107" t="n"/>
      <c r="F134" s="107" t="n"/>
      <c r="G134" s="107" t="n"/>
      <c r="H134" s="107" t="n"/>
      <c r="I134" s="110">
        <f>IF($B134="","",$B134*(IsverenPayiOrani+IssizlikOrani))</f>
        <v/>
      </c>
    </row>
    <row r="135" ht="15" customHeight="1" s="62">
      <c r="A135" s="107" t="n"/>
      <c r="B135" s="108" t="n"/>
      <c r="C135" s="107" t="n"/>
      <c r="D135" s="107" t="n"/>
      <c r="E135" s="107" t="n"/>
      <c r="F135" s="107" t="n"/>
      <c r="G135" s="107" t="n"/>
      <c r="H135" s="107" t="n"/>
      <c r="I135" s="110">
        <f>IF($B135="","",$B135*(IsverenPayiOrani+IssizlikOrani))</f>
        <v/>
      </c>
    </row>
    <row r="136" ht="15" customHeight="1" s="62">
      <c r="A136" s="107" t="n"/>
      <c r="B136" s="108" t="n"/>
      <c r="C136" s="107" t="n"/>
      <c r="D136" s="107" t="n"/>
      <c r="E136" s="107" t="n"/>
      <c r="F136" s="107" t="n"/>
      <c r="G136" s="107" t="n"/>
      <c r="H136" s="107" t="n"/>
      <c r="I136" s="110">
        <f>IF($B136="","",$B136*(IsverenPayiOrani+IssizlikOrani))</f>
        <v/>
      </c>
    </row>
    <row r="137" ht="15" customHeight="1" s="62">
      <c r="A137" s="107" t="n"/>
      <c r="B137" s="108" t="n"/>
      <c r="C137" s="107" t="n"/>
      <c r="D137" s="107" t="n"/>
      <c r="E137" s="107" t="n"/>
      <c r="F137" s="107" t="n"/>
      <c r="G137" s="107" t="n"/>
      <c r="H137" s="107" t="n"/>
      <c r="I137" s="110">
        <f>IF($B137="","",$B137*(IsverenPayiOrani+IssizlikOrani))</f>
        <v/>
      </c>
    </row>
    <row r="138" ht="15" customHeight="1" s="62">
      <c r="A138" s="107" t="n"/>
      <c r="B138" s="108" t="n"/>
      <c r="C138" s="107" t="n"/>
      <c r="D138" s="107" t="n"/>
      <c r="E138" s="107" t="n"/>
      <c r="F138" s="107" t="n"/>
      <c r="G138" s="107" t="n"/>
      <c r="H138" s="107" t="n"/>
      <c r="I138" s="110">
        <f>IF($B138="","",$B138*(IsverenPayiOrani+IssizlikOrani))</f>
        <v/>
      </c>
    </row>
    <row r="139" ht="15" customHeight="1" s="62">
      <c r="A139" s="107" t="n"/>
      <c r="B139" s="108" t="n"/>
      <c r="C139" s="107" t="n"/>
      <c r="D139" s="107" t="n"/>
      <c r="E139" s="107" t="n"/>
      <c r="F139" s="107" t="n"/>
      <c r="G139" s="107" t="n"/>
      <c r="H139" s="107" t="n"/>
      <c r="I139" s="110">
        <f>IF($B139="","",$B139*(IsverenPayiOrani+IssizlikOrani))</f>
        <v/>
      </c>
    </row>
    <row r="140" ht="15" customHeight="1" s="62">
      <c r="A140" s="107" t="n"/>
      <c r="B140" s="108" t="n"/>
      <c r="C140" s="107" t="n"/>
      <c r="D140" s="107" t="n"/>
      <c r="E140" s="107" t="n"/>
      <c r="F140" s="107" t="n"/>
      <c r="G140" s="107" t="n"/>
      <c r="H140" s="107" t="n"/>
      <c r="I140" s="110">
        <f>IF($B140="","",$B140*(IsverenPayiOrani+IssizlikOrani))</f>
        <v/>
      </c>
    </row>
    <row r="141" ht="15" customHeight="1" s="62">
      <c r="A141" s="107" t="n"/>
      <c r="B141" s="108" t="n"/>
      <c r="C141" s="107" t="n"/>
      <c r="D141" s="107" t="n"/>
      <c r="E141" s="107" t="n"/>
      <c r="F141" s="107" t="n"/>
      <c r="G141" s="107" t="n"/>
      <c r="H141" s="107" t="n"/>
      <c r="I141" s="110">
        <f>IF($B141="","",$B141*(IsverenPayiOrani+IssizlikOrani))</f>
        <v/>
      </c>
    </row>
    <row r="142" ht="15" customHeight="1" s="62">
      <c r="A142" s="107" t="n"/>
      <c r="B142" s="108" t="n"/>
      <c r="C142" s="107" t="n"/>
      <c r="D142" s="107" t="n"/>
      <c r="E142" s="107" t="n"/>
      <c r="F142" s="107" t="n"/>
      <c r="G142" s="107" t="n"/>
      <c r="H142" s="107" t="n"/>
      <c r="I142" s="110">
        <f>IF($B142="","",$B142*(IsverenPayiOrani+IssizlikOrani))</f>
        <v/>
      </c>
    </row>
    <row r="143" ht="15" customHeight="1" s="62">
      <c r="A143" s="107" t="n"/>
      <c r="B143" s="108" t="n"/>
      <c r="C143" s="107" t="n"/>
      <c r="D143" s="107" t="n"/>
      <c r="E143" s="107" t="n"/>
      <c r="F143" s="107" t="n"/>
      <c r="G143" s="107" t="n"/>
      <c r="H143" s="107" t="n"/>
      <c r="I143" s="110">
        <f>IF($B143="","",$B143*(IsverenPayiOrani+IssizlikOrani))</f>
        <v/>
      </c>
    </row>
    <row r="144" ht="15" customHeight="1" s="62">
      <c r="A144" s="107" t="n"/>
      <c r="B144" s="108" t="n"/>
      <c r="C144" s="107" t="n"/>
      <c r="D144" s="107" t="n"/>
      <c r="E144" s="107" t="n"/>
      <c r="F144" s="107" t="n"/>
      <c r="G144" s="107" t="n"/>
      <c r="H144" s="107" t="n"/>
      <c r="I144" s="110">
        <f>IF($B144="","",$B144*(IsverenPayiOrani+IssizlikOrani))</f>
        <v/>
      </c>
    </row>
    <row r="145" ht="15" customHeight="1" s="62">
      <c r="A145" s="107" t="n"/>
      <c r="B145" s="108" t="n"/>
      <c r="C145" s="107" t="n"/>
      <c r="D145" s="107" t="n"/>
      <c r="E145" s="107" t="n"/>
      <c r="F145" s="107" t="n"/>
      <c r="G145" s="107" t="n"/>
      <c r="H145" s="107" t="n"/>
      <c r="I145" s="110">
        <f>IF($B145="","",$B145*(IsverenPayiOrani+IssizlikOrani))</f>
        <v/>
      </c>
    </row>
    <row r="146" ht="15" customHeight="1" s="62">
      <c r="A146" s="107" t="n"/>
      <c r="B146" s="108" t="n"/>
      <c r="C146" s="107" t="n"/>
      <c r="D146" s="107" t="n"/>
      <c r="E146" s="107" t="n"/>
      <c r="F146" s="107" t="n"/>
      <c r="G146" s="107" t="n"/>
      <c r="H146" s="107" t="n"/>
      <c r="I146" s="110">
        <f>IF($B146="","",$B146*(IsverenPayiOrani+IssizlikOrani))</f>
        <v/>
      </c>
    </row>
    <row r="147" ht="15" customHeight="1" s="62">
      <c r="A147" s="107" t="n"/>
      <c r="B147" s="108" t="n"/>
      <c r="C147" s="107" t="n"/>
      <c r="D147" s="107" t="n"/>
      <c r="E147" s="107" t="n"/>
      <c r="F147" s="107" t="n"/>
      <c r="G147" s="107" t="n"/>
      <c r="H147" s="107" t="n"/>
      <c r="I147" s="110">
        <f>IF($B147="","",$B147*(IsverenPayiOrani+IssizlikOrani))</f>
        <v/>
      </c>
    </row>
    <row r="148" ht="15" customHeight="1" s="62">
      <c r="A148" s="107" t="n"/>
      <c r="B148" s="108" t="n"/>
      <c r="C148" s="107" t="n"/>
      <c r="D148" s="107" t="n"/>
      <c r="E148" s="107" t="n"/>
      <c r="F148" s="107" t="n"/>
      <c r="G148" s="107" t="n"/>
      <c r="H148" s="107" t="n"/>
      <c r="I148" s="110">
        <f>IF($B148="","",$B148*(IsverenPayiOrani+IssizlikOrani))</f>
        <v/>
      </c>
    </row>
    <row r="149" ht="15" customHeight="1" s="62">
      <c r="A149" s="107" t="n"/>
      <c r="B149" s="108" t="n"/>
      <c r="C149" s="107" t="n"/>
      <c r="D149" s="107" t="n"/>
      <c r="E149" s="107" t="n"/>
      <c r="F149" s="107" t="n"/>
      <c r="G149" s="107" t="n"/>
      <c r="H149" s="107" t="n"/>
      <c r="I149" s="110">
        <f>IF($B149="","",$B149*(IsverenPayiOrani+IssizlikOrani))</f>
        <v/>
      </c>
    </row>
    <row r="150" ht="15" customHeight="1" s="62">
      <c r="A150" s="107" t="n"/>
      <c r="B150" s="108" t="n"/>
      <c r="C150" s="107" t="n"/>
      <c r="D150" s="107" t="n"/>
      <c r="E150" s="107" t="n"/>
      <c r="F150" s="107" t="n"/>
      <c r="G150" s="107" t="n"/>
      <c r="H150" s="107" t="n"/>
      <c r="I150" s="110">
        <f>IF($B150="","",$B150*(IsverenPayiOrani+IssizlikOrani))</f>
        <v/>
      </c>
    </row>
    <row r="151" ht="15" customHeight="1" s="62">
      <c r="A151" s="107" t="n"/>
      <c r="B151" s="108" t="n"/>
      <c r="C151" s="107" t="n"/>
      <c r="D151" s="107" t="n"/>
      <c r="E151" s="107" t="n"/>
      <c r="F151" s="107" t="n"/>
      <c r="G151" s="107" t="n"/>
      <c r="H151" s="107" t="n"/>
      <c r="I151" s="110">
        <f>IF($B151="","",$B151*(IsverenPayiOrani+IssizlikOrani))</f>
        <v/>
      </c>
    </row>
    <row r="152" ht="15" customHeight="1" s="62">
      <c r="A152" s="107" t="n"/>
      <c r="B152" s="108" t="n"/>
      <c r="C152" s="107" t="n"/>
      <c r="D152" s="107" t="n"/>
      <c r="E152" s="107" t="n"/>
      <c r="F152" s="107" t="n"/>
      <c r="G152" s="107" t="n"/>
      <c r="H152" s="107" t="n"/>
      <c r="I152" s="110">
        <f>IF($B152="","",$B152*(IsverenPayiOrani+IssizlikOrani))</f>
        <v/>
      </c>
    </row>
    <row r="153" ht="15" customHeight="1" s="62">
      <c r="A153" s="107" t="n"/>
      <c r="B153" s="108" t="n"/>
      <c r="C153" s="107" t="n"/>
      <c r="D153" s="107" t="n"/>
      <c r="E153" s="107" t="n"/>
      <c r="F153" s="107" t="n"/>
      <c r="G153" s="107" t="n"/>
      <c r="H153" s="107" t="n"/>
      <c r="I153" s="110">
        <f>IF($B153="","",$B153*(IsverenPayiOrani+IssizlikOrani))</f>
        <v/>
      </c>
    </row>
    <row r="154" ht="15" customHeight="1" s="62">
      <c r="A154" s="107" t="n"/>
      <c r="B154" s="108" t="n"/>
      <c r="C154" s="107" t="n"/>
      <c r="D154" s="107" t="n"/>
      <c r="E154" s="107" t="n"/>
      <c r="F154" s="107" t="n"/>
      <c r="G154" s="107" t="n"/>
      <c r="H154" s="107" t="n"/>
      <c r="I154" s="110">
        <f>IF($B154="","",$B154*(IsverenPayiOrani+IssizlikOrani))</f>
        <v/>
      </c>
    </row>
    <row r="155" ht="15" customHeight="1" s="62">
      <c r="A155" s="107" t="n"/>
      <c r="B155" s="108" t="n"/>
      <c r="C155" s="107" t="n"/>
      <c r="D155" s="107" t="n"/>
      <c r="E155" s="107" t="n"/>
      <c r="F155" s="107" t="n"/>
      <c r="G155" s="107" t="n"/>
      <c r="H155" s="107" t="n"/>
      <c r="I155" s="110">
        <f>IF($B155="","",$B155*(IsverenPayiOrani+IssizlikOrani))</f>
        <v/>
      </c>
    </row>
    <row r="156" ht="15" customHeight="1" s="62">
      <c r="A156" s="107" t="n"/>
      <c r="B156" s="108" t="n"/>
      <c r="C156" s="107" t="n"/>
      <c r="D156" s="107" t="n"/>
      <c r="E156" s="107" t="n"/>
      <c r="F156" s="107" t="n"/>
      <c r="G156" s="107" t="n"/>
      <c r="H156" s="107" t="n"/>
      <c r="I156" s="110">
        <f>IF($B156="","",$B156*(IsverenPayiOrani+IssizlikOrani))</f>
        <v/>
      </c>
    </row>
    <row r="157" ht="15" customHeight="1" s="62">
      <c r="A157" s="107" t="n"/>
      <c r="B157" s="108" t="n"/>
      <c r="C157" s="107" t="n"/>
      <c r="D157" s="107" t="n"/>
      <c r="E157" s="107" t="n"/>
      <c r="F157" s="107" t="n"/>
      <c r="G157" s="107" t="n"/>
      <c r="H157" s="107" t="n"/>
      <c r="I157" s="110">
        <f>IF($B157="","",$B157*(IsverenPayiOrani+IssizlikOrani))</f>
        <v/>
      </c>
    </row>
    <row r="158" ht="15" customHeight="1" s="62">
      <c r="A158" s="107" t="n"/>
      <c r="B158" s="108" t="n"/>
      <c r="C158" s="107" t="n"/>
      <c r="D158" s="107" t="n"/>
      <c r="E158" s="107" t="n"/>
      <c r="F158" s="107" t="n"/>
      <c r="G158" s="107" t="n"/>
      <c r="H158" s="107" t="n"/>
      <c r="I158" s="110">
        <f>IF($B158="","",$B158*(IsverenPayiOrani+IssizlikOrani))</f>
        <v/>
      </c>
    </row>
    <row r="159" ht="15" customHeight="1" s="62">
      <c r="A159" s="107" t="n"/>
      <c r="B159" s="108" t="n"/>
      <c r="C159" s="107" t="n"/>
      <c r="D159" s="107" t="n"/>
      <c r="E159" s="107" t="n"/>
      <c r="F159" s="107" t="n"/>
      <c r="G159" s="107" t="n"/>
      <c r="H159" s="107" t="n"/>
      <c r="I159" s="110">
        <f>IF($B159="","",$B159*(IsverenPayiOrani+IssizlikOrani))</f>
        <v/>
      </c>
    </row>
    <row r="160" ht="15" customHeight="1" s="62">
      <c r="A160" s="107" t="n"/>
      <c r="B160" s="108" t="n"/>
      <c r="C160" s="107" t="n"/>
      <c r="D160" s="107" t="n"/>
      <c r="E160" s="107" t="n"/>
      <c r="F160" s="107" t="n"/>
      <c r="G160" s="107" t="n"/>
      <c r="H160" s="107" t="n"/>
      <c r="I160" s="110">
        <f>IF($B160="","",$B160*(IsverenPayiOrani+IssizlikOrani))</f>
        <v/>
      </c>
    </row>
    <row r="161" ht="15" customHeight="1" s="62">
      <c r="A161" s="107" t="n"/>
      <c r="B161" s="108" t="n"/>
      <c r="C161" s="107" t="n"/>
      <c r="D161" s="107" t="n"/>
      <c r="E161" s="107" t="n"/>
      <c r="F161" s="107" t="n"/>
      <c r="G161" s="107" t="n"/>
      <c r="H161" s="107" t="n"/>
      <c r="I161" s="110">
        <f>IF($B161="","",$B161*(IsverenPayiOrani+IssizlikOrani))</f>
        <v/>
      </c>
    </row>
    <row r="162" ht="15" customHeight="1" s="62">
      <c r="A162" s="107" t="n"/>
      <c r="B162" s="108" t="n"/>
      <c r="C162" s="107" t="n"/>
      <c r="D162" s="107" t="n"/>
      <c r="E162" s="107" t="n"/>
      <c r="F162" s="107" t="n"/>
      <c r="G162" s="107" t="n"/>
      <c r="H162" s="107" t="n"/>
      <c r="I162" s="110">
        <f>IF($B162="","",$B162*(IsverenPayiOrani+IssizlikOrani))</f>
        <v/>
      </c>
    </row>
    <row r="163" ht="15" customHeight="1" s="62">
      <c r="A163" s="107" t="n"/>
      <c r="B163" s="108" t="n"/>
      <c r="C163" s="107" t="n"/>
      <c r="D163" s="107" t="n"/>
      <c r="E163" s="107" t="n"/>
      <c r="F163" s="107" t="n"/>
      <c r="G163" s="107" t="n"/>
      <c r="H163" s="107" t="n"/>
      <c r="I163" s="110">
        <f>IF($B163="","",$B163*(IsverenPayiOrani+IssizlikOrani))</f>
        <v/>
      </c>
    </row>
    <row r="164" ht="15" customHeight="1" s="62">
      <c r="A164" s="107" t="n"/>
      <c r="B164" s="108" t="n"/>
      <c r="C164" s="107" t="n"/>
      <c r="D164" s="107" t="n"/>
      <c r="E164" s="107" t="n"/>
      <c r="F164" s="107" t="n"/>
      <c r="G164" s="107" t="n"/>
      <c r="H164" s="107" t="n"/>
      <c r="I164" s="110">
        <f>IF($B164="","",$B164*(IsverenPayiOrani+IssizlikOrani))</f>
        <v/>
      </c>
    </row>
    <row r="165" ht="15" customHeight="1" s="62">
      <c r="A165" s="107" t="n"/>
      <c r="B165" s="108" t="n"/>
      <c r="C165" s="107" t="n"/>
      <c r="D165" s="107" t="n"/>
      <c r="E165" s="107" t="n"/>
      <c r="F165" s="107" t="n"/>
      <c r="G165" s="107" t="n"/>
      <c r="H165" s="107" t="n"/>
      <c r="I165" s="110">
        <f>IF($B165="","",$B165*(IsverenPayiOrani+IssizlikOrani))</f>
        <v/>
      </c>
    </row>
    <row r="166" ht="15" customHeight="1" s="62">
      <c r="A166" s="107" t="n"/>
      <c r="B166" s="108" t="n"/>
      <c r="C166" s="107" t="n"/>
      <c r="D166" s="107" t="n"/>
      <c r="E166" s="107" t="n"/>
      <c r="F166" s="107" t="n"/>
      <c r="G166" s="107" t="n"/>
      <c r="H166" s="107" t="n"/>
      <c r="I166" s="110">
        <f>IF($B166="","",$B166*(IsverenPayiOrani+IssizlikOrani))</f>
        <v/>
      </c>
    </row>
    <row r="167" ht="15" customHeight="1" s="62">
      <c r="A167" s="107" t="n"/>
      <c r="B167" s="108" t="n"/>
      <c r="C167" s="107" t="n"/>
      <c r="D167" s="107" t="n"/>
      <c r="E167" s="107" t="n"/>
      <c r="F167" s="107" t="n"/>
      <c r="G167" s="107" t="n"/>
      <c r="H167" s="107" t="n"/>
      <c r="I167" s="110">
        <f>IF($B167="","",$B167*(IsverenPayiOrani+IssizlikOrani))</f>
        <v/>
      </c>
    </row>
    <row r="168" ht="15" customHeight="1" s="62">
      <c r="A168" s="107" t="n"/>
      <c r="B168" s="108" t="n"/>
      <c r="C168" s="107" t="n"/>
      <c r="D168" s="107" t="n"/>
      <c r="E168" s="107" t="n"/>
      <c r="F168" s="107" t="n"/>
      <c r="G168" s="107" t="n"/>
      <c r="H168" s="107" t="n"/>
      <c r="I168" s="110">
        <f>IF($B168="","",$B168*(IsverenPayiOrani+IssizlikOrani))</f>
        <v/>
      </c>
    </row>
    <row r="169" ht="15" customHeight="1" s="62">
      <c r="A169" s="107" t="n"/>
      <c r="B169" s="108" t="n"/>
      <c r="C169" s="107" t="n"/>
      <c r="D169" s="107" t="n"/>
      <c r="E169" s="107" t="n"/>
      <c r="F169" s="107" t="n"/>
      <c r="G169" s="107" t="n"/>
      <c r="H169" s="107" t="n"/>
      <c r="I169" s="110">
        <f>IF($B169="","",$B169*(IsverenPayiOrani+IssizlikOrani))</f>
        <v/>
      </c>
    </row>
    <row r="170" ht="15" customHeight="1" s="62">
      <c r="A170" s="107" t="n"/>
      <c r="B170" s="108" t="n"/>
      <c r="C170" s="107" t="n"/>
      <c r="D170" s="107" t="n"/>
      <c r="E170" s="107" t="n"/>
      <c r="F170" s="107" t="n"/>
      <c r="G170" s="107" t="n"/>
      <c r="H170" s="107" t="n"/>
      <c r="I170" s="110">
        <f>IF($B170="","",$B170*(IsverenPayiOrani+IssizlikOrani))</f>
        <v/>
      </c>
    </row>
    <row r="171" ht="15" customHeight="1" s="62">
      <c r="A171" s="107" t="n"/>
      <c r="B171" s="108" t="n"/>
      <c r="C171" s="107" t="n"/>
      <c r="D171" s="107" t="n"/>
      <c r="E171" s="107" t="n"/>
      <c r="F171" s="107" t="n"/>
      <c r="G171" s="107" t="n"/>
      <c r="H171" s="107" t="n"/>
      <c r="I171" s="110">
        <f>IF($B171="","",$B171*(IsverenPayiOrani+IssizlikOrani))</f>
        <v/>
      </c>
    </row>
    <row r="172" ht="15" customHeight="1" s="62">
      <c r="A172" s="107" t="n"/>
      <c r="B172" s="108" t="n"/>
      <c r="C172" s="107" t="n"/>
      <c r="D172" s="107" t="n"/>
      <c r="E172" s="107" t="n"/>
      <c r="F172" s="107" t="n"/>
      <c r="G172" s="107" t="n"/>
      <c r="H172" s="107" t="n"/>
      <c r="I172" s="110">
        <f>IF($B172="","",$B172*(IsverenPayiOrani+IssizlikOrani))</f>
        <v/>
      </c>
    </row>
    <row r="173" ht="15" customHeight="1" s="62">
      <c r="A173" s="107" t="n"/>
      <c r="B173" s="108" t="n"/>
      <c r="C173" s="107" t="n"/>
      <c r="D173" s="107" t="n"/>
      <c r="E173" s="107" t="n"/>
      <c r="F173" s="107" t="n"/>
      <c r="G173" s="107" t="n"/>
      <c r="H173" s="107" t="n"/>
      <c r="I173" s="110">
        <f>IF($B173="","",$B173*(IsverenPayiOrani+IssizlikOrani))</f>
        <v/>
      </c>
    </row>
    <row r="174" ht="15" customHeight="1" s="62">
      <c r="A174" s="107" t="n"/>
      <c r="B174" s="108" t="n"/>
      <c r="C174" s="107" t="n"/>
      <c r="D174" s="107" t="n"/>
      <c r="E174" s="107" t="n"/>
      <c r="F174" s="107" t="n"/>
      <c r="G174" s="107" t="n"/>
      <c r="H174" s="107" t="n"/>
      <c r="I174" s="110">
        <f>IF($B174="","",$B174*(IsverenPayiOrani+IssizlikOrani))</f>
        <v/>
      </c>
    </row>
    <row r="175" ht="15" customHeight="1" s="62">
      <c r="A175" s="107" t="n"/>
      <c r="B175" s="108" t="n"/>
      <c r="C175" s="107" t="n"/>
      <c r="D175" s="107" t="n"/>
      <c r="E175" s="107" t="n"/>
      <c r="F175" s="107" t="n"/>
      <c r="G175" s="107" t="n"/>
      <c r="H175" s="107" t="n"/>
      <c r="I175" s="110">
        <f>IF($B175="","",$B175*(IsverenPayiOrani+IssizlikOrani))</f>
        <v/>
      </c>
    </row>
    <row r="176" ht="15" customHeight="1" s="62">
      <c r="A176" s="107" t="n"/>
      <c r="B176" s="108" t="n"/>
      <c r="C176" s="107" t="n"/>
      <c r="D176" s="107" t="n"/>
      <c r="E176" s="107" t="n"/>
      <c r="F176" s="107" t="n"/>
      <c r="G176" s="107" t="n"/>
      <c r="H176" s="107" t="n"/>
      <c r="I176" s="110">
        <f>IF($B176="","",$B176*(IsverenPayiOrani+IssizlikOrani))</f>
        <v/>
      </c>
    </row>
    <row r="177" ht="15" customHeight="1" s="62">
      <c r="A177" s="107" t="n"/>
      <c r="B177" s="108" t="n"/>
      <c r="C177" s="107" t="n"/>
      <c r="D177" s="107" t="n"/>
      <c r="E177" s="107" t="n"/>
      <c r="F177" s="107" t="n"/>
      <c r="G177" s="107" t="n"/>
      <c r="H177" s="107" t="n"/>
      <c r="I177" s="110">
        <f>IF($B177="","",$B177*(IsverenPayiOrani+IssizlikOrani))</f>
        <v/>
      </c>
    </row>
    <row r="178" ht="15" customHeight="1" s="62">
      <c r="A178" s="107" t="n"/>
      <c r="B178" s="108" t="n"/>
      <c r="C178" s="107" t="n"/>
      <c r="D178" s="107" t="n"/>
      <c r="E178" s="107" t="n"/>
      <c r="F178" s="107" t="n"/>
      <c r="G178" s="107" t="n"/>
      <c r="H178" s="107" t="n"/>
      <c r="I178" s="110">
        <f>IF($B178="","",$B178*(IsverenPayiOrani+IssizlikOrani))</f>
        <v/>
      </c>
    </row>
    <row r="179" ht="15" customHeight="1" s="62">
      <c r="A179" s="107" t="n"/>
      <c r="B179" s="108" t="n"/>
      <c r="C179" s="107" t="n"/>
      <c r="D179" s="107" t="n"/>
      <c r="E179" s="107" t="n"/>
      <c r="F179" s="107" t="n"/>
      <c r="G179" s="107" t="n"/>
      <c r="H179" s="107" t="n"/>
      <c r="I179" s="110">
        <f>IF($B179="","",$B179*(IsverenPayiOrani+IssizlikOrani))</f>
        <v/>
      </c>
    </row>
    <row r="180" ht="15" customHeight="1" s="62">
      <c r="A180" s="107" t="n"/>
      <c r="B180" s="108" t="n"/>
      <c r="C180" s="107" t="n"/>
      <c r="D180" s="107" t="n"/>
      <c r="E180" s="107" t="n"/>
      <c r="F180" s="107" t="n"/>
      <c r="G180" s="107" t="n"/>
      <c r="H180" s="107" t="n"/>
      <c r="I180" s="110">
        <f>IF($B180="","",$B180*(IsverenPayiOrani+IssizlikOrani))</f>
        <v/>
      </c>
    </row>
    <row r="181" ht="15" customHeight="1" s="62">
      <c r="A181" s="107" t="n"/>
      <c r="B181" s="108" t="n"/>
      <c r="C181" s="107" t="n"/>
      <c r="D181" s="107" t="n"/>
      <c r="E181" s="107" t="n"/>
      <c r="F181" s="107" t="n"/>
      <c r="G181" s="107" t="n"/>
      <c r="H181" s="107" t="n"/>
      <c r="I181" s="110">
        <f>IF($B181="","",$B181*(IsverenPayiOrani+IssizlikOrani))</f>
        <v/>
      </c>
    </row>
    <row r="182" ht="15" customHeight="1" s="62">
      <c r="A182" s="107" t="n"/>
      <c r="B182" s="108" t="n"/>
      <c r="C182" s="107" t="n"/>
      <c r="D182" s="107" t="n"/>
      <c r="E182" s="107" t="n"/>
      <c r="F182" s="107" t="n"/>
      <c r="G182" s="107" t="n"/>
      <c r="H182" s="107" t="n"/>
      <c r="I182" s="110">
        <f>IF($B182="","",$B182*(IsverenPayiOrani+IssizlikOrani))</f>
        <v/>
      </c>
    </row>
    <row r="183" ht="15" customHeight="1" s="62">
      <c r="A183" s="107" t="n"/>
      <c r="B183" s="108" t="n"/>
      <c r="C183" s="107" t="n"/>
      <c r="D183" s="107" t="n"/>
      <c r="E183" s="107" t="n"/>
      <c r="F183" s="107" t="n"/>
      <c r="G183" s="107" t="n"/>
      <c r="H183" s="107" t="n"/>
      <c r="I183" s="110">
        <f>IF($B183="","",$B183*(IsverenPayiOrani+IssizlikOrani))</f>
        <v/>
      </c>
    </row>
    <row r="184" ht="15" customHeight="1" s="62">
      <c r="A184" s="107" t="n"/>
      <c r="B184" s="108" t="n"/>
      <c r="C184" s="107" t="n"/>
      <c r="D184" s="107" t="n"/>
      <c r="E184" s="107" t="n"/>
      <c r="F184" s="107" t="n"/>
      <c r="G184" s="107" t="n"/>
      <c r="H184" s="107" t="n"/>
      <c r="I184" s="110">
        <f>IF($B184="","",$B184*(IsverenPayiOrani+IssizlikOrani))</f>
        <v/>
      </c>
    </row>
    <row r="185" ht="15" customHeight="1" s="62">
      <c r="A185" s="107" t="n"/>
      <c r="B185" s="108" t="n"/>
      <c r="C185" s="107" t="n"/>
      <c r="D185" s="107" t="n"/>
      <c r="E185" s="107" t="n"/>
      <c r="F185" s="107" t="n"/>
      <c r="G185" s="107" t="n"/>
      <c r="H185" s="107" t="n"/>
      <c r="I185" s="110">
        <f>IF($B185="","",$B185*(IsverenPayiOrani+IssizlikOrani))</f>
        <v/>
      </c>
    </row>
    <row r="186" ht="15" customHeight="1" s="62">
      <c r="A186" s="107" t="n"/>
      <c r="B186" s="108" t="n"/>
      <c r="C186" s="107" t="n"/>
      <c r="D186" s="107" t="n"/>
      <c r="E186" s="107" t="n"/>
      <c r="F186" s="107" t="n"/>
      <c r="G186" s="107" t="n"/>
      <c r="H186" s="107" t="n"/>
      <c r="I186" s="110">
        <f>IF($B186="","",$B186*(IsverenPayiOrani+IssizlikOrani))</f>
        <v/>
      </c>
    </row>
    <row r="187" ht="15" customHeight="1" s="62">
      <c r="A187" s="107" t="n"/>
      <c r="B187" s="108" t="n"/>
      <c r="C187" s="107" t="n"/>
      <c r="D187" s="107" t="n"/>
      <c r="E187" s="107" t="n"/>
      <c r="F187" s="107" t="n"/>
      <c r="G187" s="107" t="n"/>
      <c r="H187" s="107" t="n"/>
      <c r="I187" s="110">
        <f>IF($B187="","",$B187*(IsverenPayiOrani+IssizlikOrani))</f>
        <v/>
      </c>
    </row>
    <row r="188" ht="15" customHeight="1" s="62">
      <c r="A188" s="107" t="n"/>
      <c r="B188" s="108" t="n"/>
      <c r="C188" s="107" t="n"/>
      <c r="D188" s="107" t="n"/>
      <c r="E188" s="107" t="n"/>
      <c r="F188" s="107" t="n"/>
      <c r="G188" s="107" t="n"/>
      <c r="H188" s="107" t="n"/>
      <c r="I188" s="110">
        <f>IF($B188="","",$B188*(IsverenPayiOrani+IssizlikOrani))</f>
        <v/>
      </c>
    </row>
    <row r="189" ht="15" customHeight="1" s="62">
      <c r="A189" s="107" t="n"/>
      <c r="B189" s="108" t="n"/>
      <c r="C189" s="107" t="n"/>
      <c r="D189" s="107" t="n"/>
      <c r="E189" s="107" t="n"/>
      <c r="F189" s="107" t="n"/>
      <c r="G189" s="107" t="n"/>
      <c r="H189" s="107" t="n"/>
      <c r="I189" s="110">
        <f>IF($B189="","",$B189*(IsverenPayiOrani+IssizlikOrani))</f>
        <v/>
      </c>
    </row>
    <row r="190" ht="15" customHeight="1" s="62">
      <c r="A190" s="107" t="n"/>
      <c r="B190" s="108" t="n"/>
      <c r="C190" s="107" t="n"/>
      <c r="D190" s="107" t="n"/>
      <c r="E190" s="107" t="n"/>
      <c r="F190" s="107" t="n"/>
      <c r="G190" s="107" t="n"/>
      <c r="H190" s="107" t="n"/>
      <c r="I190" s="110">
        <f>IF($B190="","",$B190*(IsverenPayiOrani+IssizlikOrani))</f>
        <v/>
      </c>
    </row>
    <row r="191" ht="15" customHeight="1" s="62">
      <c r="A191" s="107" t="n"/>
      <c r="B191" s="108" t="n"/>
      <c r="C191" s="107" t="n"/>
      <c r="D191" s="107" t="n"/>
      <c r="E191" s="107" t="n"/>
      <c r="F191" s="107" t="n"/>
      <c r="G191" s="107" t="n"/>
      <c r="H191" s="107" t="n"/>
      <c r="I191" s="110">
        <f>IF($B191="","",$B191*(IsverenPayiOrani+IssizlikOrani))</f>
        <v/>
      </c>
    </row>
    <row r="192" ht="15" customHeight="1" s="62">
      <c r="A192" s="107" t="n"/>
      <c r="B192" s="108" t="n"/>
      <c r="C192" s="107" t="n"/>
      <c r="D192" s="107" t="n"/>
      <c r="E192" s="107" t="n"/>
      <c r="F192" s="107" t="n"/>
      <c r="G192" s="107" t="n"/>
      <c r="H192" s="107" t="n"/>
      <c r="I192" s="110">
        <f>IF($B192="","",$B192*(IsverenPayiOrani+IssizlikOrani))</f>
        <v/>
      </c>
    </row>
    <row r="193" ht="15" customHeight="1" s="62">
      <c r="A193" s="107" t="n"/>
      <c r="B193" s="108" t="n"/>
      <c r="C193" s="107" t="n"/>
      <c r="D193" s="107" t="n"/>
      <c r="E193" s="107" t="n"/>
      <c r="F193" s="107" t="n"/>
      <c r="G193" s="107" t="n"/>
      <c r="H193" s="107" t="n"/>
      <c r="I193" s="110">
        <f>IF($B193="","",$B193*(IsverenPayiOrani+IssizlikOrani))</f>
        <v/>
      </c>
    </row>
    <row r="194" ht="15" customHeight="1" s="62">
      <c r="A194" s="107" t="n"/>
      <c r="B194" s="108" t="n"/>
      <c r="C194" s="107" t="n"/>
      <c r="D194" s="107" t="n"/>
      <c r="E194" s="107" t="n"/>
      <c r="F194" s="107" t="n"/>
      <c r="G194" s="107" t="n"/>
      <c r="H194" s="107" t="n"/>
      <c r="I194" s="110">
        <f>IF($B194="","",$B194*(IsverenPayiOrani+IssizlikOrani))</f>
        <v/>
      </c>
    </row>
    <row r="195" ht="15" customHeight="1" s="62">
      <c r="A195" s="107" t="n"/>
      <c r="B195" s="108" t="n"/>
      <c r="C195" s="107" t="n"/>
      <c r="D195" s="107" t="n"/>
      <c r="E195" s="107" t="n"/>
      <c r="F195" s="107" t="n"/>
      <c r="G195" s="107" t="n"/>
      <c r="H195" s="107" t="n"/>
      <c r="I195" s="110">
        <f>IF($B195="","",$B195*(IsverenPayiOrani+IssizlikOrani))</f>
        <v/>
      </c>
    </row>
    <row r="196" ht="15" customHeight="1" s="62">
      <c r="A196" s="107" t="n"/>
      <c r="B196" s="108" t="n"/>
      <c r="C196" s="107" t="n"/>
      <c r="D196" s="107" t="n"/>
      <c r="E196" s="107" t="n"/>
      <c r="F196" s="107" t="n"/>
      <c r="G196" s="107" t="n"/>
      <c r="H196" s="107" t="n"/>
      <c r="I196" s="110">
        <f>IF($B196="","",$B196*(IsverenPayiOrani+IssizlikOrani))</f>
        <v/>
      </c>
    </row>
    <row r="197" ht="15" customHeight="1" s="62">
      <c r="A197" s="107" t="n"/>
      <c r="B197" s="108" t="n"/>
      <c r="C197" s="107" t="n"/>
      <c r="D197" s="107" t="n"/>
      <c r="E197" s="107" t="n"/>
      <c r="F197" s="107" t="n"/>
      <c r="G197" s="107" t="n"/>
      <c r="H197" s="107" t="n"/>
      <c r="I197" s="110">
        <f>IF($B197="","",$B197*(IsverenPayiOrani+IssizlikOrani))</f>
        <v/>
      </c>
    </row>
    <row r="198" ht="15" customHeight="1" s="62">
      <c r="A198" s="107" t="n"/>
      <c r="B198" s="108" t="n"/>
      <c r="C198" s="107" t="n"/>
      <c r="D198" s="107" t="n"/>
      <c r="E198" s="107" t="n"/>
      <c r="F198" s="107" t="n"/>
      <c r="G198" s="107" t="n"/>
      <c r="H198" s="107" t="n"/>
      <c r="I198" s="110">
        <f>IF($B198="","",$B198*(IsverenPayiOrani+IssizlikOrani))</f>
        <v/>
      </c>
    </row>
    <row r="199" ht="15" customHeight="1" s="62">
      <c r="A199" s="107" t="n"/>
      <c r="B199" s="108" t="n"/>
      <c r="C199" s="107" t="n"/>
      <c r="D199" s="107" t="n"/>
      <c r="E199" s="107" t="n"/>
      <c r="F199" s="107" t="n"/>
      <c r="G199" s="107" t="n"/>
      <c r="H199" s="107" t="n"/>
      <c r="I199" s="110">
        <f>IF($B199="","",$B199*(IsverenPayiOrani+IssizlikOrani))</f>
        <v/>
      </c>
    </row>
    <row r="200" ht="15" customHeight="1" s="62">
      <c r="A200" s="107" t="n"/>
      <c r="B200" s="108" t="n"/>
      <c r="C200" s="107" t="n"/>
      <c r="D200" s="107" t="n"/>
      <c r="E200" s="107" t="n"/>
      <c r="F200" s="107" t="n"/>
      <c r="G200" s="107" t="n"/>
      <c r="H200" s="107" t="n"/>
      <c r="I200" s="110">
        <f>IF($B200="","",$B200*(IsverenPayiOrani+IssizlikOrani))</f>
        <v/>
      </c>
    </row>
    <row r="201" ht="15" customHeight="1" s="62">
      <c r="A201" s="107" t="n"/>
      <c r="B201" s="108" t="n"/>
      <c r="C201" s="107" t="n"/>
      <c r="D201" s="107" t="n"/>
      <c r="E201" s="107" t="n"/>
      <c r="F201" s="107" t="n"/>
      <c r="G201" s="107" t="n"/>
      <c r="H201" s="107" t="n"/>
      <c r="I201" s="110">
        <f>IF($B201="","",$B201*(IsverenPayiOrani+IssizlikOrani))</f>
        <v/>
      </c>
    </row>
    <row r="202" ht="15" customHeight="1" s="62">
      <c r="A202" s="107" t="n"/>
      <c r="B202" s="108" t="n"/>
      <c r="C202" s="107" t="n"/>
      <c r="D202" s="107" t="n"/>
      <c r="E202" s="107" t="n"/>
      <c r="F202" s="107" t="n"/>
      <c r="G202" s="107" t="n"/>
      <c r="H202" s="107" t="n"/>
      <c r="I202" s="110">
        <f>IF($B202="","",$B202*(IsverenPayiOrani+IssizlikOrani))</f>
        <v/>
      </c>
    </row>
    <row r="203" ht="15" customHeight="1" s="62">
      <c r="A203" s="107" t="n"/>
      <c r="B203" s="108" t="n"/>
      <c r="C203" s="107" t="n"/>
      <c r="D203" s="107" t="n"/>
      <c r="E203" s="107" t="n"/>
      <c r="F203" s="107" t="n"/>
      <c r="G203" s="107" t="n"/>
      <c r="H203" s="107" t="n"/>
      <c r="I203" s="110">
        <f>IF($B203="","",$B203*(IsverenPayiOrani+IssizlikOrani))</f>
        <v/>
      </c>
    </row>
    <row r="204" ht="15" customHeight="1" s="62">
      <c r="A204" s="107" t="n"/>
      <c r="B204" s="108" t="n"/>
      <c r="C204" s="107" t="n"/>
      <c r="D204" s="107" t="n"/>
      <c r="E204" s="107" t="n"/>
      <c r="F204" s="107" t="n"/>
      <c r="G204" s="107" t="n"/>
      <c r="H204" s="107" t="n"/>
      <c r="I204" s="110">
        <f>IF($B204="","",$B204*(IsverenPayiOrani+IssizlikOrani))</f>
        <v/>
      </c>
    </row>
    <row r="205" ht="15" customHeight="1" s="62">
      <c r="A205" s="107" t="n"/>
      <c r="B205" s="108" t="n"/>
      <c r="C205" s="107" t="n"/>
      <c r="D205" s="107" t="n"/>
      <c r="E205" s="107" t="n"/>
      <c r="F205" s="107" t="n"/>
      <c r="G205" s="107" t="n"/>
      <c r="H205" s="107" t="n"/>
      <c r="I205" s="110">
        <f>IF($B205="","",$B205*(IsverenPayiOrani+IssizlikOrani))</f>
        <v/>
      </c>
    </row>
    <row r="206" ht="15" customHeight="1" s="62">
      <c r="A206" s="107" t="n"/>
      <c r="B206" s="108" t="n"/>
      <c r="C206" s="107" t="n"/>
      <c r="D206" s="107" t="n"/>
      <c r="E206" s="107" t="n"/>
      <c r="F206" s="107" t="n"/>
      <c r="G206" s="107" t="n"/>
      <c r="H206" s="107" t="n"/>
      <c r="I206" s="110">
        <f>IF($B206="","",$B206*(IsverenPayiOrani+IssizlikOrani))</f>
        <v/>
      </c>
    </row>
    <row r="207" ht="15" customHeight="1" s="62">
      <c r="A207" s="107" t="n"/>
      <c r="B207" s="108" t="n"/>
      <c r="C207" s="107" t="n"/>
      <c r="D207" s="107" t="n"/>
      <c r="E207" s="107" t="n"/>
      <c r="F207" s="107" t="n"/>
      <c r="G207" s="107" t="n"/>
      <c r="H207" s="107" t="n"/>
      <c r="I207" s="110">
        <f>IF($B207="","",$B207*(IsverenPayiOrani+IssizlikOrani))</f>
        <v/>
      </c>
    </row>
    <row r="208" ht="15" customHeight="1" s="62">
      <c r="A208" s="107" t="n"/>
      <c r="B208" s="108" t="n"/>
      <c r="C208" s="107" t="n"/>
      <c r="D208" s="107" t="n"/>
      <c r="E208" s="107" t="n"/>
      <c r="F208" s="107" t="n"/>
      <c r="G208" s="107" t="n"/>
      <c r="H208" s="107" t="n"/>
      <c r="I208" s="110">
        <f>IF($B208="","",$B208*(IsverenPayiOrani+IssizlikOrani))</f>
        <v/>
      </c>
    </row>
    <row r="209" ht="15" customHeight="1" s="62">
      <c r="A209" s="107" t="n"/>
      <c r="B209" s="108" t="n"/>
      <c r="C209" s="107" t="n"/>
      <c r="D209" s="107" t="n"/>
      <c r="E209" s="107" t="n"/>
      <c r="F209" s="107" t="n"/>
      <c r="G209" s="107" t="n"/>
      <c r="H209" s="107" t="n"/>
      <c r="I209" s="110">
        <f>IF($B209="","",$B209*(IsverenPayiOrani+IssizlikOrani))</f>
        <v/>
      </c>
    </row>
    <row r="210" ht="15" customHeight="1" s="62">
      <c r="A210" s="107" t="n"/>
      <c r="B210" s="108" t="n"/>
      <c r="C210" s="107" t="n"/>
      <c r="D210" s="107" t="n"/>
      <c r="E210" s="107" t="n"/>
      <c r="F210" s="107" t="n"/>
      <c r="G210" s="107" t="n"/>
      <c r="H210" s="107" t="n"/>
      <c r="I210" s="110">
        <f>IF($B210="","",$B210*(IsverenPayiOrani+IssizlikOrani))</f>
        <v/>
      </c>
    </row>
    <row r="211" ht="15" customHeight="1" s="62">
      <c r="A211" s="107" t="n"/>
      <c r="B211" s="108" t="n"/>
      <c r="C211" s="107" t="n"/>
      <c r="D211" s="107" t="n"/>
      <c r="E211" s="107" t="n"/>
      <c r="F211" s="107" t="n"/>
      <c r="G211" s="107" t="n"/>
      <c r="H211" s="107" t="n"/>
      <c r="I211" s="110">
        <f>IF($B211="","",$B211*(IsverenPayiOrani+IssizlikOrani))</f>
        <v/>
      </c>
    </row>
    <row r="212" ht="15" customHeight="1" s="62">
      <c r="A212" s="107" t="n"/>
      <c r="B212" s="108" t="n"/>
      <c r="C212" s="107" t="n"/>
      <c r="D212" s="107" t="n"/>
      <c r="E212" s="107" t="n"/>
      <c r="F212" s="107" t="n"/>
      <c r="G212" s="107" t="n"/>
      <c r="H212" s="107" t="n"/>
      <c r="I212" s="110">
        <f>IF($B212="","",$B212*(IsverenPayiOrani+IssizlikOrani))</f>
        <v/>
      </c>
    </row>
    <row r="213" ht="15" customHeight="1" s="62">
      <c r="A213" s="107" t="n"/>
      <c r="B213" s="108" t="n"/>
      <c r="C213" s="107" t="n"/>
      <c r="D213" s="107" t="n"/>
      <c r="E213" s="107" t="n"/>
      <c r="F213" s="107" t="n"/>
      <c r="G213" s="107" t="n"/>
      <c r="H213" s="107" t="n"/>
      <c r="I213" s="110">
        <f>IF($B213="","",$B213*(IsverenPayiOrani+IssizlikOrani))</f>
        <v/>
      </c>
    </row>
    <row r="214" ht="15" customHeight="1" s="62">
      <c r="A214" s="107" t="n"/>
      <c r="B214" s="108" t="n"/>
      <c r="C214" s="107" t="n"/>
      <c r="D214" s="107" t="n"/>
      <c r="E214" s="107" t="n"/>
      <c r="F214" s="107" t="n"/>
      <c r="G214" s="107" t="n"/>
      <c r="H214" s="107" t="n"/>
      <c r="I214" s="110">
        <f>IF($B214="","",$B214*(IsverenPayiOrani+IssizlikOrani))</f>
        <v/>
      </c>
    </row>
    <row r="215" ht="15" customHeight="1" s="62">
      <c r="A215" s="107" t="n"/>
      <c r="B215" s="108" t="n"/>
      <c r="C215" s="107" t="n"/>
      <c r="D215" s="107" t="n"/>
      <c r="E215" s="107" t="n"/>
      <c r="F215" s="107" t="n"/>
      <c r="G215" s="107" t="n"/>
      <c r="H215" s="107" t="n"/>
      <c r="I215" s="110">
        <f>IF($B215="","",$B215*(IsverenPayiOrani+IssizlikOrani))</f>
        <v/>
      </c>
    </row>
    <row r="216" ht="15" customHeight="1" s="62">
      <c r="A216" s="107" t="n"/>
      <c r="B216" s="108" t="n"/>
      <c r="C216" s="107" t="n"/>
      <c r="D216" s="107" t="n"/>
      <c r="E216" s="107" t="n"/>
      <c r="F216" s="107" t="n"/>
      <c r="G216" s="107" t="n"/>
      <c r="H216" s="107" t="n"/>
      <c r="I216" s="110">
        <f>IF($B216="","",$B216*(IsverenPayiOrani+IssizlikOrani))</f>
        <v/>
      </c>
    </row>
    <row r="217" ht="15" customHeight="1" s="62">
      <c r="A217" s="107" t="n"/>
      <c r="B217" s="108" t="n"/>
      <c r="C217" s="107" t="n"/>
      <c r="D217" s="107" t="n"/>
      <c r="E217" s="107" t="n"/>
      <c r="F217" s="107" t="n"/>
      <c r="G217" s="107" t="n"/>
      <c r="H217" s="107" t="n"/>
      <c r="I217" s="110">
        <f>IF($B217="","",$B217*(IsverenPayiOrani+IssizlikOrani))</f>
        <v/>
      </c>
    </row>
    <row r="218" ht="15" customHeight="1" s="62">
      <c r="A218" s="107" t="n"/>
      <c r="B218" s="108" t="n"/>
      <c r="C218" s="107" t="n"/>
      <c r="D218" s="107" t="n"/>
      <c r="E218" s="107" t="n"/>
      <c r="F218" s="107" t="n"/>
      <c r="G218" s="107" t="n"/>
      <c r="H218" s="107" t="n"/>
      <c r="I218" s="110">
        <f>IF($B218="","",$B218*(IsverenPayiOrani+IssizlikOrani))</f>
        <v/>
      </c>
    </row>
    <row r="219" ht="15" customHeight="1" s="62">
      <c r="A219" s="107" t="n"/>
      <c r="B219" s="108" t="n"/>
      <c r="C219" s="107" t="n"/>
      <c r="D219" s="107" t="n"/>
      <c r="E219" s="107" t="n"/>
      <c r="F219" s="107" t="n"/>
      <c r="G219" s="107" t="n"/>
      <c r="H219" s="107" t="n"/>
      <c r="I219" s="110">
        <f>IF($B219="","",$B219*(IsverenPayiOrani+IssizlikOrani))</f>
        <v/>
      </c>
    </row>
    <row r="220" ht="15" customHeight="1" s="62">
      <c r="A220" s="107" t="n"/>
      <c r="B220" s="108" t="n"/>
      <c r="C220" s="107" t="n"/>
      <c r="D220" s="107" t="n"/>
      <c r="E220" s="107" t="n"/>
      <c r="F220" s="107" t="n"/>
      <c r="G220" s="107" t="n"/>
      <c r="H220" s="107" t="n"/>
      <c r="I220" s="110">
        <f>IF($B220="","",$B220*(IsverenPayiOrani+IssizlikOrani))</f>
        <v/>
      </c>
    </row>
    <row r="221" ht="15" customHeight="1" s="62">
      <c r="A221" s="107" t="n"/>
      <c r="B221" s="108" t="n"/>
      <c r="C221" s="107" t="n"/>
      <c r="D221" s="107" t="n"/>
      <c r="E221" s="107" t="n"/>
      <c r="F221" s="107" t="n"/>
      <c r="G221" s="107" t="n"/>
      <c r="H221" s="107" t="n"/>
      <c r="I221" s="110">
        <f>IF($B221="","",$B221*(IsverenPayiOrani+IssizlikOrani))</f>
        <v/>
      </c>
    </row>
    <row r="222" ht="15" customHeight="1" s="62">
      <c r="A222" s="107" t="n"/>
      <c r="B222" s="108" t="n"/>
      <c r="C222" s="107" t="n"/>
      <c r="D222" s="107" t="n"/>
      <c r="E222" s="107" t="n"/>
      <c r="F222" s="107" t="n"/>
      <c r="G222" s="107" t="n"/>
      <c r="H222" s="107" t="n"/>
      <c r="I222" s="110">
        <f>IF($B222="","",$B222*(IsverenPayiOrani+IssizlikOrani))</f>
        <v/>
      </c>
    </row>
    <row r="223" ht="15" customHeight="1" s="62">
      <c r="A223" s="107" t="n"/>
      <c r="B223" s="108" t="n"/>
      <c r="C223" s="107" t="n"/>
      <c r="D223" s="107" t="n"/>
      <c r="E223" s="107" t="n"/>
      <c r="F223" s="107" t="n"/>
      <c r="G223" s="107" t="n"/>
      <c r="H223" s="107" t="n"/>
      <c r="I223" s="110">
        <f>IF($B223="","",$B223*(IsverenPayiOrani+IssizlikOrani))</f>
        <v/>
      </c>
    </row>
    <row r="224" ht="15" customHeight="1" s="62">
      <c r="A224" s="107" t="n"/>
      <c r="B224" s="108" t="n"/>
      <c r="C224" s="107" t="n"/>
      <c r="D224" s="107" t="n"/>
      <c r="E224" s="107" t="n"/>
      <c r="F224" s="107" t="n"/>
      <c r="G224" s="107" t="n"/>
      <c r="H224" s="107" t="n"/>
      <c r="I224" s="110">
        <f>IF($B224="","",$B224*(IsverenPayiOrani+IssizlikOrani))</f>
        <v/>
      </c>
    </row>
    <row r="225" ht="15" customHeight="1" s="62">
      <c r="A225" s="107" t="n"/>
      <c r="B225" s="108" t="n"/>
      <c r="C225" s="107" t="n"/>
      <c r="D225" s="107" t="n"/>
      <c r="E225" s="107" t="n"/>
      <c r="F225" s="107" t="n"/>
      <c r="G225" s="107" t="n"/>
      <c r="H225" s="107" t="n"/>
      <c r="I225" s="110">
        <f>IF($B225="","",$B225*(IsverenPayiOrani+IssizlikOrani))</f>
        <v/>
      </c>
    </row>
    <row r="226" ht="15" customHeight="1" s="62">
      <c r="A226" s="107" t="n"/>
      <c r="B226" s="108" t="n"/>
      <c r="C226" s="107" t="n"/>
      <c r="D226" s="107" t="n"/>
      <c r="E226" s="107" t="n"/>
      <c r="F226" s="107" t="n"/>
      <c r="G226" s="107" t="n"/>
      <c r="H226" s="107" t="n"/>
      <c r="I226" s="110">
        <f>IF($B226="","",$B226*(IsverenPayiOrani+IssizlikOrani))</f>
        <v/>
      </c>
    </row>
    <row r="227" ht="15" customHeight="1" s="62">
      <c r="A227" s="107" t="n"/>
      <c r="B227" s="108" t="n"/>
      <c r="C227" s="107" t="n"/>
      <c r="D227" s="107" t="n"/>
      <c r="E227" s="107" t="n"/>
      <c r="F227" s="107" t="n"/>
      <c r="G227" s="107" t="n"/>
      <c r="H227" s="107" t="n"/>
      <c r="I227" s="110">
        <f>IF($B227="","",$B227*(IsverenPayiOrani+IssizlikOrani))</f>
        <v/>
      </c>
    </row>
    <row r="228" ht="15" customHeight="1" s="62">
      <c r="A228" s="107" t="n"/>
      <c r="B228" s="108" t="n"/>
      <c r="C228" s="107" t="n"/>
      <c r="D228" s="107" t="n"/>
      <c r="E228" s="107" t="n"/>
      <c r="F228" s="107" t="n"/>
      <c r="G228" s="107" t="n"/>
      <c r="H228" s="107" t="n"/>
      <c r="I228" s="110">
        <f>IF($B228="","",$B228*(IsverenPayiOrani+IssizlikOrani))</f>
        <v/>
      </c>
    </row>
    <row r="229" ht="15" customHeight="1" s="62">
      <c r="A229" s="107" t="n"/>
      <c r="B229" s="108" t="n"/>
      <c r="C229" s="107" t="n"/>
      <c r="D229" s="107" t="n"/>
      <c r="E229" s="107" t="n"/>
      <c r="F229" s="107" t="n"/>
      <c r="G229" s="107" t="n"/>
      <c r="H229" s="107" t="n"/>
      <c r="I229" s="110">
        <f>IF($B229="","",$B229*(IsverenPayiOrani+IssizlikOrani))</f>
        <v/>
      </c>
    </row>
    <row r="230" ht="15" customHeight="1" s="62">
      <c r="A230" s="107" t="n"/>
      <c r="B230" s="108" t="n"/>
      <c r="C230" s="107" t="n"/>
      <c r="D230" s="107" t="n"/>
      <c r="E230" s="107" t="n"/>
      <c r="F230" s="107" t="n"/>
      <c r="G230" s="107" t="n"/>
      <c r="H230" s="107" t="n"/>
      <c r="I230" s="110">
        <f>IF($B230="","",$B230*(IsverenPayiOrani+IssizlikOrani))</f>
        <v/>
      </c>
    </row>
    <row r="231" ht="15" customHeight="1" s="62">
      <c r="A231" s="107" t="n"/>
      <c r="B231" s="108" t="n"/>
      <c r="C231" s="107" t="n"/>
      <c r="D231" s="107" t="n"/>
      <c r="E231" s="107" t="n"/>
      <c r="F231" s="107" t="n"/>
      <c r="G231" s="107" t="n"/>
      <c r="H231" s="107" t="n"/>
      <c r="I231" s="110">
        <f>IF($B231="","",$B231*(IsverenPayiOrani+IssizlikOrani))</f>
        <v/>
      </c>
    </row>
    <row r="232" ht="15" customHeight="1" s="62">
      <c r="A232" s="107" t="n"/>
      <c r="B232" s="108" t="n"/>
      <c r="C232" s="107" t="n"/>
      <c r="D232" s="107" t="n"/>
      <c r="E232" s="107" t="n"/>
      <c r="F232" s="107" t="n"/>
      <c r="G232" s="107" t="n"/>
      <c r="H232" s="107" t="n"/>
      <c r="I232" s="110">
        <f>IF($B232="","",$B232*(IsverenPayiOrani+IssizlikOrani))</f>
        <v/>
      </c>
    </row>
    <row r="233" ht="15" customHeight="1" s="62">
      <c r="A233" s="107" t="n"/>
      <c r="B233" s="108" t="n"/>
      <c r="C233" s="107" t="n"/>
      <c r="D233" s="107" t="n"/>
      <c r="E233" s="107" t="n"/>
      <c r="F233" s="107" t="n"/>
      <c r="G233" s="107" t="n"/>
      <c r="H233" s="107" t="n"/>
      <c r="I233" s="110">
        <f>IF($B233="","",$B233*(IsverenPayiOrani+IssizlikOrani))</f>
        <v/>
      </c>
    </row>
    <row r="234" ht="15" customHeight="1" s="62">
      <c r="A234" s="107" t="n"/>
      <c r="B234" s="108" t="n"/>
      <c r="C234" s="107" t="n"/>
      <c r="D234" s="107" t="n"/>
      <c r="E234" s="107" t="n"/>
      <c r="F234" s="107" t="n"/>
      <c r="G234" s="107" t="n"/>
      <c r="H234" s="107" t="n"/>
      <c r="I234" s="110">
        <f>IF($B234="","",$B234*(IsverenPayiOrani+IssizlikOrani))</f>
        <v/>
      </c>
    </row>
    <row r="235" ht="15" customHeight="1" s="62">
      <c r="A235" s="107" t="n"/>
      <c r="B235" s="108" t="n"/>
      <c r="C235" s="107" t="n"/>
      <c r="D235" s="107" t="n"/>
      <c r="E235" s="107" t="n"/>
      <c r="F235" s="107" t="n"/>
      <c r="G235" s="107" t="n"/>
      <c r="H235" s="107" t="n"/>
      <c r="I235" s="110">
        <f>IF($B235="","",$B235*(IsverenPayiOrani+IssizlikOrani))</f>
        <v/>
      </c>
    </row>
    <row r="236" ht="15" customHeight="1" s="62">
      <c r="A236" s="107" t="n"/>
      <c r="B236" s="108" t="n"/>
      <c r="C236" s="107" t="n"/>
      <c r="D236" s="107" t="n"/>
      <c r="E236" s="107" t="n"/>
      <c r="F236" s="107" t="n"/>
      <c r="G236" s="107" t="n"/>
      <c r="H236" s="107" t="n"/>
      <c r="I236" s="110">
        <f>IF($B236="","",$B236*(IsverenPayiOrani+IssizlikOrani))</f>
        <v/>
      </c>
    </row>
    <row r="237" ht="15" customHeight="1" s="62">
      <c r="A237" s="107" t="n"/>
      <c r="B237" s="108" t="n"/>
      <c r="C237" s="107" t="n"/>
      <c r="D237" s="107" t="n"/>
      <c r="E237" s="107" t="n"/>
      <c r="F237" s="107" t="n"/>
      <c r="G237" s="107" t="n"/>
      <c r="H237" s="107" t="n"/>
      <c r="I237" s="110">
        <f>IF($B237="","",$B237*(IsverenPayiOrani+IssizlikOrani))</f>
        <v/>
      </c>
    </row>
    <row r="238" ht="15" customHeight="1" s="62">
      <c r="A238" s="107" t="n"/>
      <c r="B238" s="108" t="n"/>
      <c r="C238" s="107" t="n"/>
      <c r="D238" s="107" t="n"/>
      <c r="E238" s="107" t="n"/>
      <c r="F238" s="107" t="n"/>
      <c r="G238" s="107" t="n"/>
      <c r="H238" s="107" t="n"/>
      <c r="I238" s="110">
        <f>IF($B238="","",$B238*(IsverenPayiOrani+IssizlikOrani))</f>
        <v/>
      </c>
    </row>
    <row r="239" ht="15" customHeight="1" s="62">
      <c r="A239" s="107" t="n"/>
      <c r="B239" s="108" t="n"/>
      <c r="C239" s="107" t="n"/>
      <c r="D239" s="107" t="n"/>
      <c r="E239" s="107" t="n"/>
      <c r="F239" s="107" t="n"/>
      <c r="G239" s="107" t="n"/>
      <c r="H239" s="107" t="n"/>
      <c r="I239" s="110">
        <f>IF($B239="","",$B239*(IsverenPayiOrani+IssizlikOrani))</f>
        <v/>
      </c>
    </row>
    <row r="240" ht="15" customHeight="1" s="62">
      <c r="A240" s="107" t="n"/>
      <c r="B240" s="108" t="n"/>
      <c r="C240" s="107" t="n"/>
      <c r="D240" s="107" t="n"/>
      <c r="E240" s="107" t="n"/>
      <c r="F240" s="107" t="n"/>
      <c r="G240" s="107" t="n"/>
      <c r="H240" s="107" t="n"/>
      <c r="I240" s="110">
        <f>IF($B240="","",$B240*(IsverenPayiOrani+IssizlikOrani))</f>
        <v/>
      </c>
    </row>
    <row r="241" ht="15" customHeight="1" s="62">
      <c r="A241" s="107" t="n"/>
      <c r="B241" s="108" t="n"/>
      <c r="C241" s="107" t="n"/>
      <c r="D241" s="107" t="n"/>
      <c r="E241" s="107" t="n"/>
      <c r="F241" s="107" t="n"/>
      <c r="G241" s="107" t="n"/>
      <c r="H241" s="107" t="n"/>
      <c r="I241" s="110">
        <f>IF($B241="","",$B241*(IsverenPayiOrani+IssizlikOrani))</f>
        <v/>
      </c>
    </row>
    <row r="242" ht="15" customHeight="1" s="62">
      <c r="A242" s="107" t="n"/>
      <c r="B242" s="108" t="n"/>
      <c r="C242" s="107" t="n"/>
      <c r="D242" s="107" t="n"/>
      <c r="E242" s="107" t="n"/>
      <c r="F242" s="107" t="n"/>
      <c r="G242" s="107" t="n"/>
      <c r="H242" s="107" t="n"/>
      <c r="I242" s="110">
        <f>IF($B242="","",$B242*(IsverenPayiOrani+IssizlikOrani))</f>
        <v/>
      </c>
    </row>
    <row r="243" ht="15" customHeight="1" s="62">
      <c r="A243" s="107" t="n"/>
      <c r="B243" s="108" t="n"/>
      <c r="C243" s="107" t="n"/>
      <c r="D243" s="107" t="n"/>
      <c r="E243" s="107" t="n"/>
      <c r="F243" s="107" t="n"/>
      <c r="G243" s="107" t="n"/>
      <c r="H243" s="107" t="n"/>
      <c r="I243" s="110">
        <f>IF($B243="","",$B243*(IsverenPayiOrani+IssizlikOrani))</f>
        <v/>
      </c>
    </row>
    <row r="244" ht="15" customHeight="1" s="62">
      <c r="A244" s="107" t="n"/>
      <c r="B244" s="108" t="n"/>
      <c r="C244" s="107" t="n"/>
      <c r="D244" s="107" t="n"/>
      <c r="E244" s="107" t="n"/>
      <c r="F244" s="107" t="n"/>
      <c r="G244" s="107" t="n"/>
      <c r="H244" s="107" t="n"/>
      <c r="I244" s="110">
        <f>IF($B244="","",$B244*(IsverenPayiOrani+IssizlikOrani))</f>
        <v/>
      </c>
    </row>
    <row r="245" ht="15" customHeight="1" s="62">
      <c r="A245" s="107" t="n"/>
      <c r="B245" s="108" t="n"/>
      <c r="C245" s="107" t="n"/>
      <c r="D245" s="107" t="n"/>
      <c r="E245" s="107" t="n"/>
      <c r="F245" s="107" t="n"/>
      <c r="G245" s="107" t="n"/>
      <c r="H245" s="107" t="n"/>
      <c r="I245" s="110">
        <f>IF($B245="","",$B245*(IsverenPayiOrani+IssizlikOrani))</f>
        <v/>
      </c>
    </row>
    <row r="246" ht="15" customHeight="1" s="62">
      <c r="A246" s="107" t="n"/>
      <c r="B246" s="108" t="n"/>
      <c r="C246" s="107" t="n"/>
      <c r="D246" s="107" t="n"/>
      <c r="E246" s="107" t="n"/>
      <c r="F246" s="107" t="n"/>
      <c r="G246" s="107" t="n"/>
      <c r="H246" s="107" t="n"/>
      <c r="I246" s="110">
        <f>IF($B246="","",$B246*(IsverenPayiOrani+IssizlikOrani))</f>
        <v/>
      </c>
    </row>
    <row r="247" ht="15" customHeight="1" s="62">
      <c r="A247" s="107" t="n"/>
      <c r="B247" s="108" t="n"/>
      <c r="C247" s="107" t="n"/>
      <c r="D247" s="107" t="n"/>
      <c r="E247" s="107" t="n"/>
      <c r="F247" s="107" t="n"/>
      <c r="G247" s="107" t="n"/>
      <c r="H247" s="107" t="n"/>
      <c r="I247" s="110">
        <f>IF($B247="","",$B247*(IsverenPayiOrani+IssizlikOrani))</f>
        <v/>
      </c>
    </row>
    <row r="248" ht="15" customHeight="1" s="62">
      <c r="A248" s="107" t="n"/>
      <c r="B248" s="108" t="n"/>
      <c r="C248" s="107" t="n"/>
      <c r="D248" s="107" t="n"/>
      <c r="E248" s="107" t="n"/>
      <c r="F248" s="107" t="n"/>
      <c r="G248" s="107" t="n"/>
      <c r="H248" s="107" t="n"/>
      <c r="I248" s="110">
        <f>IF($B248="","",$B248*(IsverenPayiOrani+IssizlikOrani))</f>
        <v/>
      </c>
    </row>
    <row r="249" ht="15" customHeight="1" s="62">
      <c r="A249" s="107" t="n"/>
      <c r="B249" s="108" t="n"/>
      <c r="C249" s="107" t="n"/>
      <c r="D249" s="107" t="n"/>
      <c r="E249" s="107" t="n"/>
      <c r="F249" s="107" t="n"/>
      <c r="G249" s="107" t="n"/>
      <c r="H249" s="107" t="n"/>
      <c r="I249" s="110">
        <f>IF($B249="","",$B249*(IsverenPayiOrani+IssizlikOrani))</f>
        <v/>
      </c>
    </row>
    <row r="250" ht="15" customHeight="1" s="62">
      <c r="A250" s="107" t="n"/>
      <c r="B250" s="108" t="n"/>
      <c r="C250" s="107" t="n"/>
      <c r="D250" s="107" t="n"/>
      <c r="E250" s="107" t="n"/>
      <c r="F250" s="107" t="n"/>
      <c r="G250" s="107" t="n"/>
      <c r="H250" s="107" t="n"/>
      <c r="I250" s="110">
        <f>IF($B250="","",$B250*(IsverenPayiOrani+IssizlikOrani))</f>
        <v/>
      </c>
    </row>
    <row r="251" ht="15" customHeight="1" s="62">
      <c r="A251" s="107" t="n"/>
      <c r="B251" s="108" t="n"/>
      <c r="C251" s="107" t="n"/>
      <c r="D251" s="107" t="n"/>
      <c r="E251" s="107" t="n"/>
      <c r="F251" s="107" t="n"/>
      <c r="G251" s="107" t="n"/>
      <c r="H251" s="107" t="n"/>
      <c r="I251" s="110">
        <f>IF($B251="","",$B251*(IsverenPayiOrani+IssizlikOrani))</f>
        <v/>
      </c>
    </row>
    <row r="252" ht="15" customHeight="1" s="62">
      <c r="A252" s="107" t="n"/>
      <c r="B252" s="108" t="n"/>
      <c r="C252" s="107" t="n"/>
      <c r="D252" s="107" t="n"/>
      <c r="E252" s="107" t="n"/>
      <c r="F252" s="107" t="n"/>
      <c r="G252" s="107" t="n"/>
      <c r="H252" s="107" t="n"/>
      <c r="I252" s="110">
        <f>IF($B252="","",$B252*(IsverenPayiOrani+IssizlikOrani))</f>
        <v/>
      </c>
    </row>
    <row r="253" ht="15" customHeight="1" s="62">
      <c r="A253" s="107" t="n"/>
      <c r="B253" s="108" t="n"/>
      <c r="C253" s="107" t="n"/>
      <c r="D253" s="107" t="n"/>
      <c r="E253" s="107" t="n"/>
      <c r="F253" s="107" t="n"/>
      <c r="G253" s="107" t="n"/>
      <c r="H253" s="107" t="n"/>
      <c r="I253" s="110">
        <f>IF($B253="","",$B253*(IsverenPayiOrani+IssizlikOrani))</f>
        <v/>
      </c>
    </row>
    <row r="254" ht="15" customHeight="1" s="62">
      <c r="A254" s="107" t="n"/>
      <c r="B254" s="108" t="n"/>
      <c r="C254" s="107" t="n"/>
      <c r="D254" s="107" t="n"/>
      <c r="E254" s="107" t="n"/>
      <c r="F254" s="107" t="n"/>
      <c r="G254" s="107" t="n"/>
      <c r="H254" s="107" t="n"/>
      <c r="I254" s="110">
        <f>IF($B254="","",$B254*(IsverenPayiOrani+IssizlikOrani))</f>
        <v/>
      </c>
    </row>
    <row r="255" ht="15" customHeight="1" s="62">
      <c r="A255" s="107" t="n"/>
      <c r="B255" s="108" t="n"/>
      <c r="C255" s="107" t="n"/>
      <c r="D255" s="107" t="n"/>
      <c r="E255" s="107" t="n"/>
      <c r="F255" s="107" t="n"/>
      <c r="G255" s="107" t="n"/>
      <c r="H255" s="107" t="n"/>
      <c r="I255" s="110">
        <f>IF($B255="","",$B255*(IsverenPayiOrani+IssizlikOrani))</f>
        <v/>
      </c>
    </row>
    <row r="256" ht="15" customHeight="1" s="62">
      <c r="A256" s="107" t="n"/>
      <c r="B256" s="108" t="n"/>
      <c r="C256" s="107" t="n"/>
      <c r="D256" s="107" t="n"/>
      <c r="E256" s="107" t="n"/>
      <c r="F256" s="107" t="n"/>
      <c r="G256" s="107" t="n"/>
      <c r="H256" s="107" t="n"/>
      <c r="I256" s="110">
        <f>IF($B256="","",$B256*(IsverenPayiOrani+IssizlikOrani))</f>
        <v/>
      </c>
    </row>
    <row r="257" ht="15" customHeight="1" s="62">
      <c r="A257" s="107" t="n"/>
      <c r="B257" s="108" t="n"/>
      <c r="C257" s="107" t="n"/>
      <c r="D257" s="107" t="n"/>
      <c r="E257" s="107" t="n"/>
      <c r="F257" s="107" t="n"/>
      <c r="G257" s="107" t="n"/>
      <c r="H257" s="107" t="n"/>
      <c r="I257" s="110">
        <f>IF($B257="","",$B257*(IsverenPayiOrani+IssizlikOrani))</f>
        <v/>
      </c>
    </row>
    <row r="258" ht="15" customHeight="1" s="62">
      <c r="A258" s="107" t="n"/>
      <c r="B258" s="108" t="n"/>
      <c r="C258" s="107" t="n"/>
      <c r="D258" s="107" t="n"/>
      <c r="E258" s="107" t="n"/>
      <c r="F258" s="107" t="n"/>
      <c r="G258" s="107" t="n"/>
      <c r="H258" s="107" t="n"/>
      <c r="I258" s="110">
        <f>IF($B258="","",$B258*(IsverenPayiOrani+IssizlikOrani))</f>
        <v/>
      </c>
    </row>
    <row r="259" ht="15" customHeight="1" s="62">
      <c r="A259" s="107" t="n"/>
      <c r="B259" s="108" t="n"/>
      <c r="C259" s="107" t="n"/>
      <c r="D259" s="107" t="n"/>
      <c r="E259" s="107" t="n"/>
      <c r="F259" s="107" t="n"/>
      <c r="G259" s="107" t="n"/>
      <c r="H259" s="107" t="n"/>
      <c r="I259" s="110">
        <f>IF($B259="","",$B259*(IsverenPayiOrani+IssizlikOrani))</f>
        <v/>
      </c>
    </row>
    <row r="260" ht="15" customHeight="1" s="62">
      <c r="A260" s="107" t="n"/>
      <c r="B260" s="108" t="n"/>
      <c r="C260" s="107" t="n"/>
      <c r="D260" s="107" t="n"/>
      <c r="E260" s="107" t="n"/>
      <c r="F260" s="107" t="n"/>
      <c r="G260" s="107" t="n"/>
      <c r="H260" s="107" t="n"/>
      <c r="I260" s="110">
        <f>IF($B260="","",$B260*(IsverenPayiOrani+IssizlikOrani))</f>
        <v/>
      </c>
    </row>
    <row r="261" ht="15" customHeight="1" s="62">
      <c r="A261" s="107" t="n"/>
      <c r="B261" s="108" t="n"/>
      <c r="C261" s="107" t="n"/>
      <c r="D261" s="107" t="n"/>
      <c r="E261" s="107" t="n"/>
      <c r="F261" s="107" t="n"/>
      <c r="G261" s="107" t="n"/>
      <c r="H261" s="107" t="n"/>
      <c r="I261" s="110">
        <f>IF($B261="","",$B261*(IsverenPayiOrani+IssizlikOrani))</f>
        <v/>
      </c>
    </row>
    <row r="262" ht="15" customHeight="1" s="62">
      <c r="A262" s="107" t="n"/>
      <c r="B262" s="108" t="n"/>
      <c r="C262" s="107" t="n"/>
      <c r="D262" s="107" t="n"/>
      <c r="E262" s="107" t="n"/>
      <c r="F262" s="107" t="n"/>
      <c r="G262" s="107" t="n"/>
      <c r="H262" s="107" t="n"/>
      <c r="I262" s="110">
        <f>IF($B262="","",$B262*(IsverenPayiOrani+IssizlikOrani))</f>
        <v/>
      </c>
    </row>
    <row r="263" ht="15" customHeight="1" s="62">
      <c r="A263" s="107" t="n"/>
      <c r="B263" s="108" t="n"/>
      <c r="C263" s="107" t="n"/>
      <c r="D263" s="107" t="n"/>
      <c r="E263" s="107" t="n"/>
      <c r="F263" s="107" t="n"/>
      <c r="G263" s="107" t="n"/>
      <c r="H263" s="107" t="n"/>
      <c r="I263" s="110">
        <f>IF($B263="","",$B263*(IsverenPayiOrani+IssizlikOrani))</f>
        <v/>
      </c>
    </row>
    <row r="264" ht="15" customHeight="1" s="62">
      <c r="A264" s="107" t="n"/>
      <c r="B264" s="108" t="n"/>
      <c r="C264" s="107" t="n"/>
      <c r="D264" s="107" t="n"/>
      <c r="E264" s="107" t="n"/>
      <c r="F264" s="107" t="n"/>
      <c r="G264" s="107" t="n"/>
      <c r="H264" s="107" t="n"/>
      <c r="I264" s="110">
        <f>IF($B264="","",$B264*(IsverenPayiOrani+IssizlikOrani))</f>
        <v/>
      </c>
    </row>
    <row r="265" ht="15" customHeight="1" s="62">
      <c r="A265" s="107" t="n"/>
      <c r="B265" s="108" t="n"/>
      <c r="C265" s="107" t="n"/>
      <c r="D265" s="107" t="n"/>
      <c r="E265" s="107" t="n"/>
      <c r="F265" s="107" t="n"/>
      <c r="G265" s="107" t="n"/>
      <c r="H265" s="107" t="n"/>
      <c r="I265" s="110">
        <f>IF($B265="","",$B265*(IsverenPayiOrani+IssizlikOrani))</f>
        <v/>
      </c>
    </row>
    <row r="266" ht="15" customHeight="1" s="62">
      <c r="A266" s="107" t="n"/>
      <c r="B266" s="108" t="n"/>
      <c r="C266" s="107" t="n"/>
      <c r="D266" s="107" t="n"/>
      <c r="E266" s="107" t="n"/>
      <c r="F266" s="107" t="n"/>
      <c r="G266" s="107" t="n"/>
      <c r="H266" s="107" t="n"/>
      <c r="I266" s="110">
        <f>IF($B266="","",$B266*(IsverenPayiOrani+IssizlikOrani))</f>
        <v/>
      </c>
    </row>
    <row r="267" ht="15" customHeight="1" s="62">
      <c r="A267" s="107" t="n"/>
      <c r="B267" s="108" t="n"/>
      <c r="C267" s="107" t="n"/>
      <c r="D267" s="107" t="n"/>
      <c r="E267" s="107" t="n"/>
      <c r="F267" s="107" t="n"/>
      <c r="G267" s="107" t="n"/>
      <c r="H267" s="107" t="n"/>
      <c r="I267" s="110">
        <f>IF($B267="","",$B267*(IsverenPayiOrani+IssizlikOrani))</f>
        <v/>
      </c>
    </row>
    <row r="268" ht="15" customHeight="1" s="62">
      <c r="A268" s="107" t="n"/>
      <c r="B268" s="108" t="n"/>
      <c r="C268" s="107" t="n"/>
      <c r="D268" s="107" t="n"/>
      <c r="E268" s="107" t="n"/>
      <c r="F268" s="107" t="n"/>
      <c r="G268" s="107" t="n"/>
      <c r="H268" s="107" t="n"/>
      <c r="I268" s="110">
        <f>IF($B268="","",$B268*(IsverenPayiOrani+IssizlikOrani))</f>
        <v/>
      </c>
    </row>
    <row r="269" ht="15" customHeight="1" s="62">
      <c r="A269" s="107" t="n"/>
      <c r="B269" s="108" t="n"/>
      <c r="C269" s="107" t="n"/>
      <c r="D269" s="107" t="n"/>
      <c r="E269" s="107" t="n"/>
      <c r="F269" s="107" t="n"/>
      <c r="G269" s="107" t="n"/>
      <c r="H269" s="107" t="n"/>
      <c r="I269" s="110">
        <f>IF($B269="","",$B269*(IsverenPayiOrani+IssizlikOrani))</f>
        <v/>
      </c>
    </row>
    <row r="270" ht="15" customHeight="1" s="62">
      <c r="A270" s="107" t="n"/>
      <c r="B270" s="108" t="n"/>
      <c r="C270" s="107" t="n"/>
      <c r="D270" s="107" t="n"/>
      <c r="E270" s="107" t="n"/>
      <c r="F270" s="107" t="n"/>
      <c r="G270" s="107" t="n"/>
      <c r="H270" s="107" t="n"/>
      <c r="I270" s="110">
        <f>IF($B270="","",$B270*(IsverenPayiOrani+IssizlikOrani))</f>
        <v/>
      </c>
    </row>
    <row r="271" ht="15" customHeight="1" s="62">
      <c r="A271" s="107" t="n"/>
      <c r="B271" s="108" t="n"/>
      <c r="C271" s="107" t="n"/>
      <c r="D271" s="107" t="n"/>
      <c r="E271" s="107" t="n"/>
      <c r="F271" s="107" t="n"/>
      <c r="G271" s="107" t="n"/>
      <c r="H271" s="107" t="n"/>
      <c r="I271" s="110">
        <f>IF($B271="","",$B271*(IsverenPayiOrani+IssizlikOrani))</f>
        <v/>
      </c>
    </row>
    <row r="272" ht="15" customHeight="1" s="62">
      <c r="A272" s="107" t="n"/>
      <c r="B272" s="108" t="n"/>
      <c r="C272" s="107" t="n"/>
      <c r="D272" s="107" t="n"/>
      <c r="E272" s="107" t="n"/>
      <c r="F272" s="107" t="n"/>
      <c r="G272" s="107" t="n"/>
      <c r="H272" s="107" t="n"/>
      <c r="I272" s="110">
        <f>IF($B272="","",$B272*(IsverenPayiOrani+IssizlikOrani))</f>
        <v/>
      </c>
    </row>
    <row r="273" ht="15" customHeight="1" s="62">
      <c r="A273" s="107" t="n"/>
      <c r="B273" s="108" t="n"/>
      <c r="C273" s="107" t="n"/>
      <c r="D273" s="107" t="n"/>
      <c r="E273" s="107" t="n"/>
      <c r="F273" s="107" t="n"/>
      <c r="G273" s="107" t="n"/>
      <c r="H273" s="107" t="n"/>
      <c r="I273" s="110">
        <f>IF($B273="","",$B273*(IsverenPayiOrani+IssizlikOrani))</f>
        <v/>
      </c>
    </row>
    <row r="274" ht="15" customHeight="1" s="62">
      <c r="A274" s="107" t="n"/>
      <c r="B274" s="108" t="n"/>
      <c r="C274" s="107" t="n"/>
      <c r="D274" s="107" t="n"/>
      <c r="E274" s="107" t="n"/>
      <c r="F274" s="107" t="n"/>
      <c r="G274" s="107" t="n"/>
      <c r="H274" s="107" t="n"/>
      <c r="I274" s="110">
        <f>IF($B274="","",$B274*(IsverenPayiOrani+IssizlikOrani))</f>
        <v/>
      </c>
    </row>
    <row r="275" ht="15" customHeight="1" s="62">
      <c r="A275" s="107" t="n"/>
      <c r="B275" s="108" t="n"/>
      <c r="C275" s="107" t="n"/>
      <c r="D275" s="107" t="n"/>
      <c r="E275" s="107" t="n"/>
      <c r="F275" s="107" t="n"/>
      <c r="G275" s="107" t="n"/>
      <c r="H275" s="107" t="n"/>
      <c r="I275" s="110">
        <f>IF($B275="","",$B275*(IsverenPayiOrani+IssizlikOrani))</f>
        <v/>
      </c>
    </row>
    <row r="276" ht="15" customHeight="1" s="62">
      <c r="A276" s="107" t="n"/>
      <c r="B276" s="108" t="n"/>
      <c r="C276" s="107" t="n"/>
      <c r="D276" s="107" t="n"/>
      <c r="E276" s="107" t="n"/>
      <c r="F276" s="107" t="n"/>
      <c r="G276" s="107" t="n"/>
      <c r="H276" s="107" t="n"/>
      <c r="I276" s="110">
        <f>IF($B276="","",$B276*(IsverenPayiOrani+IssizlikOrani))</f>
        <v/>
      </c>
    </row>
    <row r="277" ht="15" customHeight="1" s="62">
      <c r="A277" s="107" t="n"/>
      <c r="B277" s="108" t="n"/>
      <c r="C277" s="107" t="n"/>
      <c r="D277" s="107" t="n"/>
      <c r="E277" s="107" t="n"/>
      <c r="F277" s="107" t="n"/>
      <c r="G277" s="107" t="n"/>
      <c r="H277" s="107" t="n"/>
      <c r="I277" s="110">
        <f>IF($B277="","",$B277*(IsverenPayiOrani+IssizlikOrani))</f>
        <v/>
      </c>
    </row>
    <row r="278" ht="15" customHeight="1" s="62">
      <c r="A278" s="107" t="n"/>
      <c r="B278" s="108" t="n"/>
      <c r="C278" s="107" t="n"/>
      <c r="D278" s="107" t="n"/>
      <c r="E278" s="107" t="n"/>
      <c r="F278" s="107" t="n"/>
      <c r="G278" s="107" t="n"/>
      <c r="H278" s="107" t="n"/>
      <c r="I278" s="110">
        <f>IF($B278="","",$B278*(IsverenPayiOrani+IssizlikOrani))</f>
        <v/>
      </c>
    </row>
    <row r="279" ht="15" customHeight="1" s="62">
      <c r="A279" s="107" t="n"/>
      <c r="B279" s="108" t="n"/>
      <c r="C279" s="107" t="n"/>
      <c r="D279" s="107" t="n"/>
      <c r="E279" s="107" t="n"/>
      <c r="F279" s="107" t="n"/>
      <c r="G279" s="107" t="n"/>
      <c r="H279" s="107" t="n"/>
      <c r="I279" s="110">
        <f>IF($B279="","",$B279*(IsverenPayiOrani+IssizlikOrani))</f>
        <v/>
      </c>
    </row>
    <row r="280" ht="15" customHeight="1" s="62">
      <c r="A280" s="107" t="n"/>
      <c r="B280" s="108" t="n"/>
      <c r="C280" s="107" t="n"/>
      <c r="D280" s="107" t="n"/>
      <c r="E280" s="107" t="n"/>
      <c r="F280" s="107" t="n"/>
      <c r="G280" s="107" t="n"/>
      <c r="H280" s="107" t="n"/>
      <c r="I280" s="110">
        <f>IF($B280="","",$B280*(IsverenPayiOrani+IssizlikOrani))</f>
        <v/>
      </c>
    </row>
    <row r="281" ht="15" customHeight="1" s="62">
      <c r="A281" s="107" t="n"/>
      <c r="B281" s="108" t="n"/>
      <c r="C281" s="107" t="n"/>
      <c r="D281" s="107" t="n"/>
      <c r="E281" s="107" t="n"/>
      <c r="F281" s="107" t="n"/>
      <c r="G281" s="107" t="n"/>
      <c r="H281" s="107" t="n"/>
      <c r="I281" s="110">
        <f>IF($B281="","",$B281*(IsverenPayiOrani+IssizlikOrani))</f>
        <v/>
      </c>
    </row>
    <row r="282" ht="15" customHeight="1" s="62">
      <c r="A282" s="107" t="n"/>
      <c r="B282" s="108" t="n"/>
      <c r="C282" s="107" t="n"/>
      <c r="D282" s="107" t="n"/>
      <c r="E282" s="107" t="n"/>
      <c r="F282" s="107" t="n"/>
      <c r="G282" s="107" t="n"/>
      <c r="H282" s="107" t="n"/>
      <c r="I282" s="110">
        <f>IF($B282="","",$B282*(IsverenPayiOrani+IssizlikOrani))</f>
        <v/>
      </c>
    </row>
    <row r="283" ht="15" customHeight="1" s="62">
      <c r="A283" s="107" t="n"/>
      <c r="B283" s="108" t="n"/>
      <c r="C283" s="107" t="n"/>
      <c r="D283" s="107" t="n"/>
      <c r="E283" s="107" t="n"/>
      <c r="F283" s="107" t="n"/>
      <c r="G283" s="107" t="n"/>
      <c r="H283" s="107" t="n"/>
      <c r="I283" s="110">
        <f>IF($B283="","",$B283*(IsverenPayiOrani+IssizlikOrani))</f>
        <v/>
      </c>
    </row>
    <row r="284" ht="15" customHeight="1" s="62">
      <c r="A284" s="107" t="n"/>
      <c r="B284" s="108" t="n"/>
      <c r="C284" s="107" t="n"/>
      <c r="D284" s="107" t="n"/>
      <c r="E284" s="107" t="n"/>
      <c r="F284" s="107" t="n"/>
      <c r="G284" s="107" t="n"/>
      <c r="H284" s="107" t="n"/>
      <c r="I284" s="110">
        <f>IF($B284="","",$B284*(IsverenPayiOrani+IssizlikOrani))</f>
        <v/>
      </c>
    </row>
    <row r="285" ht="15" customHeight="1" s="62">
      <c r="A285" s="107" t="n"/>
      <c r="B285" s="108" t="n"/>
      <c r="C285" s="107" t="n"/>
      <c r="D285" s="107" t="n"/>
      <c r="E285" s="107" t="n"/>
      <c r="F285" s="107" t="n"/>
      <c r="G285" s="107" t="n"/>
      <c r="H285" s="107" t="n"/>
      <c r="I285" s="110">
        <f>IF($B285="","",$B285*(IsverenPayiOrani+IssizlikOrani))</f>
        <v/>
      </c>
    </row>
    <row r="286" ht="15" customHeight="1" s="62">
      <c r="A286" s="107" t="n"/>
      <c r="B286" s="108" t="n"/>
      <c r="C286" s="107" t="n"/>
      <c r="D286" s="107" t="n"/>
      <c r="E286" s="107" t="n"/>
      <c r="F286" s="107" t="n"/>
      <c r="G286" s="107" t="n"/>
      <c r="H286" s="107" t="n"/>
      <c r="I286" s="110">
        <f>IF($B286="","",$B286*(IsverenPayiOrani+IssizlikOrani))</f>
        <v/>
      </c>
    </row>
    <row r="287" ht="15" customHeight="1" s="62">
      <c r="A287" s="107" t="n"/>
      <c r="B287" s="108" t="n"/>
      <c r="C287" s="107" t="n"/>
      <c r="D287" s="107" t="n"/>
      <c r="E287" s="107" t="n"/>
      <c r="F287" s="107" t="n"/>
      <c r="G287" s="107" t="n"/>
      <c r="H287" s="107" t="n"/>
      <c r="I287" s="110">
        <f>IF($B287="","",$B287*(IsverenPayiOrani+IssizlikOrani))</f>
        <v/>
      </c>
    </row>
    <row r="288" ht="15" customHeight="1" s="62">
      <c r="A288" s="107" t="n"/>
      <c r="B288" s="108" t="n"/>
      <c r="C288" s="107" t="n"/>
      <c r="D288" s="107" t="n"/>
      <c r="E288" s="107" t="n"/>
      <c r="F288" s="107" t="n"/>
      <c r="G288" s="107" t="n"/>
      <c r="H288" s="107" t="n"/>
      <c r="I288" s="110">
        <f>IF($B288="","",$B288*(IsverenPayiOrani+IssizlikOrani))</f>
        <v/>
      </c>
    </row>
    <row r="289" ht="15" customHeight="1" s="62">
      <c r="A289" s="107" t="n"/>
      <c r="B289" s="108" t="n"/>
      <c r="C289" s="107" t="n"/>
      <c r="D289" s="107" t="n"/>
      <c r="E289" s="107" t="n"/>
      <c r="F289" s="107" t="n"/>
      <c r="G289" s="107" t="n"/>
      <c r="H289" s="107" t="n"/>
      <c r="I289" s="110">
        <f>IF($B289="","",$B289*(IsverenPayiOrani+IssizlikOrani))</f>
        <v/>
      </c>
    </row>
    <row r="290" ht="15" customHeight="1" s="62">
      <c r="A290" s="107" t="n"/>
      <c r="B290" s="108" t="n"/>
      <c r="C290" s="107" t="n"/>
      <c r="D290" s="107" t="n"/>
      <c r="E290" s="107" t="n"/>
      <c r="F290" s="107" t="n"/>
      <c r="G290" s="107" t="n"/>
      <c r="H290" s="107" t="n"/>
      <c r="I290" s="110">
        <f>IF($B290="","",$B290*(IsverenPayiOrani+IssizlikOrani))</f>
        <v/>
      </c>
    </row>
    <row r="291" ht="15" customHeight="1" s="62">
      <c r="A291" s="107" t="n"/>
      <c r="B291" s="108" t="n"/>
      <c r="C291" s="107" t="n"/>
      <c r="D291" s="107" t="n"/>
      <c r="E291" s="107" t="n"/>
      <c r="F291" s="107" t="n"/>
      <c r="G291" s="107" t="n"/>
      <c r="H291" s="107" t="n"/>
      <c r="I291" s="110">
        <f>IF($B291="","",$B291*(IsverenPayiOrani+IssizlikOrani))</f>
        <v/>
      </c>
    </row>
    <row r="292" ht="15" customHeight="1" s="62">
      <c r="A292" s="107" t="n"/>
      <c r="B292" s="108" t="n"/>
      <c r="C292" s="107" t="n"/>
      <c r="D292" s="107" t="n"/>
      <c r="E292" s="107" t="n"/>
      <c r="F292" s="107" t="n"/>
      <c r="G292" s="107" t="n"/>
      <c r="H292" s="107" t="n"/>
      <c r="I292" s="110">
        <f>IF($B292="","",$B292*(IsverenPayiOrani+IssizlikOrani))</f>
        <v/>
      </c>
    </row>
    <row r="293" ht="15" customHeight="1" s="62">
      <c r="A293" s="107" t="n"/>
      <c r="B293" s="108" t="n"/>
      <c r="C293" s="107" t="n"/>
      <c r="D293" s="107" t="n"/>
      <c r="E293" s="107" t="n"/>
      <c r="F293" s="107" t="n"/>
      <c r="G293" s="107" t="n"/>
      <c r="H293" s="107" t="n"/>
      <c r="I293" s="110">
        <f>IF($B293="","",$B293*(IsverenPayiOrani+IssizlikOrani))</f>
        <v/>
      </c>
    </row>
    <row r="294" ht="15" customHeight="1" s="62">
      <c r="A294" s="107" t="n"/>
      <c r="B294" s="108" t="n"/>
      <c r="C294" s="107" t="n"/>
      <c r="D294" s="107" t="n"/>
      <c r="E294" s="107" t="n"/>
      <c r="F294" s="107" t="n"/>
      <c r="G294" s="107" t="n"/>
      <c r="H294" s="107" t="n"/>
      <c r="I294" s="110">
        <f>IF($B294="","",$B294*(IsverenPayiOrani+IssizlikOrani))</f>
        <v/>
      </c>
    </row>
    <row r="295" ht="15" customHeight="1" s="62">
      <c r="A295" s="107" t="n"/>
      <c r="B295" s="108" t="n"/>
      <c r="C295" s="107" t="n"/>
      <c r="D295" s="107" t="n"/>
      <c r="E295" s="107" t="n"/>
      <c r="F295" s="107" t="n"/>
      <c r="G295" s="107" t="n"/>
      <c r="H295" s="107" t="n"/>
      <c r="I295" s="110">
        <f>IF($B295="","",$B295*(IsverenPayiOrani+IssizlikOrani))</f>
        <v/>
      </c>
    </row>
    <row r="296" ht="15" customHeight="1" s="62">
      <c r="A296" s="107" t="n"/>
      <c r="B296" s="108" t="n"/>
      <c r="C296" s="107" t="n"/>
      <c r="D296" s="107" t="n"/>
      <c r="E296" s="107" t="n"/>
      <c r="F296" s="107" t="n"/>
      <c r="G296" s="107" t="n"/>
      <c r="H296" s="107" t="n"/>
      <c r="I296" s="110">
        <f>IF($B296="","",$B296*(IsverenPayiOrani+IssizlikOrani))</f>
        <v/>
      </c>
    </row>
    <row r="297" ht="15" customHeight="1" s="62">
      <c r="A297" s="107" t="n"/>
      <c r="B297" s="108" t="n"/>
      <c r="C297" s="107" t="n"/>
      <c r="D297" s="107" t="n"/>
      <c r="E297" s="107" t="n"/>
      <c r="F297" s="107" t="n"/>
      <c r="G297" s="107" t="n"/>
      <c r="H297" s="107" t="n"/>
      <c r="I297" s="110">
        <f>IF($B297="","",$B297*(IsverenPayiOrani+IssizlikOrani))</f>
        <v/>
      </c>
    </row>
    <row r="298" ht="15" customHeight="1" s="62">
      <c r="A298" s="107" t="n"/>
      <c r="B298" s="108" t="n"/>
      <c r="C298" s="107" t="n"/>
      <c r="D298" s="107" t="n"/>
      <c r="E298" s="107" t="n"/>
      <c r="F298" s="107" t="n"/>
      <c r="G298" s="107" t="n"/>
      <c r="H298" s="107" t="n"/>
      <c r="I298" s="110">
        <f>IF($B298="","",$B298*(IsverenPayiOrani+IssizlikOrani))</f>
        <v/>
      </c>
    </row>
    <row r="299" ht="15" customHeight="1" s="62">
      <c r="A299" s="107" t="n"/>
      <c r="B299" s="108" t="n"/>
      <c r="C299" s="107" t="n"/>
      <c r="D299" s="107" t="n"/>
      <c r="E299" s="107" t="n"/>
      <c r="F299" s="107" t="n"/>
      <c r="G299" s="107" t="n"/>
      <c r="H299" s="107" t="n"/>
      <c r="I299" s="110">
        <f>IF($B299="","",$B299*(IsverenPayiOrani+IssizlikOrani))</f>
        <v/>
      </c>
    </row>
    <row r="300" ht="15" customHeight="1" s="62">
      <c r="A300" s="107" t="n"/>
      <c r="B300" s="108" t="n"/>
      <c r="C300" s="107" t="n"/>
      <c r="D300" s="107" t="n"/>
      <c r="E300" s="107" t="n"/>
      <c r="F300" s="107" t="n"/>
      <c r="G300" s="107" t="n"/>
      <c r="H300" s="107" t="n"/>
      <c r="I300" s="110">
        <f>IF($B300="","",$B300*(IsverenPayiOrani+IssizlikOrani))</f>
        <v/>
      </c>
    </row>
    <row r="301" ht="15" customHeight="1" s="62">
      <c r="A301" s="107" t="n"/>
      <c r="B301" s="108" t="n"/>
      <c r="C301" s="107" t="n"/>
      <c r="D301" s="107" t="n"/>
      <c r="E301" s="107" t="n"/>
      <c r="F301" s="107" t="n"/>
      <c r="G301" s="107" t="n"/>
      <c r="H301" s="107" t="n"/>
      <c r="I301" s="110">
        <f>IF($B301="","",$B301*(IsverenPayiOrani+IssizlikOrani))</f>
        <v/>
      </c>
    </row>
    <row r="302" ht="15" customHeight="1" s="62">
      <c r="A302" s="107" t="n"/>
      <c r="B302" s="108" t="n"/>
      <c r="C302" s="107" t="n"/>
      <c r="D302" s="107" t="n"/>
      <c r="E302" s="107" t="n"/>
      <c r="F302" s="107" t="n"/>
      <c r="G302" s="107" t="n"/>
      <c r="H302" s="107" t="n"/>
      <c r="I302" s="110">
        <f>IF($B302="","",$B302*(IsverenPayiOrani+IssizlikOrani))</f>
        <v/>
      </c>
    </row>
    <row r="303" ht="15" customHeight="1" s="62">
      <c r="A303" s="107" t="n"/>
      <c r="B303" s="108" t="n"/>
      <c r="C303" s="107" t="n"/>
      <c r="D303" s="107" t="n"/>
      <c r="E303" s="107" t="n"/>
      <c r="F303" s="107" t="n"/>
      <c r="G303" s="107" t="n"/>
      <c r="H303" s="107" t="n"/>
      <c r="I303" s="110">
        <f>IF($B303="","",$B303*(IsverenPayiOrani+IssizlikOrani))</f>
        <v/>
      </c>
    </row>
    <row r="304" ht="15" customHeight="1" s="62">
      <c r="A304" s="107" t="n"/>
      <c r="B304" s="108" t="n"/>
      <c r="C304" s="107" t="n"/>
      <c r="D304" s="107" t="n"/>
      <c r="E304" s="107" t="n"/>
      <c r="F304" s="107" t="n"/>
      <c r="G304" s="107" t="n"/>
      <c r="H304" s="107" t="n"/>
      <c r="I304" s="110">
        <f>IF($B304="","",$B304*(IsverenPayiOrani+IssizlikOrani))</f>
        <v/>
      </c>
    </row>
    <row r="305" ht="15" customHeight="1" s="62">
      <c r="A305" s="107" t="n"/>
      <c r="B305" s="108" t="n"/>
      <c r="C305" s="107" t="n"/>
      <c r="D305" s="107" t="n"/>
      <c r="E305" s="107" t="n"/>
      <c r="F305" s="107" t="n"/>
      <c r="G305" s="107" t="n"/>
      <c r="H305" s="107" t="n"/>
      <c r="I305" s="110">
        <f>IF($B305="","",$B305*(IsverenPayiOrani+IssizlikOrani))</f>
        <v/>
      </c>
    </row>
    <row r="306" ht="15" customHeight="1" s="62">
      <c r="A306" s="107" t="n"/>
      <c r="B306" s="108" t="n"/>
      <c r="C306" s="107" t="n"/>
      <c r="D306" s="107" t="n"/>
      <c r="E306" s="107" t="n"/>
      <c r="F306" s="107" t="n"/>
      <c r="G306" s="107" t="n"/>
      <c r="H306" s="107" t="n"/>
      <c r="I306" s="110">
        <f>IF($B306="","",$B306*(IsverenPayiOrani+IssizlikOrani))</f>
        <v/>
      </c>
    </row>
    <row r="307" ht="15" customHeight="1" s="62">
      <c r="A307" s="107" t="n"/>
      <c r="B307" s="108" t="n"/>
      <c r="C307" s="107" t="n"/>
      <c r="D307" s="107" t="n"/>
      <c r="E307" s="107" t="n"/>
      <c r="F307" s="107" t="n"/>
      <c r="G307" s="107" t="n"/>
      <c r="H307" s="107" t="n"/>
      <c r="I307" s="110">
        <f>IF($B307="","",$B307*(IsverenPayiOrani+IssizlikOrani))</f>
        <v/>
      </c>
    </row>
    <row r="308" ht="15" customHeight="1" s="62">
      <c r="A308" s="107" t="n"/>
      <c r="B308" s="108" t="n"/>
      <c r="C308" s="107" t="n"/>
      <c r="D308" s="107" t="n"/>
      <c r="E308" s="107" t="n"/>
      <c r="F308" s="107" t="n"/>
      <c r="G308" s="107" t="n"/>
      <c r="H308" s="107" t="n"/>
      <c r="I308" s="110">
        <f>IF($B308="","",$B308*(IsverenPayiOrani+IssizlikOrani))</f>
        <v/>
      </c>
    </row>
    <row r="309" ht="15" customHeight="1" s="62">
      <c r="A309" s="107" t="n"/>
      <c r="B309" s="108" t="n"/>
      <c r="C309" s="107" t="n"/>
      <c r="D309" s="107" t="n"/>
      <c r="E309" s="107" t="n"/>
      <c r="F309" s="107" t="n"/>
      <c r="G309" s="107" t="n"/>
      <c r="H309" s="107" t="n"/>
      <c r="I309" s="110">
        <f>IF($B309="","",$B309*(IsverenPayiOrani+IssizlikOrani))</f>
        <v/>
      </c>
    </row>
    <row r="310" ht="15" customHeight="1" s="62">
      <c r="A310" s="107" t="n"/>
      <c r="B310" s="108" t="n"/>
      <c r="C310" s="107" t="n"/>
      <c r="D310" s="107" t="n"/>
      <c r="E310" s="107" t="n"/>
      <c r="F310" s="107" t="n"/>
      <c r="G310" s="107" t="n"/>
      <c r="H310" s="107" t="n"/>
      <c r="I310" s="110">
        <f>IF($B310="","",$B310*(IsverenPayiOrani+IssizlikOrani))</f>
        <v/>
      </c>
    </row>
    <row r="311" ht="15" customHeight="1" s="62">
      <c r="A311" s="107" t="n"/>
      <c r="B311" s="108" t="n"/>
      <c r="C311" s="107" t="n"/>
      <c r="D311" s="107" t="n"/>
      <c r="E311" s="107" t="n"/>
      <c r="F311" s="107" t="n"/>
      <c r="G311" s="107" t="n"/>
      <c r="H311" s="107" t="n"/>
      <c r="I311" s="110">
        <f>IF($B311="","",$B311*(IsverenPayiOrani+IssizlikOrani))</f>
        <v/>
      </c>
    </row>
    <row r="312" ht="15" customHeight="1" s="62">
      <c r="A312" s="107" t="n"/>
      <c r="B312" s="108" t="n"/>
      <c r="C312" s="107" t="n"/>
      <c r="D312" s="107" t="n"/>
      <c r="E312" s="107" t="n"/>
      <c r="F312" s="107" t="n"/>
      <c r="G312" s="107" t="n"/>
      <c r="H312" s="107" t="n"/>
      <c r="I312" s="110">
        <f>IF($B312="","",$B312*(IsverenPayiOrani+IssizlikOrani))</f>
        <v/>
      </c>
    </row>
    <row r="313" ht="15" customHeight="1" s="62">
      <c r="A313" s="107" t="n"/>
      <c r="B313" s="108" t="n"/>
      <c r="C313" s="107" t="n"/>
      <c r="D313" s="107" t="n"/>
      <c r="E313" s="107" t="n"/>
      <c r="F313" s="107" t="n"/>
      <c r="G313" s="107" t="n"/>
      <c r="H313" s="107" t="n"/>
      <c r="I313" s="110">
        <f>IF($B313="","",$B313*(IsverenPayiOrani+IssizlikOrani))</f>
        <v/>
      </c>
    </row>
    <row r="314" ht="15" customHeight="1" s="62">
      <c r="A314" s="107" t="n"/>
      <c r="B314" s="108" t="n"/>
      <c r="C314" s="107" t="n"/>
      <c r="D314" s="107" t="n"/>
      <c r="E314" s="107" t="n"/>
      <c r="F314" s="107" t="n"/>
      <c r="G314" s="107" t="n"/>
      <c r="H314" s="107" t="n"/>
      <c r="I314" s="110">
        <f>IF($B314="","",$B314*(IsverenPayiOrani+IssizlikOrani))</f>
        <v/>
      </c>
    </row>
    <row r="315" ht="15" customHeight="1" s="62">
      <c r="A315" s="107" t="n"/>
      <c r="B315" s="108" t="n"/>
      <c r="C315" s="107" t="n"/>
      <c r="D315" s="107" t="n"/>
      <c r="E315" s="107" t="n"/>
      <c r="F315" s="107" t="n"/>
      <c r="G315" s="107" t="n"/>
      <c r="H315" s="107" t="n"/>
      <c r="I315" s="110">
        <f>IF($B315="","",$B315*(IsverenPayiOrani+IssizlikOrani))</f>
        <v/>
      </c>
    </row>
    <row r="316" ht="15" customHeight="1" s="62">
      <c r="A316" s="107" t="n"/>
      <c r="B316" s="108" t="n"/>
      <c r="C316" s="107" t="n"/>
      <c r="D316" s="107" t="n"/>
      <c r="E316" s="107" t="n"/>
      <c r="F316" s="107" t="n"/>
      <c r="G316" s="107" t="n"/>
      <c r="H316" s="107" t="n"/>
      <c r="I316" s="110">
        <f>IF($B316="","",$B316*(IsverenPayiOrani+IssizlikOrani))</f>
        <v/>
      </c>
    </row>
    <row r="317" ht="15" customHeight="1" s="62">
      <c r="A317" s="107" t="n"/>
      <c r="B317" s="108" t="n"/>
      <c r="C317" s="107" t="n"/>
      <c r="D317" s="107" t="n"/>
      <c r="E317" s="107" t="n"/>
      <c r="F317" s="107" t="n"/>
      <c r="G317" s="107" t="n"/>
      <c r="H317" s="107" t="n"/>
      <c r="I317" s="110">
        <f>IF($B317="","",$B317*(IsverenPayiOrani+IssizlikOrani))</f>
        <v/>
      </c>
    </row>
    <row r="318" ht="15" customHeight="1" s="62">
      <c r="A318" s="107" t="n"/>
      <c r="B318" s="108" t="n"/>
      <c r="C318" s="107" t="n"/>
      <c r="D318" s="107" t="n"/>
      <c r="E318" s="107" t="n"/>
      <c r="F318" s="107" t="n"/>
      <c r="G318" s="107" t="n"/>
      <c r="H318" s="107" t="n"/>
      <c r="I318" s="110">
        <f>IF($B318="","",$B318*(IsverenPayiOrani+IssizlikOrani))</f>
        <v/>
      </c>
    </row>
    <row r="319" ht="15" customHeight="1" s="62">
      <c r="A319" s="107" t="n"/>
      <c r="B319" s="108" t="n"/>
      <c r="C319" s="107" t="n"/>
      <c r="D319" s="107" t="n"/>
      <c r="E319" s="107" t="n"/>
      <c r="F319" s="107" t="n"/>
      <c r="G319" s="107" t="n"/>
      <c r="H319" s="107" t="n"/>
      <c r="I319" s="110">
        <f>IF($B319="","",$B319*(IsverenPayiOrani+IssizlikOrani))</f>
        <v/>
      </c>
    </row>
    <row r="320" ht="15" customHeight="1" s="62">
      <c r="A320" s="107" t="n"/>
      <c r="B320" s="108" t="n"/>
      <c r="C320" s="107" t="n"/>
      <c r="D320" s="107" t="n"/>
      <c r="E320" s="107" t="n"/>
      <c r="F320" s="107" t="n"/>
      <c r="G320" s="107" t="n"/>
      <c r="H320" s="107" t="n"/>
      <c r="I320" s="110">
        <f>IF($B320="","",$B320*(IsverenPayiOrani+IssizlikOrani))</f>
        <v/>
      </c>
    </row>
    <row r="321" ht="15" customHeight="1" s="62">
      <c r="A321" s="107" t="n"/>
      <c r="B321" s="108" t="n"/>
      <c r="C321" s="107" t="n"/>
      <c r="D321" s="107" t="n"/>
      <c r="E321" s="107" t="n"/>
      <c r="F321" s="107" t="n"/>
      <c r="G321" s="107" t="n"/>
      <c r="H321" s="107" t="n"/>
      <c r="I321" s="110">
        <f>IF($B321="","",$B321*(IsverenPayiOrani+IssizlikOrani))</f>
        <v/>
      </c>
    </row>
    <row r="322" ht="15" customHeight="1" s="62">
      <c r="A322" s="107" t="n"/>
      <c r="B322" s="108" t="n"/>
      <c r="C322" s="107" t="n"/>
      <c r="D322" s="107" t="n"/>
      <c r="E322" s="107" t="n"/>
      <c r="F322" s="107" t="n"/>
      <c r="G322" s="107" t="n"/>
      <c r="H322" s="107" t="n"/>
      <c r="I322" s="110">
        <f>IF($B322="","",$B322*(IsverenPayiOrani+IssizlikOrani))</f>
        <v/>
      </c>
    </row>
    <row r="323" ht="15" customHeight="1" s="62">
      <c r="A323" s="107" t="n"/>
      <c r="B323" s="108" t="n"/>
      <c r="C323" s="107" t="n"/>
      <c r="D323" s="107" t="n"/>
      <c r="E323" s="107" t="n"/>
      <c r="F323" s="107" t="n"/>
      <c r="G323" s="107" t="n"/>
      <c r="H323" s="107" t="n"/>
      <c r="I323" s="110">
        <f>IF($B323="","",$B323*(IsverenPayiOrani+IssizlikOrani))</f>
        <v/>
      </c>
    </row>
    <row r="324" ht="15" customHeight="1" s="62">
      <c r="A324" s="107" t="n"/>
      <c r="B324" s="108" t="n"/>
      <c r="C324" s="107" t="n"/>
      <c r="D324" s="107" t="n"/>
      <c r="E324" s="107" t="n"/>
      <c r="F324" s="107" t="n"/>
      <c r="G324" s="107" t="n"/>
      <c r="H324" s="107" t="n"/>
      <c r="I324" s="110">
        <f>IF($B324="","",$B324*(IsverenPayiOrani+IssizlikOrani))</f>
        <v/>
      </c>
    </row>
    <row r="325" ht="15" customHeight="1" s="62">
      <c r="A325" s="107" t="n"/>
      <c r="B325" s="108" t="n"/>
      <c r="C325" s="107" t="n"/>
      <c r="D325" s="107" t="n"/>
      <c r="E325" s="107" t="n"/>
      <c r="F325" s="107" t="n"/>
      <c r="G325" s="107" t="n"/>
      <c r="H325" s="107" t="n"/>
      <c r="I325" s="110">
        <f>IF($B325="","",$B325*(IsverenPayiOrani+IssizlikOrani))</f>
        <v/>
      </c>
    </row>
    <row r="326" ht="15" customHeight="1" s="62">
      <c r="A326" s="107" t="n"/>
      <c r="B326" s="108" t="n"/>
      <c r="C326" s="107" t="n"/>
      <c r="D326" s="107" t="n"/>
      <c r="E326" s="107" t="n"/>
      <c r="F326" s="107" t="n"/>
      <c r="G326" s="107" t="n"/>
      <c r="H326" s="107" t="n"/>
      <c r="I326" s="110">
        <f>IF($B326="","",$B326*(IsverenPayiOrani+IssizlikOrani))</f>
        <v/>
      </c>
    </row>
    <row r="327" ht="15" customHeight="1" s="62">
      <c r="A327" s="107" t="n"/>
      <c r="B327" s="108" t="n"/>
      <c r="C327" s="107" t="n"/>
      <c r="D327" s="107" t="n"/>
      <c r="E327" s="107" t="n"/>
      <c r="F327" s="107" t="n"/>
      <c r="G327" s="107" t="n"/>
      <c r="H327" s="107" t="n"/>
      <c r="I327" s="110">
        <f>IF($B327="","",$B327*(IsverenPayiOrani+IssizlikOrani))</f>
        <v/>
      </c>
    </row>
    <row r="328" ht="15" customHeight="1" s="62">
      <c r="A328" s="107" t="n"/>
      <c r="B328" s="108" t="n"/>
      <c r="C328" s="107" t="n"/>
      <c r="D328" s="107" t="n"/>
      <c r="E328" s="107" t="n"/>
      <c r="F328" s="107" t="n"/>
      <c r="G328" s="107" t="n"/>
      <c r="H328" s="107" t="n"/>
      <c r="I328" s="110">
        <f>IF($B328="","",$B328*(IsverenPayiOrani+IssizlikOrani))</f>
        <v/>
      </c>
    </row>
    <row r="329" ht="15" customHeight="1" s="62">
      <c r="A329" s="107" t="n"/>
      <c r="B329" s="108" t="n"/>
      <c r="C329" s="107" t="n"/>
      <c r="D329" s="107" t="n"/>
      <c r="E329" s="107" t="n"/>
      <c r="F329" s="107" t="n"/>
      <c r="G329" s="107" t="n"/>
      <c r="H329" s="107" t="n"/>
      <c r="I329" s="110">
        <f>IF($B329="","",$B329*(IsverenPayiOrani+IssizlikOrani))</f>
        <v/>
      </c>
    </row>
    <row r="330" ht="15" customHeight="1" s="62">
      <c r="A330" s="107" t="n"/>
      <c r="B330" s="108" t="n"/>
      <c r="C330" s="107" t="n"/>
      <c r="D330" s="107" t="n"/>
      <c r="E330" s="107" t="n"/>
      <c r="F330" s="107" t="n"/>
      <c r="G330" s="107" t="n"/>
      <c r="H330" s="107" t="n"/>
      <c r="I330" s="110">
        <f>IF($B330="","",$B330*(IsverenPayiOrani+IssizlikOrani))</f>
        <v/>
      </c>
    </row>
    <row r="331" ht="15" customHeight="1" s="62">
      <c r="A331" s="107" t="n"/>
      <c r="B331" s="108" t="n"/>
      <c r="C331" s="107" t="n"/>
      <c r="D331" s="107" t="n"/>
      <c r="E331" s="107" t="n"/>
      <c r="F331" s="107" t="n"/>
      <c r="G331" s="107" t="n"/>
      <c r="H331" s="107" t="n"/>
      <c r="I331" s="110">
        <f>IF($B331="","",$B331*(IsverenPayiOrani+IssizlikOrani))</f>
        <v/>
      </c>
    </row>
    <row r="332" ht="15" customHeight="1" s="62">
      <c r="A332" s="107" t="n"/>
      <c r="B332" s="108" t="n"/>
      <c r="C332" s="107" t="n"/>
      <c r="D332" s="107" t="n"/>
      <c r="E332" s="107" t="n"/>
      <c r="F332" s="107" t="n"/>
      <c r="G332" s="107" t="n"/>
      <c r="H332" s="107" t="n"/>
      <c r="I332" s="110">
        <f>IF($B332="","",$B332*(IsverenPayiOrani+IssizlikOrani))</f>
        <v/>
      </c>
    </row>
    <row r="333" ht="15" customHeight="1" s="62">
      <c r="A333" s="107" t="n"/>
      <c r="B333" s="108" t="n"/>
      <c r="C333" s="107" t="n"/>
      <c r="D333" s="107" t="n"/>
      <c r="E333" s="107" t="n"/>
      <c r="F333" s="107" t="n"/>
      <c r="G333" s="107" t="n"/>
      <c r="H333" s="107" t="n"/>
      <c r="I333" s="110">
        <f>IF($B333="","",$B333*(IsverenPayiOrani+IssizlikOrani))</f>
        <v/>
      </c>
    </row>
    <row r="334" ht="15" customHeight="1" s="62">
      <c r="A334" s="107" t="n"/>
      <c r="B334" s="108" t="n"/>
      <c r="C334" s="107" t="n"/>
      <c r="D334" s="107" t="n"/>
      <c r="E334" s="107" t="n"/>
      <c r="F334" s="107" t="n"/>
      <c r="G334" s="107" t="n"/>
      <c r="H334" s="107" t="n"/>
      <c r="I334" s="110">
        <f>IF($B334="","",$B334*(IsverenPayiOrani+IssizlikOrani))</f>
        <v/>
      </c>
    </row>
    <row r="335" ht="15" customHeight="1" s="62">
      <c r="A335" s="107" t="n"/>
      <c r="B335" s="108" t="n"/>
      <c r="C335" s="107" t="n"/>
      <c r="D335" s="107" t="n"/>
      <c r="E335" s="107" t="n"/>
      <c r="F335" s="107" t="n"/>
      <c r="G335" s="107" t="n"/>
      <c r="H335" s="107" t="n"/>
      <c r="I335" s="110">
        <f>IF($B335="","",$B335*(IsverenPayiOrani+IssizlikOrani))</f>
        <v/>
      </c>
    </row>
    <row r="336" ht="15" customHeight="1" s="62">
      <c r="A336" s="107" t="n"/>
      <c r="B336" s="108" t="n"/>
      <c r="C336" s="107" t="n"/>
      <c r="D336" s="107" t="n"/>
      <c r="E336" s="107" t="n"/>
      <c r="F336" s="107" t="n"/>
      <c r="G336" s="107" t="n"/>
      <c r="H336" s="107" t="n"/>
      <c r="I336" s="110">
        <f>IF($B336="","",$B336*(IsverenPayiOrani+IssizlikOrani))</f>
        <v/>
      </c>
    </row>
    <row r="337" ht="15" customHeight="1" s="62">
      <c r="A337" s="107" t="n"/>
      <c r="B337" s="108" t="n"/>
      <c r="C337" s="107" t="n"/>
      <c r="D337" s="107" t="n"/>
      <c r="E337" s="107" t="n"/>
      <c r="F337" s="107" t="n"/>
      <c r="G337" s="107" t="n"/>
      <c r="H337" s="107" t="n"/>
      <c r="I337" s="110">
        <f>IF($B337="","",$B337*(IsverenPayiOrani+IssizlikOrani))</f>
        <v/>
      </c>
    </row>
    <row r="338" ht="15" customHeight="1" s="62">
      <c r="A338" s="107" t="n"/>
      <c r="B338" s="108" t="n"/>
      <c r="C338" s="107" t="n"/>
      <c r="D338" s="107" t="n"/>
      <c r="E338" s="107" t="n"/>
      <c r="F338" s="107" t="n"/>
      <c r="G338" s="107" t="n"/>
      <c r="H338" s="107" t="n"/>
      <c r="I338" s="110">
        <f>IF($B338="","",$B338*(IsverenPayiOrani+IssizlikOrani))</f>
        <v/>
      </c>
    </row>
    <row r="339" ht="15" customHeight="1" s="62">
      <c r="A339" s="107" t="n"/>
      <c r="B339" s="108" t="n"/>
      <c r="C339" s="107" t="n"/>
      <c r="D339" s="107" t="n"/>
      <c r="E339" s="107" t="n"/>
      <c r="F339" s="107" t="n"/>
      <c r="G339" s="107" t="n"/>
      <c r="H339" s="107" t="n"/>
      <c r="I339" s="110">
        <f>IF($B339="","",$B339*(IsverenPayiOrani+IssizlikOrani))</f>
        <v/>
      </c>
    </row>
    <row r="340" ht="15" customHeight="1" s="62">
      <c r="A340" s="107" t="n"/>
      <c r="B340" s="108" t="n"/>
      <c r="C340" s="107" t="n"/>
      <c r="D340" s="107" t="n"/>
      <c r="E340" s="107" t="n"/>
      <c r="F340" s="107" t="n"/>
      <c r="G340" s="107" t="n"/>
      <c r="H340" s="107" t="n"/>
      <c r="I340" s="110">
        <f>IF($B340="","",$B340*(IsverenPayiOrani+IssizlikOrani))</f>
        <v/>
      </c>
    </row>
    <row r="341" ht="15" customHeight="1" s="62">
      <c r="A341" s="107" t="n"/>
      <c r="B341" s="108" t="n"/>
      <c r="C341" s="107" t="n"/>
      <c r="D341" s="107" t="n"/>
      <c r="E341" s="107" t="n"/>
      <c r="F341" s="107" t="n"/>
      <c r="G341" s="107" t="n"/>
      <c r="H341" s="107" t="n"/>
      <c r="I341" s="110">
        <f>IF($B341="","",$B341*(IsverenPayiOrani+IssizlikOrani))</f>
        <v/>
      </c>
    </row>
    <row r="342" ht="15" customHeight="1" s="62">
      <c r="A342" s="107" t="n"/>
      <c r="B342" s="108" t="n"/>
      <c r="C342" s="107" t="n"/>
      <c r="D342" s="107" t="n"/>
      <c r="E342" s="107" t="n"/>
      <c r="F342" s="107" t="n"/>
      <c r="G342" s="107" t="n"/>
      <c r="H342" s="107" t="n"/>
      <c r="I342" s="110">
        <f>IF($B342="","",$B342*(IsverenPayiOrani+IssizlikOrani))</f>
        <v/>
      </c>
    </row>
    <row r="343" ht="15" customHeight="1" s="62">
      <c r="A343" s="107" t="n"/>
      <c r="B343" s="108" t="n"/>
      <c r="C343" s="107" t="n"/>
      <c r="D343" s="107" t="n"/>
      <c r="E343" s="107" t="n"/>
      <c r="F343" s="107" t="n"/>
      <c r="G343" s="107" t="n"/>
      <c r="H343" s="107" t="n"/>
      <c r="I343" s="110">
        <f>IF($B343="","",$B343*(IsverenPayiOrani+IssizlikOrani))</f>
        <v/>
      </c>
    </row>
    <row r="344" ht="15" customHeight="1" s="62">
      <c r="A344" s="107" t="n"/>
      <c r="B344" s="108" t="n"/>
      <c r="C344" s="107" t="n"/>
      <c r="D344" s="107" t="n"/>
      <c r="E344" s="107" t="n"/>
      <c r="F344" s="107" t="n"/>
      <c r="G344" s="107" t="n"/>
      <c r="H344" s="107" t="n"/>
      <c r="I344" s="110">
        <f>IF($B344="","",$B344*(IsverenPayiOrani+IssizlikOrani))</f>
        <v/>
      </c>
    </row>
    <row r="345" ht="15" customHeight="1" s="62">
      <c r="A345" s="107" t="n"/>
      <c r="B345" s="108" t="n"/>
      <c r="C345" s="107" t="n"/>
      <c r="D345" s="107" t="n"/>
      <c r="E345" s="107" t="n"/>
      <c r="F345" s="107" t="n"/>
      <c r="G345" s="107" t="n"/>
      <c r="H345" s="107" t="n"/>
      <c r="I345" s="110">
        <f>IF($B345="","",$B345*(IsverenPayiOrani+IssizlikOrani))</f>
        <v/>
      </c>
    </row>
    <row r="346" ht="15" customHeight="1" s="62">
      <c r="A346" s="107" t="n"/>
      <c r="B346" s="108" t="n"/>
      <c r="C346" s="107" t="n"/>
      <c r="D346" s="107" t="n"/>
      <c r="E346" s="107" t="n"/>
      <c r="F346" s="107" t="n"/>
      <c r="G346" s="107" t="n"/>
      <c r="H346" s="107" t="n"/>
      <c r="I346" s="110">
        <f>IF($B346="","",$B346*(IsverenPayiOrani+IssizlikOrani))</f>
        <v/>
      </c>
    </row>
    <row r="347" ht="15" customHeight="1" s="62">
      <c r="A347" s="107" t="n"/>
      <c r="B347" s="108" t="n"/>
      <c r="C347" s="107" t="n"/>
      <c r="D347" s="107" t="n"/>
      <c r="E347" s="107" t="n"/>
      <c r="F347" s="107" t="n"/>
      <c r="G347" s="107" t="n"/>
      <c r="H347" s="107" t="n"/>
      <c r="I347" s="110">
        <f>IF($B347="","",$B347*(IsverenPayiOrani+IssizlikOrani))</f>
        <v/>
      </c>
    </row>
    <row r="348" ht="15" customHeight="1" s="62">
      <c r="A348" s="107" t="n"/>
      <c r="B348" s="108" t="n"/>
      <c r="C348" s="107" t="n"/>
      <c r="D348" s="107" t="n"/>
      <c r="E348" s="107" t="n"/>
      <c r="F348" s="107" t="n"/>
      <c r="G348" s="107" t="n"/>
      <c r="H348" s="107" t="n"/>
      <c r="I348" s="110">
        <f>IF($B348="","",$B348*(IsverenPayiOrani+IssizlikOrani))</f>
        <v/>
      </c>
    </row>
    <row r="349" ht="15" customHeight="1" s="62">
      <c r="A349" s="107" t="n"/>
      <c r="B349" s="108" t="n"/>
      <c r="C349" s="107" t="n"/>
      <c r="D349" s="107" t="n"/>
      <c r="E349" s="107" t="n"/>
      <c r="F349" s="107" t="n"/>
      <c r="G349" s="107" t="n"/>
      <c r="H349" s="107" t="n"/>
      <c r="I349" s="110">
        <f>IF($B349="","",$B349*(IsverenPayiOrani+IssizlikOrani))</f>
        <v/>
      </c>
    </row>
    <row r="350" ht="15" customHeight="1" s="62">
      <c r="A350" s="107" t="n"/>
      <c r="B350" s="108" t="n"/>
      <c r="C350" s="107" t="n"/>
      <c r="D350" s="107" t="n"/>
      <c r="E350" s="107" t="n"/>
      <c r="F350" s="107" t="n"/>
      <c r="G350" s="107" t="n"/>
      <c r="H350" s="107" t="n"/>
      <c r="I350" s="110">
        <f>IF($B350="","",$B350*(IsverenPayiOrani+IssizlikOrani))</f>
        <v/>
      </c>
    </row>
    <row r="351" ht="15" customHeight="1" s="62">
      <c r="A351" s="107" t="n"/>
      <c r="B351" s="108" t="n"/>
      <c r="C351" s="107" t="n"/>
      <c r="D351" s="107" t="n"/>
      <c r="E351" s="107" t="n"/>
      <c r="F351" s="107" t="n"/>
      <c r="G351" s="107" t="n"/>
      <c r="H351" s="107" t="n"/>
      <c r="I351" s="110">
        <f>IF($B351="","",$B351*(IsverenPayiOrani+IssizlikOrani))</f>
        <v/>
      </c>
    </row>
    <row r="352" ht="15" customHeight="1" s="62">
      <c r="A352" s="107" t="n"/>
      <c r="B352" s="108" t="n"/>
      <c r="C352" s="107" t="n"/>
      <c r="D352" s="107" t="n"/>
      <c r="E352" s="107" t="n"/>
      <c r="F352" s="107" t="n"/>
      <c r="G352" s="107" t="n"/>
      <c r="H352" s="107" t="n"/>
      <c r="I352" s="110">
        <f>IF($B352="","",$B352*(IsverenPayiOrani+IssizlikOrani))</f>
        <v/>
      </c>
    </row>
    <row r="353" ht="15" customHeight="1" s="62">
      <c r="A353" s="107" t="n"/>
      <c r="B353" s="108" t="n"/>
      <c r="C353" s="107" t="n"/>
      <c r="D353" s="107" t="n"/>
      <c r="E353" s="107" t="n"/>
      <c r="F353" s="107" t="n"/>
      <c r="G353" s="107" t="n"/>
      <c r="H353" s="107" t="n"/>
      <c r="I353" s="110">
        <f>IF($B353="","",$B353*(IsverenPayiOrani+IssizlikOrani))</f>
        <v/>
      </c>
    </row>
    <row r="354" ht="15" customHeight="1" s="62">
      <c r="A354" s="107" t="n"/>
      <c r="B354" s="108" t="n"/>
      <c r="C354" s="107" t="n"/>
      <c r="D354" s="107" t="n"/>
      <c r="E354" s="107" t="n"/>
      <c r="F354" s="107" t="n"/>
      <c r="G354" s="107" t="n"/>
      <c r="H354" s="107" t="n"/>
      <c r="I354" s="110">
        <f>IF($B354="","",$B354*(IsverenPayiOrani+IssizlikOrani))</f>
        <v/>
      </c>
    </row>
    <row r="355" ht="15" customHeight="1" s="62">
      <c r="A355" s="107" t="n"/>
      <c r="B355" s="108" t="n"/>
      <c r="C355" s="107" t="n"/>
      <c r="D355" s="107" t="n"/>
      <c r="E355" s="107" t="n"/>
      <c r="F355" s="107" t="n"/>
      <c r="G355" s="107" t="n"/>
      <c r="H355" s="107" t="n"/>
      <c r="I355" s="110">
        <f>IF($B355="","",$B355*(IsverenPayiOrani+IssizlikOrani))</f>
        <v/>
      </c>
    </row>
    <row r="356" ht="15" customHeight="1" s="62">
      <c r="A356" s="107" t="n"/>
      <c r="B356" s="108" t="n"/>
      <c r="C356" s="107" t="n"/>
      <c r="D356" s="107" t="n"/>
      <c r="E356" s="107" t="n"/>
      <c r="F356" s="107" t="n"/>
      <c r="G356" s="107" t="n"/>
      <c r="H356" s="107" t="n"/>
      <c r="I356" s="110">
        <f>IF($B356="","",$B356*(IsverenPayiOrani+IssizlikOrani))</f>
        <v/>
      </c>
    </row>
    <row r="357" ht="15" customHeight="1" s="62">
      <c r="A357" s="107" t="n"/>
      <c r="B357" s="108" t="n"/>
      <c r="C357" s="107" t="n"/>
      <c r="D357" s="107" t="n"/>
      <c r="E357" s="107" t="n"/>
      <c r="F357" s="107" t="n"/>
      <c r="G357" s="107" t="n"/>
      <c r="H357" s="107" t="n"/>
      <c r="I357" s="110">
        <f>IF($B357="","",$B357*(IsverenPayiOrani+IssizlikOrani))</f>
        <v/>
      </c>
    </row>
    <row r="358" ht="15" customHeight="1" s="62">
      <c r="A358" s="107" t="n"/>
      <c r="B358" s="108" t="n"/>
      <c r="C358" s="107" t="n"/>
      <c r="D358" s="107" t="n"/>
      <c r="E358" s="107" t="n"/>
      <c r="F358" s="107" t="n"/>
      <c r="G358" s="107" t="n"/>
      <c r="H358" s="107" t="n"/>
      <c r="I358" s="110">
        <f>IF($B358="","",$B358*(IsverenPayiOrani+IssizlikOrani))</f>
        <v/>
      </c>
    </row>
    <row r="359" ht="15" customHeight="1" s="62">
      <c r="A359" s="107" t="n"/>
      <c r="B359" s="108" t="n"/>
      <c r="C359" s="107" t="n"/>
      <c r="D359" s="107" t="n"/>
      <c r="E359" s="107" t="n"/>
      <c r="F359" s="107" t="n"/>
      <c r="G359" s="107" t="n"/>
      <c r="H359" s="107" t="n"/>
      <c r="I359" s="110">
        <f>IF($B359="","",$B359*(IsverenPayiOrani+IssizlikOrani))</f>
        <v/>
      </c>
    </row>
    <row r="360" ht="15" customHeight="1" s="62">
      <c r="A360" s="107" t="n"/>
      <c r="B360" s="108" t="n"/>
      <c r="C360" s="107" t="n"/>
      <c r="D360" s="107" t="n"/>
      <c r="E360" s="107" t="n"/>
      <c r="F360" s="107" t="n"/>
      <c r="G360" s="107" t="n"/>
      <c r="H360" s="107" t="n"/>
      <c r="I360" s="110">
        <f>IF($B360="","",$B360*(IsverenPayiOrani+IssizlikOrani))</f>
        <v/>
      </c>
    </row>
    <row r="361" ht="15" customHeight="1" s="62">
      <c r="A361" s="107" t="n"/>
      <c r="B361" s="108" t="n"/>
      <c r="C361" s="107" t="n"/>
      <c r="D361" s="107" t="n"/>
      <c r="E361" s="107" t="n"/>
      <c r="F361" s="107" t="n"/>
      <c r="G361" s="107" t="n"/>
      <c r="H361" s="107" t="n"/>
      <c r="I361" s="110">
        <f>IF($B361="","",$B361*(IsverenPayiOrani+IssizlikOrani))</f>
        <v/>
      </c>
    </row>
    <row r="362" ht="15" customHeight="1" s="62">
      <c r="A362" s="107" t="n"/>
      <c r="B362" s="108" t="n"/>
      <c r="C362" s="107" t="n"/>
      <c r="D362" s="107" t="n"/>
      <c r="E362" s="107" t="n"/>
      <c r="F362" s="107" t="n"/>
      <c r="G362" s="107" t="n"/>
      <c r="H362" s="107" t="n"/>
      <c r="I362" s="110">
        <f>IF($B362="","",$B362*(IsverenPayiOrani+IssizlikOrani))</f>
        <v/>
      </c>
    </row>
    <row r="363" ht="15" customHeight="1" s="62">
      <c r="A363" s="107" t="n"/>
      <c r="B363" s="108" t="n"/>
      <c r="C363" s="107" t="n"/>
      <c r="D363" s="107" t="n"/>
      <c r="E363" s="107" t="n"/>
      <c r="F363" s="107" t="n"/>
      <c r="G363" s="107" t="n"/>
      <c r="H363" s="107" t="n"/>
      <c r="I363" s="110">
        <f>IF($B363="","",$B363*(IsverenPayiOrani+IssizlikOrani))</f>
        <v/>
      </c>
    </row>
    <row r="364" ht="15" customHeight="1" s="62">
      <c r="A364" s="107" t="n"/>
      <c r="B364" s="108" t="n"/>
      <c r="C364" s="107" t="n"/>
      <c r="D364" s="107" t="n"/>
      <c r="E364" s="107" t="n"/>
      <c r="F364" s="107" t="n"/>
      <c r="G364" s="107" t="n"/>
      <c r="H364" s="107" t="n"/>
      <c r="I364" s="110">
        <f>IF($B364="","",$B364*(IsverenPayiOrani+IssizlikOrani))</f>
        <v/>
      </c>
    </row>
    <row r="365" ht="15" customHeight="1" s="62">
      <c r="A365" s="107" t="n"/>
      <c r="B365" s="108" t="n"/>
      <c r="C365" s="107" t="n"/>
      <c r="D365" s="107" t="n"/>
      <c r="E365" s="107" t="n"/>
      <c r="F365" s="107" t="n"/>
      <c r="G365" s="107" t="n"/>
      <c r="H365" s="107" t="n"/>
      <c r="I365" s="110">
        <f>IF($B365="","",$B365*(IsverenPayiOrani+IssizlikOrani))</f>
        <v/>
      </c>
    </row>
    <row r="366" ht="15" customHeight="1" s="62">
      <c r="A366" s="107" t="n"/>
      <c r="B366" s="108" t="n"/>
      <c r="C366" s="107" t="n"/>
      <c r="D366" s="107" t="n"/>
      <c r="E366" s="107" t="n"/>
      <c r="F366" s="107" t="n"/>
      <c r="G366" s="107" t="n"/>
      <c r="H366" s="107" t="n"/>
      <c r="I366" s="110">
        <f>IF($B366="","",$B366*(IsverenPayiOrani+IssizlikOrani))</f>
        <v/>
      </c>
    </row>
    <row r="367" ht="15" customHeight="1" s="62">
      <c r="A367" s="107" t="n"/>
      <c r="B367" s="108" t="n"/>
      <c r="C367" s="107" t="n"/>
      <c r="D367" s="107" t="n"/>
      <c r="E367" s="107" t="n"/>
      <c r="F367" s="107" t="n"/>
      <c r="G367" s="107" t="n"/>
      <c r="H367" s="107" t="n"/>
      <c r="I367" s="110">
        <f>IF($B367="","",$B367*(IsverenPayiOrani+IssizlikOrani))</f>
        <v/>
      </c>
    </row>
    <row r="368" ht="15" customHeight="1" s="62">
      <c r="A368" s="107" t="n"/>
      <c r="B368" s="108" t="n"/>
      <c r="C368" s="107" t="n"/>
      <c r="D368" s="107" t="n"/>
      <c r="E368" s="107" t="n"/>
      <c r="F368" s="107" t="n"/>
      <c r="G368" s="107" t="n"/>
      <c r="H368" s="107" t="n"/>
      <c r="I368" s="110">
        <f>IF($B368="","",$B368*(IsverenPayiOrani+IssizlikOrani))</f>
        <v/>
      </c>
    </row>
    <row r="369" ht="15" customHeight="1" s="62">
      <c r="A369" s="107" t="n"/>
      <c r="B369" s="108" t="n"/>
      <c r="C369" s="107" t="n"/>
      <c r="D369" s="107" t="n"/>
      <c r="E369" s="107" t="n"/>
      <c r="F369" s="107" t="n"/>
      <c r="G369" s="107" t="n"/>
      <c r="H369" s="107" t="n"/>
      <c r="I369" s="110">
        <f>IF($B369="","",$B369*(IsverenPayiOrani+IssizlikOrani))</f>
        <v/>
      </c>
    </row>
    <row r="370" ht="15" customHeight="1" s="62">
      <c r="A370" s="107" t="n"/>
      <c r="B370" s="108" t="n"/>
      <c r="C370" s="107" t="n"/>
      <c r="D370" s="107" t="n"/>
      <c r="E370" s="107" t="n"/>
      <c r="F370" s="107" t="n"/>
      <c r="G370" s="107" t="n"/>
      <c r="H370" s="107" t="n"/>
      <c r="I370" s="110">
        <f>IF($B370="","",$B370*(IsverenPayiOrani+IssizlikOrani))</f>
        <v/>
      </c>
    </row>
    <row r="371" ht="15" customHeight="1" s="62">
      <c r="A371" s="107" t="n"/>
      <c r="B371" s="108" t="n"/>
      <c r="C371" s="107" t="n"/>
      <c r="D371" s="107" t="n"/>
      <c r="E371" s="107" t="n"/>
      <c r="F371" s="107" t="n"/>
      <c r="G371" s="107" t="n"/>
      <c r="H371" s="107" t="n"/>
      <c r="I371" s="110">
        <f>IF($B371="","",$B371*(IsverenPayiOrani+IssizlikOrani))</f>
        <v/>
      </c>
    </row>
    <row r="372" ht="15" customHeight="1" s="62">
      <c r="A372" s="107" t="n"/>
      <c r="B372" s="108" t="n"/>
      <c r="C372" s="107" t="n"/>
      <c r="D372" s="107" t="n"/>
      <c r="E372" s="107" t="n"/>
      <c r="F372" s="107" t="n"/>
      <c r="G372" s="107" t="n"/>
      <c r="H372" s="107" t="n"/>
      <c r="I372" s="110">
        <f>IF($B372="","",$B372*(IsverenPayiOrani+IssizlikOrani))</f>
        <v/>
      </c>
    </row>
    <row r="373" ht="15" customHeight="1" s="62">
      <c r="A373" s="107" t="n"/>
      <c r="B373" s="108" t="n"/>
      <c r="C373" s="107" t="n"/>
      <c r="D373" s="107" t="n"/>
      <c r="E373" s="107" t="n"/>
      <c r="F373" s="107" t="n"/>
      <c r="G373" s="107" t="n"/>
      <c r="H373" s="107" t="n"/>
      <c r="I373" s="110">
        <f>IF($B373="","",$B373*(IsverenPayiOrani+IssizlikOrani))</f>
        <v/>
      </c>
    </row>
    <row r="374" ht="15" customHeight="1" s="62">
      <c r="A374" s="107" t="n"/>
      <c r="B374" s="108" t="n"/>
      <c r="C374" s="107" t="n"/>
      <c r="D374" s="107" t="n"/>
      <c r="E374" s="107" t="n"/>
      <c r="F374" s="107" t="n"/>
      <c r="G374" s="107" t="n"/>
      <c r="H374" s="107" t="n"/>
      <c r="I374" s="110">
        <f>IF($B374="","",$B374*(IsverenPayiOrani+IssizlikOrani))</f>
        <v/>
      </c>
    </row>
    <row r="375" ht="15" customHeight="1" s="62">
      <c r="A375" s="107" t="n"/>
      <c r="B375" s="108" t="n"/>
      <c r="C375" s="107" t="n"/>
      <c r="D375" s="107" t="n"/>
      <c r="E375" s="107" t="n"/>
      <c r="F375" s="107" t="n"/>
      <c r="G375" s="107" t="n"/>
      <c r="H375" s="107" t="n"/>
      <c r="I375" s="110">
        <f>IF($B375="","",$B375*(IsverenPayiOrani+IssizlikOrani))</f>
        <v/>
      </c>
    </row>
    <row r="376" ht="15" customHeight="1" s="62">
      <c r="A376" s="107" t="n"/>
      <c r="B376" s="108" t="n"/>
      <c r="C376" s="107" t="n"/>
      <c r="D376" s="107" t="n"/>
      <c r="E376" s="107" t="n"/>
      <c r="F376" s="107" t="n"/>
      <c r="G376" s="107" t="n"/>
      <c r="H376" s="107" t="n"/>
      <c r="I376" s="110">
        <f>IF($B376="","",$B376*(IsverenPayiOrani+IssizlikOrani))</f>
        <v/>
      </c>
    </row>
    <row r="377" ht="15" customHeight="1" s="62">
      <c r="A377" s="107" t="n"/>
      <c r="B377" s="108" t="n"/>
      <c r="C377" s="107" t="n"/>
      <c r="D377" s="107" t="n"/>
      <c r="E377" s="107" t="n"/>
      <c r="F377" s="107" t="n"/>
      <c r="G377" s="107" t="n"/>
      <c r="H377" s="107" t="n"/>
      <c r="I377" s="110">
        <f>IF($B377="","",$B377*(IsverenPayiOrani+IssizlikOrani))</f>
        <v/>
      </c>
    </row>
    <row r="378" ht="15" customHeight="1" s="62">
      <c r="A378" s="107" t="n"/>
      <c r="B378" s="108" t="n"/>
      <c r="C378" s="107" t="n"/>
      <c r="D378" s="107" t="n"/>
      <c r="E378" s="107" t="n"/>
      <c r="F378" s="107" t="n"/>
      <c r="G378" s="107" t="n"/>
      <c r="H378" s="107" t="n"/>
      <c r="I378" s="110">
        <f>IF($B378="","",$B378*(IsverenPayiOrani+IssizlikOrani))</f>
        <v/>
      </c>
    </row>
    <row r="379" ht="15" customHeight="1" s="62">
      <c r="A379" s="107" t="n"/>
      <c r="B379" s="108" t="n"/>
      <c r="C379" s="107" t="n"/>
      <c r="D379" s="107" t="n"/>
      <c r="E379" s="107" t="n"/>
      <c r="F379" s="107" t="n"/>
      <c r="G379" s="107" t="n"/>
      <c r="H379" s="107" t="n"/>
      <c r="I379" s="110">
        <f>IF($B379="","",$B379*(IsverenPayiOrani+IssizlikOrani))</f>
        <v/>
      </c>
    </row>
    <row r="380" ht="15" customHeight="1" s="62">
      <c r="A380" s="107" t="n"/>
      <c r="B380" s="108" t="n"/>
      <c r="C380" s="107" t="n"/>
      <c r="D380" s="107" t="n"/>
      <c r="E380" s="107" t="n"/>
      <c r="F380" s="107" t="n"/>
      <c r="G380" s="107" t="n"/>
      <c r="H380" s="107" t="n"/>
      <c r="I380" s="110">
        <f>IF($B380="","",$B380*(IsverenPayiOrani+IssizlikOrani))</f>
        <v/>
      </c>
    </row>
    <row r="381" ht="15" customHeight="1" s="62">
      <c r="A381" s="107" t="n"/>
      <c r="B381" s="108" t="n"/>
      <c r="C381" s="107" t="n"/>
      <c r="D381" s="107" t="n"/>
      <c r="E381" s="107" t="n"/>
      <c r="F381" s="107" t="n"/>
      <c r="G381" s="107" t="n"/>
      <c r="H381" s="107" t="n"/>
      <c r="I381" s="110">
        <f>IF($B381="","",$B381*(IsverenPayiOrani+IssizlikOrani))</f>
        <v/>
      </c>
    </row>
    <row r="382" ht="15" customHeight="1" s="62">
      <c r="A382" s="107" t="n"/>
      <c r="B382" s="108" t="n"/>
      <c r="C382" s="107" t="n"/>
      <c r="D382" s="107" t="n"/>
      <c r="E382" s="107" t="n"/>
      <c r="F382" s="107" t="n"/>
      <c r="G382" s="107" t="n"/>
      <c r="H382" s="107" t="n"/>
      <c r="I382" s="110">
        <f>IF($B382="","",$B382*(IsverenPayiOrani+IssizlikOrani))</f>
        <v/>
      </c>
    </row>
    <row r="383" ht="15" customHeight="1" s="62">
      <c r="A383" s="107" t="n"/>
      <c r="B383" s="108" t="n"/>
      <c r="C383" s="107" t="n"/>
      <c r="D383" s="107" t="n"/>
      <c r="E383" s="107" t="n"/>
      <c r="F383" s="107" t="n"/>
      <c r="G383" s="107" t="n"/>
      <c r="H383" s="107" t="n"/>
      <c r="I383" s="110">
        <f>IF($B383="","",$B383*(IsverenPayiOrani+IssizlikOrani))</f>
        <v/>
      </c>
    </row>
    <row r="384" ht="15" customHeight="1" s="62">
      <c r="A384" s="107" t="n"/>
      <c r="B384" s="108" t="n"/>
      <c r="C384" s="107" t="n"/>
      <c r="D384" s="107" t="n"/>
      <c r="E384" s="107" t="n"/>
      <c r="F384" s="107" t="n"/>
      <c r="G384" s="107" t="n"/>
      <c r="H384" s="107" t="n"/>
      <c r="I384" s="110">
        <f>IF($B384="","",$B384*(IsverenPayiOrani+IssizlikOrani))</f>
        <v/>
      </c>
    </row>
    <row r="385" ht="15" customHeight="1" s="62">
      <c r="A385" s="107" t="n"/>
      <c r="B385" s="108" t="n"/>
      <c r="C385" s="107" t="n"/>
      <c r="D385" s="107" t="n"/>
      <c r="E385" s="107" t="n"/>
      <c r="F385" s="107" t="n"/>
      <c r="G385" s="107" t="n"/>
      <c r="H385" s="107" t="n"/>
      <c r="I385" s="110">
        <f>IF($B385="","",$B385*(IsverenPayiOrani+IssizlikOrani))</f>
        <v/>
      </c>
    </row>
    <row r="386" ht="15" customHeight="1" s="62">
      <c r="A386" s="107" t="n"/>
      <c r="B386" s="108" t="n"/>
      <c r="C386" s="107" t="n"/>
      <c r="D386" s="107" t="n"/>
      <c r="E386" s="107" t="n"/>
      <c r="F386" s="107" t="n"/>
      <c r="G386" s="107" t="n"/>
      <c r="H386" s="107" t="n"/>
      <c r="I386" s="110">
        <f>IF($B386="","",$B386*(IsverenPayiOrani+IssizlikOrani))</f>
        <v/>
      </c>
    </row>
    <row r="387" ht="15" customHeight="1" s="62">
      <c r="A387" s="107" t="n"/>
      <c r="B387" s="108" t="n"/>
      <c r="C387" s="107" t="n"/>
      <c r="D387" s="107" t="n"/>
      <c r="E387" s="107" t="n"/>
      <c r="F387" s="107" t="n"/>
      <c r="G387" s="107" t="n"/>
      <c r="H387" s="107" t="n"/>
      <c r="I387" s="110">
        <f>IF($B387="","",$B387*(IsverenPayiOrani+IssizlikOrani))</f>
        <v/>
      </c>
    </row>
    <row r="388" ht="15" customHeight="1" s="62">
      <c r="A388" s="107" t="n"/>
      <c r="B388" s="108" t="n"/>
      <c r="C388" s="107" t="n"/>
      <c r="D388" s="107" t="n"/>
      <c r="E388" s="107" t="n"/>
      <c r="F388" s="107" t="n"/>
      <c r="G388" s="107" t="n"/>
      <c r="H388" s="107" t="n"/>
      <c r="I388" s="110">
        <f>IF($B388="","",$B388*(IsverenPayiOrani+IssizlikOrani))</f>
        <v/>
      </c>
    </row>
    <row r="389" ht="15" customHeight="1" s="62">
      <c r="A389" s="107" t="n"/>
      <c r="B389" s="108" t="n"/>
      <c r="C389" s="107" t="n"/>
      <c r="D389" s="107" t="n"/>
      <c r="E389" s="107" t="n"/>
      <c r="F389" s="107" t="n"/>
      <c r="G389" s="107" t="n"/>
      <c r="H389" s="107" t="n"/>
      <c r="I389" s="110">
        <f>IF($B389="","",$B389*(IsverenPayiOrani+IssizlikOrani))</f>
        <v/>
      </c>
    </row>
    <row r="390" ht="15" customHeight="1" s="62">
      <c r="A390" s="107" t="n"/>
      <c r="B390" s="108" t="n"/>
      <c r="C390" s="107" t="n"/>
      <c r="D390" s="107" t="n"/>
      <c r="E390" s="107" t="n"/>
      <c r="F390" s="107" t="n"/>
      <c r="G390" s="107" t="n"/>
      <c r="H390" s="107" t="n"/>
      <c r="I390" s="110">
        <f>IF($B390="","",$B390*(IsverenPayiOrani+IssizlikOrani))</f>
        <v/>
      </c>
    </row>
    <row r="391" ht="15" customHeight="1" s="62">
      <c r="A391" s="107" t="n"/>
      <c r="B391" s="108" t="n"/>
      <c r="C391" s="107" t="n"/>
      <c r="D391" s="107" t="n"/>
      <c r="E391" s="107" t="n"/>
      <c r="F391" s="107" t="n"/>
      <c r="G391" s="107" t="n"/>
      <c r="H391" s="107" t="n"/>
      <c r="I391" s="110">
        <f>IF($B391="","",$B391*(IsverenPayiOrani+IssizlikOrani))</f>
        <v/>
      </c>
    </row>
    <row r="392" ht="15" customHeight="1" s="62">
      <c r="A392" s="107" t="n"/>
      <c r="B392" s="108" t="n"/>
      <c r="C392" s="107" t="n"/>
      <c r="D392" s="107" t="n"/>
      <c r="E392" s="107" t="n"/>
      <c r="F392" s="107" t="n"/>
      <c r="G392" s="107" t="n"/>
      <c r="H392" s="107" t="n"/>
      <c r="I392" s="110">
        <f>IF($B392="","",$B392*(IsverenPayiOrani+IssizlikOrani))</f>
        <v/>
      </c>
    </row>
    <row r="393" ht="15" customHeight="1" s="62">
      <c r="A393" s="107" t="n"/>
      <c r="B393" s="108" t="n"/>
      <c r="C393" s="107" t="n"/>
      <c r="D393" s="107" t="n"/>
      <c r="E393" s="107" t="n"/>
      <c r="F393" s="107" t="n"/>
      <c r="G393" s="107" t="n"/>
      <c r="H393" s="107" t="n"/>
      <c r="I393" s="110">
        <f>IF($B393="","",$B393*(IsverenPayiOrani+IssizlikOrani))</f>
        <v/>
      </c>
    </row>
    <row r="394" ht="15" customHeight="1" s="62">
      <c r="A394" s="107" t="n"/>
      <c r="B394" s="108" t="n"/>
      <c r="C394" s="107" t="n"/>
      <c r="D394" s="107" t="n"/>
      <c r="E394" s="107" t="n"/>
      <c r="F394" s="107" t="n"/>
      <c r="G394" s="107" t="n"/>
      <c r="H394" s="107" t="n"/>
      <c r="I394" s="110">
        <f>IF($B394="","",$B394*(IsverenPayiOrani+IssizlikOrani))</f>
        <v/>
      </c>
    </row>
    <row r="395" ht="15" customHeight="1" s="62">
      <c r="A395" s="107" t="n"/>
      <c r="B395" s="108" t="n"/>
      <c r="C395" s="107" t="n"/>
      <c r="D395" s="107" t="n"/>
      <c r="E395" s="107" t="n"/>
      <c r="F395" s="107" t="n"/>
      <c r="G395" s="107" t="n"/>
      <c r="H395" s="107" t="n"/>
      <c r="I395" s="110">
        <f>IF($B395="","",$B395*(IsverenPayiOrani+IssizlikOrani))</f>
        <v/>
      </c>
    </row>
    <row r="396" ht="15" customHeight="1" s="62">
      <c r="A396" s="107" t="n"/>
      <c r="B396" s="108" t="n"/>
      <c r="C396" s="107" t="n"/>
      <c r="D396" s="107" t="n"/>
      <c r="E396" s="107" t="n"/>
      <c r="F396" s="107" t="n"/>
      <c r="G396" s="107" t="n"/>
      <c r="H396" s="107" t="n"/>
      <c r="I396" s="110">
        <f>IF($B396="","",$B396*(IsverenPayiOrani+IssizlikOrani))</f>
        <v/>
      </c>
    </row>
    <row r="397" ht="15" customHeight="1" s="62">
      <c r="A397" s="107" t="n"/>
      <c r="B397" s="108" t="n"/>
      <c r="C397" s="107" t="n"/>
      <c r="D397" s="107" t="n"/>
      <c r="E397" s="107" t="n"/>
      <c r="F397" s="107" t="n"/>
      <c r="G397" s="107" t="n"/>
      <c r="H397" s="107" t="n"/>
      <c r="I397" s="110">
        <f>IF($B397="","",$B397*(IsverenPayiOrani+IssizlikOrani))</f>
        <v/>
      </c>
    </row>
    <row r="398" ht="15" customHeight="1" s="62">
      <c r="A398" s="107" t="n"/>
      <c r="B398" s="108" t="n"/>
      <c r="C398" s="107" t="n"/>
      <c r="D398" s="107" t="n"/>
      <c r="E398" s="107" t="n"/>
      <c r="F398" s="107" t="n"/>
      <c r="G398" s="107" t="n"/>
      <c r="H398" s="107" t="n"/>
      <c r="I398" s="110">
        <f>IF($B398="","",$B398*(IsverenPayiOrani+IssizlikOrani))</f>
        <v/>
      </c>
    </row>
    <row r="399" ht="15" customHeight="1" s="62">
      <c r="A399" s="107" t="n"/>
      <c r="B399" s="108" t="n"/>
      <c r="C399" s="107" t="n"/>
      <c r="D399" s="107" t="n"/>
      <c r="E399" s="107" t="n"/>
      <c r="F399" s="107" t="n"/>
      <c r="G399" s="107" t="n"/>
      <c r="H399" s="107" t="n"/>
      <c r="I399" s="110">
        <f>IF($B399="","",$B399*(IsverenPayiOrani+IssizlikOrani))</f>
        <v/>
      </c>
    </row>
    <row r="400" ht="15" customHeight="1" s="62">
      <c r="A400" s="107" t="n"/>
      <c r="B400" s="108" t="n"/>
      <c r="C400" s="107" t="n"/>
      <c r="D400" s="107" t="n"/>
      <c r="E400" s="107" t="n"/>
      <c r="F400" s="107" t="n"/>
      <c r="G400" s="107" t="n"/>
      <c r="H400" s="107" t="n"/>
      <c r="I400" s="110">
        <f>IF($B400="","",$B400*(IsverenPayiOrani+IssizlikOrani))</f>
        <v/>
      </c>
    </row>
    <row r="401" ht="15" customHeight="1" s="62">
      <c r="A401" s="107" t="n"/>
      <c r="B401" s="108" t="n"/>
      <c r="C401" s="107" t="n"/>
      <c r="D401" s="107" t="n"/>
      <c r="E401" s="107" t="n"/>
      <c r="F401" s="107" t="n"/>
      <c r="G401" s="107" t="n"/>
      <c r="H401" s="107" t="n"/>
      <c r="I401" s="110">
        <f>IF($B401="","",$B401*(IsverenPayiOrani+IssizlikOrani))</f>
        <v/>
      </c>
    </row>
    <row r="402" ht="15" customHeight="1" s="62">
      <c r="A402" s="107" t="n"/>
      <c r="B402" s="108" t="n"/>
      <c r="C402" s="107" t="n"/>
      <c r="D402" s="107" t="n"/>
      <c r="E402" s="107" t="n"/>
      <c r="F402" s="107" t="n"/>
      <c r="G402" s="107" t="n"/>
      <c r="H402" s="107" t="n"/>
      <c r="I402" s="110">
        <f>IF($B402="","",$B402*(IsverenPayiOrani+IssizlikOrani))</f>
        <v/>
      </c>
    </row>
    <row r="403" ht="15" customHeight="1" s="62">
      <c r="A403" s="107" t="n"/>
      <c r="B403" s="108" t="n"/>
      <c r="C403" s="107" t="n"/>
      <c r="D403" s="107" t="n"/>
      <c r="E403" s="107" t="n"/>
      <c r="F403" s="107" t="n"/>
      <c r="G403" s="107" t="n"/>
      <c r="H403" s="107" t="n"/>
      <c r="I403" s="110">
        <f>IF($B403="","",$B403*(IsverenPayiOrani+IssizlikOrani))</f>
        <v/>
      </c>
    </row>
    <row r="404" ht="15" customHeight="1" s="62">
      <c r="A404" s="107" t="n"/>
      <c r="B404" s="108" t="n"/>
      <c r="C404" s="107" t="n"/>
      <c r="D404" s="107" t="n"/>
      <c r="E404" s="107" t="n"/>
      <c r="F404" s="107" t="n"/>
      <c r="G404" s="107" t="n"/>
      <c r="H404" s="107" t="n"/>
      <c r="I404" s="110">
        <f>IF($B404="","",$B404*(IsverenPayiOrani+IssizlikOrani))</f>
        <v/>
      </c>
    </row>
    <row r="405" ht="15" customHeight="1" s="62">
      <c r="A405" s="107" t="n"/>
      <c r="B405" s="108" t="n"/>
      <c r="C405" s="107" t="n"/>
      <c r="D405" s="107" t="n"/>
      <c r="E405" s="107" t="n"/>
      <c r="F405" s="107" t="n"/>
      <c r="G405" s="107" t="n"/>
      <c r="H405" s="107" t="n"/>
      <c r="I405" s="110">
        <f>IF($B405="","",$B405*(IsverenPayiOrani+IssizlikOrani))</f>
        <v/>
      </c>
    </row>
    <row r="406" ht="15" customHeight="1" s="62">
      <c r="A406" s="107" t="n"/>
      <c r="B406" s="108" t="n"/>
      <c r="C406" s="107" t="n"/>
      <c r="D406" s="107" t="n"/>
      <c r="E406" s="107" t="n"/>
      <c r="F406" s="107" t="n"/>
      <c r="G406" s="107" t="n"/>
      <c r="H406" s="107" t="n"/>
      <c r="I406" s="110">
        <f>IF($B406="","",$B406*(IsverenPayiOrani+IssizlikOrani))</f>
        <v/>
      </c>
    </row>
    <row r="407" ht="15" customHeight="1" s="62">
      <c r="A407" s="107" t="n"/>
      <c r="B407" s="108" t="n"/>
      <c r="C407" s="107" t="n"/>
      <c r="D407" s="107" t="n"/>
      <c r="E407" s="107" t="n"/>
      <c r="F407" s="107" t="n"/>
      <c r="G407" s="107" t="n"/>
      <c r="H407" s="107" t="n"/>
      <c r="I407" s="110">
        <f>IF($B407="","",$B407*(IsverenPayiOrani+IssizlikOrani))</f>
        <v/>
      </c>
    </row>
    <row r="408" ht="15" customHeight="1" s="62">
      <c r="A408" s="107" t="n"/>
      <c r="B408" s="108" t="n"/>
      <c r="C408" s="107" t="n"/>
      <c r="D408" s="107" t="n"/>
      <c r="E408" s="107" t="n"/>
      <c r="F408" s="107" t="n"/>
      <c r="G408" s="107" t="n"/>
      <c r="H408" s="107" t="n"/>
      <c r="I408" s="110">
        <f>IF($B408="","",$B408*(IsverenPayiOrani+IssizlikOrani))</f>
        <v/>
      </c>
    </row>
    <row r="409" ht="15" customHeight="1" s="62">
      <c r="A409" s="107" t="n"/>
      <c r="B409" s="108" t="n"/>
      <c r="C409" s="107" t="n"/>
      <c r="D409" s="107" t="n"/>
      <c r="E409" s="107" t="n"/>
      <c r="F409" s="107" t="n"/>
      <c r="G409" s="107" t="n"/>
      <c r="H409" s="107" t="n"/>
      <c r="I409" s="110">
        <f>IF($B409="","",$B409*(IsverenPayiOrani+IssizlikOrani))</f>
        <v/>
      </c>
    </row>
    <row r="410" ht="15" customHeight="1" s="62">
      <c r="A410" s="107" t="n"/>
      <c r="B410" s="108" t="n"/>
      <c r="C410" s="107" t="n"/>
      <c r="D410" s="107" t="n"/>
      <c r="E410" s="107" t="n"/>
      <c r="F410" s="107" t="n"/>
      <c r="G410" s="107" t="n"/>
      <c r="H410" s="107" t="n"/>
      <c r="I410" s="110">
        <f>IF($B410="","",$B410*(IsverenPayiOrani+IssizlikOrani))</f>
        <v/>
      </c>
    </row>
    <row r="411" ht="15" customHeight="1" s="62">
      <c r="A411" s="107" t="n"/>
      <c r="B411" s="108" t="n"/>
      <c r="C411" s="107" t="n"/>
      <c r="D411" s="107" t="n"/>
      <c r="E411" s="107" t="n"/>
      <c r="F411" s="107" t="n"/>
      <c r="G411" s="107" t="n"/>
      <c r="H411" s="107" t="n"/>
      <c r="I411" s="110">
        <f>IF($B411="","",$B411*(IsverenPayiOrani+IssizlikOrani))</f>
        <v/>
      </c>
    </row>
    <row r="412" ht="15" customHeight="1" s="62">
      <c r="A412" s="107" t="n"/>
      <c r="B412" s="108" t="n"/>
      <c r="C412" s="107" t="n"/>
      <c r="D412" s="107" t="n"/>
      <c r="E412" s="107" t="n"/>
      <c r="F412" s="107" t="n"/>
      <c r="G412" s="107" t="n"/>
      <c r="H412" s="107" t="n"/>
      <c r="I412" s="110">
        <f>IF($B412="","",$B412*(IsverenPayiOrani+IssizlikOrani))</f>
        <v/>
      </c>
    </row>
    <row r="413" ht="15" customHeight="1" s="62">
      <c r="A413" s="107" t="n"/>
      <c r="B413" s="108" t="n"/>
      <c r="C413" s="107" t="n"/>
      <c r="D413" s="107" t="n"/>
      <c r="E413" s="107" t="n"/>
      <c r="F413" s="107" t="n"/>
      <c r="G413" s="107" t="n"/>
      <c r="H413" s="107" t="n"/>
      <c r="I413" s="110">
        <f>IF($B413="","",$B413*(IsverenPayiOrani+IssizlikOrani))</f>
        <v/>
      </c>
    </row>
    <row r="414" ht="15" customHeight="1" s="62">
      <c r="A414" s="107" t="n"/>
      <c r="B414" s="108" t="n"/>
      <c r="C414" s="107" t="n"/>
      <c r="D414" s="107" t="n"/>
      <c r="E414" s="107" t="n"/>
      <c r="F414" s="107" t="n"/>
      <c r="G414" s="107" t="n"/>
      <c r="H414" s="107" t="n"/>
      <c r="I414" s="110">
        <f>IF($B414="","",$B414*(IsverenPayiOrani+IssizlikOrani))</f>
        <v/>
      </c>
    </row>
    <row r="415" ht="15" customHeight="1" s="62">
      <c r="A415" s="107" t="n"/>
      <c r="B415" s="108" t="n"/>
      <c r="C415" s="107" t="n"/>
      <c r="D415" s="107" t="n"/>
      <c r="E415" s="107" t="n"/>
      <c r="F415" s="107" t="n"/>
      <c r="G415" s="107" t="n"/>
      <c r="H415" s="107" t="n"/>
      <c r="I415" s="110">
        <f>IF($B415="","",$B415*(IsverenPayiOrani+IssizlikOrani))</f>
        <v/>
      </c>
    </row>
    <row r="416" ht="15" customHeight="1" s="62">
      <c r="A416" s="107" t="n"/>
      <c r="B416" s="108" t="n"/>
      <c r="C416" s="107" t="n"/>
      <c r="D416" s="107" t="n"/>
      <c r="E416" s="107" t="n"/>
      <c r="F416" s="107" t="n"/>
      <c r="G416" s="107" t="n"/>
      <c r="H416" s="107" t="n"/>
      <c r="I416" s="110">
        <f>IF($B416="","",$B416*(IsverenPayiOrani+IssizlikOrani))</f>
        <v/>
      </c>
    </row>
    <row r="417" ht="15" customHeight="1" s="62">
      <c r="A417" s="107" t="n"/>
      <c r="B417" s="108" t="n"/>
      <c r="C417" s="107" t="n"/>
      <c r="D417" s="107" t="n"/>
      <c r="E417" s="107" t="n"/>
      <c r="F417" s="107" t="n"/>
      <c r="G417" s="107" t="n"/>
      <c r="H417" s="107" t="n"/>
      <c r="I417" s="110">
        <f>IF($B417="","",$B417*(IsverenPayiOrani+IssizlikOrani))</f>
        <v/>
      </c>
    </row>
    <row r="418" ht="15" customHeight="1" s="62">
      <c r="A418" s="107" t="n"/>
      <c r="B418" s="108" t="n"/>
      <c r="C418" s="107" t="n"/>
      <c r="D418" s="107" t="n"/>
      <c r="E418" s="107" t="n"/>
      <c r="F418" s="107" t="n"/>
      <c r="G418" s="107" t="n"/>
      <c r="H418" s="107" t="n"/>
      <c r="I418" s="110">
        <f>IF($B418="","",$B418*(IsverenPayiOrani+IssizlikOrani))</f>
        <v/>
      </c>
    </row>
    <row r="419" ht="15" customHeight="1" s="62">
      <c r="A419" s="107" t="n"/>
      <c r="B419" s="108" t="n"/>
      <c r="C419" s="107" t="n"/>
      <c r="D419" s="107" t="n"/>
      <c r="E419" s="107" t="n"/>
      <c r="F419" s="107" t="n"/>
      <c r="G419" s="107" t="n"/>
      <c r="H419" s="107" t="n"/>
      <c r="I419" s="110">
        <f>IF($B419="","",$B419*(IsverenPayiOrani+IssizlikOrani))</f>
        <v/>
      </c>
    </row>
    <row r="420" ht="15" customHeight="1" s="62">
      <c r="A420" s="107" t="n"/>
      <c r="B420" s="108" t="n"/>
      <c r="C420" s="107" t="n"/>
      <c r="D420" s="107" t="n"/>
      <c r="E420" s="107" t="n"/>
      <c r="F420" s="107" t="n"/>
      <c r="G420" s="107" t="n"/>
      <c r="H420" s="107" t="n"/>
      <c r="I420" s="110">
        <f>IF($B420="","",$B420*(IsverenPayiOrani+IssizlikOrani))</f>
        <v/>
      </c>
    </row>
    <row r="421" ht="15" customHeight="1" s="62">
      <c r="A421" s="107" t="n"/>
      <c r="B421" s="108" t="n"/>
      <c r="C421" s="107" t="n"/>
      <c r="D421" s="107" t="n"/>
      <c r="E421" s="107" t="n"/>
      <c r="F421" s="107" t="n"/>
      <c r="G421" s="107" t="n"/>
      <c r="H421" s="107" t="n"/>
      <c r="I421" s="110">
        <f>IF($B421="","",$B421*(IsverenPayiOrani+IssizlikOrani))</f>
        <v/>
      </c>
    </row>
    <row r="422" ht="15" customHeight="1" s="62">
      <c r="A422" s="107" t="n"/>
      <c r="B422" s="108" t="n"/>
      <c r="C422" s="107" t="n"/>
      <c r="D422" s="107" t="n"/>
      <c r="E422" s="107" t="n"/>
      <c r="F422" s="107" t="n"/>
      <c r="G422" s="107" t="n"/>
      <c r="H422" s="107" t="n"/>
      <c r="I422" s="110">
        <f>IF($B422="","",$B422*(IsverenPayiOrani+IssizlikOrani))</f>
        <v/>
      </c>
    </row>
    <row r="423" ht="15" customHeight="1" s="62">
      <c r="A423" s="107" t="n"/>
      <c r="B423" s="108" t="n"/>
      <c r="C423" s="107" t="n"/>
      <c r="D423" s="107" t="n"/>
      <c r="E423" s="107" t="n"/>
      <c r="F423" s="107" t="n"/>
      <c r="G423" s="107" t="n"/>
      <c r="H423" s="107" t="n"/>
      <c r="I423" s="110">
        <f>IF($B423="","",$B423*(IsverenPayiOrani+IssizlikOrani))</f>
        <v/>
      </c>
    </row>
    <row r="424" ht="15" customHeight="1" s="62">
      <c r="A424" s="107" t="n"/>
      <c r="B424" s="108" t="n"/>
      <c r="C424" s="107" t="n"/>
      <c r="D424" s="107" t="n"/>
      <c r="E424" s="107" t="n"/>
      <c r="F424" s="107" t="n"/>
      <c r="G424" s="107" t="n"/>
      <c r="H424" s="107" t="n"/>
      <c r="I424" s="110">
        <f>IF($B424="","",$B424*(IsverenPayiOrani+IssizlikOrani))</f>
        <v/>
      </c>
    </row>
    <row r="425" ht="15" customHeight="1" s="62">
      <c r="A425" s="107" t="n"/>
      <c r="B425" s="108" t="n"/>
      <c r="C425" s="107" t="n"/>
      <c r="D425" s="107" t="n"/>
      <c r="E425" s="107" t="n"/>
      <c r="F425" s="107" t="n"/>
      <c r="G425" s="107" t="n"/>
      <c r="H425" s="107" t="n"/>
      <c r="I425" s="110">
        <f>IF($B425="","",$B425*(IsverenPayiOrani+IssizlikOrani))</f>
        <v/>
      </c>
    </row>
    <row r="426" ht="15" customHeight="1" s="62">
      <c r="A426" s="107" t="n"/>
      <c r="B426" s="108" t="n"/>
      <c r="C426" s="107" t="n"/>
      <c r="D426" s="107" t="n"/>
      <c r="E426" s="107" t="n"/>
      <c r="F426" s="107" t="n"/>
      <c r="G426" s="107" t="n"/>
      <c r="H426" s="107" t="n"/>
      <c r="I426" s="110">
        <f>IF($B426="","",$B426*(IsverenPayiOrani+IssizlikOrani))</f>
        <v/>
      </c>
    </row>
    <row r="427" ht="15" customHeight="1" s="62">
      <c r="A427" s="107" t="n"/>
      <c r="B427" s="108" t="n"/>
      <c r="C427" s="107" t="n"/>
      <c r="D427" s="107" t="n"/>
      <c r="E427" s="107" t="n"/>
      <c r="F427" s="107" t="n"/>
      <c r="G427" s="107" t="n"/>
      <c r="H427" s="107" t="n"/>
      <c r="I427" s="110">
        <f>IF($B427="","",$B427*(IsverenPayiOrani+IssizlikOrani))</f>
        <v/>
      </c>
    </row>
    <row r="428" ht="15" customHeight="1" s="62">
      <c r="A428" s="107" t="n"/>
      <c r="B428" s="108" t="n"/>
      <c r="C428" s="107" t="n"/>
      <c r="D428" s="107" t="n"/>
      <c r="E428" s="107" t="n"/>
      <c r="F428" s="107" t="n"/>
      <c r="G428" s="107" t="n"/>
      <c r="H428" s="107" t="n"/>
      <c r="I428" s="110">
        <f>IF($B428="","",$B428*(IsverenPayiOrani+IssizlikOrani))</f>
        <v/>
      </c>
    </row>
    <row r="429" ht="15" customHeight="1" s="62">
      <c r="A429" s="107" t="n"/>
      <c r="B429" s="108" t="n"/>
      <c r="C429" s="107" t="n"/>
      <c r="D429" s="107" t="n"/>
      <c r="E429" s="107" t="n"/>
      <c r="F429" s="107" t="n"/>
      <c r="G429" s="107" t="n"/>
      <c r="H429" s="107" t="n"/>
      <c r="I429" s="110">
        <f>IF($B429="","",$B429*(IsverenPayiOrani+IssizlikOrani))</f>
        <v/>
      </c>
    </row>
    <row r="430" ht="15" customHeight="1" s="62">
      <c r="A430" s="107" t="n"/>
      <c r="B430" s="108" t="n"/>
      <c r="C430" s="107" t="n"/>
      <c r="D430" s="107" t="n"/>
      <c r="E430" s="107" t="n"/>
      <c r="F430" s="107" t="n"/>
      <c r="G430" s="107" t="n"/>
      <c r="H430" s="107" t="n"/>
      <c r="I430" s="110">
        <f>IF($B430="","",$B430*(IsverenPayiOrani+IssizlikOrani))</f>
        <v/>
      </c>
    </row>
    <row r="431" ht="15" customHeight="1" s="62">
      <c r="A431" s="107" t="n"/>
      <c r="B431" s="108" t="n"/>
      <c r="C431" s="107" t="n"/>
      <c r="D431" s="107" t="n"/>
      <c r="E431" s="107" t="n"/>
      <c r="F431" s="107" t="n"/>
      <c r="G431" s="107" t="n"/>
      <c r="H431" s="107" t="n"/>
      <c r="I431" s="110">
        <f>IF($B431="","",$B431*(IsverenPayiOrani+IssizlikOrani))</f>
        <v/>
      </c>
    </row>
    <row r="432" ht="15" customHeight="1" s="62">
      <c r="A432" s="107" t="n"/>
      <c r="B432" s="108" t="n"/>
      <c r="C432" s="107" t="n"/>
      <c r="D432" s="107" t="n"/>
      <c r="E432" s="107" t="n"/>
      <c r="F432" s="107" t="n"/>
      <c r="G432" s="107" t="n"/>
      <c r="H432" s="107" t="n"/>
      <c r="I432" s="110">
        <f>IF($B432="","",$B432*(IsverenPayiOrani+IssizlikOrani))</f>
        <v/>
      </c>
    </row>
    <row r="433" ht="15" customHeight="1" s="62">
      <c r="A433" s="107" t="n"/>
      <c r="B433" s="108" t="n"/>
      <c r="C433" s="107" t="n"/>
      <c r="D433" s="107" t="n"/>
      <c r="E433" s="107" t="n"/>
      <c r="F433" s="107" t="n"/>
      <c r="G433" s="107" t="n"/>
      <c r="H433" s="107" t="n"/>
      <c r="I433" s="110">
        <f>IF($B433="","",$B433*(IsverenPayiOrani+IssizlikOrani))</f>
        <v/>
      </c>
    </row>
    <row r="434" ht="15" customHeight="1" s="62">
      <c r="A434" s="107" t="n"/>
      <c r="B434" s="108" t="n"/>
      <c r="C434" s="107" t="n"/>
      <c r="D434" s="107" t="n"/>
      <c r="E434" s="107" t="n"/>
      <c r="F434" s="107" t="n"/>
      <c r="G434" s="107" t="n"/>
      <c r="H434" s="107" t="n"/>
      <c r="I434" s="110">
        <f>IF($B434="","",$B434*(IsverenPayiOrani+IssizlikOrani))</f>
        <v/>
      </c>
    </row>
    <row r="435" ht="15" customHeight="1" s="62">
      <c r="A435" s="107" t="n"/>
      <c r="B435" s="108" t="n"/>
      <c r="C435" s="107" t="n"/>
      <c r="D435" s="107" t="n"/>
      <c r="E435" s="107" t="n"/>
      <c r="F435" s="107" t="n"/>
      <c r="G435" s="107" t="n"/>
      <c r="H435" s="107" t="n"/>
      <c r="I435" s="110">
        <f>IF($B435="","",$B435*(IsverenPayiOrani+IssizlikOrani))</f>
        <v/>
      </c>
    </row>
    <row r="436" ht="15" customHeight="1" s="62">
      <c r="A436" s="107" t="n"/>
      <c r="B436" s="108" t="n"/>
      <c r="C436" s="107" t="n"/>
      <c r="D436" s="107" t="n"/>
      <c r="E436" s="107" t="n"/>
      <c r="F436" s="107" t="n"/>
      <c r="G436" s="107" t="n"/>
      <c r="H436" s="107" t="n"/>
      <c r="I436" s="110">
        <f>IF($B436="","",$B436*(IsverenPayiOrani+IssizlikOrani))</f>
        <v/>
      </c>
    </row>
    <row r="437" ht="15" customHeight="1" s="62">
      <c r="A437" s="107" t="n"/>
      <c r="B437" s="108" t="n"/>
      <c r="C437" s="107" t="n"/>
      <c r="D437" s="107" t="n"/>
      <c r="E437" s="107" t="n"/>
      <c r="F437" s="107" t="n"/>
      <c r="G437" s="107" t="n"/>
      <c r="H437" s="107" t="n"/>
      <c r="I437" s="110">
        <f>IF($B437="","",$B437*(IsverenPayiOrani+IssizlikOrani))</f>
        <v/>
      </c>
    </row>
    <row r="438" ht="15" customHeight="1" s="62">
      <c r="A438" s="107" t="n"/>
      <c r="B438" s="108" t="n"/>
      <c r="C438" s="107" t="n"/>
      <c r="D438" s="107" t="n"/>
      <c r="E438" s="107" t="n"/>
      <c r="F438" s="107" t="n"/>
      <c r="G438" s="107" t="n"/>
      <c r="H438" s="107" t="n"/>
      <c r="I438" s="110">
        <f>IF($B438="","",$B438*(IsverenPayiOrani+IssizlikOrani))</f>
        <v/>
      </c>
    </row>
    <row r="439" ht="15" customHeight="1" s="62">
      <c r="A439" s="107" t="n"/>
      <c r="B439" s="108" t="n"/>
      <c r="C439" s="107" t="n"/>
      <c r="D439" s="107" t="n"/>
      <c r="E439" s="107" t="n"/>
      <c r="F439" s="107" t="n"/>
      <c r="G439" s="107" t="n"/>
      <c r="H439" s="107" t="n"/>
      <c r="I439" s="110">
        <f>IF($B439="","",$B439*(IsverenPayiOrani+IssizlikOrani))</f>
        <v/>
      </c>
    </row>
    <row r="440" ht="15" customHeight="1" s="62">
      <c r="A440" s="107" t="n"/>
      <c r="B440" s="108" t="n"/>
      <c r="C440" s="107" t="n"/>
      <c r="D440" s="107" t="n"/>
      <c r="E440" s="107" t="n"/>
      <c r="F440" s="107" t="n"/>
      <c r="G440" s="107" t="n"/>
      <c r="H440" s="107" t="n"/>
      <c r="I440" s="110">
        <f>IF($B440="","",$B440*(IsverenPayiOrani+IssizlikOrani))</f>
        <v/>
      </c>
    </row>
    <row r="441" ht="15" customHeight="1" s="62">
      <c r="A441" s="107" t="n"/>
      <c r="B441" s="108" t="n"/>
      <c r="C441" s="107" t="n"/>
      <c r="D441" s="107" t="n"/>
      <c r="E441" s="107" t="n"/>
      <c r="F441" s="107" t="n"/>
      <c r="G441" s="107" t="n"/>
      <c r="H441" s="107" t="n"/>
      <c r="I441" s="110">
        <f>IF($B441="","",$B441*(IsverenPayiOrani+IssizlikOrani))</f>
        <v/>
      </c>
    </row>
    <row r="442" ht="15" customHeight="1" s="62">
      <c r="A442" s="107" t="n"/>
      <c r="B442" s="108" t="n"/>
      <c r="C442" s="107" t="n"/>
      <c r="D442" s="107" t="n"/>
      <c r="E442" s="107" t="n"/>
      <c r="F442" s="107" t="n"/>
      <c r="G442" s="107" t="n"/>
      <c r="H442" s="107" t="n"/>
      <c r="I442" s="110">
        <f>IF($B442="","",$B442*(IsverenPayiOrani+IssizlikOrani))</f>
        <v/>
      </c>
    </row>
    <row r="443" ht="15" customHeight="1" s="62">
      <c r="A443" s="107" t="n"/>
      <c r="B443" s="108" t="n"/>
      <c r="C443" s="107" t="n"/>
      <c r="D443" s="107" t="n"/>
      <c r="E443" s="107" t="n"/>
      <c r="F443" s="107" t="n"/>
      <c r="G443" s="107" t="n"/>
      <c r="H443" s="107" t="n"/>
      <c r="I443" s="110">
        <f>IF($B443="","",$B443*(IsverenPayiOrani+IssizlikOrani))</f>
        <v/>
      </c>
    </row>
    <row r="444" ht="15" customHeight="1" s="62">
      <c r="A444" s="107" t="n"/>
      <c r="B444" s="108" t="n"/>
      <c r="C444" s="107" t="n"/>
      <c r="D444" s="107" t="n"/>
      <c r="E444" s="107" t="n"/>
      <c r="F444" s="107" t="n"/>
      <c r="G444" s="107" t="n"/>
      <c r="H444" s="107" t="n"/>
      <c r="I444" s="110">
        <f>IF($B444="","",$B444*(IsverenPayiOrani+IssizlikOrani))</f>
        <v/>
      </c>
    </row>
    <row r="445" ht="15" customHeight="1" s="62">
      <c r="A445" s="107" t="n"/>
      <c r="B445" s="108" t="n"/>
      <c r="C445" s="107" t="n"/>
      <c r="D445" s="107" t="n"/>
      <c r="E445" s="107" t="n"/>
      <c r="F445" s="107" t="n"/>
      <c r="G445" s="107" t="n"/>
      <c r="H445" s="107" t="n"/>
      <c r="I445" s="110">
        <f>IF($B445="","",$B445*(IsverenPayiOrani+IssizlikOrani))</f>
        <v/>
      </c>
    </row>
    <row r="446" ht="15" customHeight="1" s="62">
      <c r="A446" s="107" t="n"/>
      <c r="B446" s="108" t="n"/>
      <c r="C446" s="107" t="n"/>
      <c r="D446" s="107" t="n"/>
      <c r="E446" s="107" t="n"/>
      <c r="F446" s="107" t="n"/>
      <c r="G446" s="107" t="n"/>
      <c r="H446" s="107" t="n"/>
      <c r="I446" s="110">
        <f>IF($B446="","",$B446*(IsverenPayiOrani+IssizlikOrani))</f>
        <v/>
      </c>
    </row>
    <row r="447" ht="15" customHeight="1" s="62">
      <c r="A447" s="107" t="n"/>
      <c r="B447" s="108" t="n"/>
      <c r="C447" s="107" t="n"/>
      <c r="D447" s="107" t="n"/>
      <c r="E447" s="107" t="n"/>
      <c r="F447" s="107" t="n"/>
      <c r="G447" s="107" t="n"/>
      <c r="H447" s="107" t="n"/>
      <c r="I447" s="110">
        <f>IF($B447="","",$B447*(IsverenPayiOrani+IssizlikOrani))</f>
        <v/>
      </c>
    </row>
    <row r="448" ht="15" customHeight="1" s="62">
      <c r="A448" s="107" t="n"/>
      <c r="B448" s="108" t="n"/>
      <c r="C448" s="107" t="n"/>
      <c r="D448" s="107" t="n"/>
      <c r="E448" s="107" t="n"/>
      <c r="F448" s="107" t="n"/>
      <c r="G448" s="107" t="n"/>
      <c r="H448" s="107" t="n"/>
      <c r="I448" s="110">
        <f>IF($B448="","",$B448*(IsverenPayiOrani+IssizlikOrani))</f>
        <v/>
      </c>
    </row>
    <row r="449" ht="15" customHeight="1" s="62">
      <c r="A449" s="107" t="n"/>
      <c r="B449" s="108" t="n"/>
      <c r="C449" s="107" t="n"/>
      <c r="D449" s="107" t="n"/>
      <c r="E449" s="107" t="n"/>
      <c r="F449" s="107" t="n"/>
      <c r="G449" s="107" t="n"/>
      <c r="H449" s="107" t="n"/>
      <c r="I449" s="110">
        <f>IF($B449="","",$B449*(IsverenPayiOrani+IssizlikOrani))</f>
        <v/>
      </c>
    </row>
    <row r="450" ht="15" customHeight="1" s="62">
      <c r="A450" s="107" t="n"/>
      <c r="B450" s="108" t="n"/>
      <c r="C450" s="107" t="n"/>
      <c r="D450" s="107" t="n"/>
      <c r="E450" s="107" t="n"/>
      <c r="F450" s="107" t="n"/>
      <c r="G450" s="107" t="n"/>
      <c r="H450" s="107" t="n"/>
      <c r="I450" s="110">
        <f>IF($B450="","",$B450*(IsverenPayiOrani+IssizlikOrani))</f>
        <v/>
      </c>
    </row>
    <row r="451" ht="15" customHeight="1" s="62">
      <c r="A451" s="107" t="n"/>
      <c r="B451" s="108" t="n"/>
      <c r="C451" s="107" t="n"/>
      <c r="D451" s="107" t="n"/>
      <c r="E451" s="107" t="n"/>
      <c r="F451" s="107" t="n"/>
      <c r="G451" s="107" t="n"/>
      <c r="H451" s="107" t="n"/>
      <c r="I451" s="110">
        <f>IF($B451="","",$B451*(IsverenPayiOrani+IssizlikOrani))</f>
        <v/>
      </c>
    </row>
    <row r="452" ht="15" customHeight="1" s="62">
      <c r="A452" s="107" t="n"/>
      <c r="B452" s="108" t="n"/>
      <c r="C452" s="107" t="n"/>
      <c r="D452" s="107" t="n"/>
      <c r="E452" s="107" t="n"/>
      <c r="F452" s="107" t="n"/>
      <c r="G452" s="107" t="n"/>
      <c r="H452" s="107" t="n"/>
      <c r="I452" s="110">
        <f>IF($B452="","",$B452*(IsverenPayiOrani+IssizlikOrani))</f>
        <v/>
      </c>
    </row>
    <row r="453" ht="15" customHeight="1" s="62">
      <c r="A453" s="107" t="n"/>
      <c r="B453" s="108" t="n"/>
      <c r="C453" s="107" t="n"/>
      <c r="D453" s="107" t="n"/>
      <c r="E453" s="107" t="n"/>
      <c r="F453" s="107" t="n"/>
      <c r="G453" s="107" t="n"/>
      <c r="H453" s="107" t="n"/>
      <c r="I453" s="110">
        <f>IF($B453="","",$B453*(IsverenPayiOrani+IssizlikOrani))</f>
        <v/>
      </c>
    </row>
    <row r="454" ht="15" customHeight="1" s="62">
      <c r="A454" s="107" t="n"/>
      <c r="B454" s="108" t="n"/>
      <c r="C454" s="107" t="n"/>
      <c r="D454" s="107" t="n"/>
      <c r="E454" s="107" t="n"/>
      <c r="F454" s="107" t="n"/>
      <c r="G454" s="107" t="n"/>
      <c r="H454" s="107" t="n"/>
      <c r="I454" s="110">
        <f>IF($B454="","",$B454*(IsverenPayiOrani+IssizlikOrani))</f>
        <v/>
      </c>
    </row>
    <row r="455" ht="15" customHeight="1" s="62">
      <c r="A455" s="107" t="n"/>
      <c r="B455" s="108" t="n"/>
      <c r="C455" s="107" t="n"/>
      <c r="D455" s="107" t="n"/>
      <c r="E455" s="107" t="n"/>
      <c r="F455" s="107" t="n"/>
      <c r="G455" s="107" t="n"/>
      <c r="H455" s="107" t="n"/>
      <c r="I455" s="110">
        <f>IF($B455="","",$B455*(IsverenPayiOrani+IssizlikOrani))</f>
        <v/>
      </c>
    </row>
    <row r="456" ht="15" customHeight="1" s="62">
      <c r="A456" s="107" t="n"/>
      <c r="B456" s="108" t="n"/>
      <c r="C456" s="107" t="n"/>
      <c r="D456" s="107" t="n"/>
      <c r="E456" s="107" t="n"/>
      <c r="F456" s="107" t="n"/>
      <c r="G456" s="107" t="n"/>
      <c r="H456" s="107" t="n"/>
      <c r="I456" s="110">
        <f>IF($B456="","",$B456*(IsverenPayiOrani+IssizlikOrani))</f>
        <v/>
      </c>
    </row>
    <row r="457" ht="15" customHeight="1" s="62">
      <c r="A457" s="107" t="n"/>
      <c r="B457" s="108" t="n"/>
      <c r="C457" s="107" t="n"/>
      <c r="D457" s="107" t="n"/>
      <c r="E457" s="107" t="n"/>
      <c r="F457" s="107" t="n"/>
      <c r="G457" s="107" t="n"/>
      <c r="H457" s="107" t="n"/>
      <c r="I457" s="110">
        <f>IF($B457="","",$B457*(IsverenPayiOrani+IssizlikOrani))</f>
        <v/>
      </c>
    </row>
    <row r="458" ht="15" customHeight="1" s="62">
      <c r="A458" s="107" t="n"/>
      <c r="B458" s="108" t="n"/>
      <c r="C458" s="107" t="n"/>
      <c r="D458" s="107" t="n"/>
      <c r="E458" s="107" t="n"/>
      <c r="F458" s="107" t="n"/>
      <c r="G458" s="107" t="n"/>
      <c r="H458" s="107" t="n"/>
      <c r="I458" s="110">
        <f>IF($B458="","",$B458*(IsverenPayiOrani+IssizlikOrani))</f>
        <v/>
      </c>
    </row>
    <row r="459" ht="15" customHeight="1" s="62">
      <c r="A459" s="107" t="n"/>
      <c r="B459" s="108" t="n"/>
      <c r="C459" s="107" t="n"/>
      <c r="D459" s="107" t="n"/>
      <c r="E459" s="107" t="n"/>
      <c r="F459" s="107" t="n"/>
      <c r="G459" s="107" t="n"/>
      <c r="H459" s="107" t="n"/>
      <c r="I459" s="110">
        <f>IF($B459="","",$B459*(IsverenPayiOrani+IssizlikOrani))</f>
        <v/>
      </c>
    </row>
    <row r="460" ht="15" customHeight="1" s="62">
      <c r="A460" s="107" t="n"/>
      <c r="B460" s="108" t="n"/>
      <c r="C460" s="107" t="n"/>
      <c r="D460" s="107" t="n"/>
      <c r="E460" s="107" t="n"/>
      <c r="F460" s="107" t="n"/>
      <c r="G460" s="107" t="n"/>
      <c r="H460" s="107" t="n"/>
      <c r="I460" s="110">
        <f>IF($B460="","",$B460*(IsverenPayiOrani+IssizlikOrani))</f>
        <v/>
      </c>
    </row>
    <row r="461" ht="15" customHeight="1" s="62">
      <c r="A461" s="107" t="n"/>
      <c r="B461" s="108" t="n"/>
      <c r="C461" s="107" t="n"/>
      <c r="D461" s="107" t="n"/>
      <c r="E461" s="107" t="n"/>
      <c r="F461" s="107" t="n"/>
      <c r="G461" s="107" t="n"/>
      <c r="H461" s="107" t="n"/>
      <c r="I461" s="110">
        <f>IF($B461="","",$B461*(IsverenPayiOrani+IssizlikOrani))</f>
        <v/>
      </c>
    </row>
    <row r="462" ht="15" customHeight="1" s="62">
      <c r="A462" s="107" t="n"/>
      <c r="B462" s="108" t="n"/>
      <c r="C462" s="107" t="n"/>
      <c r="D462" s="107" t="n"/>
      <c r="E462" s="107" t="n"/>
      <c r="F462" s="107" t="n"/>
      <c r="G462" s="107" t="n"/>
      <c r="H462" s="107" t="n"/>
      <c r="I462" s="110">
        <f>IF($B462="","",$B462*(IsverenPayiOrani+IssizlikOrani))</f>
        <v/>
      </c>
    </row>
    <row r="463" ht="15" customHeight="1" s="62">
      <c r="A463" s="107" t="n"/>
      <c r="B463" s="108" t="n"/>
      <c r="C463" s="107" t="n"/>
      <c r="D463" s="107" t="n"/>
      <c r="E463" s="107" t="n"/>
      <c r="F463" s="107" t="n"/>
      <c r="G463" s="107" t="n"/>
      <c r="H463" s="107" t="n"/>
      <c r="I463" s="110">
        <f>IF($B463="","",$B463*(IsverenPayiOrani+IssizlikOrani))</f>
        <v/>
      </c>
    </row>
    <row r="464" ht="15" customHeight="1" s="62">
      <c r="A464" s="107" t="n"/>
      <c r="B464" s="108" t="n"/>
      <c r="C464" s="107" t="n"/>
      <c r="D464" s="107" t="n"/>
      <c r="E464" s="107" t="n"/>
      <c r="F464" s="107" t="n"/>
      <c r="G464" s="107" t="n"/>
      <c r="H464" s="107" t="n"/>
      <c r="I464" s="110">
        <f>IF($B464="","",$B464*(IsverenPayiOrani+IssizlikOrani))</f>
        <v/>
      </c>
    </row>
    <row r="465" ht="15" customHeight="1" s="62">
      <c r="A465" s="107" t="n"/>
      <c r="B465" s="108" t="n"/>
      <c r="C465" s="107" t="n"/>
      <c r="D465" s="107" t="n"/>
      <c r="E465" s="107" t="n"/>
      <c r="F465" s="107" t="n"/>
      <c r="G465" s="107" t="n"/>
      <c r="H465" s="107" t="n"/>
      <c r="I465" s="110">
        <f>IF($B465="","",$B465*(IsverenPayiOrani+IssizlikOrani))</f>
        <v/>
      </c>
    </row>
    <row r="466" ht="15" customHeight="1" s="62">
      <c r="A466" s="107" t="n"/>
      <c r="B466" s="108" t="n"/>
      <c r="C466" s="107" t="n"/>
      <c r="D466" s="107" t="n"/>
      <c r="E466" s="107" t="n"/>
      <c r="F466" s="107" t="n"/>
      <c r="G466" s="107" t="n"/>
      <c r="H466" s="107" t="n"/>
      <c r="I466" s="110">
        <f>IF($B466="","",$B466*(IsverenPayiOrani+IssizlikOrani))</f>
        <v/>
      </c>
    </row>
    <row r="467" ht="15" customHeight="1" s="62">
      <c r="A467" s="107" t="n"/>
      <c r="B467" s="108" t="n"/>
      <c r="C467" s="107" t="n"/>
      <c r="D467" s="107" t="n"/>
      <c r="E467" s="107" t="n"/>
      <c r="F467" s="107" t="n"/>
      <c r="G467" s="107" t="n"/>
      <c r="H467" s="107" t="n"/>
      <c r="I467" s="110">
        <f>IF($B467="","",$B467*(IsverenPayiOrani+IssizlikOrani))</f>
        <v/>
      </c>
    </row>
    <row r="468" ht="15" customHeight="1" s="62">
      <c r="A468" s="107" t="n"/>
      <c r="B468" s="108" t="n"/>
      <c r="C468" s="107" t="n"/>
      <c r="D468" s="107" t="n"/>
      <c r="E468" s="107" t="n"/>
      <c r="F468" s="107" t="n"/>
      <c r="G468" s="107" t="n"/>
      <c r="H468" s="107" t="n"/>
      <c r="I468" s="110">
        <f>IF($B468="","",$B468*(IsverenPayiOrani+IssizlikOrani))</f>
        <v/>
      </c>
    </row>
    <row r="469" ht="15" customHeight="1" s="62">
      <c r="A469" s="107" t="n"/>
      <c r="B469" s="108" t="n"/>
      <c r="C469" s="107" t="n"/>
      <c r="D469" s="107" t="n"/>
      <c r="E469" s="107" t="n"/>
      <c r="F469" s="107" t="n"/>
      <c r="G469" s="107" t="n"/>
      <c r="H469" s="107" t="n"/>
      <c r="I469" s="110">
        <f>IF($B469="","",$B469*(IsverenPayiOrani+IssizlikOrani))</f>
        <v/>
      </c>
    </row>
    <row r="470" ht="15" customHeight="1" s="62">
      <c r="A470" s="107" t="n"/>
      <c r="B470" s="108" t="n"/>
      <c r="C470" s="107" t="n"/>
      <c r="D470" s="107" t="n"/>
      <c r="E470" s="107" t="n"/>
      <c r="F470" s="107" t="n"/>
      <c r="G470" s="107" t="n"/>
      <c r="H470" s="107" t="n"/>
      <c r="I470" s="110">
        <f>IF($B470="","",$B470*(IsverenPayiOrani+IssizlikOrani))</f>
        <v/>
      </c>
    </row>
    <row r="471" ht="15" customHeight="1" s="62">
      <c r="A471" s="107" t="n"/>
      <c r="B471" s="108" t="n"/>
      <c r="C471" s="107" t="n"/>
      <c r="D471" s="107" t="n"/>
      <c r="E471" s="107" t="n"/>
      <c r="F471" s="107" t="n"/>
      <c r="G471" s="107" t="n"/>
      <c r="H471" s="107" t="n"/>
      <c r="I471" s="110">
        <f>IF($B471="","",$B471*(IsverenPayiOrani+IssizlikOrani))</f>
        <v/>
      </c>
    </row>
    <row r="472" ht="15" customHeight="1" s="62">
      <c r="A472" s="107" t="n"/>
      <c r="B472" s="108" t="n"/>
      <c r="C472" s="107" t="n"/>
      <c r="D472" s="107" t="n"/>
      <c r="E472" s="107" t="n"/>
      <c r="F472" s="107" t="n"/>
      <c r="G472" s="107" t="n"/>
      <c r="H472" s="107" t="n"/>
      <c r="I472" s="110">
        <f>IF($B472="","",$B472*(IsverenPayiOrani+IssizlikOrani))</f>
        <v/>
      </c>
    </row>
    <row r="473" ht="15" customHeight="1" s="62">
      <c r="A473" s="107" t="n"/>
      <c r="B473" s="108" t="n"/>
      <c r="C473" s="107" t="n"/>
      <c r="D473" s="107" t="n"/>
      <c r="E473" s="107" t="n"/>
      <c r="F473" s="107" t="n"/>
      <c r="G473" s="107" t="n"/>
      <c r="H473" s="107" t="n"/>
      <c r="I473" s="110">
        <f>IF($B473="","",$B473*(IsverenPayiOrani+IssizlikOrani))</f>
        <v/>
      </c>
    </row>
    <row r="474" ht="15" customHeight="1" s="62">
      <c r="A474" s="107" t="n"/>
      <c r="B474" s="108" t="n"/>
      <c r="C474" s="107" t="n"/>
      <c r="D474" s="107" t="n"/>
      <c r="E474" s="107" t="n"/>
      <c r="F474" s="107" t="n"/>
      <c r="G474" s="107" t="n"/>
      <c r="H474" s="107" t="n"/>
      <c r="I474" s="110">
        <f>IF($B474="","",$B474*(IsverenPayiOrani+IssizlikOrani))</f>
        <v/>
      </c>
    </row>
    <row r="475" ht="15" customHeight="1" s="62">
      <c r="A475" s="107" t="n"/>
      <c r="B475" s="108" t="n"/>
      <c r="C475" s="107" t="n"/>
      <c r="D475" s="107" t="n"/>
      <c r="E475" s="107" t="n"/>
      <c r="F475" s="107" t="n"/>
      <c r="G475" s="107" t="n"/>
      <c r="H475" s="107" t="n"/>
      <c r="I475" s="110">
        <f>IF($B475="","",$B475*(IsverenPayiOrani+IssizlikOrani))</f>
        <v/>
      </c>
    </row>
    <row r="476" ht="15" customHeight="1" s="62">
      <c r="A476" s="107" t="n"/>
      <c r="B476" s="108" t="n"/>
      <c r="C476" s="107" t="n"/>
      <c r="D476" s="107" t="n"/>
      <c r="E476" s="107" t="n"/>
      <c r="F476" s="107" t="n"/>
      <c r="G476" s="107" t="n"/>
      <c r="H476" s="107" t="n"/>
      <c r="I476" s="110">
        <f>IF($B476="","",$B476*(IsverenPayiOrani+IssizlikOrani))</f>
        <v/>
      </c>
    </row>
    <row r="477" ht="15" customHeight="1" s="62">
      <c r="A477" s="107" t="n"/>
      <c r="B477" s="108" t="n"/>
      <c r="C477" s="107" t="n"/>
      <c r="D477" s="107" t="n"/>
      <c r="E477" s="107" t="n"/>
      <c r="F477" s="107" t="n"/>
      <c r="G477" s="107" t="n"/>
      <c r="H477" s="107" t="n"/>
      <c r="I477" s="110">
        <f>IF($B477="","",$B477*(IsverenPayiOrani+IssizlikOrani))</f>
        <v/>
      </c>
    </row>
    <row r="478" ht="15" customHeight="1" s="62">
      <c r="A478" s="107" t="n"/>
      <c r="B478" s="108" t="n"/>
      <c r="C478" s="107" t="n"/>
      <c r="D478" s="107" t="n"/>
      <c r="E478" s="107" t="n"/>
      <c r="F478" s="107" t="n"/>
      <c r="G478" s="107" t="n"/>
      <c r="H478" s="107" t="n"/>
      <c r="I478" s="110">
        <f>IF($B478="","",$B478*(IsverenPayiOrani+IssizlikOrani))</f>
        <v/>
      </c>
    </row>
    <row r="479" ht="15" customHeight="1" s="62">
      <c r="A479" s="107" t="n"/>
      <c r="B479" s="108" t="n"/>
      <c r="C479" s="107" t="n"/>
      <c r="D479" s="107" t="n"/>
      <c r="E479" s="107" t="n"/>
      <c r="F479" s="107" t="n"/>
      <c r="G479" s="107" t="n"/>
      <c r="H479" s="107" t="n"/>
      <c r="I479" s="110">
        <f>IF($B479="","",$B479*(IsverenPayiOrani+IssizlikOrani))</f>
        <v/>
      </c>
    </row>
    <row r="480" ht="15" customHeight="1" s="62">
      <c r="A480" s="107" t="n"/>
      <c r="B480" s="108" t="n"/>
      <c r="C480" s="107" t="n"/>
      <c r="D480" s="107" t="n"/>
      <c r="E480" s="107" t="n"/>
      <c r="F480" s="107" t="n"/>
      <c r="G480" s="107" t="n"/>
      <c r="H480" s="107" t="n"/>
      <c r="I480" s="110">
        <f>IF($B480="","",$B480*(IsverenPayiOrani+IssizlikOrani))</f>
        <v/>
      </c>
    </row>
    <row r="481" ht="15" customHeight="1" s="62">
      <c r="A481" s="107" t="n"/>
      <c r="B481" s="108" t="n"/>
      <c r="C481" s="107" t="n"/>
      <c r="D481" s="107" t="n"/>
      <c r="E481" s="107" t="n"/>
      <c r="F481" s="107" t="n"/>
      <c r="G481" s="107" t="n"/>
      <c r="H481" s="107" t="n"/>
      <c r="I481" s="110">
        <f>IF($B481="","",$B481*(IsverenPayiOrani+IssizlikOrani))</f>
        <v/>
      </c>
    </row>
    <row r="482" ht="15" customHeight="1" s="62">
      <c r="A482" s="107" t="n"/>
      <c r="B482" s="108" t="n"/>
      <c r="C482" s="107" t="n"/>
      <c r="D482" s="107" t="n"/>
      <c r="E482" s="107" t="n"/>
      <c r="F482" s="107" t="n"/>
      <c r="G482" s="107" t="n"/>
      <c r="H482" s="107" t="n"/>
      <c r="I482" s="110">
        <f>IF($B482="","",$B482*(IsverenPayiOrani+IssizlikOrani))</f>
        <v/>
      </c>
    </row>
    <row r="483" ht="15" customHeight="1" s="62">
      <c r="A483" s="107" t="n"/>
      <c r="B483" s="108" t="n"/>
      <c r="C483" s="107" t="n"/>
      <c r="D483" s="107" t="n"/>
      <c r="E483" s="107" t="n"/>
      <c r="F483" s="107" t="n"/>
      <c r="G483" s="107" t="n"/>
      <c r="H483" s="107" t="n"/>
      <c r="I483" s="110">
        <f>IF($B483="","",$B483*(IsverenPayiOrani+IssizlikOrani))</f>
        <v/>
      </c>
    </row>
    <row r="484" ht="15" customHeight="1" s="62">
      <c r="A484" s="107" t="n"/>
      <c r="B484" s="108" t="n"/>
      <c r="C484" s="107" t="n"/>
      <c r="D484" s="107" t="n"/>
      <c r="E484" s="107" t="n"/>
      <c r="F484" s="107" t="n"/>
      <c r="G484" s="107" t="n"/>
      <c r="H484" s="107" t="n"/>
      <c r="I484" s="110">
        <f>IF($B484="","",$B484*(IsverenPayiOrani+IssizlikOrani))</f>
        <v/>
      </c>
    </row>
    <row r="485" ht="15" customHeight="1" s="62">
      <c r="A485" s="107" t="n"/>
      <c r="B485" s="108" t="n"/>
      <c r="C485" s="107" t="n"/>
      <c r="D485" s="107" t="n"/>
      <c r="E485" s="107" t="n"/>
      <c r="F485" s="107" t="n"/>
      <c r="G485" s="107" t="n"/>
      <c r="H485" s="107" t="n"/>
      <c r="I485" s="110">
        <f>IF($B485="","",$B485*(IsverenPayiOrani+IssizlikOrani))</f>
        <v/>
      </c>
    </row>
    <row r="486" ht="15" customHeight="1" s="62">
      <c r="A486" s="107" t="n"/>
      <c r="B486" s="108" t="n"/>
      <c r="C486" s="107" t="n"/>
      <c r="D486" s="107" t="n"/>
      <c r="E486" s="107" t="n"/>
      <c r="F486" s="107" t="n"/>
      <c r="G486" s="107" t="n"/>
      <c r="H486" s="107" t="n"/>
      <c r="I486" s="110">
        <f>IF($B486="","",$B486*(IsverenPayiOrani+IssizlikOrani))</f>
        <v/>
      </c>
    </row>
    <row r="487" ht="15" customHeight="1" s="62">
      <c r="A487" s="107" t="n"/>
      <c r="B487" s="108" t="n"/>
      <c r="C487" s="107" t="n"/>
      <c r="D487" s="107" t="n"/>
      <c r="E487" s="107" t="n"/>
      <c r="F487" s="107" t="n"/>
      <c r="G487" s="107" t="n"/>
      <c r="H487" s="107" t="n"/>
      <c r="I487" s="110">
        <f>IF($B487="","",$B487*(IsverenPayiOrani+IssizlikOrani))</f>
        <v/>
      </c>
    </row>
    <row r="488" ht="15" customHeight="1" s="62">
      <c r="A488" s="107" t="n"/>
      <c r="B488" s="108" t="n"/>
      <c r="C488" s="107" t="n"/>
      <c r="D488" s="107" t="n"/>
      <c r="E488" s="107" t="n"/>
      <c r="F488" s="107" t="n"/>
      <c r="G488" s="107" t="n"/>
      <c r="H488" s="107" t="n"/>
      <c r="I488" s="110">
        <f>IF($B488="","",$B488*(IsverenPayiOrani+IssizlikOrani))</f>
        <v/>
      </c>
    </row>
    <row r="489" ht="15" customHeight="1" s="62">
      <c r="A489" s="107" t="n"/>
      <c r="B489" s="108" t="n"/>
      <c r="C489" s="107" t="n"/>
      <c r="D489" s="107" t="n"/>
      <c r="E489" s="107" t="n"/>
      <c r="F489" s="107" t="n"/>
      <c r="G489" s="107" t="n"/>
      <c r="H489" s="107" t="n"/>
      <c r="I489" s="110">
        <f>IF($B489="","",$B489*(IsverenPayiOrani+IssizlikOrani))</f>
        <v/>
      </c>
    </row>
    <row r="490" ht="15" customHeight="1" s="62">
      <c r="A490" s="107" t="n"/>
      <c r="B490" s="108" t="n"/>
      <c r="C490" s="107" t="n"/>
      <c r="D490" s="107" t="n"/>
      <c r="E490" s="107" t="n"/>
      <c r="F490" s="107" t="n"/>
      <c r="G490" s="107" t="n"/>
      <c r="H490" s="107" t="n"/>
      <c r="I490" s="110">
        <f>IF($B490="","",$B490*(IsverenPayiOrani+IssizlikOrani))</f>
        <v/>
      </c>
    </row>
    <row r="491" ht="15" customHeight="1" s="62">
      <c r="A491" s="107" t="n"/>
      <c r="B491" s="108" t="n"/>
      <c r="C491" s="107" t="n"/>
      <c r="D491" s="107" t="n"/>
      <c r="E491" s="107" t="n"/>
      <c r="F491" s="107" t="n"/>
      <c r="G491" s="107" t="n"/>
      <c r="H491" s="107" t="n"/>
      <c r="I491" s="110">
        <f>IF($B491="","",$B491*(IsverenPayiOrani+IssizlikOrani))</f>
        <v/>
      </c>
    </row>
    <row r="492" ht="15" customHeight="1" s="62">
      <c r="A492" s="107" t="n"/>
      <c r="B492" s="108" t="n"/>
      <c r="C492" s="107" t="n"/>
      <c r="D492" s="107" t="n"/>
      <c r="E492" s="107" t="n"/>
      <c r="F492" s="107" t="n"/>
      <c r="G492" s="107" t="n"/>
      <c r="H492" s="107" t="n"/>
      <c r="I492" s="110">
        <f>IF($B492="","",$B492*(IsverenPayiOrani+IssizlikOrani))</f>
        <v/>
      </c>
    </row>
    <row r="493" ht="15" customHeight="1" s="62">
      <c r="A493" s="107" t="n"/>
      <c r="B493" s="108" t="n"/>
      <c r="C493" s="107" t="n"/>
      <c r="D493" s="107" t="n"/>
      <c r="E493" s="107" t="n"/>
      <c r="F493" s="107" t="n"/>
      <c r="G493" s="107" t="n"/>
      <c r="H493" s="107" t="n"/>
      <c r="I493" s="110">
        <f>IF($B493="","",$B493*(IsverenPayiOrani+IssizlikOrani))</f>
        <v/>
      </c>
    </row>
    <row r="494" ht="15" customHeight="1" s="62">
      <c r="A494" s="107" t="n"/>
      <c r="B494" s="108" t="n"/>
      <c r="C494" s="107" t="n"/>
      <c r="D494" s="107" t="n"/>
      <c r="E494" s="107" t="n"/>
      <c r="F494" s="107" t="n"/>
      <c r="G494" s="107" t="n"/>
      <c r="H494" s="107" t="n"/>
      <c r="I494" s="110">
        <f>IF($B494="","",$B494*(IsverenPayiOrani+IssizlikOrani))</f>
        <v/>
      </c>
    </row>
    <row r="495" ht="15" customHeight="1" s="62">
      <c r="A495" s="107" t="n"/>
      <c r="B495" s="108" t="n"/>
      <c r="C495" s="107" t="n"/>
      <c r="D495" s="107" t="n"/>
      <c r="E495" s="107" t="n"/>
      <c r="F495" s="107" t="n"/>
      <c r="G495" s="107" t="n"/>
      <c r="H495" s="107" t="n"/>
      <c r="I495" s="110">
        <f>IF($B495="","",$B495*(IsverenPayiOrani+IssizlikOrani))</f>
        <v/>
      </c>
    </row>
    <row r="496" ht="15" customHeight="1" s="62">
      <c r="A496" s="107" t="n"/>
      <c r="B496" s="108" t="n"/>
      <c r="C496" s="107" t="n"/>
      <c r="D496" s="107" t="n"/>
      <c r="E496" s="107" t="n"/>
      <c r="F496" s="107" t="n"/>
      <c r="G496" s="107" t="n"/>
      <c r="H496" s="107" t="n"/>
      <c r="I496" s="110">
        <f>IF($B496="","",$B496*(IsverenPayiOrani+IssizlikOrani))</f>
        <v/>
      </c>
    </row>
    <row r="497" ht="15" customHeight="1" s="62">
      <c r="A497" s="107" t="n"/>
      <c r="B497" s="108" t="n"/>
      <c r="C497" s="107" t="n"/>
      <c r="D497" s="107" t="n"/>
      <c r="E497" s="107" t="n"/>
      <c r="F497" s="107" t="n"/>
      <c r="G497" s="107" t="n"/>
      <c r="H497" s="107" t="n"/>
      <c r="I497" s="110">
        <f>IF($B497="","",$B497*(IsverenPayiOrani+IssizlikOrani))</f>
        <v/>
      </c>
    </row>
    <row r="498" ht="15" customHeight="1" s="62">
      <c r="A498" s="107" t="n"/>
      <c r="B498" s="108" t="n"/>
      <c r="C498" s="107" t="n"/>
      <c r="D498" s="107" t="n"/>
      <c r="E498" s="107" t="n"/>
      <c r="F498" s="107" t="n"/>
      <c r="G498" s="107" t="n"/>
      <c r="H498" s="107" t="n"/>
      <c r="I498" s="110">
        <f>IF($B498="","",$B498*(IsverenPayiOrani+IssizlikOrani))</f>
        <v/>
      </c>
    </row>
    <row r="499" ht="15" customHeight="1" s="62">
      <c r="A499" s="107" t="n"/>
      <c r="B499" s="108" t="n"/>
      <c r="C499" s="107" t="n"/>
      <c r="D499" s="107" t="n"/>
      <c r="E499" s="107" t="n"/>
      <c r="F499" s="107" t="n"/>
      <c r="G499" s="107" t="n"/>
      <c r="H499" s="107" t="n"/>
      <c r="I499" s="110">
        <f>IF($B499="","",$B499*(IsverenPayiOrani+IssizlikOrani))</f>
        <v/>
      </c>
    </row>
    <row r="500" ht="15" customHeight="1" s="62">
      <c r="A500" s="107" t="n"/>
      <c r="B500" s="108" t="n"/>
      <c r="C500" s="107" t="n"/>
      <c r="D500" s="107" t="n"/>
      <c r="E500" s="107" t="n"/>
      <c r="F500" s="107" t="n"/>
      <c r="G500" s="107" t="n"/>
      <c r="H500" s="107" t="n"/>
      <c r="I500" s="110">
        <f>IF($B500="","",$B500*(IsverenPayiOrani+IssizlikOrani))</f>
        <v/>
      </c>
    </row>
    <row r="501" ht="15" customHeight="1" s="62">
      <c r="A501" s="107" t="n"/>
      <c r="B501" s="108" t="n"/>
      <c r="C501" s="107" t="n"/>
      <c r="D501" s="107" t="n"/>
      <c r="E501" s="107" t="n"/>
      <c r="F501" s="107" t="n"/>
      <c r="G501" s="107" t="n"/>
      <c r="H501" s="107" t="n"/>
      <c r="I501" s="110">
        <f>IF($B501="","",$B501*(IsverenPayiOrani+IssizlikOrani))</f>
        <v/>
      </c>
    </row>
    <row r="502" ht="15" customHeight="1" s="62">
      <c r="A502" s="107" t="n"/>
      <c r="B502" s="108" t="n"/>
      <c r="C502" s="107" t="n"/>
      <c r="D502" s="107" t="n"/>
      <c r="E502" s="107" t="n"/>
      <c r="F502" s="107" t="n"/>
      <c r="G502" s="107" t="n"/>
      <c r="H502" s="107" t="n"/>
      <c r="I502" s="110">
        <f>IF($B502="","",$B502*(IsverenPayiOrani+IssizlikOrani))</f>
        <v/>
      </c>
    </row>
    <row r="503" ht="15" customHeight="1" s="62">
      <c r="A503" s="107" t="n"/>
      <c r="B503" s="108" t="n"/>
      <c r="C503" s="107" t="n"/>
      <c r="D503" s="107" t="n"/>
      <c r="E503" s="107" t="n"/>
      <c r="F503" s="107" t="n"/>
      <c r="G503" s="107" t="n"/>
      <c r="H503" s="107" t="n"/>
      <c r="I503" s="110">
        <f>IF($B503="","",$B503*(IsverenPayiOrani+IssizlikOrani))</f>
        <v/>
      </c>
    </row>
    <row r="504" ht="15" customHeight="1" s="62">
      <c r="A504" s="107" t="n"/>
      <c r="B504" s="108" t="n"/>
      <c r="C504" s="107" t="n"/>
      <c r="D504" s="107" t="n"/>
      <c r="E504" s="107" t="n"/>
      <c r="F504" s="107" t="n"/>
      <c r="G504" s="107" t="n"/>
      <c r="H504" s="107" t="n"/>
      <c r="I504" s="110">
        <f>IF($B504="","",$B504*(IsverenPayiOrani+IssizlikOrani))</f>
        <v/>
      </c>
    </row>
    <row r="505" ht="15" customHeight="1" s="62">
      <c r="A505" s="107" t="n"/>
      <c r="B505" s="108" t="n"/>
      <c r="C505" s="107" t="n"/>
      <c r="D505" s="107" t="n"/>
      <c r="E505" s="107" t="n"/>
      <c r="F505" s="107" t="n"/>
      <c r="G505" s="107" t="n"/>
      <c r="H505" s="107" t="n"/>
      <c r="I505" s="110">
        <f>IF($B505="","",$B505*(IsverenPayiOrani+IssizlikOrani))</f>
        <v/>
      </c>
    </row>
    <row r="506" ht="15" customHeight="1" s="62">
      <c r="A506" s="107" t="n"/>
      <c r="B506" s="108" t="n"/>
      <c r="C506" s="107" t="n"/>
      <c r="D506" s="107" t="n"/>
      <c r="E506" s="107" t="n"/>
      <c r="F506" s="107" t="n"/>
      <c r="G506" s="107" t="n"/>
      <c r="H506" s="107" t="n"/>
      <c r="I506" s="110">
        <f>IF($B506="","",$B506*(IsverenPayiOrani+IssizlikOrani))</f>
        <v/>
      </c>
    </row>
    <row r="507" ht="15" customHeight="1" s="62">
      <c r="A507" s="107" t="n"/>
      <c r="B507" s="108" t="n"/>
      <c r="C507" s="107" t="n"/>
      <c r="D507" s="107" t="n"/>
      <c r="E507" s="107" t="n"/>
      <c r="F507" s="107" t="n"/>
      <c r="G507" s="107" t="n"/>
      <c r="H507" s="107" t="n"/>
      <c r="I507" s="110">
        <f>IF($B507="","",$B507*(IsverenPayiOrani+IssizlikOrani))</f>
        <v/>
      </c>
    </row>
    <row r="508" ht="15" customHeight="1" s="62">
      <c r="A508" s="107" t="n"/>
      <c r="B508" s="108" t="n"/>
      <c r="C508" s="107" t="n"/>
      <c r="D508" s="107" t="n"/>
      <c r="E508" s="107" t="n"/>
      <c r="F508" s="107" t="n"/>
      <c r="G508" s="107" t="n"/>
      <c r="H508" s="107" t="n"/>
      <c r="I508" s="110">
        <f>IF($B508="","",$B508*(IsverenPayiOrani+IssizlikOrani))</f>
        <v/>
      </c>
    </row>
    <row r="509" ht="15" customHeight="1" s="62">
      <c r="A509" s="107" t="n"/>
      <c r="B509" s="108" t="n"/>
      <c r="C509" s="107" t="n"/>
      <c r="D509" s="107" t="n"/>
      <c r="E509" s="107" t="n"/>
      <c r="F509" s="107" t="n"/>
      <c r="G509" s="107" t="n"/>
      <c r="H509" s="107" t="n"/>
      <c r="I509" s="110">
        <f>IF($B509="","",$B509*(IsverenPayiOrani+IssizlikOrani))</f>
        <v/>
      </c>
    </row>
    <row r="510" ht="15" customHeight="1" s="62">
      <c r="A510" s="107" t="n"/>
      <c r="B510" s="108" t="n"/>
      <c r="C510" s="107" t="n"/>
      <c r="D510" s="107" t="n"/>
      <c r="E510" s="107" t="n"/>
      <c r="F510" s="107" t="n"/>
      <c r="G510" s="107" t="n"/>
      <c r="H510" s="107" t="n"/>
      <c r="I510" s="110">
        <f>IF($B510="","",$B510*(IsverenPayiOrani+IssizlikOrani))</f>
        <v/>
      </c>
    </row>
    <row r="511" ht="15" customHeight="1" s="62">
      <c r="A511" s="107" t="n"/>
      <c r="B511" s="108" t="n"/>
      <c r="C511" s="107" t="n"/>
      <c r="D511" s="107" t="n"/>
      <c r="E511" s="107" t="n"/>
      <c r="F511" s="107" t="n"/>
      <c r="G511" s="107" t="n"/>
      <c r="H511" s="107" t="n"/>
      <c r="I511" s="110">
        <f>IF($B511="","",$B511*(IsverenPayiOrani+IssizlikOrani))</f>
        <v/>
      </c>
    </row>
    <row r="512" ht="15" customHeight="1" s="62">
      <c r="A512" s="107" t="n"/>
      <c r="B512" s="108" t="n"/>
      <c r="C512" s="107" t="n"/>
      <c r="D512" s="107" t="n"/>
      <c r="E512" s="107" t="n"/>
      <c r="F512" s="107" t="n"/>
      <c r="G512" s="107" t="n"/>
      <c r="H512" s="107" t="n"/>
      <c r="I512" s="110">
        <f>IF($B512="","",$B512*(IsverenPayiOrani+IssizlikOrani))</f>
        <v/>
      </c>
    </row>
    <row r="513" ht="15" customHeight="1" s="62">
      <c r="A513" s="107" t="n"/>
      <c r="B513" s="108" t="n"/>
      <c r="C513" s="107" t="n"/>
      <c r="D513" s="107" t="n"/>
      <c r="E513" s="107" t="n"/>
      <c r="F513" s="107" t="n"/>
      <c r="G513" s="107" t="n"/>
      <c r="H513" s="107" t="n"/>
      <c r="I513" s="110">
        <f>IF($B513="","",$B513*(IsverenPayiOrani+IssizlikOrani))</f>
        <v/>
      </c>
    </row>
    <row r="514" ht="15" customHeight="1" s="62">
      <c r="A514" s="107" t="n"/>
      <c r="B514" s="108" t="n"/>
      <c r="C514" s="107" t="n"/>
      <c r="D514" s="107" t="n"/>
      <c r="E514" s="107" t="n"/>
      <c r="F514" s="107" t="n"/>
      <c r="G514" s="107" t="n"/>
      <c r="H514" s="107" t="n"/>
      <c r="I514" s="110">
        <f>IF($B514="","",$B514*(IsverenPayiOrani+IssizlikOrani))</f>
        <v/>
      </c>
    </row>
    <row r="515" ht="15" customHeight="1" s="62">
      <c r="A515" s="107" t="n"/>
      <c r="B515" s="108" t="n"/>
      <c r="C515" s="107" t="n"/>
      <c r="D515" s="107" t="n"/>
      <c r="E515" s="107" t="n"/>
      <c r="F515" s="107" t="n"/>
      <c r="G515" s="107" t="n"/>
      <c r="H515" s="107" t="n"/>
      <c r="I515" s="110">
        <f>IF($B515="","",$B515*(IsverenPayiOrani+IssizlikOrani))</f>
        <v/>
      </c>
    </row>
    <row r="516" ht="15" customHeight="1" s="62">
      <c r="A516" s="107" t="n"/>
      <c r="B516" s="108" t="n"/>
      <c r="C516" s="107" t="n"/>
      <c r="D516" s="107" t="n"/>
      <c r="E516" s="107" t="n"/>
      <c r="F516" s="107" t="n"/>
      <c r="G516" s="107" t="n"/>
      <c r="H516" s="107" t="n"/>
      <c r="I516" s="110">
        <f>IF($B516="","",$B516*(IsverenPayiOrani+IssizlikOrani))</f>
        <v/>
      </c>
    </row>
    <row r="517" ht="15" customHeight="1" s="62">
      <c r="A517" s="107" t="n"/>
      <c r="B517" s="108" t="n"/>
      <c r="C517" s="107" t="n"/>
      <c r="D517" s="107" t="n"/>
      <c r="E517" s="107" t="n"/>
      <c r="F517" s="107" t="n"/>
      <c r="G517" s="107" t="n"/>
      <c r="H517" s="107" t="n"/>
      <c r="I517" s="110">
        <f>IF($B517="","",$B517*(IsverenPayiOrani+IssizlikOrani))</f>
        <v/>
      </c>
    </row>
    <row r="518" ht="15" customHeight="1" s="62">
      <c r="A518" s="107" t="n"/>
      <c r="B518" s="108" t="n"/>
      <c r="C518" s="107" t="n"/>
      <c r="D518" s="107" t="n"/>
      <c r="E518" s="107" t="n"/>
      <c r="F518" s="107" t="n"/>
      <c r="G518" s="107" t="n"/>
      <c r="H518" s="107" t="n"/>
      <c r="I518" s="110">
        <f>IF($B518="","",$B518*(IsverenPayiOrani+IssizlikOrani))</f>
        <v/>
      </c>
    </row>
    <row r="519" ht="15" customHeight="1" s="62">
      <c r="A519" s="107" t="n"/>
      <c r="B519" s="108" t="n"/>
      <c r="C519" s="107" t="n"/>
      <c r="D519" s="107" t="n"/>
      <c r="E519" s="107" t="n"/>
      <c r="F519" s="107" t="n"/>
      <c r="G519" s="107" t="n"/>
      <c r="H519" s="107" t="n"/>
      <c r="I519" s="110">
        <f>IF($B519="","",$B519*(IsverenPayiOrani+IssizlikOrani))</f>
        <v/>
      </c>
    </row>
    <row r="520" ht="15" customHeight="1" s="62">
      <c r="A520" s="107" t="n"/>
      <c r="B520" s="108" t="n"/>
      <c r="C520" s="107" t="n"/>
      <c r="D520" s="107" t="n"/>
      <c r="E520" s="107" t="n"/>
      <c r="F520" s="107" t="n"/>
      <c r="G520" s="107" t="n"/>
      <c r="H520" s="107" t="n"/>
      <c r="I520" s="110">
        <f>IF($B520="","",$B520*(IsverenPayiOrani+IssizlikOrani))</f>
        <v/>
      </c>
    </row>
    <row r="521" ht="15" customHeight="1" s="62">
      <c r="A521" s="107" t="n"/>
      <c r="B521" s="108" t="n"/>
      <c r="C521" s="107" t="n"/>
      <c r="D521" s="107" t="n"/>
      <c r="E521" s="107" t="n"/>
      <c r="F521" s="107" t="n"/>
      <c r="G521" s="107" t="n"/>
      <c r="H521" s="107" t="n"/>
      <c r="I521" s="110">
        <f>IF($B521="","",$B521*(IsverenPayiOrani+IssizlikOrani))</f>
        <v/>
      </c>
    </row>
    <row r="522" ht="15" customHeight="1" s="62">
      <c r="A522" s="107" t="n"/>
      <c r="B522" s="108" t="n"/>
      <c r="C522" s="107" t="n"/>
      <c r="D522" s="107" t="n"/>
      <c r="E522" s="107" t="n"/>
      <c r="F522" s="107" t="n"/>
      <c r="G522" s="107" t="n"/>
      <c r="H522" s="107" t="n"/>
      <c r="I522" s="110">
        <f>IF($B522="","",$B522*(IsverenPayiOrani+IssizlikOrani))</f>
        <v/>
      </c>
    </row>
    <row r="523" ht="15" customHeight="1" s="62">
      <c r="A523" s="107" t="n"/>
      <c r="B523" s="108" t="n"/>
      <c r="C523" s="107" t="n"/>
      <c r="D523" s="107" t="n"/>
      <c r="E523" s="107" t="n"/>
      <c r="F523" s="107" t="n"/>
      <c r="G523" s="107" t="n"/>
      <c r="H523" s="107" t="n"/>
      <c r="I523" s="110">
        <f>IF($B523="","",$B523*(IsverenPayiOrani+IssizlikOrani))</f>
        <v/>
      </c>
    </row>
    <row r="524" ht="15" customHeight="1" s="62">
      <c r="A524" s="107" t="n"/>
      <c r="B524" s="108" t="n"/>
      <c r="C524" s="107" t="n"/>
      <c r="D524" s="107" t="n"/>
      <c r="E524" s="107" t="n"/>
      <c r="F524" s="107" t="n"/>
      <c r="G524" s="107" t="n"/>
      <c r="H524" s="107" t="n"/>
      <c r="I524" s="110">
        <f>IF($B524="","",$B524*(IsverenPayiOrani+IssizlikOrani))</f>
        <v/>
      </c>
    </row>
    <row r="525" ht="15" customHeight="1" s="62">
      <c r="A525" s="107" t="n"/>
      <c r="B525" s="108" t="n"/>
      <c r="C525" s="107" t="n"/>
      <c r="D525" s="107" t="n"/>
      <c r="E525" s="107" t="n"/>
      <c r="F525" s="107" t="n"/>
      <c r="G525" s="107" t="n"/>
      <c r="H525" s="107" t="n"/>
      <c r="I525" s="110">
        <f>IF($B525="","",$B525*(IsverenPayiOrani+IssizlikOrani))</f>
        <v/>
      </c>
    </row>
    <row r="526" ht="15" customHeight="1" s="62">
      <c r="A526" s="107" t="n"/>
      <c r="B526" s="108" t="n"/>
      <c r="C526" s="107" t="n"/>
      <c r="D526" s="107" t="n"/>
      <c r="E526" s="107" t="n"/>
      <c r="F526" s="107" t="n"/>
      <c r="G526" s="107" t="n"/>
      <c r="H526" s="107" t="n"/>
      <c r="I526" s="110">
        <f>IF($B526="","",$B526*(IsverenPayiOrani+IssizlikOrani))</f>
        <v/>
      </c>
    </row>
    <row r="527" ht="15" customHeight="1" s="62">
      <c r="A527" s="107" t="n"/>
      <c r="B527" s="108" t="n"/>
      <c r="C527" s="107" t="n"/>
      <c r="D527" s="107" t="n"/>
      <c r="E527" s="107" t="n"/>
      <c r="F527" s="107" t="n"/>
      <c r="G527" s="107" t="n"/>
      <c r="H527" s="107" t="n"/>
      <c r="I527" s="110">
        <f>IF($B527="","",$B527*(IsverenPayiOrani+IssizlikOrani))</f>
        <v/>
      </c>
    </row>
    <row r="528" ht="15" customHeight="1" s="62">
      <c r="A528" s="107" t="n"/>
      <c r="B528" s="108" t="n"/>
      <c r="C528" s="107" t="n"/>
      <c r="D528" s="107" t="n"/>
      <c r="E528" s="107" t="n"/>
      <c r="F528" s="107" t="n"/>
      <c r="G528" s="107" t="n"/>
      <c r="H528" s="107" t="n"/>
      <c r="I528" s="110">
        <f>IF($B528="","",$B528*(IsverenPayiOrani+IssizlikOrani))</f>
        <v/>
      </c>
    </row>
    <row r="529" ht="15" customHeight="1" s="62">
      <c r="A529" s="107" t="n"/>
      <c r="B529" s="108" t="n"/>
      <c r="C529" s="107" t="n"/>
      <c r="D529" s="107" t="n"/>
      <c r="E529" s="107" t="n"/>
      <c r="F529" s="107" t="n"/>
      <c r="G529" s="107" t="n"/>
      <c r="H529" s="107" t="n"/>
      <c r="I529" s="110">
        <f>IF($B529="","",$B529*(IsverenPayiOrani+IssizlikOrani))</f>
        <v/>
      </c>
    </row>
    <row r="530" ht="15" customHeight="1" s="62">
      <c r="A530" s="107" t="n"/>
      <c r="B530" s="108" t="n"/>
      <c r="C530" s="107" t="n"/>
      <c r="D530" s="107" t="n"/>
      <c r="E530" s="107" t="n"/>
      <c r="F530" s="107" t="n"/>
      <c r="G530" s="107" t="n"/>
      <c r="H530" s="107" t="n"/>
      <c r="I530" s="110">
        <f>IF($B530="","",$B530*(IsverenPayiOrani+IssizlikOrani))</f>
        <v/>
      </c>
    </row>
    <row r="531" ht="15" customHeight="1" s="62">
      <c r="A531" s="107" t="n"/>
      <c r="B531" s="108" t="n"/>
      <c r="C531" s="107" t="n"/>
      <c r="D531" s="107" t="n"/>
      <c r="E531" s="107" t="n"/>
      <c r="F531" s="107" t="n"/>
      <c r="G531" s="107" t="n"/>
      <c r="H531" s="107" t="n"/>
      <c r="I531" s="110">
        <f>IF($B531="","",$B531*(IsverenPayiOrani+IssizlikOrani))</f>
        <v/>
      </c>
    </row>
    <row r="532" ht="15" customHeight="1" s="62">
      <c r="A532" s="107" t="n"/>
      <c r="B532" s="108" t="n"/>
      <c r="C532" s="107" t="n"/>
      <c r="D532" s="107" t="n"/>
      <c r="E532" s="107" t="n"/>
      <c r="F532" s="107" t="n"/>
      <c r="G532" s="107" t="n"/>
      <c r="H532" s="107" t="n"/>
      <c r="I532" s="110">
        <f>IF($B532="","",$B532*(IsverenPayiOrani+IssizlikOrani))</f>
        <v/>
      </c>
    </row>
    <row r="533" ht="15" customHeight="1" s="62">
      <c r="A533" s="107" t="n"/>
      <c r="B533" s="108" t="n"/>
      <c r="C533" s="107" t="n"/>
      <c r="D533" s="107" t="n"/>
      <c r="E533" s="107" t="n"/>
      <c r="F533" s="107" t="n"/>
      <c r="G533" s="107" t="n"/>
      <c r="H533" s="107" t="n"/>
      <c r="I533" s="110">
        <f>IF($B533="","",$B533*(IsverenPayiOrani+IssizlikOrani))</f>
        <v/>
      </c>
    </row>
    <row r="534" ht="15" customHeight="1" s="62">
      <c r="A534" s="107" t="n"/>
      <c r="B534" s="108" t="n"/>
      <c r="C534" s="107" t="n"/>
      <c r="D534" s="107" t="n"/>
      <c r="E534" s="107" t="n"/>
      <c r="F534" s="107" t="n"/>
      <c r="G534" s="107" t="n"/>
      <c r="H534" s="107" t="n"/>
      <c r="I534" s="110">
        <f>IF($B534="","",$B534*(IsverenPayiOrani+IssizlikOrani))</f>
        <v/>
      </c>
    </row>
    <row r="535" ht="15" customHeight="1" s="62">
      <c r="A535" s="107" t="n"/>
      <c r="B535" s="108" t="n"/>
      <c r="C535" s="107" t="n"/>
      <c r="D535" s="107" t="n"/>
      <c r="E535" s="107" t="n"/>
      <c r="F535" s="107" t="n"/>
      <c r="G535" s="107" t="n"/>
      <c r="H535" s="107" t="n"/>
      <c r="I535" s="110">
        <f>IF($B535="","",$B535*(IsverenPayiOrani+IssizlikOrani))</f>
        <v/>
      </c>
    </row>
    <row r="536" ht="15" customHeight="1" s="62">
      <c r="A536" s="107" t="n"/>
      <c r="B536" s="108" t="n"/>
      <c r="C536" s="107" t="n"/>
      <c r="D536" s="107" t="n"/>
      <c r="E536" s="107" t="n"/>
      <c r="F536" s="107" t="n"/>
      <c r="G536" s="107" t="n"/>
      <c r="H536" s="107" t="n"/>
      <c r="I536" s="110">
        <f>IF($B536="","",$B536*(IsverenPayiOrani+IssizlikOrani))</f>
        <v/>
      </c>
    </row>
    <row r="537" ht="15" customHeight="1" s="62">
      <c r="A537" s="107" t="n"/>
      <c r="B537" s="108" t="n"/>
      <c r="C537" s="107" t="n"/>
      <c r="D537" s="107" t="n"/>
      <c r="E537" s="107" t="n"/>
      <c r="F537" s="107" t="n"/>
      <c r="G537" s="107" t="n"/>
      <c r="H537" s="107" t="n"/>
      <c r="I537" s="110">
        <f>IF($B537="","",$B537*(IsverenPayiOrani+IssizlikOrani))</f>
        <v/>
      </c>
    </row>
    <row r="538" ht="15" customHeight="1" s="62">
      <c r="A538" s="107" t="n"/>
      <c r="B538" s="108" t="n"/>
      <c r="C538" s="107" t="n"/>
      <c r="D538" s="107" t="n"/>
      <c r="E538" s="107" t="n"/>
      <c r="F538" s="107" t="n"/>
      <c r="G538" s="107" t="n"/>
      <c r="H538" s="107" t="n"/>
      <c r="I538" s="110">
        <f>IF($B538="","",$B538*(IsverenPayiOrani+IssizlikOrani))</f>
        <v/>
      </c>
    </row>
    <row r="539" ht="15" customHeight="1" s="62">
      <c r="A539" s="107" t="n"/>
      <c r="B539" s="108" t="n"/>
      <c r="C539" s="107" t="n"/>
      <c r="D539" s="107" t="n"/>
      <c r="E539" s="107" t="n"/>
      <c r="F539" s="107" t="n"/>
      <c r="G539" s="107" t="n"/>
      <c r="H539" s="107" t="n"/>
      <c r="I539" s="110">
        <f>IF($B539="","",$B539*(IsverenPayiOrani+IssizlikOrani))</f>
        <v/>
      </c>
    </row>
    <row r="540" ht="15" customHeight="1" s="62">
      <c r="A540" s="107" t="n"/>
      <c r="B540" s="108" t="n"/>
      <c r="C540" s="107" t="n"/>
      <c r="D540" s="107" t="n"/>
      <c r="E540" s="107" t="n"/>
      <c r="F540" s="107" t="n"/>
      <c r="G540" s="107" t="n"/>
      <c r="H540" s="107" t="n"/>
      <c r="I540" s="110">
        <f>IF($B540="","",$B540*(IsverenPayiOrani+IssizlikOrani))</f>
        <v/>
      </c>
    </row>
    <row r="541" ht="15" customHeight="1" s="62">
      <c r="A541" s="107" t="n"/>
      <c r="B541" s="108" t="n"/>
      <c r="C541" s="107" t="n"/>
      <c r="D541" s="107" t="n"/>
      <c r="E541" s="107" t="n"/>
      <c r="F541" s="107" t="n"/>
      <c r="G541" s="107" t="n"/>
      <c r="H541" s="107" t="n"/>
      <c r="I541" s="110">
        <f>IF($B541="","",$B541*(IsverenPayiOrani+IssizlikOrani))</f>
        <v/>
      </c>
    </row>
    <row r="542" ht="15" customHeight="1" s="62">
      <c r="A542" s="107" t="n"/>
      <c r="B542" s="108" t="n"/>
      <c r="C542" s="107" t="n"/>
      <c r="D542" s="107" t="n"/>
      <c r="E542" s="107" t="n"/>
      <c r="F542" s="107" t="n"/>
      <c r="G542" s="107" t="n"/>
      <c r="H542" s="107" t="n"/>
      <c r="I542" s="110">
        <f>IF($B542="","",$B542*(IsverenPayiOrani+IssizlikOrani))</f>
        <v/>
      </c>
    </row>
    <row r="543" ht="15" customHeight="1" s="62">
      <c r="A543" s="107" t="n"/>
      <c r="B543" s="108" t="n"/>
      <c r="C543" s="107" t="n"/>
      <c r="D543" s="107" t="n"/>
      <c r="E543" s="107" t="n"/>
      <c r="F543" s="107" t="n"/>
      <c r="G543" s="107" t="n"/>
      <c r="H543" s="107" t="n"/>
      <c r="I543" s="110">
        <f>IF($B543="","",$B543*(IsverenPayiOrani+IssizlikOrani))</f>
        <v/>
      </c>
    </row>
    <row r="544" ht="15" customHeight="1" s="62">
      <c r="A544" s="107" t="n"/>
      <c r="B544" s="108" t="n"/>
      <c r="C544" s="107" t="n"/>
      <c r="D544" s="107" t="n"/>
      <c r="E544" s="107" t="n"/>
      <c r="F544" s="107" t="n"/>
      <c r="G544" s="107" t="n"/>
      <c r="H544" s="107" t="n"/>
      <c r="I544" s="110">
        <f>IF($B544="","",$B544*(IsverenPayiOrani+IssizlikOrani))</f>
        <v/>
      </c>
    </row>
    <row r="545" ht="15" customHeight="1" s="62">
      <c r="A545" s="107" t="n"/>
      <c r="B545" s="108" t="n"/>
      <c r="C545" s="107" t="n"/>
      <c r="D545" s="107" t="n"/>
      <c r="E545" s="107" t="n"/>
      <c r="F545" s="107" t="n"/>
      <c r="G545" s="107" t="n"/>
      <c r="H545" s="107" t="n"/>
      <c r="I545" s="110">
        <f>IF($B545="","",$B545*(IsverenPayiOrani+IssizlikOrani))</f>
        <v/>
      </c>
    </row>
    <row r="546" ht="15" customHeight="1" s="62">
      <c r="A546" s="107" t="n"/>
      <c r="B546" s="108" t="n"/>
      <c r="C546" s="107" t="n"/>
      <c r="D546" s="107" t="n"/>
      <c r="E546" s="107" t="n"/>
      <c r="F546" s="107" t="n"/>
      <c r="G546" s="107" t="n"/>
      <c r="H546" s="107" t="n"/>
      <c r="I546" s="110">
        <f>IF($B546="","",$B546*(IsverenPayiOrani+IssizlikOrani))</f>
        <v/>
      </c>
    </row>
    <row r="547" ht="15" customHeight="1" s="62">
      <c r="A547" s="107" t="n"/>
      <c r="B547" s="108" t="n"/>
      <c r="C547" s="107" t="n"/>
      <c r="D547" s="107" t="n"/>
      <c r="E547" s="107" t="n"/>
      <c r="F547" s="107" t="n"/>
      <c r="G547" s="107" t="n"/>
      <c r="H547" s="107" t="n"/>
      <c r="I547" s="110">
        <f>IF($B547="","",$B547*(IsverenPayiOrani+IssizlikOrani))</f>
        <v/>
      </c>
    </row>
    <row r="548" ht="15" customHeight="1" s="62">
      <c r="A548" s="107" t="n"/>
      <c r="B548" s="108" t="n"/>
      <c r="C548" s="107" t="n"/>
      <c r="D548" s="107" t="n"/>
      <c r="E548" s="107" t="n"/>
      <c r="F548" s="107" t="n"/>
      <c r="G548" s="107" t="n"/>
      <c r="H548" s="107" t="n"/>
      <c r="I548" s="110">
        <f>IF($B548="","",$B548*(IsverenPayiOrani+IssizlikOrani))</f>
        <v/>
      </c>
    </row>
    <row r="549" ht="15" customHeight="1" s="62">
      <c r="A549" s="107" t="n"/>
      <c r="B549" s="108" t="n"/>
      <c r="C549" s="107" t="n"/>
      <c r="D549" s="107" t="n"/>
      <c r="E549" s="107" t="n"/>
      <c r="F549" s="107" t="n"/>
      <c r="G549" s="107" t="n"/>
      <c r="H549" s="107" t="n"/>
      <c r="I549" s="110">
        <f>IF($B549="","",$B549*(IsverenPayiOrani+IssizlikOrani))</f>
        <v/>
      </c>
    </row>
    <row r="550" ht="15" customHeight="1" s="62">
      <c r="A550" s="107" t="n"/>
      <c r="B550" s="108" t="n"/>
      <c r="C550" s="107" t="n"/>
      <c r="D550" s="107" t="n"/>
      <c r="E550" s="107" t="n"/>
      <c r="F550" s="107" t="n"/>
      <c r="G550" s="107" t="n"/>
      <c r="H550" s="107" t="n"/>
      <c r="I550" s="110">
        <f>IF($B550="","",$B550*(IsverenPayiOrani+IssizlikOrani))</f>
        <v/>
      </c>
    </row>
    <row r="551" ht="15" customHeight="1" s="62">
      <c r="A551" s="107" t="n"/>
      <c r="B551" s="108" t="n"/>
      <c r="C551" s="107" t="n"/>
      <c r="D551" s="107" t="n"/>
      <c r="E551" s="107" t="n"/>
      <c r="F551" s="107" t="n"/>
      <c r="G551" s="107" t="n"/>
      <c r="H551" s="107" t="n"/>
      <c r="I551" s="110">
        <f>IF($B551="","",$B551*(IsverenPayiOrani+IssizlikOrani))</f>
        <v/>
      </c>
    </row>
    <row r="552" ht="15" customHeight="1" s="62">
      <c r="A552" s="107" t="n"/>
      <c r="B552" s="108" t="n"/>
      <c r="C552" s="107" t="n"/>
      <c r="D552" s="107" t="n"/>
      <c r="E552" s="107" t="n"/>
      <c r="F552" s="107" t="n"/>
      <c r="G552" s="107" t="n"/>
      <c r="H552" s="107" t="n"/>
      <c r="I552" s="110">
        <f>IF($B552="","",$B552*(IsverenPayiOrani+IssizlikOrani))</f>
        <v/>
      </c>
    </row>
    <row r="553" ht="15" customHeight="1" s="62">
      <c r="A553" s="107" t="n"/>
      <c r="B553" s="108" t="n"/>
      <c r="C553" s="107" t="n"/>
      <c r="D553" s="107" t="n"/>
      <c r="E553" s="107" t="n"/>
      <c r="F553" s="107" t="n"/>
      <c r="G553" s="107" t="n"/>
      <c r="H553" s="107" t="n"/>
      <c r="I553" s="110">
        <f>IF($B553="","",$B553*(IsverenPayiOrani+IssizlikOrani))</f>
        <v/>
      </c>
    </row>
    <row r="554" ht="15" customHeight="1" s="62">
      <c r="A554" s="107" t="n"/>
      <c r="B554" s="108" t="n"/>
      <c r="C554" s="107" t="n"/>
      <c r="D554" s="107" t="n"/>
      <c r="E554" s="107" t="n"/>
      <c r="F554" s="107" t="n"/>
      <c r="G554" s="107" t="n"/>
      <c r="H554" s="107" t="n"/>
      <c r="I554" s="110">
        <f>IF($B554="","",$B554*(IsverenPayiOrani+IssizlikOrani))</f>
        <v/>
      </c>
    </row>
    <row r="555" ht="15" customHeight="1" s="62">
      <c r="A555" s="107" t="n"/>
      <c r="B555" s="108" t="n"/>
      <c r="C555" s="107" t="n"/>
      <c r="D555" s="107" t="n"/>
      <c r="E555" s="107" t="n"/>
      <c r="F555" s="107" t="n"/>
      <c r="G555" s="107" t="n"/>
      <c r="H555" s="107" t="n"/>
      <c r="I555" s="110">
        <f>IF($B555="","",$B555*(IsverenPayiOrani+IssizlikOrani))</f>
        <v/>
      </c>
    </row>
    <row r="556" ht="15" customHeight="1" s="62">
      <c r="A556" s="107" t="n"/>
      <c r="B556" s="108" t="n"/>
      <c r="C556" s="107" t="n"/>
      <c r="D556" s="107" t="n"/>
      <c r="E556" s="107" t="n"/>
      <c r="F556" s="107" t="n"/>
      <c r="G556" s="107" t="n"/>
      <c r="H556" s="107" t="n"/>
      <c r="I556" s="110">
        <f>IF($B556="","",$B556*(IsverenPayiOrani+IssizlikOrani))</f>
        <v/>
      </c>
    </row>
    <row r="557" ht="15" customHeight="1" s="62">
      <c r="A557" s="107" t="n"/>
      <c r="B557" s="108" t="n"/>
      <c r="C557" s="107" t="n"/>
      <c r="D557" s="107" t="n"/>
      <c r="E557" s="107" t="n"/>
      <c r="F557" s="107" t="n"/>
      <c r="G557" s="107" t="n"/>
      <c r="H557" s="107" t="n"/>
      <c r="I557" s="110">
        <f>IF($B557="","",$B557*(IsverenPayiOrani+IssizlikOrani))</f>
        <v/>
      </c>
    </row>
    <row r="558" ht="15" customHeight="1" s="62">
      <c r="A558" s="107" t="n"/>
      <c r="B558" s="108" t="n"/>
      <c r="C558" s="107" t="n"/>
      <c r="D558" s="107" t="n"/>
      <c r="E558" s="107" t="n"/>
      <c r="F558" s="107" t="n"/>
      <c r="G558" s="107" t="n"/>
      <c r="H558" s="107" t="n"/>
      <c r="I558" s="110">
        <f>IF($B558="","",$B558*(IsverenPayiOrani+IssizlikOrani))</f>
        <v/>
      </c>
    </row>
    <row r="559" ht="15" customHeight="1" s="62">
      <c r="A559" s="107" t="n"/>
      <c r="B559" s="108" t="n"/>
      <c r="C559" s="107" t="n"/>
      <c r="D559" s="107" t="n"/>
      <c r="E559" s="107" t="n"/>
      <c r="F559" s="107" t="n"/>
      <c r="G559" s="107" t="n"/>
      <c r="H559" s="107" t="n"/>
      <c r="I559" s="110">
        <f>IF($B559="","",$B559*(IsverenPayiOrani+IssizlikOrani))</f>
        <v/>
      </c>
    </row>
    <row r="560" ht="15" customHeight="1" s="62">
      <c r="A560" s="107" t="n"/>
      <c r="B560" s="108" t="n"/>
      <c r="C560" s="107" t="n"/>
      <c r="D560" s="107" t="n"/>
      <c r="E560" s="107" t="n"/>
      <c r="F560" s="107" t="n"/>
      <c r="G560" s="107" t="n"/>
      <c r="H560" s="107" t="n"/>
      <c r="I560" s="110">
        <f>IF($B560="","",$B560*(IsverenPayiOrani+IssizlikOrani))</f>
        <v/>
      </c>
    </row>
    <row r="561" ht="15" customHeight="1" s="62">
      <c r="A561" s="107" t="n"/>
      <c r="B561" s="108" t="n"/>
      <c r="C561" s="107" t="n"/>
      <c r="D561" s="107" t="n"/>
      <c r="E561" s="107" t="n"/>
      <c r="F561" s="107" t="n"/>
      <c r="G561" s="107" t="n"/>
      <c r="H561" s="107" t="n"/>
      <c r="I561" s="110">
        <f>IF($B561="","",$B561*(IsverenPayiOrani+IssizlikOrani))</f>
        <v/>
      </c>
    </row>
    <row r="562" ht="15" customHeight="1" s="62">
      <c r="A562" s="107" t="n"/>
      <c r="B562" s="108" t="n"/>
      <c r="C562" s="107" t="n"/>
      <c r="D562" s="107" t="n"/>
      <c r="E562" s="107" t="n"/>
      <c r="F562" s="107" t="n"/>
      <c r="G562" s="107" t="n"/>
      <c r="H562" s="107" t="n"/>
      <c r="I562" s="110">
        <f>IF($B562="","",$B562*(IsverenPayiOrani+IssizlikOrani))</f>
        <v/>
      </c>
    </row>
    <row r="563" ht="15" customHeight="1" s="62">
      <c r="A563" s="107" t="n"/>
      <c r="B563" s="108" t="n"/>
      <c r="C563" s="107" t="n"/>
      <c r="D563" s="107" t="n"/>
      <c r="E563" s="107" t="n"/>
      <c r="F563" s="107" t="n"/>
      <c r="G563" s="107" t="n"/>
      <c r="H563" s="107" t="n"/>
      <c r="I563" s="110">
        <f>IF($B563="","",$B563*(IsverenPayiOrani+IssizlikOrani))</f>
        <v/>
      </c>
    </row>
    <row r="564" ht="15" customHeight="1" s="62">
      <c r="A564" s="107" t="n"/>
      <c r="B564" s="108" t="n"/>
      <c r="C564" s="107" t="n"/>
      <c r="D564" s="107" t="n"/>
      <c r="E564" s="107" t="n"/>
      <c r="F564" s="107" t="n"/>
      <c r="G564" s="107" t="n"/>
      <c r="H564" s="107" t="n"/>
      <c r="I564" s="110">
        <f>IF($B564="","",$B564*(IsverenPayiOrani+IssizlikOrani))</f>
        <v/>
      </c>
    </row>
    <row r="565" ht="15" customHeight="1" s="62">
      <c r="A565" s="107" t="n"/>
      <c r="B565" s="108" t="n"/>
      <c r="C565" s="107" t="n"/>
      <c r="D565" s="107" t="n"/>
      <c r="E565" s="107" t="n"/>
      <c r="F565" s="107" t="n"/>
      <c r="G565" s="107" t="n"/>
      <c r="H565" s="107" t="n"/>
      <c r="I565" s="110">
        <f>IF($B565="","",$B565*(IsverenPayiOrani+IssizlikOrani))</f>
        <v/>
      </c>
    </row>
    <row r="566" ht="15" customHeight="1" s="62">
      <c r="A566" s="107" t="n"/>
      <c r="B566" s="108" t="n"/>
      <c r="C566" s="107" t="n"/>
      <c r="D566" s="107" t="n"/>
      <c r="E566" s="107" t="n"/>
      <c r="F566" s="107" t="n"/>
      <c r="G566" s="107" t="n"/>
      <c r="H566" s="107" t="n"/>
      <c r="I566" s="110">
        <f>IF($B566="","",$B566*(IsverenPayiOrani+IssizlikOrani))</f>
        <v/>
      </c>
    </row>
    <row r="567" ht="15" customHeight="1" s="62">
      <c r="A567" s="107" t="n"/>
      <c r="B567" s="108" t="n"/>
      <c r="C567" s="107" t="n"/>
      <c r="D567" s="107" t="n"/>
      <c r="E567" s="107" t="n"/>
      <c r="F567" s="107" t="n"/>
      <c r="G567" s="107" t="n"/>
      <c r="H567" s="107" t="n"/>
      <c r="I567" s="110">
        <f>IF($B567="","",$B567*(IsverenPayiOrani+IssizlikOrani))</f>
        <v/>
      </c>
    </row>
    <row r="568" ht="15" customHeight="1" s="62">
      <c r="A568" s="107" t="n"/>
      <c r="B568" s="108" t="n"/>
      <c r="C568" s="107" t="n"/>
      <c r="D568" s="107" t="n"/>
      <c r="E568" s="107" t="n"/>
      <c r="F568" s="107" t="n"/>
      <c r="G568" s="107" t="n"/>
      <c r="H568" s="107" t="n"/>
      <c r="I568" s="110">
        <f>IF($B568="","",$B568*(IsverenPayiOrani+IssizlikOrani))</f>
        <v/>
      </c>
    </row>
    <row r="569" ht="15" customHeight="1" s="62">
      <c r="A569" s="107" t="n"/>
      <c r="B569" s="108" t="n"/>
      <c r="C569" s="107" t="n"/>
      <c r="D569" s="107" t="n"/>
      <c r="E569" s="107" t="n"/>
      <c r="F569" s="107" t="n"/>
      <c r="G569" s="107" t="n"/>
      <c r="H569" s="107" t="n"/>
      <c r="I569" s="110">
        <f>IF($B569="","",$B569*(IsverenPayiOrani+IssizlikOrani))</f>
        <v/>
      </c>
    </row>
    <row r="570" ht="15" customHeight="1" s="62">
      <c r="A570" s="107" t="n"/>
      <c r="B570" s="108" t="n"/>
      <c r="C570" s="107" t="n"/>
      <c r="D570" s="107" t="n"/>
      <c r="E570" s="107" t="n"/>
      <c r="F570" s="107" t="n"/>
      <c r="G570" s="107" t="n"/>
      <c r="H570" s="107" t="n"/>
      <c r="I570" s="110">
        <f>IF($B570="","",$B570*(IsverenPayiOrani+IssizlikOrani))</f>
        <v/>
      </c>
    </row>
    <row r="571" ht="15" customHeight="1" s="62">
      <c r="A571" s="107" t="n"/>
      <c r="B571" s="108" t="n"/>
      <c r="C571" s="107" t="n"/>
      <c r="D571" s="107" t="n"/>
      <c r="E571" s="107" t="n"/>
      <c r="F571" s="107" t="n"/>
      <c r="G571" s="107" t="n"/>
      <c r="H571" s="107" t="n"/>
      <c r="I571" s="110">
        <f>IF($B571="","",$B571*(IsverenPayiOrani+IssizlikOrani))</f>
        <v/>
      </c>
    </row>
    <row r="572" ht="15" customHeight="1" s="62">
      <c r="A572" s="107" t="n"/>
      <c r="B572" s="108" t="n"/>
      <c r="C572" s="107" t="n"/>
      <c r="D572" s="107" t="n"/>
      <c r="E572" s="107" t="n"/>
      <c r="F572" s="107" t="n"/>
      <c r="G572" s="107" t="n"/>
      <c r="H572" s="107" t="n"/>
      <c r="I572" s="110">
        <f>IF($B572="","",$B572*(IsverenPayiOrani+IssizlikOrani))</f>
        <v/>
      </c>
    </row>
    <row r="573" ht="15" customHeight="1" s="62">
      <c r="A573" s="107" t="n"/>
      <c r="B573" s="108" t="n"/>
      <c r="C573" s="107" t="n"/>
      <c r="D573" s="107" t="n"/>
      <c r="E573" s="107" t="n"/>
      <c r="F573" s="107" t="n"/>
      <c r="G573" s="107" t="n"/>
      <c r="H573" s="107" t="n"/>
      <c r="I573" s="110">
        <f>IF($B573="","",$B573*(IsverenPayiOrani+IssizlikOrani))</f>
        <v/>
      </c>
    </row>
    <row r="574" ht="15" customHeight="1" s="62">
      <c r="A574" s="107" t="n"/>
      <c r="B574" s="108" t="n"/>
      <c r="C574" s="107" t="n"/>
      <c r="D574" s="107" t="n"/>
      <c r="E574" s="107" t="n"/>
      <c r="F574" s="107" t="n"/>
      <c r="G574" s="107" t="n"/>
      <c r="H574" s="107" t="n"/>
      <c r="I574" s="110">
        <f>IF($B574="","",$B574*(IsverenPayiOrani+IssizlikOrani))</f>
        <v/>
      </c>
    </row>
    <row r="575" ht="15" customHeight="1" s="62">
      <c r="A575" s="107" t="n"/>
      <c r="B575" s="108" t="n"/>
      <c r="C575" s="107" t="n"/>
      <c r="D575" s="107" t="n"/>
      <c r="E575" s="107" t="n"/>
      <c r="F575" s="107" t="n"/>
      <c r="G575" s="107" t="n"/>
      <c r="H575" s="107" t="n"/>
      <c r="I575" s="110">
        <f>IF($B575="","",$B575*(IsverenPayiOrani+IssizlikOrani))</f>
        <v/>
      </c>
    </row>
    <row r="576" ht="15" customHeight="1" s="62">
      <c r="A576" s="107" t="n"/>
      <c r="B576" s="108" t="n"/>
      <c r="C576" s="107" t="n"/>
      <c r="D576" s="107" t="n"/>
      <c r="E576" s="107" t="n"/>
      <c r="F576" s="107" t="n"/>
      <c r="G576" s="107" t="n"/>
      <c r="H576" s="107" t="n"/>
      <c r="I576" s="110">
        <f>IF($B576="","",$B576*(IsverenPayiOrani+IssizlikOrani))</f>
        <v/>
      </c>
    </row>
    <row r="577" ht="15" customHeight="1" s="62">
      <c r="A577" s="107" t="n"/>
      <c r="B577" s="108" t="n"/>
      <c r="C577" s="107" t="n"/>
      <c r="D577" s="107" t="n"/>
      <c r="E577" s="107" t="n"/>
      <c r="F577" s="107" t="n"/>
      <c r="G577" s="107" t="n"/>
      <c r="H577" s="107" t="n"/>
      <c r="I577" s="110">
        <f>IF($B577="","",$B577*(IsverenPayiOrani+IssizlikOrani))</f>
        <v/>
      </c>
    </row>
    <row r="578" ht="15" customHeight="1" s="62">
      <c r="A578" s="107" t="n"/>
      <c r="B578" s="108" t="n"/>
      <c r="C578" s="107" t="n"/>
      <c r="D578" s="107" t="n"/>
      <c r="E578" s="107" t="n"/>
      <c r="F578" s="107" t="n"/>
      <c r="G578" s="107" t="n"/>
      <c r="H578" s="107" t="n"/>
      <c r="I578" s="110">
        <f>IF($B578="","",$B578*(IsverenPayiOrani+IssizlikOrani))</f>
        <v/>
      </c>
    </row>
    <row r="579" ht="15" customHeight="1" s="62">
      <c r="A579" s="107" t="n"/>
      <c r="B579" s="108" t="n"/>
      <c r="C579" s="107" t="n"/>
      <c r="D579" s="107" t="n"/>
      <c r="E579" s="107" t="n"/>
      <c r="F579" s="107" t="n"/>
      <c r="G579" s="107" t="n"/>
      <c r="H579" s="107" t="n"/>
      <c r="I579" s="110">
        <f>IF($B579="","",$B579*(IsverenPayiOrani+IssizlikOrani))</f>
        <v/>
      </c>
    </row>
    <row r="580" ht="15" customHeight="1" s="62">
      <c r="A580" s="107" t="n"/>
      <c r="B580" s="108" t="n"/>
      <c r="C580" s="107" t="n"/>
      <c r="D580" s="107" t="n"/>
      <c r="E580" s="107" t="n"/>
      <c r="F580" s="107" t="n"/>
      <c r="G580" s="107" t="n"/>
      <c r="H580" s="107" t="n"/>
      <c r="I580" s="110">
        <f>IF($B580="","",$B580*(IsverenPayiOrani+IssizlikOrani))</f>
        <v/>
      </c>
    </row>
    <row r="581" ht="15" customHeight="1" s="62">
      <c r="A581" s="107" t="n"/>
      <c r="B581" s="108" t="n"/>
      <c r="C581" s="107" t="n"/>
      <c r="D581" s="107" t="n"/>
      <c r="E581" s="107" t="n"/>
      <c r="F581" s="107" t="n"/>
      <c r="G581" s="107" t="n"/>
      <c r="H581" s="107" t="n"/>
      <c r="I581" s="110">
        <f>IF($B581="","",$B581*(IsverenPayiOrani+IssizlikOrani))</f>
        <v/>
      </c>
    </row>
    <row r="582" ht="15" customHeight="1" s="62">
      <c r="A582" s="107" t="n"/>
      <c r="B582" s="108" t="n"/>
      <c r="C582" s="107" t="n"/>
      <c r="D582" s="107" t="n"/>
      <c r="E582" s="107" t="n"/>
      <c r="F582" s="107" t="n"/>
      <c r="G582" s="107" t="n"/>
      <c r="H582" s="107" t="n"/>
      <c r="I582" s="110">
        <f>IF($B582="","",$B582*(IsverenPayiOrani+IssizlikOrani))</f>
        <v/>
      </c>
    </row>
    <row r="583" ht="15" customHeight="1" s="62">
      <c r="A583" s="107" t="n"/>
      <c r="B583" s="108" t="n"/>
      <c r="C583" s="107" t="n"/>
      <c r="D583" s="107" t="n"/>
      <c r="E583" s="107" t="n"/>
      <c r="F583" s="107" t="n"/>
      <c r="G583" s="107" t="n"/>
      <c r="H583" s="107" t="n"/>
      <c r="I583" s="110">
        <f>IF($B583="","",$B583*(IsverenPayiOrani+IssizlikOrani))</f>
        <v/>
      </c>
    </row>
    <row r="584" ht="15" customHeight="1" s="62">
      <c r="A584" s="107" t="n"/>
      <c r="B584" s="108" t="n"/>
      <c r="C584" s="107" t="n"/>
      <c r="D584" s="107" t="n"/>
      <c r="E584" s="107" t="n"/>
      <c r="F584" s="107" t="n"/>
      <c r="G584" s="107" t="n"/>
      <c r="H584" s="107" t="n"/>
      <c r="I584" s="110">
        <f>IF($B584="","",$B584*(IsverenPayiOrani+IssizlikOrani))</f>
        <v/>
      </c>
    </row>
    <row r="585" ht="15" customHeight="1" s="62">
      <c r="A585" s="107" t="n"/>
      <c r="B585" s="108" t="n"/>
      <c r="C585" s="107" t="n"/>
      <c r="D585" s="107" t="n"/>
      <c r="E585" s="107" t="n"/>
      <c r="F585" s="107" t="n"/>
      <c r="G585" s="107" t="n"/>
      <c r="H585" s="107" t="n"/>
      <c r="I585" s="110">
        <f>IF($B585="","",$B585*(IsverenPayiOrani+IssizlikOrani))</f>
        <v/>
      </c>
    </row>
    <row r="586" ht="15" customHeight="1" s="62">
      <c r="A586" s="107" t="n"/>
      <c r="B586" s="108" t="n"/>
      <c r="C586" s="107" t="n"/>
      <c r="D586" s="107" t="n"/>
      <c r="E586" s="107" t="n"/>
      <c r="F586" s="107" t="n"/>
      <c r="G586" s="107" t="n"/>
      <c r="H586" s="107" t="n"/>
      <c r="I586" s="110">
        <f>IF($B586="","",$B586*(IsverenPayiOrani+IssizlikOrani))</f>
        <v/>
      </c>
    </row>
    <row r="587" ht="15" customHeight="1" s="62">
      <c r="A587" s="107" t="n"/>
      <c r="B587" s="108" t="n"/>
      <c r="C587" s="107" t="n"/>
      <c r="D587" s="107" t="n"/>
      <c r="E587" s="107" t="n"/>
      <c r="F587" s="107" t="n"/>
      <c r="G587" s="107" t="n"/>
      <c r="H587" s="107" t="n"/>
      <c r="I587" s="110">
        <f>IF($B587="","",$B587*(IsverenPayiOrani+IssizlikOrani))</f>
        <v/>
      </c>
    </row>
    <row r="588" ht="15" customHeight="1" s="62">
      <c r="A588" s="107" t="n"/>
      <c r="B588" s="108" t="n"/>
      <c r="C588" s="107" t="n"/>
      <c r="D588" s="107" t="n"/>
      <c r="E588" s="107" t="n"/>
      <c r="F588" s="107" t="n"/>
      <c r="G588" s="107" t="n"/>
      <c r="H588" s="107" t="n"/>
      <c r="I588" s="110">
        <f>IF($B588="","",$B588*(IsverenPayiOrani+IssizlikOrani))</f>
        <v/>
      </c>
    </row>
    <row r="589" ht="15" customHeight="1" s="62">
      <c r="A589" s="107" t="n"/>
      <c r="B589" s="108" t="n"/>
      <c r="C589" s="107" t="n"/>
      <c r="D589" s="107" t="n"/>
      <c r="E589" s="107" t="n"/>
      <c r="F589" s="107" t="n"/>
      <c r="G589" s="107" t="n"/>
      <c r="H589" s="107" t="n"/>
      <c r="I589" s="110">
        <f>IF($B589="","",$B589*(IsverenPayiOrani+IssizlikOrani))</f>
        <v/>
      </c>
    </row>
    <row r="590" ht="15" customHeight="1" s="62">
      <c r="A590" s="107" t="n"/>
      <c r="B590" s="108" t="n"/>
      <c r="C590" s="107" t="n"/>
      <c r="D590" s="107" t="n"/>
      <c r="E590" s="107" t="n"/>
      <c r="F590" s="107" t="n"/>
      <c r="G590" s="107" t="n"/>
      <c r="H590" s="107" t="n"/>
      <c r="I590" s="110">
        <f>IF($B590="","",$B590*(IsverenPayiOrani+IssizlikOrani))</f>
        <v/>
      </c>
    </row>
    <row r="591" ht="15" customHeight="1" s="62">
      <c r="A591" s="107" t="n"/>
      <c r="B591" s="108" t="n"/>
      <c r="C591" s="107" t="n"/>
      <c r="D591" s="107" t="n"/>
      <c r="E591" s="107" t="n"/>
      <c r="F591" s="107" t="n"/>
      <c r="G591" s="107" t="n"/>
      <c r="H591" s="107" t="n"/>
      <c r="I591" s="110">
        <f>IF($B591="","",$B591*(IsverenPayiOrani+IssizlikOrani))</f>
        <v/>
      </c>
    </row>
    <row r="592" ht="15" customHeight="1" s="62">
      <c r="A592" s="107" t="n"/>
      <c r="B592" s="108" t="n"/>
      <c r="C592" s="107" t="n"/>
      <c r="D592" s="107" t="n"/>
      <c r="E592" s="107" t="n"/>
      <c r="F592" s="107" t="n"/>
      <c r="G592" s="107" t="n"/>
      <c r="H592" s="107" t="n"/>
      <c r="I592" s="110">
        <f>IF($B592="","",$B592*(IsverenPayiOrani+IssizlikOrani))</f>
        <v/>
      </c>
    </row>
    <row r="593" ht="15" customHeight="1" s="62">
      <c r="A593" s="107" t="n"/>
      <c r="B593" s="108" t="n"/>
      <c r="C593" s="107" t="n"/>
      <c r="D593" s="107" t="n"/>
      <c r="E593" s="107" t="n"/>
      <c r="F593" s="107" t="n"/>
      <c r="G593" s="107" t="n"/>
      <c r="H593" s="107" t="n"/>
      <c r="I593" s="110">
        <f>IF($B593="","",$B593*(IsverenPayiOrani+IssizlikOrani))</f>
        <v/>
      </c>
    </row>
    <row r="594" ht="15" customHeight="1" s="62">
      <c r="A594" s="107" t="n"/>
      <c r="B594" s="108" t="n"/>
      <c r="C594" s="107" t="n"/>
      <c r="D594" s="107" t="n"/>
      <c r="E594" s="107" t="n"/>
      <c r="F594" s="107" t="n"/>
      <c r="G594" s="107" t="n"/>
      <c r="H594" s="107" t="n"/>
      <c r="I594" s="110">
        <f>IF($B594="","",$B594*(IsverenPayiOrani+IssizlikOrani))</f>
        <v/>
      </c>
    </row>
    <row r="595" ht="15" customHeight="1" s="62">
      <c r="A595" s="107" t="n"/>
      <c r="B595" s="108" t="n"/>
      <c r="C595" s="107" t="n"/>
      <c r="D595" s="107" t="n"/>
      <c r="E595" s="107" t="n"/>
      <c r="F595" s="107" t="n"/>
      <c r="G595" s="107" t="n"/>
      <c r="H595" s="107" t="n"/>
      <c r="I595" s="110">
        <f>IF($B595="","",$B595*(IsverenPayiOrani+IssizlikOrani))</f>
        <v/>
      </c>
    </row>
    <row r="596" ht="15" customHeight="1" s="62">
      <c r="A596" s="107" t="n"/>
      <c r="B596" s="108" t="n"/>
      <c r="C596" s="107" t="n"/>
      <c r="D596" s="107" t="n"/>
      <c r="E596" s="107" t="n"/>
      <c r="F596" s="107" t="n"/>
      <c r="G596" s="107" t="n"/>
      <c r="H596" s="107" t="n"/>
      <c r="I596" s="110">
        <f>IF($B596="","",$B596*(IsverenPayiOrani+IssizlikOrani))</f>
        <v/>
      </c>
    </row>
    <row r="597" ht="15" customHeight="1" s="62">
      <c r="A597" s="107" t="n"/>
      <c r="B597" s="108" t="n"/>
      <c r="C597" s="107" t="n"/>
      <c r="D597" s="107" t="n"/>
      <c r="E597" s="107" t="n"/>
      <c r="F597" s="107" t="n"/>
      <c r="G597" s="107" t="n"/>
      <c r="H597" s="107" t="n"/>
      <c r="I597" s="110">
        <f>IF($B597="","",$B597*(IsverenPayiOrani+IssizlikOrani))</f>
        <v/>
      </c>
    </row>
    <row r="598" ht="15" customHeight="1" s="62">
      <c r="A598" s="107" t="n"/>
      <c r="B598" s="108" t="n"/>
      <c r="C598" s="107" t="n"/>
      <c r="D598" s="107" t="n"/>
      <c r="E598" s="107" t="n"/>
      <c r="F598" s="107" t="n"/>
      <c r="G598" s="107" t="n"/>
      <c r="H598" s="107" t="n"/>
      <c r="I598" s="110">
        <f>IF($B598="","",$B598*(IsverenPayiOrani+IssizlikOrani))</f>
        <v/>
      </c>
    </row>
    <row r="599" ht="15" customHeight="1" s="62">
      <c r="A599" s="107" t="n"/>
      <c r="B599" s="108" t="n"/>
      <c r="C599" s="107" t="n"/>
      <c r="D599" s="107" t="n"/>
      <c r="E599" s="107" t="n"/>
      <c r="F599" s="107" t="n"/>
      <c r="G599" s="107" t="n"/>
      <c r="H599" s="107" t="n"/>
      <c r="I599" s="110">
        <f>IF($B599="","",$B599*(IsverenPayiOrani+IssizlikOrani))</f>
        <v/>
      </c>
    </row>
    <row r="600" ht="15" customHeight="1" s="62">
      <c r="A600" s="107" t="n"/>
      <c r="B600" s="108" t="n"/>
      <c r="C600" s="107" t="n"/>
      <c r="D600" s="107" t="n"/>
      <c r="E600" s="107" t="n"/>
      <c r="F600" s="107" t="n"/>
      <c r="G600" s="107" t="n"/>
      <c r="H600" s="107" t="n"/>
      <c r="I600" s="110">
        <f>IF($B600="","",$B600*(IsverenPayiOrani+IssizlikOrani))</f>
        <v/>
      </c>
    </row>
    <row r="601" ht="15" customHeight="1" s="62">
      <c r="A601" s="107" t="n"/>
      <c r="B601" s="108" t="n"/>
      <c r="C601" s="107" t="n"/>
      <c r="D601" s="107" t="n"/>
      <c r="E601" s="107" t="n"/>
      <c r="F601" s="107" t="n"/>
      <c r="G601" s="107" t="n"/>
      <c r="H601" s="107" t="n"/>
      <c r="I601" s="110">
        <f>IF($B601="","",$B601*(IsverenPayiOrani+IssizlikOrani))</f>
        <v/>
      </c>
    </row>
    <row r="602" ht="15" customHeight="1" s="62">
      <c r="A602" s="107" t="n"/>
      <c r="B602" s="108" t="n"/>
      <c r="C602" s="107" t="n"/>
      <c r="D602" s="107" t="n"/>
      <c r="E602" s="107" t="n"/>
      <c r="F602" s="107" t="n"/>
      <c r="G602" s="107" t="n"/>
      <c r="H602" s="107" t="n"/>
      <c r="I602" s="110">
        <f>IF($B602="","",$B602*(IsverenPayiOrani+IssizlikOrani))</f>
        <v/>
      </c>
    </row>
    <row r="603" ht="15" customHeight="1" s="62">
      <c r="A603" s="107" t="n"/>
      <c r="B603" s="108" t="n"/>
      <c r="C603" s="107" t="n"/>
      <c r="D603" s="107" t="n"/>
      <c r="E603" s="107" t="n"/>
      <c r="F603" s="107" t="n"/>
      <c r="G603" s="107" t="n"/>
      <c r="H603" s="107" t="n"/>
      <c r="I603" s="110">
        <f>IF($B603="","",$B603*(IsverenPayiOrani+IssizlikOrani))</f>
        <v/>
      </c>
    </row>
    <row r="604" ht="15" customHeight="1" s="62">
      <c r="A604" s="107" t="n"/>
      <c r="B604" s="108" t="n"/>
      <c r="C604" s="107" t="n"/>
      <c r="D604" s="107" t="n"/>
      <c r="E604" s="107" t="n"/>
      <c r="F604" s="107" t="n"/>
      <c r="G604" s="107" t="n"/>
      <c r="H604" s="107" t="n"/>
      <c r="I604" s="110">
        <f>IF($B604="","",$B604*(IsverenPayiOrani+IssizlikOrani))</f>
        <v/>
      </c>
    </row>
    <row r="605" ht="15" customHeight="1" s="62">
      <c r="A605" s="107" t="n"/>
      <c r="B605" s="108" t="n"/>
      <c r="C605" s="107" t="n"/>
      <c r="D605" s="107" t="n"/>
      <c r="E605" s="107" t="n"/>
      <c r="F605" s="107" t="n"/>
      <c r="G605" s="107" t="n"/>
      <c r="H605" s="107" t="n"/>
      <c r="I605" s="110">
        <f>IF($B605="","",$B605*(IsverenPayiOrani+IssizlikOrani))</f>
        <v/>
      </c>
    </row>
    <row r="606" ht="15" customHeight="1" s="62">
      <c r="A606" s="107" t="n"/>
      <c r="B606" s="108" t="n"/>
      <c r="C606" s="107" t="n"/>
      <c r="D606" s="107" t="n"/>
      <c r="E606" s="107" t="n"/>
      <c r="F606" s="107" t="n"/>
      <c r="G606" s="107" t="n"/>
      <c r="H606" s="107" t="n"/>
      <c r="I606" s="110">
        <f>IF($B606="","",$B606*(IsverenPayiOrani+IssizlikOrani))</f>
        <v/>
      </c>
    </row>
    <row r="607" ht="15" customHeight="1" s="62">
      <c r="A607" s="107" t="n"/>
      <c r="B607" s="108" t="n"/>
      <c r="C607" s="107" t="n"/>
      <c r="D607" s="107" t="n"/>
      <c r="E607" s="107" t="n"/>
      <c r="F607" s="107" t="n"/>
      <c r="G607" s="107" t="n"/>
      <c r="H607" s="107" t="n"/>
      <c r="I607" s="110">
        <f>IF($B607="","",$B607*(IsverenPayiOrani+IssizlikOrani))</f>
        <v/>
      </c>
    </row>
    <row r="608" ht="15" customHeight="1" s="62">
      <c r="A608" s="107" t="n"/>
      <c r="B608" s="108" t="n"/>
      <c r="C608" s="107" t="n"/>
      <c r="D608" s="107" t="n"/>
      <c r="E608" s="107" t="n"/>
      <c r="F608" s="107" t="n"/>
      <c r="G608" s="107" t="n"/>
      <c r="H608" s="107" t="n"/>
      <c r="I608" s="110">
        <f>IF($B608="","",$B608*(IsverenPayiOrani+IssizlikOrani))</f>
        <v/>
      </c>
    </row>
    <row r="609" ht="15" customHeight="1" s="62">
      <c r="A609" s="107" t="n"/>
      <c r="B609" s="108" t="n"/>
      <c r="C609" s="107" t="n"/>
      <c r="D609" s="107" t="n"/>
      <c r="E609" s="107" t="n"/>
      <c r="F609" s="107" t="n"/>
      <c r="G609" s="107" t="n"/>
      <c r="H609" s="107" t="n"/>
      <c r="I609" s="110">
        <f>IF($B609="","",$B609*(IsverenPayiOrani+IssizlikOrani))</f>
        <v/>
      </c>
    </row>
    <row r="610" ht="15" customHeight="1" s="62">
      <c r="A610" s="107" t="n"/>
      <c r="B610" s="108" t="n"/>
      <c r="C610" s="107" t="n"/>
      <c r="D610" s="107" t="n"/>
      <c r="E610" s="107" t="n"/>
      <c r="F610" s="107" t="n"/>
      <c r="G610" s="107" t="n"/>
      <c r="H610" s="107" t="n"/>
      <c r="I610" s="110">
        <f>IF($B610="","",$B610*(IsverenPayiOrani+IssizlikOrani))</f>
        <v/>
      </c>
    </row>
    <row r="611" ht="15" customHeight="1" s="62">
      <c r="A611" s="107" t="n"/>
      <c r="B611" s="108" t="n"/>
      <c r="C611" s="107" t="n"/>
      <c r="D611" s="107" t="n"/>
      <c r="E611" s="107" t="n"/>
      <c r="F611" s="107" t="n"/>
      <c r="G611" s="107" t="n"/>
      <c r="H611" s="107" t="n"/>
      <c r="I611" s="110">
        <f>IF($B611="","",$B611*(IsverenPayiOrani+IssizlikOrani))</f>
        <v/>
      </c>
    </row>
    <row r="612" ht="15" customHeight="1" s="62">
      <c r="A612" s="107" t="n"/>
      <c r="B612" s="108" t="n"/>
      <c r="C612" s="107" t="n"/>
      <c r="D612" s="107" t="n"/>
      <c r="E612" s="107" t="n"/>
      <c r="F612" s="107" t="n"/>
      <c r="G612" s="107" t="n"/>
      <c r="H612" s="107" t="n"/>
      <c r="I612" s="110">
        <f>IF($B612="","",$B612*(IsverenPayiOrani+IssizlikOrani))</f>
        <v/>
      </c>
    </row>
    <row r="613" ht="15" customHeight="1" s="62">
      <c r="A613" s="107" t="n"/>
      <c r="B613" s="108" t="n"/>
      <c r="C613" s="107" t="n"/>
      <c r="D613" s="107" t="n"/>
      <c r="E613" s="107" t="n"/>
      <c r="F613" s="107" t="n"/>
      <c r="G613" s="107" t="n"/>
      <c r="H613" s="107" t="n"/>
      <c r="I613" s="110">
        <f>IF($B613="","",$B613*(IsverenPayiOrani+IssizlikOrani))</f>
        <v/>
      </c>
    </row>
    <row r="614" ht="15" customHeight="1" s="62">
      <c r="A614" s="107" t="n"/>
      <c r="B614" s="108" t="n"/>
      <c r="C614" s="107" t="n"/>
      <c r="D614" s="107" t="n"/>
      <c r="E614" s="107" t="n"/>
      <c r="F614" s="107" t="n"/>
      <c r="G614" s="107" t="n"/>
      <c r="H614" s="107" t="n"/>
      <c r="I614" s="110">
        <f>IF($B614="","",$B614*(IsverenPayiOrani+IssizlikOrani))</f>
        <v/>
      </c>
    </row>
    <row r="615" ht="15" customHeight="1" s="62">
      <c r="A615" s="107" t="n"/>
      <c r="B615" s="108" t="n"/>
      <c r="C615" s="107" t="n"/>
      <c r="D615" s="107" t="n"/>
      <c r="E615" s="107" t="n"/>
      <c r="F615" s="107" t="n"/>
      <c r="G615" s="107" t="n"/>
      <c r="H615" s="107" t="n"/>
      <c r="I615" s="110">
        <f>IF($B615="","",$B615*(IsverenPayiOrani+IssizlikOrani))</f>
        <v/>
      </c>
    </row>
    <row r="616" ht="15" customHeight="1" s="62">
      <c r="A616" s="107" t="n"/>
      <c r="B616" s="108" t="n"/>
      <c r="C616" s="107" t="n"/>
      <c r="D616" s="107" t="n"/>
      <c r="E616" s="107" t="n"/>
      <c r="F616" s="107" t="n"/>
      <c r="G616" s="107" t="n"/>
      <c r="H616" s="107" t="n"/>
      <c r="I616" s="110">
        <f>IF($B616="","",$B616*(IsverenPayiOrani+IssizlikOrani))</f>
        <v/>
      </c>
    </row>
    <row r="617" ht="15" customHeight="1" s="62">
      <c r="A617" s="107" t="n"/>
      <c r="B617" s="108" t="n"/>
      <c r="C617" s="107" t="n"/>
      <c r="D617" s="107" t="n"/>
      <c r="E617" s="107" t="n"/>
      <c r="F617" s="107" t="n"/>
      <c r="G617" s="107" t="n"/>
      <c r="H617" s="107" t="n"/>
      <c r="I617" s="110">
        <f>IF($B617="","",$B617*(IsverenPayiOrani+IssizlikOrani))</f>
        <v/>
      </c>
    </row>
    <row r="618" ht="15" customHeight="1" s="62">
      <c r="A618" s="107" t="n"/>
      <c r="B618" s="108" t="n"/>
      <c r="C618" s="107" t="n"/>
      <c r="D618" s="107" t="n"/>
      <c r="E618" s="107" t="n"/>
      <c r="F618" s="107" t="n"/>
      <c r="G618" s="107" t="n"/>
      <c r="H618" s="107" t="n"/>
      <c r="I618" s="110">
        <f>IF($B618="","",$B618*(IsverenPayiOrani+IssizlikOrani))</f>
        <v/>
      </c>
    </row>
    <row r="619" ht="15" customHeight="1" s="62">
      <c r="A619" s="107" t="n"/>
      <c r="B619" s="108" t="n"/>
      <c r="C619" s="107" t="n"/>
      <c r="D619" s="107" t="n"/>
      <c r="E619" s="107" t="n"/>
      <c r="F619" s="107" t="n"/>
      <c r="G619" s="107" t="n"/>
      <c r="H619" s="107" t="n"/>
      <c r="I619" s="110">
        <f>IF($B619="","",$B619*(IsverenPayiOrani+IssizlikOrani))</f>
        <v/>
      </c>
    </row>
    <row r="620" ht="15" customHeight="1" s="62">
      <c r="A620" s="107" t="n"/>
      <c r="B620" s="108" t="n"/>
      <c r="C620" s="107" t="n"/>
      <c r="D620" s="107" t="n"/>
      <c r="E620" s="107" t="n"/>
      <c r="F620" s="107" t="n"/>
      <c r="G620" s="107" t="n"/>
      <c r="H620" s="107" t="n"/>
      <c r="I620" s="110">
        <f>IF($B620="","",$B620*(IsverenPayiOrani+IssizlikOrani))</f>
        <v/>
      </c>
    </row>
    <row r="621" ht="15" customHeight="1" s="62">
      <c r="A621" s="107" t="n"/>
      <c r="B621" s="108" t="n"/>
      <c r="C621" s="107" t="n"/>
      <c r="D621" s="107" t="n"/>
      <c r="E621" s="107" t="n"/>
      <c r="F621" s="107" t="n"/>
      <c r="G621" s="107" t="n"/>
      <c r="H621" s="107" t="n"/>
      <c r="I621" s="110">
        <f>IF($B621="","",$B621*(IsverenPayiOrani+IssizlikOrani))</f>
        <v/>
      </c>
    </row>
    <row r="622" ht="15" customHeight="1" s="62">
      <c r="A622" s="107" t="n"/>
      <c r="B622" s="108" t="n"/>
      <c r="C622" s="107" t="n"/>
      <c r="D622" s="107" t="n"/>
      <c r="E622" s="107" t="n"/>
      <c r="F622" s="107" t="n"/>
      <c r="G622" s="107" t="n"/>
      <c r="H622" s="107" t="n"/>
      <c r="I622" s="110">
        <f>IF($B622="","",$B622*(IsverenPayiOrani+IssizlikOrani))</f>
        <v/>
      </c>
    </row>
    <row r="623" ht="15" customHeight="1" s="62">
      <c r="A623" s="107" t="n"/>
      <c r="B623" s="108" t="n"/>
      <c r="C623" s="107" t="n"/>
      <c r="D623" s="107" t="n"/>
      <c r="E623" s="107" t="n"/>
      <c r="F623" s="107" t="n"/>
      <c r="G623" s="107" t="n"/>
      <c r="H623" s="107" t="n"/>
      <c r="I623" s="110">
        <f>IF($B623="","",$B623*(IsverenPayiOrani+IssizlikOrani))</f>
        <v/>
      </c>
    </row>
    <row r="624" ht="15" customHeight="1" s="62">
      <c r="A624" s="107" t="n"/>
      <c r="B624" s="108" t="n"/>
      <c r="C624" s="107" t="n"/>
      <c r="D624" s="107" t="n"/>
      <c r="E624" s="107" t="n"/>
      <c r="F624" s="107" t="n"/>
      <c r="G624" s="107" t="n"/>
      <c r="H624" s="107" t="n"/>
      <c r="I624" s="110">
        <f>IF($B624="","",$B624*(IsverenPayiOrani+IssizlikOrani))</f>
        <v/>
      </c>
    </row>
    <row r="625" ht="15" customHeight="1" s="62">
      <c r="A625" s="107" t="n"/>
      <c r="B625" s="108" t="n"/>
      <c r="C625" s="107" t="n"/>
      <c r="D625" s="107" t="n"/>
      <c r="E625" s="107" t="n"/>
      <c r="F625" s="107" t="n"/>
      <c r="G625" s="107" t="n"/>
      <c r="H625" s="107" t="n"/>
      <c r="I625" s="110">
        <f>IF($B625="","",$B625*(IsverenPayiOrani+IssizlikOrani))</f>
        <v/>
      </c>
    </row>
    <row r="626" ht="15" customHeight="1" s="62">
      <c r="A626" s="107" t="n"/>
      <c r="B626" s="108" t="n"/>
      <c r="C626" s="107" t="n"/>
      <c r="D626" s="107" t="n"/>
      <c r="E626" s="107" t="n"/>
      <c r="F626" s="107" t="n"/>
      <c r="G626" s="107" t="n"/>
      <c r="H626" s="107" t="n"/>
      <c r="I626" s="110">
        <f>IF($B626="","",$B626*(IsverenPayiOrani+IssizlikOrani))</f>
        <v/>
      </c>
    </row>
    <row r="627" ht="15" customHeight="1" s="62">
      <c r="A627" s="107" t="n"/>
      <c r="B627" s="108" t="n"/>
      <c r="C627" s="107" t="n"/>
      <c r="D627" s="107" t="n"/>
      <c r="E627" s="107" t="n"/>
      <c r="F627" s="107" t="n"/>
      <c r="G627" s="107" t="n"/>
      <c r="H627" s="107" t="n"/>
      <c r="I627" s="110">
        <f>IF($B627="","",$B627*(IsverenPayiOrani+IssizlikOrani))</f>
        <v/>
      </c>
    </row>
    <row r="628" ht="15" customHeight="1" s="62">
      <c r="A628" s="107" t="n"/>
      <c r="B628" s="108" t="n"/>
      <c r="C628" s="107" t="n"/>
      <c r="D628" s="107" t="n"/>
      <c r="E628" s="107" t="n"/>
      <c r="F628" s="107" t="n"/>
      <c r="G628" s="107" t="n"/>
      <c r="H628" s="107" t="n"/>
      <c r="I628" s="110">
        <f>IF($B628="","",$B628*(IsverenPayiOrani+IssizlikOrani))</f>
        <v/>
      </c>
    </row>
    <row r="629" ht="15" customHeight="1" s="62">
      <c r="A629" s="107" t="n"/>
      <c r="B629" s="108" t="n"/>
      <c r="C629" s="107" t="n"/>
      <c r="D629" s="107" t="n"/>
      <c r="E629" s="107" t="n"/>
      <c r="F629" s="107" t="n"/>
      <c r="G629" s="107" t="n"/>
      <c r="H629" s="107" t="n"/>
      <c r="I629" s="110">
        <f>IF($B629="","",$B629*(IsverenPayiOrani+IssizlikOrani))</f>
        <v/>
      </c>
    </row>
    <row r="630" ht="15" customHeight="1" s="62">
      <c r="A630" s="107" t="n"/>
      <c r="B630" s="108" t="n"/>
      <c r="C630" s="107" t="n"/>
      <c r="D630" s="107" t="n"/>
      <c r="E630" s="107" t="n"/>
      <c r="F630" s="107" t="n"/>
      <c r="G630" s="107" t="n"/>
      <c r="H630" s="107" t="n"/>
      <c r="I630" s="110">
        <f>IF($B630="","",$B630*(IsverenPayiOrani+IssizlikOrani))</f>
        <v/>
      </c>
    </row>
    <row r="631" ht="15" customHeight="1" s="62">
      <c r="A631" s="107" t="n"/>
      <c r="B631" s="108" t="n"/>
      <c r="C631" s="107" t="n"/>
      <c r="D631" s="107" t="n"/>
      <c r="E631" s="107" t="n"/>
      <c r="F631" s="107" t="n"/>
      <c r="G631" s="107" t="n"/>
      <c r="H631" s="107" t="n"/>
      <c r="I631" s="110">
        <f>IF($B631="","",$B631*(IsverenPayiOrani+IssizlikOrani))</f>
        <v/>
      </c>
    </row>
    <row r="632" ht="15" customHeight="1" s="62">
      <c r="A632" s="107" t="n"/>
      <c r="B632" s="108" t="n"/>
      <c r="C632" s="107" t="n"/>
      <c r="D632" s="107" t="n"/>
      <c r="E632" s="107" t="n"/>
      <c r="F632" s="107" t="n"/>
      <c r="G632" s="107" t="n"/>
      <c r="H632" s="107" t="n"/>
      <c r="I632" s="110">
        <f>IF($B632="","",$B632*(IsverenPayiOrani+IssizlikOrani))</f>
        <v/>
      </c>
    </row>
    <row r="633" ht="15" customHeight="1" s="62">
      <c r="A633" s="107" t="n"/>
      <c r="B633" s="108" t="n"/>
      <c r="C633" s="107" t="n"/>
      <c r="D633" s="107" t="n"/>
      <c r="E633" s="107" t="n"/>
      <c r="F633" s="107" t="n"/>
      <c r="G633" s="107" t="n"/>
      <c r="H633" s="107" t="n"/>
      <c r="I633" s="110">
        <f>IF($B633="","",$B633*(IsverenPayiOrani+IssizlikOrani))</f>
        <v/>
      </c>
    </row>
    <row r="634" ht="15" customHeight="1" s="62">
      <c r="A634" s="107" t="n"/>
      <c r="B634" s="108" t="n"/>
      <c r="C634" s="107" t="n"/>
      <c r="D634" s="107" t="n"/>
      <c r="E634" s="107" t="n"/>
      <c r="F634" s="107" t="n"/>
      <c r="G634" s="107" t="n"/>
      <c r="H634" s="107" t="n"/>
      <c r="I634" s="110">
        <f>IF($B634="","",$B634*(IsverenPayiOrani+IssizlikOrani))</f>
        <v/>
      </c>
    </row>
    <row r="635" ht="15" customHeight="1" s="62">
      <c r="A635" s="107" t="n"/>
      <c r="B635" s="108" t="n"/>
      <c r="C635" s="107" t="n"/>
      <c r="D635" s="107" t="n"/>
      <c r="E635" s="107" t="n"/>
      <c r="F635" s="107" t="n"/>
      <c r="G635" s="107" t="n"/>
      <c r="H635" s="107" t="n"/>
      <c r="I635" s="110">
        <f>IF($B635="","",$B635*(IsverenPayiOrani+IssizlikOrani))</f>
        <v/>
      </c>
    </row>
    <row r="636" ht="15" customHeight="1" s="62">
      <c r="A636" s="107" t="n"/>
      <c r="B636" s="108" t="n"/>
      <c r="C636" s="107" t="n"/>
      <c r="D636" s="107" t="n"/>
      <c r="E636" s="107" t="n"/>
      <c r="F636" s="107" t="n"/>
      <c r="G636" s="107" t="n"/>
      <c r="H636" s="107" t="n"/>
      <c r="I636" s="110">
        <f>IF($B636="","",$B636*(IsverenPayiOrani+IssizlikOrani))</f>
        <v/>
      </c>
    </row>
    <row r="637" ht="15" customHeight="1" s="62">
      <c r="A637" s="107" t="n"/>
      <c r="B637" s="108" t="n"/>
      <c r="C637" s="107" t="n"/>
      <c r="D637" s="107" t="n"/>
      <c r="E637" s="107" t="n"/>
      <c r="F637" s="107" t="n"/>
      <c r="G637" s="107" t="n"/>
      <c r="H637" s="107" t="n"/>
      <c r="I637" s="110">
        <f>IF($B637="","",$B637*(IsverenPayiOrani+IssizlikOrani))</f>
        <v/>
      </c>
    </row>
    <row r="638" ht="15" customHeight="1" s="62">
      <c r="A638" s="107" t="n"/>
      <c r="B638" s="108" t="n"/>
      <c r="C638" s="107" t="n"/>
      <c r="D638" s="107" t="n"/>
      <c r="E638" s="107" t="n"/>
      <c r="F638" s="107" t="n"/>
      <c r="G638" s="107" t="n"/>
      <c r="H638" s="107" t="n"/>
      <c r="I638" s="110">
        <f>IF($B638="","",$B638*(IsverenPayiOrani+IssizlikOrani))</f>
        <v/>
      </c>
    </row>
    <row r="639" ht="15" customHeight="1" s="62">
      <c r="A639" s="107" t="n"/>
      <c r="B639" s="108" t="n"/>
      <c r="C639" s="107" t="n"/>
      <c r="D639" s="107" t="n"/>
      <c r="E639" s="107" t="n"/>
      <c r="F639" s="107" t="n"/>
      <c r="G639" s="107" t="n"/>
      <c r="H639" s="107" t="n"/>
      <c r="I639" s="110">
        <f>IF($B639="","",$B639*(IsverenPayiOrani+IssizlikOrani))</f>
        <v/>
      </c>
    </row>
    <row r="640" ht="15" customHeight="1" s="62">
      <c r="A640" s="107" t="n"/>
      <c r="B640" s="108" t="n"/>
      <c r="C640" s="107" t="n"/>
      <c r="D640" s="107" t="n"/>
      <c r="E640" s="107" t="n"/>
      <c r="F640" s="107" t="n"/>
      <c r="G640" s="107" t="n"/>
      <c r="H640" s="107" t="n"/>
      <c r="I640" s="110">
        <f>IF($B640="","",$B640*(IsverenPayiOrani+IssizlikOrani))</f>
        <v/>
      </c>
    </row>
    <row r="641" ht="15" customHeight="1" s="62">
      <c r="A641" s="107" t="n"/>
      <c r="B641" s="108" t="n"/>
      <c r="C641" s="107" t="n"/>
      <c r="D641" s="107" t="n"/>
      <c r="E641" s="107" t="n"/>
      <c r="F641" s="107" t="n"/>
      <c r="G641" s="107" t="n"/>
      <c r="H641" s="107" t="n"/>
      <c r="I641" s="110">
        <f>IF($B641="","",$B641*(IsverenPayiOrani+IssizlikOrani))</f>
        <v/>
      </c>
    </row>
    <row r="642" ht="15" customHeight="1" s="62">
      <c r="A642" s="107" t="n"/>
      <c r="B642" s="108" t="n"/>
      <c r="C642" s="107" t="n"/>
      <c r="D642" s="107" t="n"/>
      <c r="E642" s="107" t="n"/>
      <c r="F642" s="107" t="n"/>
      <c r="G642" s="107" t="n"/>
      <c r="H642" s="107" t="n"/>
      <c r="I642" s="110">
        <f>IF($B642="","",$B642*(IsverenPayiOrani+IssizlikOrani))</f>
        <v/>
      </c>
    </row>
    <row r="643" ht="15" customHeight="1" s="62">
      <c r="A643" s="107" t="n"/>
      <c r="B643" s="108" t="n"/>
      <c r="C643" s="107" t="n"/>
      <c r="D643" s="107" t="n"/>
      <c r="E643" s="107" t="n"/>
      <c r="F643" s="107" t="n"/>
      <c r="G643" s="107" t="n"/>
      <c r="H643" s="107" t="n"/>
      <c r="I643" s="110">
        <f>IF($B643="","",$B643*(IsverenPayiOrani+IssizlikOrani))</f>
        <v/>
      </c>
    </row>
    <row r="644" ht="15" customHeight="1" s="62">
      <c r="A644" s="107" t="n"/>
      <c r="B644" s="108" t="n"/>
      <c r="C644" s="107" t="n"/>
      <c r="D644" s="107" t="n"/>
      <c r="E644" s="107" t="n"/>
      <c r="F644" s="107" t="n"/>
      <c r="G644" s="107" t="n"/>
      <c r="H644" s="107" t="n"/>
      <c r="I644" s="110">
        <f>IF($B644="","",$B644*(IsverenPayiOrani+IssizlikOrani))</f>
        <v/>
      </c>
    </row>
    <row r="645" ht="15" customHeight="1" s="62">
      <c r="A645" s="107" t="n"/>
      <c r="B645" s="108" t="n"/>
      <c r="C645" s="107" t="n"/>
      <c r="D645" s="107" t="n"/>
      <c r="E645" s="107" t="n"/>
      <c r="F645" s="107" t="n"/>
      <c r="G645" s="107" t="n"/>
      <c r="H645" s="107" t="n"/>
      <c r="I645" s="110">
        <f>IF($B645="","",$B645*(IsverenPayiOrani+IssizlikOrani))</f>
        <v/>
      </c>
    </row>
    <row r="646" ht="15" customHeight="1" s="62">
      <c r="A646" s="107" t="n"/>
      <c r="B646" s="108" t="n"/>
      <c r="C646" s="107" t="n"/>
      <c r="D646" s="107" t="n"/>
      <c r="E646" s="107" t="n"/>
      <c r="F646" s="107" t="n"/>
      <c r="G646" s="107" t="n"/>
      <c r="H646" s="107" t="n"/>
      <c r="I646" s="110">
        <f>IF($B646="","",$B646*(IsverenPayiOrani+IssizlikOrani))</f>
        <v/>
      </c>
    </row>
    <row r="647" ht="15" customHeight="1" s="62">
      <c r="A647" s="107" t="n"/>
      <c r="B647" s="108" t="n"/>
      <c r="C647" s="107" t="n"/>
      <c r="D647" s="107" t="n"/>
      <c r="E647" s="107" t="n"/>
      <c r="F647" s="107" t="n"/>
      <c r="G647" s="107" t="n"/>
      <c r="H647" s="107" t="n"/>
      <c r="I647" s="110">
        <f>IF($B647="","",$B647*(IsverenPayiOrani+IssizlikOrani))</f>
        <v/>
      </c>
    </row>
    <row r="648" ht="15" customHeight="1" s="62">
      <c r="A648" s="107" t="n"/>
      <c r="B648" s="108" t="n"/>
      <c r="C648" s="107" t="n"/>
      <c r="D648" s="107" t="n"/>
      <c r="E648" s="107" t="n"/>
      <c r="F648" s="107" t="n"/>
      <c r="G648" s="107" t="n"/>
      <c r="H648" s="107" t="n"/>
      <c r="I648" s="110">
        <f>IF($B648="","",$B648*(IsverenPayiOrani+IssizlikOrani))</f>
        <v/>
      </c>
    </row>
    <row r="649" ht="15" customHeight="1" s="62">
      <c r="A649" s="107" t="n"/>
      <c r="B649" s="108" t="n"/>
      <c r="C649" s="107" t="n"/>
      <c r="D649" s="107" t="n"/>
      <c r="E649" s="107" t="n"/>
      <c r="F649" s="107" t="n"/>
      <c r="G649" s="107" t="n"/>
      <c r="H649" s="107" t="n"/>
      <c r="I649" s="110">
        <f>IF($B649="","",$B649*(IsverenPayiOrani+IssizlikOrani))</f>
        <v/>
      </c>
    </row>
    <row r="650" ht="15" customHeight="1" s="62">
      <c r="A650" s="107" t="n"/>
      <c r="B650" s="108" t="n"/>
      <c r="C650" s="107" t="n"/>
      <c r="D650" s="107" t="n"/>
      <c r="E650" s="107" t="n"/>
      <c r="F650" s="107" t="n"/>
      <c r="G650" s="107" t="n"/>
      <c r="H650" s="107" t="n"/>
      <c r="I650" s="110">
        <f>IF($B650="","",$B650*(IsverenPayiOrani+IssizlikOrani))</f>
        <v/>
      </c>
    </row>
    <row r="651" ht="15" customHeight="1" s="62">
      <c r="A651" s="107" t="n"/>
      <c r="B651" s="108" t="n"/>
      <c r="C651" s="107" t="n"/>
      <c r="D651" s="107" t="n"/>
      <c r="E651" s="107" t="n"/>
      <c r="F651" s="107" t="n"/>
      <c r="G651" s="107" t="n"/>
      <c r="H651" s="107" t="n"/>
      <c r="I651" s="110">
        <f>IF($B651="","",$B651*(IsverenPayiOrani+IssizlikOrani))</f>
        <v/>
      </c>
    </row>
    <row r="652" ht="15" customHeight="1" s="62">
      <c r="A652" s="107" t="n"/>
      <c r="B652" s="108" t="n"/>
      <c r="C652" s="107" t="n"/>
      <c r="D652" s="107" t="n"/>
      <c r="E652" s="107" t="n"/>
      <c r="F652" s="107" t="n"/>
      <c r="G652" s="107" t="n"/>
      <c r="H652" s="107" t="n"/>
      <c r="I652" s="110">
        <f>IF($B652="","",$B652*(IsverenPayiOrani+IssizlikOrani))</f>
        <v/>
      </c>
    </row>
    <row r="653" ht="15" customHeight="1" s="62">
      <c r="A653" s="107" t="n"/>
      <c r="B653" s="108" t="n"/>
      <c r="C653" s="107" t="n"/>
      <c r="D653" s="107" t="n"/>
      <c r="E653" s="107" t="n"/>
      <c r="F653" s="107" t="n"/>
      <c r="G653" s="107" t="n"/>
      <c r="H653" s="107" t="n"/>
      <c r="I653" s="110">
        <f>IF($B653="","",$B653*(IsverenPayiOrani+IssizlikOrani))</f>
        <v/>
      </c>
    </row>
    <row r="654" ht="15" customHeight="1" s="62">
      <c r="A654" s="107" t="n"/>
      <c r="B654" s="108" t="n"/>
      <c r="C654" s="107" t="n"/>
      <c r="D654" s="107" t="n"/>
      <c r="E654" s="107" t="n"/>
      <c r="F654" s="107" t="n"/>
      <c r="G654" s="107" t="n"/>
      <c r="H654" s="107" t="n"/>
      <c r="I654" s="110">
        <f>IF($B654="","",$B654*(IsverenPayiOrani+IssizlikOrani))</f>
        <v/>
      </c>
    </row>
    <row r="655" ht="15" customHeight="1" s="62">
      <c r="A655" s="107" t="n"/>
      <c r="B655" s="108" t="n"/>
      <c r="C655" s="107" t="n"/>
      <c r="D655" s="107" t="n"/>
      <c r="E655" s="107" t="n"/>
      <c r="F655" s="107" t="n"/>
      <c r="G655" s="107" t="n"/>
      <c r="H655" s="107" t="n"/>
      <c r="I655" s="110">
        <f>IF($B655="","",$B655*(IsverenPayiOrani+IssizlikOrani))</f>
        <v/>
      </c>
    </row>
    <row r="656" ht="15" customHeight="1" s="62">
      <c r="A656" s="107" t="n"/>
      <c r="B656" s="108" t="n"/>
      <c r="C656" s="107" t="n"/>
      <c r="D656" s="107" t="n"/>
      <c r="E656" s="107" t="n"/>
      <c r="F656" s="107" t="n"/>
      <c r="G656" s="107" t="n"/>
      <c r="H656" s="107" t="n"/>
      <c r="I656" s="110">
        <f>IF($B656="","",$B656*(IsverenPayiOrani+IssizlikOrani))</f>
        <v/>
      </c>
    </row>
    <row r="657" ht="15" customHeight="1" s="62">
      <c r="A657" s="107" t="n"/>
      <c r="B657" s="108" t="n"/>
      <c r="C657" s="107" t="n"/>
      <c r="D657" s="107" t="n"/>
      <c r="E657" s="107" t="n"/>
      <c r="F657" s="107" t="n"/>
      <c r="G657" s="107" t="n"/>
      <c r="H657" s="107" t="n"/>
      <c r="I657" s="110">
        <f>IF($B657="","",$B657*(IsverenPayiOrani+IssizlikOrani))</f>
        <v/>
      </c>
    </row>
    <row r="658" ht="15" customHeight="1" s="62">
      <c r="A658" s="107" t="n"/>
      <c r="B658" s="108" t="n"/>
      <c r="C658" s="107" t="n"/>
      <c r="D658" s="107" t="n"/>
      <c r="E658" s="107" t="n"/>
      <c r="F658" s="107" t="n"/>
      <c r="G658" s="107" t="n"/>
      <c r="H658" s="107" t="n"/>
      <c r="I658" s="110">
        <f>IF($B658="","",$B658*(IsverenPayiOrani+IssizlikOrani))</f>
        <v/>
      </c>
    </row>
    <row r="659" ht="15" customHeight="1" s="62">
      <c r="A659" s="107" t="n"/>
      <c r="B659" s="108" t="n"/>
      <c r="C659" s="107" t="n"/>
      <c r="D659" s="107" t="n"/>
      <c r="E659" s="107" t="n"/>
      <c r="F659" s="107" t="n"/>
      <c r="G659" s="107" t="n"/>
      <c r="H659" s="107" t="n"/>
      <c r="I659" s="110">
        <f>IF($B659="","",$B659*(IsverenPayiOrani+IssizlikOrani))</f>
        <v/>
      </c>
    </row>
    <row r="660" ht="15" customHeight="1" s="62">
      <c r="A660" s="107" t="n"/>
      <c r="B660" s="108" t="n"/>
      <c r="C660" s="107" t="n"/>
      <c r="D660" s="107" t="n"/>
      <c r="E660" s="107" t="n"/>
      <c r="F660" s="107" t="n"/>
      <c r="G660" s="107" t="n"/>
      <c r="H660" s="107" t="n"/>
      <c r="I660" s="110">
        <f>IF($B660="","",$B660*(IsverenPayiOrani+IssizlikOrani))</f>
        <v/>
      </c>
    </row>
    <row r="661" ht="15" customHeight="1" s="62">
      <c r="A661" s="107" t="n"/>
      <c r="B661" s="108" t="n"/>
      <c r="C661" s="107" t="n"/>
      <c r="D661" s="107" t="n"/>
      <c r="E661" s="107" t="n"/>
      <c r="F661" s="107" t="n"/>
      <c r="G661" s="107" t="n"/>
      <c r="H661" s="107" t="n"/>
      <c r="I661" s="110">
        <f>IF($B661="","",$B661*(IsverenPayiOrani+IssizlikOrani))</f>
        <v/>
      </c>
    </row>
    <row r="662" ht="15" customHeight="1" s="62">
      <c r="A662" s="107" t="n"/>
      <c r="B662" s="108" t="n"/>
      <c r="C662" s="107" t="n"/>
      <c r="D662" s="107" t="n"/>
      <c r="E662" s="107" t="n"/>
      <c r="F662" s="107" t="n"/>
      <c r="G662" s="107" t="n"/>
      <c r="H662" s="107" t="n"/>
      <c r="I662" s="110">
        <f>IF($B662="","",$B662*(IsverenPayiOrani+IssizlikOrani))</f>
        <v/>
      </c>
    </row>
    <row r="663" ht="15" customHeight="1" s="62">
      <c r="A663" s="107" t="n"/>
      <c r="B663" s="108" t="n"/>
      <c r="C663" s="107" t="n"/>
      <c r="D663" s="107" t="n"/>
      <c r="E663" s="107" t="n"/>
      <c r="F663" s="107" t="n"/>
      <c r="G663" s="107" t="n"/>
      <c r="H663" s="107" t="n"/>
      <c r="I663" s="110">
        <f>IF($B663="","",$B663*(IsverenPayiOrani+IssizlikOrani))</f>
        <v/>
      </c>
    </row>
    <row r="664" ht="15" customHeight="1" s="62">
      <c r="A664" s="107" t="n"/>
      <c r="B664" s="108" t="n"/>
      <c r="C664" s="107" t="n"/>
      <c r="D664" s="107" t="n"/>
      <c r="E664" s="107" t="n"/>
      <c r="F664" s="107" t="n"/>
      <c r="G664" s="107" t="n"/>
      <c r="H664" s="107" t="n"/>
      <c r="I664" s="110">
        <f>IF($B664="","",$B664*(IsverenPayiOrani+IssizlikOrani))</f>
        <v/>
      </c>
    </row>
    <row r="665" ht="15" customHeight="1" s="62">
      <c r="A665" s="107" t="n"/>
      <c r="B665" s="108" t="n"/>
      <c r="C665" s="107" t="n"/>
      <c r="D665" s="107" t="n"/>
      <c r="E665" s="107" t="n"/>
      <c r="F665" s="107" t="n"/>
      <c r="G665" s="107" t="n"/>
      <c r="H665" s="107" t="n"/>
      <c r="I665" s="110">
        <f>IF($B665="","",$B665*(IsverenPayiOrani+IssizlikOrani))</f>
        <v/>
      </c>
    </row>
    <row r="666" ht="15" customHeight="1" s="62">
      <c r="A666" s="107" t="n"/>
      <c r="B666" s="108" t="n"/>
      <c r="C666" s="107" t="n"/>
      <c r="D666" s="107" t="n"/>
      <c r="E666" s="107" t="n"/>
      <c r="F666" s="107" t="n"/>
      <c r="G666" s="107" t="n"/>
      <c r="H666" s="107" t="n"/>
      <c r="I666" s="110">
        <f>IF($B666="","",$B666*(IsverenPayiOrani+IssizlikOrani))</f>
        <v/>
      </c>
    </row>
    <row r="667" ht="15" customHeight="1" s="62">
      <c r="A667" s="107" t="n"/>
      <c r="B667" s="108" t="n"/>
      <c r="C667" s="107" t="n"/>
      <c r="D667" s="107" t="n"/>
      <c r="E667" s="107" t="n"/>
      <c r="F667" s="107" t="n"/>
      <c r="G667" s="107" t="n"/>
      <c r="H667" s="107" t="n"/>
      <c r="I667" s="110">
        <f>IF($B667="","",$B667*(IsverenPayiOrani+IssizlikOrani))</f>
        <v/>
      </c>
    </row>
    <row r="668" ht="15" customHeight="1" s="62">
      <c r="A668" s="107" t="n"/>
      <c r="B668" s="108" t="n"/>
      <c r="C668" s="107" t="n"/>
      <c r="D668" s="107" t="n"/>
      <c r="E668" s="107" t="n"/>
      <c r="F668" s="107" t="n"/>
      <c r="G668" s="107" t="n"/>
      <c r="H668" s="107" t="n"/>
      <c r="I668" s="110">
        <f>IF($B668="","",$B668*(IsverenPayiOrani+IssizlikOrani))</f>
        <v/>
      </c>
    </row>
    <row r="669" ht="15" customHeight="1" s="62">
      <c r="A669" s="107" t="n"/>
      <c r="B669" s="108" t="n"/>
      <c r="C669" s="107" t="n"/>
      <c r="D669" s="107" t="n"/>
      <c r="E669" s="107" t="n"/>
      <c r="F669" s="107" t="n"/>
      <c r="G669" s="107" t="n"/>
      <c r="H669" s="107" t="n"/>
      <c r="I669" s="110">
        <f>IF($B669="","",$B669*(IsverenPayiOrani+IssizlikOrani))</f>
        <v/>
      </c>
    </row>
    <row r="670" ht="15" customHeight="1" s="62">
      <c r="A670" s="107" t="n"/>
      <c r="B670" s="108" t="n"/>
      <c r="C670" s="107" t="n"/>
      <c r="D670" s="107" t="n"/>
      <c r="E670" s="107" t="n"/>
      <c r="F670" s="107" t="n"/>
      <c r="G670" s="107" t="n"/>
      <c r="H670" s="107" t="n"/>
      <c r="I670" s="110">
        <f>IF($B670="","",$B670*(IsverenPayiOrani+IssizlikOrani))</f>
        <v/>
      </c>
    </row>
    <row r="671" ht="15" customHeight="1" s="62">
      <c r="A671" s="107" t="n"/>
      <c r="B671" s="108" t="n"/>
      <c r="C671" s="107" t="n"/>
      <c r="D671" s="107" t="n"/>
      <c r="E671" s="107" t="n"/>
      <c r="F671" s="107" t="n"/>
      <c r="G671" s="107" t="n"/>
      <c r="H671" s="107" t="n"/>
      <c r="I671" s="110">
        <f>IF($B671="","",$B671*(IsverenPayiOrani+IssizlikOrani))</f>
        <v/>
      </c>
    </row>
    <row r="672" ht="15" customHeight="1" s="62">
      <c r="A672" s="107" t="n"/>
      <c r="B672" s="108" t="n"/>
      <c r="C672" s="107" t="n"/>
      <c r="D672" s="107" t="n"/>
      <c r="E672" s="107" t="n"/>
      <c r="F672" s="107" t="n"/>
      <c r="G672" s="107" t="n"/>
      <c r="H672" s="107" t="n"/>
      <c r="I672" s="110">
        <f>IF($B672="","",$B672*(IsverenPayiOrani+IssizlikOrani))</f>
        <v/>
      </c>
    </row>
    <row r="673" ht="15" customHeight="1" s="62">
      <c r="A673" s="107" t="n"/>
      <c r="B673" s="108" t="n"/>
      <c r="C673" s="107" t="n"/>
      <c r="D673" s="107" t="n"/>
      <c r="E673" s="107" t="n"/>
      <c r="F673" s="107" t="n"/>
      <c r="G673" s="107" t="n"/>
      <c r="H673" s="107" t="n"/>
      <c r="I673" s="110">
        <f>IF($B673="","",$B673*(IsverenPayiOrani+IssizlikOrani))</f>
        <v/>
      </c>
    </row>
    <row r="674" ht="15" customHeight="1" s="62">
      <c r="A674" s="107" t="n"/>
      <c r="B674" s="108" t="n"/>
      <c r="C674" s="107" t="n"/>
      <c r="D674" s="107" t="n"/>
      <c r="E674" s="107" t="n"/>
      <c r="F674" s="107" t="n"/>
      <c r="G674" s="107" t="n"/>
      <c r="H674" s="107" t="n"/>
      <c r="I674" s="110">
        <f>IF($B674="","",$B674*(IsverenPayiOrani+IssizlikOrani))</f>
        <v/>
      </c>
    </row>
    <row r="675" ht="15" customHeight="1" s="62">
      <c r="A675" s="107" t="n"/>
      <c r="B675" s="108" t="n"/>
      <c r="C675" s="107" t="n"/>
      <c r="D675" s="107" t="n"/>
      <c r="E675" s="107" t="n"/>
      <c r="F675" s="107" t="n"/>
      <c r="G675" s="107" t="n"/>
      <c r="H675" s="107" t="n"/>
      <c r="I675" s="110">
        <f>IF($B675="","",$B675*(IsverenPayiOrani+IssizlikOrani))</f>
        <v/>
      </c>
    </row>
    <row r="676" ht="15" customHeight="1" s="62">
      <c r="A676" s="107" t="n"/>
      <c r="B676" s="108" t="n"/>
      <c r="C676" s="107" t="n"/>
      <c r="D676" s="107" t="n"/>
      <c r="E676" s="107" t="n"/>
      <c r="F676" s="107" t="n"/>
      <c r="G676" s="107" t="n"/>
      <c r="H676" s="107" t="n"/>
      <c r="I676" s="110">
        <f>IF($B676="","",$B676*(IsverenPayiOrani+IssizlikOrani))</f>
        <v/>
      </c>
    </row>
    <row r="677" ht="15" customHeight="1" s="62">
      <c r="A677" s="107" t="n"/>
      <c r="B677" s="108" t="n"/>
      <c r="C677" s="107" t="n"/>
      <c r="D677" s="107" t="n"/>
      <c r="E677" s="107" t="n"/>
      <c r="F677" s="107" t="n"/>
      <c r="G677" s="107" t="n"/>
      <c r="H677" s="107" t="n"/>
      <c r="I677" s="110">
        <f>IF($B677="","",$B677*(IsverenPayiOrani+IssizlikOrani))</f>
        <v/>
      </c>
    </row>
    <row r="678" ht="15" customHeight="1" s="62">
      <c r="A678" s="107" t="n"/>
      <c r="B678" s="108" t="n"/>
      <c r="C678" s="107" t="n"/>
      <c r="D678" s="107" t="n"/>
      <c r="E678" s="107" t="n"/>
      <c r="F678" s="107" t="n"/>
      <c r="G678" s="107" t="n"/>
      <c r="H678" s="107" t="n"/>
      <c r="I678" s="110">
        <f>IF($B678="","",$B678*(IsverenPayiOrani+IssizlikOrani))</f>
        <v/>
      </c>
    </row>
    <row r="679" ht="15" customHeight="1" s="62">
      <c r="A679" s="107" t="n"/>
      <c r="B679" s="108" t="n"/>
      <c r="C679" s="107" t="n"/>
      <c r="D679" s="107" t="n"/>
      <c r="E679" s="107" t="n"/>
      <c r="F679" s="107" t="n"/>
      <c r="G679" s="107" t="n"/>
      <c r="H679" s="107" t="n"/>
      <c r="I679" s="110">
        <f>IF($B679="","",$B679*(IsverenPayiOrani+IssizlikOrani))</f>
        <v/>
      </c>
    </row>
    <row r="680" ht="15" customHeight="1" s="62">
      <c r="A680" s="107" t="n"/>
      <c r="B680" s="108" t="n"/>
      <c r="C680" s="107" t="n"/>
      <c r="D680" s="107" t="n"/>
      <c r="E680" s="107" t="n"/>
      <c r="F680" s="107" t="n"/>
      <c r="G680" s="107" t="n"/>
      <c r="H680" s="107" t="n"/>
      <c r="I680" s="110">
        <f>IF($B680="","",$B680*(IsverenPayiOrani+IssizlikOrani))</f>
        <v/>
      </c>
    </row>
    <row r="681" ht="15" customHeight="1" s="62">
      <c r="A681" s="107" t="n"/>
      <c r="B681" s="108" t="n"/>
      <c r="C681" s="107" t="n"/>
      <c r="D681" s="107" t="n"/>
      <c r="E681" s="107" t="n"/>
      <c r="F681" s="107" t="n"/>
      <c r="G681" s="107" t="n"/>
      <c r="H681" s="107" t="n"/>
      <c r="I681" s="110">
        <f>IF($B681="","",$B681*(IsverenPayiOrani+IssizlikOrani))</f>
        <v/>
      </c>
    </row>
    <row r="682" ht="15" customHeight="1" s="62">
      <c r="A682" s="107" t="n"/>
      <c r="B682" s="108" t="n"/>
      <c r="C682" s="107" t="n"/>
      <c r="D682" s="107" t="n"/>
      <c r="E682" s="107" t="n"/>
      <c r="F682" s="107" t="n"/>
      <c r="G682" s="107" t="n"/>
      <c r="H682" s="107" t="n"/>
      <c r="I682" s="110">
        <f>IF($B682="","",$B682*(IsverenPayiOrani+IssizlikOrani))</f>
        <v/>
      </c>
    </row>
    <row r="683" ht="15" customHeight="1" s="62">
      <c r="A683" s="107" t="n"/>
      <c r="B683" s="108" t="n"/>
      <c r="C683" s="107" t="n"/>
      <c r="D683" s="107" t="n"/>
      <c r="E683" s="107" t="n"/>
      <c r="F683" s="107" t="n"/>
      <c r="G683" s="107" t="n"/>
      <c r="H683" s="107" t="n"/>
      <c r="I683" s="110">
        <f>IF($B683="","",$B683*(IsverenPayiOrani+IssizlikOrani))</f>
        <v/>
      </c>
    </row>
    <row r="684" ht="15" customHeight="1" s="62">
      <c r="A684" s="107" t="n"/>
      <c r="B684" s="108" t="n"/>
      <c r="C684" s="107" t="n"/>
      <c r="D684" s="107" t="n"/>
      <c r="E684" s="107" t="n"/>
      <c r="F684" s="107" t="n"/>
      <c r="G684" s="107" t="n"/>
      <c r="H684" s="107" t="n"/>
      <c r="I684" s="110">
        <f>IF($B684="","",$B684*(IsverenPayiOrani+IssizlikOrani))</f>
        <v/>
      </c>
    </row>
    <row r="685" ht="15" customHeight="1" s="62">
      <c r="A685" s="107" t="n"/>
      <c r="B685" s="108" t="n"/>
      <c r="C685" s="107" t="n"/>
      <c r="D685" s="107" t="n"/>
      <c r="E685" s="107" t="n"/>
      <c r="F685" s="107" t="n"/>
      <c r="G685" s="107" t="n"/>
      <c r="H685" s="107" t="n"/>
      <c r="I685" s="110">
        <f>IF($B685="","",$B685*(IsverenPayiOrani+IssizlikOrani))</f>
        <v/>
      </c>
    </row>
    <row r="686" ht="15" customHeight="1" s="62">
      <c r="A686" s="107" t="n"/>
      <c r="B686" s="108" t="n"/>
      <c r="C686" s="107" t="n"/>
      <c r="D686" s="107" t="n"/>
      <c r="E686" s="107" t="n"/>
      <c r="F686" s="107" t="n"/>
      <c r="G686" s="107" t="n"/>
      <c r="H686" s="107" t="n"/>
      <c r="I686" s="110">
        <f>IF($B686="","",$B686*(IsverenPayiOrani+IssizlikOrani))</f>
        <v/>
      </c>
    </row>
    <row r="687" ht="15" customHeight="1" s="62">
      <c r="A687" s="107" t="n"/>
      <c r="B687" s="108" t="n"/>
      <c r="C687" s="107" t="n"/>
      <c r="D687" s="107" t="n"/>
      <c r="E687" s="107" t="n"/>
      <c r="F687" s="107" t="n"/>
      <c r="G687" s="107" t="n"/>
      <c r="H687" s="107" t="n"/>
      <c r="I687" s="110">
        <f>IF($B687="","",$B687*(IsverenPayiOrani+IssizlikOrani))</f>
        <v/>
      </c>
    </row>
    <row r="688" ht="15" customHeight="1" s="62">
      <c r="A688" s="107" t="n"/>
      <c r="B688" s="108" t="n"/>
      <c r="C688" s="107" t="n"/>
      <c r="D688" s="107" t="n"/>
      <c r="E688" s="107" t="n"/>
      <c r="F688" s="107" t="n"/>
      <c r="G688" s="107" t="n"/>
      <c r="H688" s="107" t="n"/>
      <c r="I688" s="110">
        <f>IF($B688="","",$B688*(IsverenPayiOrani+IssizlikOrani))</f>
        <v/>
      </c>
    </row>
    <row r="689" ht="15" customHeight="1" s="62">
      <c r="A689" s="107" t="n"/>
      <c r="B689" s="108" t="n"/>
      <c r="C689" s="107" t="n"/>
      <c r="D689" s="107" t="n"/>
      <c r="E689" s="107" t="n"/>
      <c r="F689" s="107" t="n"/>
      <c r="G689" s="107" t="n"/>
      <c r="H689" s="107" t="n"/>
      <c r="I689" s="110">
        <f>IF($B689="","",$B689*(IsverenPayiOrani+IssizlikOrani))</f>
        <v/>
      </c>
    </row>
    <row r="690" ht="15" customHeight="1" s="62">
      <c r="A690" s="107" t="n"/>
      <c r="B690" s="108" t="n"/>
      <c r="C690" s="107" t="n"/>
      <c r="D690" s="107" t="n"/>
      <c r="E690" s="107" t="n"/>
      <c r="F690" s="107" t="n"/>
      <c r="G690" s="107" t="n"/>
      <c r="H690" s="107" t="n"/>
      <c r="I690" s="110">
        <f>IF($B690="","",$B690*(IsverenPayiOrani+IssizlikOrani))</f>
        <v/>
      </c>
    </row>
    <row r="691" ht="15" customHeight="1" s="62">
      <c r="A691" s="107" t="n"/>
      <c r="B691" s="108" t="n"/>
      <c r="C691" s="107" t="n"/>
      <c r="D691" s="107" t="n"/>
      <c r="E691" s="107" t="n"/>
      <c r="F691" s="107" t="n"/>
      <c r="G691" s="107" t="n"/>
      <c r="H691" s="107" t="n"/>
      <c r="I691" s="110">
        <f>IF($B691="","",$B691*(IsverenPayiOrani+IssizlikOrani))</f>
        <v/>
      </c>
    </row>
    <row r="692" ht="15" customHeight="1" s="62">
      <c r="A692" s="107" t="n"/>
      <c r="B692" s="108" t="n"/>
      <c r="C692" s="107" t="n"/>
      <c r="D692" s="107" t="n"/>
      <c r="E692" s="107" t="n"/>
      <c r="F692" s="107" t="n"/>
      <c r="G692" s="107" t="n"/>
      <c r="H692" s="107" t="n"/>
      <c r="I692" s="110">
        <f>IF($B692="","",$B692*(IsverenPayiOrani+IssizlikOrani))</f>
        <v/>
      </c>
    </row>
    <row r="693" ht="15" customHeight="1" s="62">
      <c r="A693" s="107" t="n"/>
      <c r="B693" s="108" t="n"/>
      <c r="C693" s="107" t="n"/>
      <c r="D693" s="107" t="n"/>
      <c r="E693" s="107" t="n"/>
      <c r="F693" s="107" t="n"/>
      <c r="G693" s="107" t="n"/>
      <c r="H693" s="107" t="n"/>
      <c r="I693" s="110">
        <f>IF($B693="","",$B693*(IsverenPayiOrani+IssizlikOrani))</f>
        <v/>
      </c>
    </row>
    <row r="694" ht="15" customHeight="1" s="62">
      <c r="A694" s="107" t="n"/>
      <c r="B694" s="108" t="n"/>
      <c r="C694" s="107" t="n"/>
      <c r="D694" s="107" t="n"/>
      <c r="E694" s="107" t="n"/>
      <c r="F694" s="107" t="n"/>
      <c r="G694" s="107" t="n"/>
      <c r="H694" s="107" t="n"/>
      <c r="I694" s="110">
        <f>IF($B694="","",$B694*(IsverenPayiOrani+IssizlikOrani))</f>
        <v/>
      </c>
    </row>
    <row r="695" ht="15" customHeight="1" s="62">
      <c r="A695" s="107" t="n"/>
      <c r="B695" s="108" t="n"/>
      <c r="C695" s="107" t="n"/>
      <c r="D695" s="107" t="n"/>
      <c r="E695" s="107" t="n"/>
      <c r="F695" s="107" t="n"/>
      <c r="G695" s="107" t="n"/>
      <c r="H695" s="107" t="n"/>
      <c r="I695" s="110">
        <f>IF($B695="","",$B695*(IsverenPayiOrani+IssizlikOrani))</f>
        <v/>
      </c>
    </row>
    <row r="696" ht="15" customHeight="1" s="62">
      <c r="A696" s="107" t="n"/>
      <c r="B696" s="108" t="n"/>
      <c r="C696" s="107" t="n"/>
      <c r="D696" s="107" t="n"/>
      <c r="E696" s="107" t="n"/>
      <c r="F696" s="107" t="n"/>
      <c r="G696" s="107" t="n"/>
      <c r="H696" s="107" t="n"/>
      <c r="I696" s="110">
        <f>IF($B696="","",$B696*(IsverenPayiOrani+IssizlikOrani))</f>
        <v/>
      </c>
    </row>
    <row r="697" ht="15" customHeight="1" s="62">
      <c r="A697" s="107" t="n"/>
      <c r="B697" s="108" t="n"/>
      <c r="C697" s="107" t="n"/>
      <c r="D697" s="107" t="n"/>
      <c r="E697" s="107" t="n"/>
      <c r="F697" s="107" t="n"/>
      <c r="G697" s="107" t="n"/>
      <c r="H697" s="107" t="n"/>
      <c r="I697" s="110">
        <f>IF($B697="","",$B697*(IsverenPayiOrani+IssizlikOrani))</f>
        <v/>
      </c>
    </row>
    <row r="698" ht="15" customHeight="1" s="62">
      <c r="A698" s="107" t="n"/>
      <c r="B698" s="108" t="n"/>
      <c r="C698" s="107" t="n"/>
      <c r="D698" s="107" t="n"/>
      <c r="E698" s="107" t="n"/>
      <c r="F698" s="107" t="n"/>
      <c r="G698" s="107" t="n"/>
      <c r="H698" s="107" t="n"/>
      <c r="I698" s="110">
        <f>IF($B698="","",$B698*(IsverenPayiOrani+IssizlikOrani))</f>
        <v/>
      </c>
    </row>
    <row r="699" ht="15" customHeight="1" s="62">
      <c r="A699" s="107" t="n"/>
      <c r="B699" s="108" t="n"/>
      <c r="C699" s="107" t="n"/>
      <c r="D699" s="107" t="n"/>
      <c r="E699" s="107" t="n"/>
      <c r="F699" s="107" t="n"/>
      <c r="G699" s="107" t="n"/>
      <c r="H699" s="107" t="n"/>
      <c r="I699" s="110">
        <f>IF($B699="","",$B699*(IsverenPayiOrani+IssizlikOrani))</f>
        <v/>
      </c>
    </row>
    <row r="700" ht="15" customHeight="1" s="62">
      <c r="A700" s="107" t="n"/>
      <c r="B700" s="108" t="n"/>
      <c r="C700" s="107" t="n"/>
      <c r="D700" s="107" t="n"/>
      <c r="E700" s="107" t="n"/>
      <c r="F700" s="107" t="n"/>
      <c r="G700" s="107" t="n"/>
      <c r="H700" s="107" t="n"/>
      <c r="I700" s="110">
        <f>IF($B700="","",$B700*(IsverenPayiOrani+IssizlikOrani))</f>
        <v/>
      </c>
    </row>
    <row r="701" ht="15" customHeight="1" s="62">
      <c r="A701" s="107" t="n"/>
      <c r="B701" s="108" t="n"/>
      <c r="C701" s="107" t="n"/>
      <c r="D701" s="107" t="n"/>
      <c r="E701" s="107" t="n"/>
      <c r="F701" s="107" t="n"/>
      <c r="G701" s="107" t="n"/>
      <c r="H701" s="107" t="n"/>
      <c r="I701" s="110">
        <f>IF($B701="","",$B701*(IsverenPayiOrani+IssizlikOrani))</f>
        <v/>
      </c>
    </row>
    <row r="702" ht="15" customHeight="1" s="62">
      <c r="A702" s="107" t="n"/>
      <c r="B702" s="108" t="n"/>
      <c r="C702" s="107" t="n"/>
      <c r="D702" s="107" t="n"/>
      <c r="E702" s="107" t="n"/>
      <c r="F702" s="107" t="n"/>
      <c r="G702" s="107" t="n"/>
      <c r="H702" s="107" t="n"/>
      <c r="I702" s="110">
        <f>IF($B702="","",$B702*(IsverenPayiOrani+IssizlikOrani))</f>
        <v/>
      </c>
    </row>
    <row r="703" ht="15" customHeight="1" s="62">
      <c r="A703" s="107" t="n"/>
      <c r="B703" s="108" t="n"/>
      <c r="C703" s="107" t="n"/>
      <c r="D703" s="107" t="n"/>
      <c r="E703" s="107" t="n"/>
      <c r="F703" s="107" t="n"/>
      <c r="G703" s="107" t="n"/>
      <c r="H703" s="107" t="n"/>
      <c r="I703" s="110">
        <f>IF($B703="","",$B703*(IsverenPayiOrani+IssizlikOrani))</f>
        <v/>
      </c>
    </row>
    <row r="704" ht="15" customHeight="1" s="62">
      <c r="A704" s="107" t="n"/>
      <c r="B704" s="108" t="n"/>
      <c r="C704" s="107" t="n"/>
      <c r="D704" s="107" t="n"/>
      <c r="E704" s="107" t="n"/>
      <c r="F704" s="107" t="n"/>
      <c r="G704" s="107" t="n"/>
      <c r="H704" s="107" t="n"/>
      <c r="I704" s="110">
        <f>IF($B704="","",$B704*(IsverenPayiOrani+IssizlikOrani))</f>
        <v/>
      </c>
    </row>
    <row r="705" ht="15" customHeight="1" s="62">
      <c r="A705" s="107" t="n"/>
      <c r="B705" s="108" t="n"/>
      <c r="C705" s="107" t="n"/>
      <c r="D705" s="107" t="n"/>
      <c r="E705" s="107" t="n"/>
      <c r="F705" s="107" t="n"/>
      <c r="G705" s="107" t="n"/>
      <c r="H705" s="107" t="n"/>
      <c r="I705" s="110">
        <f>IF($B705="","",$B705*(IsverenPayiOrani+IssizlikOrani))</f>
        <v/>
      </c>
    </row>
    <row r="706" ht="15" customHeight="1" s="62">
      <c r="A706" s="107" t="n"/>
      <c r="B706" s="108" t="n"/>
      <c r="C706" s="107" t="n"/>
      <c r="D706" s="107" t="n"/>
      <c r="E706" s="107" t="n"/>
      <c r="F706" s="107" t="n"/>
      <c r="G706" s="107" t="n"/>
      <c r="H706" s="107" t="n"/>
      <c r="I706" s="110">
        <f>IF($B706="","",$B706*(IsverenPayiOrani+IssizlikOrani))</f>
        <v/>
      </c>
    </row>
    <row r="707" ht="15" customHeight="1" s="62">
      <c r="A707" s="107" t="n"/>
      <c r="B707" s="108" t="n"/>
      <c r="C707" s="107" t="n"/>
      <c r="D707" s="107" t="n"/>
      <c r="E707" s="107" t="n"/>
      <c r="F707" s="107" t="n"/>
      <c r="G707" s="107" t="n"/>
      <c r="H707" s="107" t="n"/>
      <c r="I707" s="110">
        <f>IF($B707="","",$B707*(IsverenPayiOrani+IssizlikOrani))</f>
        <v/>
      </c>
    </row>
    <row r="708" ht="15" customHeight="1" s="62">
      <c r="A708" s="107" t="n"/>
      <c r="B708" s="108" t="n"/>
      <c r="C708" s="107" t="n"/>
      <c r="D708" s="107" t="n"/>
      <c r="E708" s="107" t="n"/>
      <c r="F708" s="107" t="n"/>
      <c r="G708" s="107" t="n"/>
      <c r="H708" s="107" t="n"/>
      <c r="I708" s="110">
        <f>IF($B708="","",$B708*(IsverenPayiOrani+IssizlikOrani))</f>
        <v/>
      </c>
    </row>
    <row r="709" ht="15" customHeight="1" s="62">
      <c r="A709" s="107" t="n"/>
      <c r="B709" s="108" t="n"/>
      <c r="C709" s="107" t="n"/>
      <c r="D709" s="107" t="n"/>
      <c r="E709" s="107" t="n"/>
      <c r="F709" s="107" t="n"/>
      <c r="G709" s="107" t="n"/>
      <c r="H709" s="107" t="n"/>
      <c r="I709" s="110">
        <f>IF($B709="","",$B709*(IsverenPayiOrani+IssizlikOrani))</f>
        <v/>
      </c>
    </row>
    <row r="710" ht="15" customHeight="1" s="62">
      <c r="A710" s="107" t="n"/>
      <c r="B710" s="108" t="n"/>
      <c r="C710" s="107" t="n"/>
      <c r="D710" s="107" t="n"/>
      <c r="E710" s="107" t="n"/>
      <c r="F710" s="107" t="n"/>
      <c r="G710" s="107" t="n"/>
      <c r="H710" s="107" t="n"/>
      <c r="I710" s="110">
        <f>IF($B710="","",$B710*(IsverenPayiOrani+IssizlikOrani))</f>
        <v/>
      </c>
    </row>
    <row r="711" ht="15" customHeight="1" s="62">
      <c r="A711" s="107" t="n"/>
      <c r="B711" s="108" t="n"/>
      <c r="C711" s="107" t="n"/>
      <c r="D711" s="107" t="n"/>
      <c r="E711" s="107" t="n"/>
      <c r="F711" s="107" t="n"/>
      <c r="G711" s="107" t="n"/>
      <c r="H711" s="107" t="n"/>
      <c r="I711" s="110">
        <f>IF($B711="","",$B711*(IsverenPayiOrani+IssizlikOrani))</f>
        <v/>
      </c>
    </row>
    <row r="712" ht="15" customHeight="1" s="62">
      <c r="A712" s="107" t="n"/>
      <c r="B712" s="108" t="n"/>
      <c r="C712" s="107" t="n"/>
      <c r="D712" s="107" t="n"/>
      <c r="E712" s="107" t="n"/>
      <c r="F712" s="107" t="n"/>
      <c r="G712" s="107" t="n"/>
      <c r="H712" s="107" t="n"/>
      <c r="I712" s="110">
        <f>IF($B712="","",$B712*(IsverenPayiOrani+IssizlikOrani))</f>
        <v/>
      </c>
    </row>
    <row r="713" ht="15" customHeight="1" s="62">
      <c r="A713" s="107" t="n"/>
      <c r="B713" s="108" t="n"/>
      <c r="C713" s="107" t="n"/>
      <c r="D713" s="107" t="n"/>
      <c r="E713" s="107" t="n"/>
      <c r="F713" s="107" t="n"/>
      <c r="G713" s="107" t="n"/>
      <c r="H713" s="107" t="n"/>
      <c r="I713" s="110">
        <f>IF($B713="","",$B713*(IsverenPayiOrani+IssizlikOrani))</f>
        <v/>
      </c>
    </row>
    <row r="714" ht="15" customHeight="1" s="62">
      <c r="A714" s="107" t="n"/>
      <c r="B714" s="108" t="n"/>
      <c r="C714" s="107" t="n"/>
      <c r="D714" s="107" t="n"/>
      <c r="E714" s="107" t="n"/>
      <c r="F714" s="107" t="n"/>
      <c r="G714" s="107" t="n"/>
      <c r="H714" s="107" t="n"/>
      <c r="I714" s="110">
        <f>IF($B714="","",$B714*(IsverenPayiOrani+IssizlikOrani))</f>
        <v/>
      </c>
    </row>
    <row r="715" ht="15" customHeight="1" s="62">
      <c r="A715" s="107" t="n"/>
      <c r="B715" s="108" t="n"/>
      <c r="C715" s="107" t="n"/>
      <c r="D715" s="107" t="n"/>
      <c r="E715" s="107" t="n"/>
      <c r="F715" s="107" t="n"/>
      <c r="G715" s="107" t="n"/>
      <c r="H715" s="107" t="n"/>
      <c r="I715" s="110">
        <f>IF($B715="","",$B715*(IsverenPayiOrani+IssizlikOrani))</f>
        <v/>
      </c>
    </row>
    <row r="716" ht="15" customHeight="1" s="62">
      <c r="A716" s="107" t="n"/>
      <c r="B716" s="108" t="n"/>
      <c r="C716" s="107" t="n"/>
      <c r="D716" s="107" t="n"/>
      <c r="E716" s="107" t="n"/>
      <c r="F716" s="107" t="n"/>
      <c r="G716" s="107" t="n"/>
      <c r="H716" s="107" t="n"/>
      <c r="I716" s="110">
        <f>IF($B716="","",$B716*(IsverenPayiOrani+IssizlikOrani))</f>
        <v/>
      </c>
    </row>
    <row r="717" ht="15" customHeight="1" s="62">
      <c r="A717" s="107" t="n"/>
      <c r="B717" s="108" t="n"/>
      <c r="C717" s="107" t="n"/>
      <c r="D717" s="107" t="n"/>
      <c r="E717" s="107" t="n"/>
      <c r="F717" s="107" t="n"/>
      <c r="G717" s="107" t="n"/>
      <c r="H717" s="107" t="n"/>
      <c r="I717" s="110">
        <f>IF($B717="","",$B717*(IsverenPayiOrani+IssizlikOrani))</f>
        <v/>
      </c>
    </row>
    <row r="718" ht="15" customHeight="1" s="62">
      <c r="A718" s="107" t="n"/>
      <c r="B718" s="108" t="n"/>
      <c r="C718" s="107" t="n"/>
      <c r="D718" s="107" t="n"/>
      <c r="E718" s="107" t="n"/>
      <c r="F718" s="107" t="n"/>
      <c r="G718" s="107" t="n"/>
      <c r="H718" s="107" t="n"/>
      <c r="I718" s="110">
        <f>IF($B718="","",$B718*(IsverenPayiOrani+IssizlikOrani))</f>
        <v/>
      </c>
    </row>
    <row r="719" ht="15" customHeight="1" s="62">
      <c r="A719" s="107" t="n"/>
      <c r="B719" s="108" t="n"/>
      <c r="C719" s="107" t="n"/>
      <c r="D719" s="107" t="n"/>
      <c r="E719" s="107" t="n"/>
      <c r="F719" s="107" t="n"/>
      <c r="G719" s="107" t="n"/>
      <c r="H719" s="107" t="n"/>
      <c r="I719" s="110">
        <f>IF($B719="","",$B719*(IsverenPayiOrani+IssizlikOrani))</f>
        <v/>
      </c>
    </row>
    <row r="720" ht="15" customHeight="1" s="62">
      <c r="A720" s="107" t="n"/>
      <c r="B720" s="108" t="n"/>
      <c r="C720" s="107" t="n"/>
      <c r="D720" s="107" t="n"/>
      <c r="E720" s="107" t="n"/>
      <c r="F720" s="107" t="n"/>
      <c r="G720" s="107" t="n"/>
      <c r="H720" s="107" t="n"/>
      <c r="I720" s="110">
        <f>IF($B720="","",$B720*(IsverenPayiOrani+IssizlikOrani))</f>
        <v/>
      </c>
    </row>
    <row r="721" ht="15" customHeight="1" s="62">
      <c r="A721" s="107" t="n"/>
      <c r="B721" s="108" t="n"/>
      <c r="C721" s="107" t="n"/>
      <c r="D721" s="107" t="n"/>
      <c r="E721" s="107" t="n"/>
      <c r="F721" s="107" t="n"/>
      <c r="G721" s="107" t="n"/>
      <c r="H721" s="107" t="n"/>
      <c r="I721" s="110">
        <f>IF($B721="","",$B721*(IsverenPayiOrani+IssizlikOrani))</f>
        <v/>
      </c>
    </row>
    <row r="722" ht="15" customHeight="1" s="62">
      <c r="A722" s="107" t="n"/>
      <c r="B722" s="108" t="n"/>
      <c r="C722" s="107" t="n"/>
      <c r="D722" s="107" t="n"/>
      <c r="E722" s="107" t="n"/>
      <c r="F722" s="107" t="n"/>
      <c r="G722" s="107" t="n"/>
      <c r="H722" s="107" t="n"/>
      <c r="I722" s="110">
        <f>IF($B722="","",$B722*(IsverenPayiOrani+IssizlikOrani))</f>
        <v/>
      </c>
    </row>
    <row r="723" ht="15" customHeight="1" s="62">
      <c r="A723" s="107" t="n"/>
      <c r="B723" s="108" t="n"/>
      <c r="C723" s="107" t="n"/>
      <c r="D723" s="107" t="n"/>
      <c r="E723" s="107" t="n"/>
      <c r="F723" s="107" t="n"/>
      <c r="G723" s="107" t="n"/>
      <c r="H723" s="107" t="n"/>
      <c r="I723" s="110">
        <f>IF($B723="","",$B723*(IsverenPayiOrani+IssizlikOrani))</f>
        <v/>
      </c>
    </row>
    <row r="724" ht="15" customHeight="1" s="62">
      <c r="A724" s="107" t="n"/>
      <c r="B724" s="108" t="n"/>
      <c r="C724" s="107" t="n"/>
      <c r="D724" s="107" t="n"/>
      <c r="E724" s="107" t="n"/>
      <c r="F724" s="107" t="n"/>
      <c r="G724" s="107" t="n"/>
      <c r="H724" s="107" t="n"/>
      <c r="I724" s="110">
        <f>IF($B724="","",$B724*(IsverenPayiOrani+IssizlikOrani))</f>
        <v/>
      </c>
    </row>
    <row r="725" ht="15" customHeight="1" s="62">
      <c r="A725" s="107" t="n"/>
      <c r="B725" s="108" t="n"/>
      <c r="C725" s="107" t="n"/>
      <c r="D725" s="107" t="n"/>
      <c r="E725" s="107" t="n"/>
      <c r="F725" s="107" t="n"/>
      <c r="G725" s="107" t="n"/>
      <c r="H725" s="107" t="n"/>
      <c r="I725" s="110">
        <f>IF($B725="","",$B725*(IsverenPayiOrani+IssizlikOrani))</f>
        <v/>
      </c>
    </row>
    <row r="726" ht="15" customHeight="1" s="62">
      <c r="A726" s="107" t="n"/>
      <c r="B726" s="108" t="n"/>
      <c r="C726" s="107" t="n"/>
      <c r="D726" s="107" t="n"/>
      <c r="E726" s="107" t="n"/>
      <c r="F726" s="107" t="n"/>
      <c r="G726" s="107" t="n"/>
      <c r="H726" s="107" t="n"/>
      <c r="I726" s="110">
        <f>IF($B726="","",$B726*(IsverenPayiOrani+IssizlikOrani))</f>
        <v/>
      </c>
    </row>
    <row r="727" ht="15" customHeight="1" s="62">
      <c r="A727" s="107" t="n"/>
      <c r="B727" s="108" t="n"/>
      <c r="C727" s="107" t="n"/>
      <c r="D727" s="107" t="n"/>
      <c r="E727" s="107" t="n"/>
      <c r="F727" s="107" t="n"/>
      <c r="G727" s="107" t="n"/>
      <c r="H727" s="107" t="n"/>
      <c r="I727" s="110">
        <f>IF($B727="","",$B727*(IsverenPayiOrani+IssizlikOrani))</f>
        <v/>
      </c>
    </row>
    <row r="728" ht="15" customHeight="1" s="62">
      <c r="A728" s="107" t="n"/>
      <c r="B728" s="108" t="n"/>
      <c r="C728" s="107" t="n"/>
      <c r="D728" s="107" t="n"/>
      <c r="E728" s="107" t="n"/>
      <c r="F728" s="107" t="n"/>
      <c r="G728" s="107" t="n"/>
      <c r="H728" s="107" t="n"/>
      <c r="I728" s="110">
        <f>IF($B728="","",$B728*(IsverenPayiOrani+IssizlikOrani))</f>
        <v/>
      </c>
    </row>
    <row r="729" ht="15" customHeight="1" s="62">
      <c r="A729" s="107" t="n"/>
      <c r="B729" s="108" t="n"/>
      <c r="C729" s="107" t="n"/>
      <c r="D729" s="107" t="n"/>
      <c r="E729" s="107" t="n"/>
      <c r="F729" s="107" t="n"/>
      <c r="G729" s="107" t="n"/>
      <c r="H729" s="107" t="n"/>
      <c r="I729" s="110">
        <f>IF($B729="","",$B729*(IsverenPayiOrani+IssizlikOrani))</f>
        <v/>
      </c>
    </row>
    <row r="730" ht="15" customHeight="1" s="62">
      <c r="A730" s="107" t="n"/>
      <c r="B730" s="108" t="n"/>
      <c r="C730" s="107" t="n"/>
      <c r="D730" s="107" t="n"/>
      <c r="E730" s="107" t="n"/>
      <c r="F730" s="107" t="n"/>
      <c r="G730" s="107" t="n"/>
      <c r="H730" s="107" t="n"/>
      <c r="I730" s="110">
        <f>IF($B730="","",$B730*(IsverenPayiOrani+IssizlikOrani))</f>
        <v/>
      </c>
    </row>
    <row r="731" ht="15" customHeight="1" s="62">
      <c r="A731" s="107" t="n"/>
      <c r="B731" s="108" t="n"/>
      <c r="C731" s="107" t="n"/>
      <c r="D731" s="107" t="n"/>
      <c r="E731" s="107" t="n"/>
      <c r="F731" s="107" t="n"/>
      <c r="G731" s="107" t="n"/>
      <c r="H731" s="107" t="n"/>
      <c r="I731" s="110">
        <f>IF($B731="","",$B731*(IsverenPayiOrani+IssizlikOrani))</f>
        <v/>
      </c>
    </row>
    <row r="732" ht="15" customHeight="1" s="62">
      <c r="A732" s="107" t="n"/>
      <c r="B732" s="108" t="n"/>
      <c r="C732" s="107" t="n"/>
      <c r="D732" s="107" t="n"/>
      <c r="E732" s="107" t="n"/>
      <c r="F732" s="107" t="n"/>
      <c r="G732" s="107" t="n"/>
      <c r="H732" s="107" t="n"/>
      <c r="I732" s="110">
        <f>IF($B732="","",$B732*(IsverenPayiOrani+IssizlikOrani))</f>
        <v/>
      </c>
    </row>
    <row r="733" ht="15" customHeight="1" s="62">
      <c r="A733" s="107" t="n"/>
      <c r="B733" s="108" t="n"/>
      <c r="C733" s="107" t="n"/>
      <c r="D733" s="107" t="n"/>
      <c r="E733" s="107" t="n"/>
      <c r="F733" s="107" t="n"/>
      <c r="G733" s="107" t="n"/>
      <c r="H733" s="107" t="n"/>
      <c r="I733" s="110">
        <f>IF($B733="","",$B733*(IsverenPayiOrani+IssizlikOrani))</f>
        <v/>
      </c>
    </row>
    <row r="734" ht="15" customHeight="1" s="62">
      <c r="A734" s="107" t="n"/>
      <c r="B734" s="108" t="n"/>
      <c r="C734" s="107" t="n"/>
      <c r="D734" s="107" t="n"/>
      <c r="E734" s="107" t="n"/>
      <c r="F734" s="107" t="n"/>
      <c r="G734" s="107" t="n"/>
      <c r="H734" s="107" t="n"/>
      <c r="I734" s="110">
        <f>IF($B734="","",$B734*(IsverenPayiOrani+IssizlikOrani))</f>
        <v/>
      </c>
    </row>
    <row r="735" ht="15" customHeight="1" s="62">
      <c r="A735" s="107" t="n"/>
      <c r="B735" s="108" t="n"/>
      <c r="C735" s="107" t="n"/>
      <c r="D735" s="107" t="n"/>
      <c r="E735" s="107" t="n"/>
      <c r="F735" s="107" t="n"/>
      <c r="G735" s="107" t="n"/>
      <c r="H735" s="107" t="n"/>
      <c r="I735" s="110">
        <f>IF($B735="","",$B735*(IsverenPayiOrani+IssizlikOrani))</f>
        <v/>
      </c>
    </row>
    <row r="736" ht="15" customHeight="1" s="62">
      <c r="A736" s="107" t="n"/>
      <c r="B736" s="108" t="n"/>
      <c r="C736" s="107" t="n"/>
      <c r="D736" s="107" t="n"/>
      <c r="E736" s="107" t="n"/>
      <c r="F736" s="107" t="n"/>
      <c r="G736" s="107" t="n"/>
      <c r="H736" s="107" t="n"/>
      <c r="I736" s="110">
        <f>IF($B736="","",$B736*(IsverenPayiOrani+IssizlikOrani))</f>
        <v/>
      </c>
    </row>
    <row r="737" ht="15" customHeight="1" s="62">
      <c r="A737" s="107" t="n"/>
      <c r="B737" s="108" t="n"/>
      <c r="C737" s="107" t="n"/>
      <c r="D737" s="107" t="n"/>
      <c r="E737" s="107" t="n"/>
      <c r="F737" s="107" t="n"/>
      <c r="G737" s="107" t="n"/>
      <c r="H737" s="107" t="n"/>
      <c r="I737" s="110">
        <f>IF($B737="","",$B737*(IsverenPayiOrani+IssizlikOrani))</f>
        <v/>
      </c>
    </row>
    <row r="738" ht="15" customHeight="1" s="62">
      <c r="A738" s="107" t="n"/>
      <c r="B738" s="108" t="n"/>
      <c r="C738" s="107" t="n"/>
      <c r="D738" s="107" t="n"/>
      <c r="E738" s="107" t="n"/>
      <c r="F738" s="107" t="n"/>
      <c r="G738" s="107" t="n"/>
      <c r="H738" s="107" t="n"/>
      <c r="I738" s="110">
        <f>IF($B738="","",$B738*(IsverenPayiOrani+IssizlikOrani))</f>
        <v/>
      </c>
    </row>
    <row r="739" ht="15" customHeight="1" s="62">
      <c r="A739" s="107" t="n"/>
      <c r="B739" s="108" t="n"/>
      <c r="C739" s="107" t="n"/>
      <c r="D739" s="107" t="n"/>
      <c r="E739" s="107" t="n"/>
      <c r="F739" s="107" t="n"/>
      <c r="G739" s="107" t="n"/>
      <c r="H739" s="107" t="n"/>
      <c r="I739" s="110">
        <f>IF($B739="","",$B739*(IsverenPayiOrani+IssizlikOrani))</f>
        <v/>
      </c>
    </row>
    <row r="740" ht="15" customHeight="1" s="62">
      <c r="A740" s="107" t="n"/>
      <c r="B740" s="108" t="n"/>
      <c r="C740" s="107" t="n"/>
      <c r="D740" s="107" t="n"/>
      <c r="E740" s="107" t="n"/>
      <c r="F740" s="107" t="n"/>
      <c r="G740" s="107" t="n"/>
      <c r="H740" s="107" t="n"/>
      <c r="I740" s="110">
        <f>IF($B740="","",$B740*(IsverenPayiOrani+IssizlikOrani))</f>
        <v/>
      </c>
    </row>
    <row r="741" ht="15" customHeight="1" s="62">
      <c r="A741" s="107" t="n"/>
      <c r="B741" s="108" t="n"/>
      <c r="C741" s="107" t="n"/>
      <c r="D741" s="107" t="n"/>
      <c r="E741" s="107" t="n"/>
      <c r="F741" s="107" t="n"/>
      <c r="G741" s="107" t="n"/>
      <c r="H741" s="107" t="n"/>
      <c r="I741" s="110">
        <f>IF($B741="","",$B741*(IsverenPayiOrani+IssizlikOrani))</f>
        <v/>
      </c>
    </row>
    <row r="742" ht="15" customHeight="1" s="62">
      <c r="A742" s="107" t="n"/>
      <c r="B742" s="108" t="n"/>
      <c r="C742" s="107" t="n"/>
      <c r="D742" s="107" t="n"/>
      <c r="E742" s="107" t="n"/>
      <c r="F742" s="107" t="n"/>
      <c r="G742" s="107" t="n"/>
      <c r="H742" s="107" t="n"/>
      <c r="I742" s="110">
        <f>IF($B742="","",$B742*(IsverenPayiOrani+IssizlikOrani))</f>
        <v/>
      </c>
    </row>
    <row r="743" ht="15" customHeight="1" s="62">
      <c r="A743" s="107" t="n"/>
      <c r="B743" s="108" t="n"/>
      <c r="C743" s="107" t="n"/>
      <c r="D743" s="107" t="n"/>
      <c r="E743" s="107" t="n"/>
      <c r="F743" s="107" t="n"/>
      <c r="G743" s="107" t="n"/>
      <c r="H743" s="107" t="n"/>
      <c r="I743" s="110">
        <f>IF($B743="","",$B743*(IsverenPayiOrani+IssizlikOrani))</f>
        <v/>
      </c>
    </row>
    <row r="744" ht="15" customHeight="1" s="62">
      <c r="A744" s="107" t="n"/>
      <c r="B744" s="108" t="n"/>
      <c r="C744" s="107" t="n"/>
      <c r="D744" s="107" t="n"/>
      <c r="E744" s="107" t="n"/>
      <c r="F744" s="107" t="n"/>
      <c r="G744" s="107" t="n"/>
      <c r="H744" s="107" t="n"/>
      <c r="I744" s="110">
        <f>IF($B744="","",$B744*(IsverenPayiOrani+IssizlikOrani))</f>
        <v/>
      </c>
    </row>
    <row r="745" ht="15" customHeight="1" s="62">
      <c r="A745" s="107" t="n"/>
      <c r="B745" s="108" t="n"/>
      <c r="C745" s="107" t="n"/>
      <c r="D745" s="107" t="n"/>
      <c r="E745" s="107" t="n"/>
      <c r="F745" s="107" t="n"/>
      <c r="G745" s="107" t="n"/>
      <c r="H745" s="107" t="n"/>
      <c r="I745" s="110">
        <f>IF($B745="","",$B745*(IsverenPayiOrani+IssizlikOrani))</f>
        <v/>
      </c>
    </row>
    <row r="746" ht="15" customHeight="1" s="62">
      <c r="A746" s="107" t="n"/>
      <c r="B746" s="108" t="n"/>
      <c r="C746" s="107" t="n"/>
      <c r="D746" s="107" t="n"/>
      <c r="E746" s="107" t="n"/>
      <c r="F746" s="107" t="n"/>
      <c r="G746" s="107" t="n"/>
      <c r="H746" s="107" t="n"/>
      <c r="I746" s="110">
        <f>IF($B746="","",$B746*(IsverenPayiOrani+IssizlikOrani))</f>
        <v/>
      </c>
    </row>
    <row r="747" ht="15" customHeight="1" s="62">
      <c r="A747" s="107" t="n"/>
      <c r="B747" s="108" t="n"/>
      <c r="C747" s="107" t="n"/>
      <c r="D747" s="107" t="n"/>
      <c r="E747" s="107" t="n"/>
      <c r="F747" s="107" t="n"/>
      <c r="G747" s="107" t="n"/>
      <c r="H747" s="107" t="n"/>
      <c r="I747" s="110">
        <f>IF($B747="","",$B747*(IsverenPayiOrani+IssizlikOrani))</f>
        <v/>
      </c>
    </row>
    <row r="748" ht="15" customHeight="1" s="62">
      <c r="A748" s="107" t="n"/>
      <c r="B748" s="108" t="n"/>
      <c r="C748" s="107" t="n"/>
      <c r="D748" s="107" t="n"/>
      <c r="E748" s="107" t="n"/>
      <c r="F748" s="107" t="n"/>
      <c r="G748" s="107" t="n"/>
      <c r="H748" s="107" t="n"/>
      <c r="I748" s="110">
        <f>IF($B748="","",$B748*(IsverenPayiOrani+IssizlikOrani))</f>
        <v/>
      </c>
    </row>
    <row r="749" ht="15" customHeight="1" s="62">
      <c r="A749" s="107" t="n"/>
      <c r="B749" s="108" t="n"/>
      <c r="C749" s="107" t="n"/>
      <c r="D749" s="107" t="n"/>
      <c r="E749" s="107" t="n"/>
      <c r="F749" s="107" t="n"/>
      <c r="G749" s="107" t="n"/>
      <c r="H749" s="107" t="n"/>
      <c r="I749" s="110">
        <f>IF($B749="","",$B749*(IsverenPayiOrani+IssizlikOrani))</f>
        <v/>
      </c>
    </row>
    <row r="750" ht="15" customHeight="1" s="62">
      <c r="A750" s="107" t="n"/>
      <c r="B750" s="108" t="n"/>
      <c r="C750" s="107" t="n"/>
      <c r="D750" s="107" t="n"/>
      <c r="E750" s="107" t="n"/>
      <c r="F750" s="107" t="n"/>
      <c r="G750" s="107" t="n"/>
      <c r="H750" s="107" t="n"/>
      <c r="I750" s="110">
        <f>IF($B750="","",$B750*(IsverenPayiOrani+IssizlikOrani))</f>
        <v/>
      </c>
    </row>
    <row r="751" ht="15" customHeight="1" s="62">
      <c r="A751" s="107" t="n"/>
      <c r="B751" s="108" t="n"/>
      <c r="C751" s="107" t="n"/>
      <c r="D751" s="107" t="n"/>
      <c r="E751" s="107" t="n"/>
      <c r="F751" s="107" t="n"/>
      <c r="G751" s="107" t="n"/>
      <c r="H751" s="107" t="n"/>
      <c r="I751" s="110">
        <f>IF($B751="","",$B751*(IsverenPayiOrani+IssizlikOrani))</f>
        <v/>
      </c>
    </row>
    <row r="752" ht="15" customHeight="1" s="62">
      <c r="A752" s="107" t="n"/>
      <c r="B752" s="108" t="n"/>
      <c r="C752" s="107" t="n"/>
      <c r="D752" s="107" t="n"/>
      <c r="E752" s="107" t="n"/>
      <c r="F752" s="107" t="n"/>
      <c r="G752" s="107" t="n"/>
      <c r="H752" s="107" t="n"/>
      <c r="I752" s="110">
        <f>IF($B752="","",$B752*(IsverenPayiOrani+IssizlikOrani))</f>
        <v/>
      </c>
    </row>
    <row r="753" ht="15" customHeight="1" s="62">
      <c r="A753" s="107" t="n"/>
      <c r="B753" s="108" t="n"/>
      <c r="C753" s="107" t="n"/>
      <c r="D753" s="107" t="n"/>
      <c r="E753" s="107" t="n"/>
      <c r="F753" s="107" t="n"/>
      <c r="G753" s="107" t="n"/>
      <c r="H753" s="107" t="n"/>
      <c r="I753" s="110">
        <f>IF($B753="","",$B753*(IsverenPayiOrani+IssizlikOrani))</f>
        <v/>
      </c>
    </row>
    <row r="754" ht="15" customHeight="1" s="62">
      <c r="A754" s="107" t="n"/>
      <c r="B754" s="108" t="n"/>
      <c r="C754" s="107" t="n"/>
      <c r="D754" s="107" t="n"/>
      <c r="E754" s="107" t="n"/>
      <c r="F754" s="107" t="n"/>
      <c r="G754" s="107" t="n"/>
      <c r="H754" s="107" t="n"/>
      <c r="I754" s="110">
        <f>IF($B754="","",$B754*(IsverenPayiOrani+IssizlikOrani))</f>
        <v/>
      </c>
    </row>
    <row r="755" ht="15" customHeight="1" s="62">
      <c r="A755" s="107" t="n"/>
      <c r="B755" s="108" t="n"/>
      <c r="C755" s="107" t="n"/>
      <c r="D755" s="107" t="n"/>
      <c r="E755" s="107" t="n"/>
      <c r="F755" s="107" t="n"/>
      <c r="G755" s="107" t="n"/>
      <c r="H755" s="107" t="n"/>
      <c r="I755" s="110">
        <f>IF($B755="","",$B755*(IsverenPayiOrani+IssizlikOrani))</f>
        <v/>
      </c>
    </row>
    <row r="756" ht="15" customHeight="1" s="62">
      <c r="A756" s="107" t="n"/>
      <c r="B756" s="108" t="n"/>
      <c r="C756" s="107" t="n"/>
      <c r="D756" s="107" t="n"/>
      <c r="E756" s="107" t="n"/>
      <c r="F756" s="107" t="n"/>
      <c r="G756" s="107" t="n"/>
      <c r="H756" s="107" t="n"/>
      <c r="I756" s="110">
        <f>IF($B756="","",$B756*(IsverenPayiOrani+IssizlikOrani))</f>
        <v/>
      </c>
    </row>
    <row r="757" ht="15" customHeight="1" s="62">
      <c r="A757" s="107" t="n"/>
      <c r="B757" s="108" t="n"/>
      <c r="C757" s="107" t="n"/>
      <c r="D757" s="107" t="n"/>
      <c r="E757" s="107" t="n"/>
      <c r="F757" s="107" t="n"/>
      <c r="G757" s="107" t="n"/>
      <c r="H757" s="107" t="n"/>
      <c r="I757" s="110">
        <f>IF($B757="","",$B757*(IsverenPayiOrani+IssizlikOrani))</f>
        <v/>
      </c>
    </row>
    <row r="758" ht="15" customHeight="1" s="62">
      <c r="A758" s="107" t="n"/>
      <c r="B758" s="108" t="n"/>
      <c r="C758" s="107" t="n"/>
      <c r="D758" s="107" t="n"/>
      <c r="E758" s="107" t="n"/>
      <c r="F758" s="107" t="n"/>
      <c r="G758" s="107" t="n"/>
      <c r="H758" s="107" t="n"/>
      <c r="I758" s="110">
        <f>IF($B758="","",$B758*(IsverenPayiOrani+IssizlikOrani))</f>
        <v/>
      </c>
    </row>
    <row r="759" ht="15" customHeight="1" s="62">
      <c r="A759" s="107" t="n"/>
      <c r="B759" s="108" t="n"/>
      <c r="C759" s="107" t="n"/>
      <c r="D759" s="107" t="n"/>
      <c r="E759" s="107" t="n"/>
      <c r="F759" s="107" t="n"/>
      <c r="G759" s="107" t="n"/>
      <c r="H759" s="107" t="n"/>
      <c r="I759" s="110">
        <f>IF($B759="","",$B759*(IsverenPayiOrani+IssizlikOrani))</f>
        <v/>
      </c>
    </row>
    <row r="760" ht="15" customHeight="1" s="62">
      <c r="A760" s="107" t="n"/>
      <c r="B760" s="108" t="n"/>
      <c r="C760" s="107" t="n"/>
      <c r="D760" s="107" t="n"/>
      <c r="E760" s="107" t="n"/>
      <c r="F760" s="107" t="n"/>
      <c r="G760" s="107" t="n"/>
      <c r="H760" s="107" t="n"/>
      <c r="I760" s="110">
        <f>IF($B760="","",$B760*(IsverenPayiOrani+IssizlikOrani))</f>
        <v/>
      </c>
    </row>
    <row r="761" ht="15" customHeight="1" s="62">
      <c r="A761" s="107" t="n"/>
      <c r="B761" s="108" t="n"/>
      <c r="C761" s="107" t="n"/>
      <c r="D761" s="107" t="n"/>
      <c r="E761" s="107" t="n"/>
      <c r="F761" s="107" t="n"/>
      <c r="G761" s="107" t="n"/>
      <c r="H761" s="107" t="n"/>
      <c r="I761" s="110">
        <f>IF($B761="","",$B761*(IsverenPayiOrani+IssizlikOrani))</f>
        <v/>
      </c>
    </row>
    <row r="762" ht="15" customHeight="1" s="62">
      <c r="A762" s="107" t="n"/>
      <c r="B762" s="108" t="n"/>
      <c r="C762" s="107" t="n"/>
      <c r="D762" s="107" t="n"/>
      <c r="E762" s="107" t="n"/>
      <c r="F762" s="107" t="n"/>
      <c r="G762" s="107" t="n"/>
      <c r="H762" s="107" t="n"/>
      <c r="I762" s="110">
        <f>IF($B762="","",$B762*(IsverenPayiOrani+IssizlikOrani))</f>
        <v/>
      </c>
    </row>
    <row r="763" ht="15" customHeight="1" s="62">
      <c r="A763" s="107" t="n"/>
      <c r="B763" s="108" t="n"/>
      <c r="C763" s="107" t="n"/>
      <c r="D763" s="107" t="n"/>
      <c r="E763" s="107" t="n"/>
      <c r="F763" s="107" t="n"/>
      <c r="G763" s="107" t="n"/>
      <c r="H763" s="107" t="n"/>
      <c r="I763" s="110">
        <f>IF($B763="","",$B763*(IsverenPayiOrani+IssizlikOrani))</f>
        <v/>
      </c>
    </row>
    <row r="764" ht="15" customHeight="1" s="62">
      <c r="A764" s="107" t="n"/>
      <c r="B764" s="108" t="n"/>
      <c r="C764" s="107" t="n"/>
      <c r="D764" s="107" t="n"/>
      <c r="E764" s="107" t="n"/>
      <c r="F764" s="107" t="n"/>
      <c r="G764" s="107" t="n"/>
      <c r="H764" s="107" t="n"/>
      <c r="I764" s="110">
        <f>IF($B764="","",$B764*(IsverenPayiOrani+IssizlikOrani))</f>
        <v/>
      </c>
    </row>
    <row r="765" ht="15" customHeight="1" s="62">
      <c r="A765" s="107" t="n"/>
      <c r="B765" s="108" t="n"/>
      <c r="C765" s="107" t="n"/>
      <c r="D765" s="107" t="n"/>
      <c r="E765" s="107" t="n"/>
      <c r="F765" s="107" t="n"/>
      <c r="G765" s="107" t="n"/>
      <c r="H765" s="107" t="n"/>
      <c r="I765" s="110">
        <f>IF($B765="","",$B765*(IsverenPayiOrani+IssizlikOrani))</f>
        <v/>
      </c>
    </row>
    <row r="766" ht="15" customHeight="1" s="62">
      <c r="A766" s="107" t="n"/>
      <c r="B766" s="108" t="n"/>
      <c r="C766" s="107" t="n"/>
      <c r="D766" s="107" t="n"/>
      <c r="E766" s="107" t="n"/>
      <c r="F766" s="107" t="n"/>
      <c r="G766" s="107" t="n"/>
      <c r="H766" s="107" t="n"/>
      <c r="I766" s="110">
        <f>IF($B766="","",$B766*(IsverenPayiOrani+IssizlikOrani))</f>
        <v/>
      </c>
    </row>
    <row r="767" ht="15" customHeight="1" s="62">
      <c r="A767" s="107" t="n"/>
      <c r="B767" s="108" t="n"/>
      <c r="C767" s="107" t="n"/>
      <c r="D767" s="107" t="n"/>
      <c r="E767" s="107" t="n"/>
      <c r="F767" s="107" t="n"/>
      <c r="G767" s="107" t="n"/>
      <c r="H767" s="107" t="n"/>
      <c r="I767" s="110">
        <f>IF($B767="","",$B767*(IsverenPayiOrani+IssizlikOrani))</f>
        <v/>
      </c>
    </row>
    <row r="768" ht="15" customHeight="1" s="62">
      <c r="A768" s="107" t="n"/>
      <c r="B768" s="108" t="n"/>
      <c r="C768" s="107" t="n"/>
      <c r="D768" s="107" t="n"/>
      <c r="E768" s="107" t="n"/>
      <c r="F768" s="107" t="n"/>
      <c r="G768" s="107" t="n"/>
      <c r="H768" s="107" t="n"/>
      <c r="I768" s="110">
        <f>IF($B768="","",$B768*(IsverenPayiOrani+IssizlikOrani))</f>
        <v/>
      </c>
    </row>
    <row r="769" ht="15" customHeight="1" s="62">
      <c r="A769" s="107" t="n"/>
      <c r="B769" s="108" t="n"/>
      <c r="C769" s="107" t="n"/>
      <c r="D769" s="107" t="n"/>
      <c r="E769" s="107" t="n"/>
      <c r="F769" s="107" t="n"/>
      <c r="G769" s="107" t="n"/>
      <c r="H769" s="107" t="n"/>
      <c r="I769" s="110">
        <f>IF($B769="","",$B769*(IsverenPayiOrani+IssizlikOrani))</f>
        <v/>
      </c>
    </row>
    <row r="770" ht="15" customHeight="1" s="62">
      <c r="A770" s="107" t="n"/>
      <c r="B770" s="108" t="n"/>
      <c r="C770" s="107" t="n"/>
      <c r="D770" s="107" t="n"/>
      <c r="E770" s="107" t="n"/>
      <c r="F770" s="107" t="n"/>
      <c r="G770" s="107" t="n"/>
      <c r="H770" s="107" t="n"/>
      <c r="I770" s="110">
        <f>IF($B770="","",$B770*(IsverenPayiOrani+IssizlikOrani))</f>
        <v/>
      </c>
    </row>
    <row r="771" ht="15" customHeight="1" s="62">
      <c r="A771" s="107" t="n"/>
      <c r="B771" s="108" t="n"/>
      <c r="C771" s="107" t="n"/>
      <c r="D771" s="107" t="n"/>
      <c r="E771" s="107" t="n"/>
      <c r="F771" s="107" t="n"/>
      <c r="G771" s="107" t="n"/>
      <c r="H771" s="107" t="n"/>
      <c r="I771" s="110">
        <f>IF($B771="","",$B771*(IsverenPayiOrani+IssizlikOrani))</f>
        <v/>
      </c>
    </row>
    <row r="772" ht="15" customHeight="1" s="62">
      <c r="A772" s="107" t="n"/>
      <c r="B772" s="108" t="n"/>
      <c r="C772" s="107" t="n"/>
      <c r="D772" s="107" t="n"/>
      <c r="E772" s="107" t="n"/>
      <c r="F772" s="107" t="n"/>
      <c r="G772" s="107" t="n"/>
      <c r="H772" s="107" t="n"/>
      <c r="I772" s="110">
        <f>IF($B772="","",$B772*(IsverenPayiOrani+IssizlikOrani))</f>
        <v/>
      </c>
    </row>
    <row r="773" ht="15" customHeight="1" s="62">
      <c r="A773" s="107" t="n"/>
      <c r="B773" s="108" t="n"/>
      <c r="C773" s="107" t="n"/>
      <c r="D773" s="107" t="n"/>
      <c r="E773" s="107" t="n"/>
      <c r="F773" s="107" t="n"/>
      <c r="G773" s="107" t="n"/>
      <c r="H773" s="107" t="n"/>
      <c r="I773" s="110">
        <f>IF($B773="","",$B773*(IsverenPayiOrani+IssizlikOrani))</f>
        <v/>
      </c>
    </row>
    <row r="774" ht="15" customHeight="1" s="62">
      <c r="A774" s="107" t="n"/>
      <c r="B774" s="108" t="n"/>
      <c r="C774" s="107" t="n"/>
      <c r="D774" s="107" t="n"/>
      <c r="E774" s="107" t="n"/>
      <c r="F774" s="107" t="n"/>
      <c r="G774" s="107" t="n"/>
      <c r="H774" s="107" t="n"/>
      <c r="I774" s="110">
        <f>IF($B774="","",$B774*(IsverenPayiOrani+IssizlikOrani))</f>
        <v/>
      </c>
    </row>
    <row r="775" ht="15" customHeight="1" s="62">
      <c r="A775" s="107" t="n"/>
      <c r="B775" s="108" t="n"/>
      <c r="C775" s="107" t="n"/>
      <c r="D775" s="107" t="n"/>
      <c r="E775" s="107" t="n"/>
      <c r="F775" s="107" t="n"/>
      <c r="G775" s="107" t="n"/>
      <c r="H775" s="107" t="n"/>
      <c r="I775" s="110">
        <f>IF($B775="","",$B775*(IsverenPayiOrani+IssizlikOrani))</f>
        <v/>
      </c>
    </row>
    <row r="776" ht="15" customHeight="1" s="62">
      <c r="A776" s="107" t="n"/>
      <c r="B776" s="108" t="n"/>
      <c r="C776" s="107" t="n"/>
      <c r="D776" s="107" t="n"/>
      <c r="E776" s="107" t="n"/>
      <c r="F776" s="107" t="n"/>
      <c r="G776" s="107" t="n"/>
      <c r="H776" s="107" t="n"/>
      <c r="I776" s="110">
        <f>IF($B776="","",$B776*(IsverenPayiOrani+IssizlikOrani))</f>
        <v/>
      </c>
    </row>
    <row r="777" ht="15" customHeight="1" s="62">
      <c r="A777" s="107" t="n"/>
      <c r="B777" s="108" t="n"/>
      <c r="C777" s="107" t="n"/>
      <c r="D777" s="107" t="n"/>
      <c r="E777" s="107" t="n"/>
      <c r="F777" s="107" t="n"/>
      <c r="G777" s="107" t="n"/>
      <c r="H777" s="107" t="n"/>
      <c r="I777" s="110">
        <f>IF($B777="","",$B777*(IsverenPayiOrani+IssizlikOrani))</f>
        <v/>
      </c>
    </row>
    <row r="778" ht="15" customHeight="1" s="62">
      <c r="A778" s="107" t="n"/>
      <c r="B778" s="108" t="n"/>
      <c r="C778" s="107" t="n"/>
      <c r="D778" s="107" t="n"/>
      <c r="E778" s="107" t="n"/>
      <c r="F778" s="107" t="n"/>
      <c r="G778" s="107" t="n"/>
      <c r="H778" s="107" t="n"/>
      <c r="I778" s="110">
        <f>IF($B778="","",$B778*(IsverenPayiOrani+IssizlikOrani))</f>
        <v/>
      </c>
    </row>
    <row r="779" ht="15" customHeight="1" s="62">
      <c r="A779" s="107" t="n"/>
      <c r="B779" s="108" t="n"/>
      <c r="C779" s="107" t="n"/>
      <c r="D779" s="107" t="n"/>
      <c r="E779" s="107" t="n"/>
      <c r="F779" s="107" t="n"/>
      <c r="G779" s="107" t="n"/>
      <c r="H779" s="107" t="n"/>
      <c r="I779" s="110">
        <f>IF($B779="","",$B779*(IsverenPayiOrani+IssizlikOrani))</f>
        <v/>
      </c>
    </row>
    <row r="780" ht="15" customHeight="1" s="62">
      <c r="A780" s="107" t="n"/>
      <c r="B780" s="108" t="n"/>
      <c r="C780" s="107" t="n"/>
      <c r="D780" s="107" t="n"/>
      <c r="E780" s="107" t="n"/>
      <c r="F780" s="107" t="n"/>
      <c r="G780" s="107" t="n"/>
      <c r="H780" s="107" t="n"/>
      <c r="I780" s="110">
        <f>IF($B780="","",$B780*(IsverenPayiOrani+IssizlikOrani))</f>
        <v/>
      </c>
    </row>
    <row r="781" ht="15" customHeight="1" s="62">
      <c r="A781" s="107" t="n"/>
      <c r="B781" s="108" t="n"/>
      <c r="C781" s="107" t="n"/>
      <c r="D781" s="107" t="n"/>
      <c r="E781" s="107" t="n"/>
      <c r="F781" s="107" t="n"/>
      <c r="G781" s="107" t="n"/>
      <c r="H781" s="107" t="n"/>
      <c r="I781" s="110">
        <f>IF($B781="","",$B781*(IsverenPayiOrani+IssizlikOrani))</f>
        <v/>
      </c>
    </row>
    <row r="782" ht="15" customHeight="1" s="62">
      <c r="A782" s="107" t="n"/>
      <c r="B782" s="108" t="n"/>
      <c r="C782" s="107" t="n"/>
      <c r="D782" s="107" t="n"/>
      <c r="E782" s="107" t="n"/>
      <c r="F782" s="107" t="n"/>
      <c r="G782" s="107" t="n"/>
      <c r="H782" s="107" t="n"/>
      <c r="I782" s="110">
        <f>IF($B782="","",$B782*(IsverenPayiOrani+IssizlikOrani))</f>
        <v/>
      </c>
    </row>
    <row r="783" ht="15" customHeight="1" s="62">
      <c r="A783" s="107" t="n"/>
      <c r="B783" s="108" t="n"/>
      <c r="C783" s="107" t="n"/>
      <c r="D783" s="107" t="n"/>
      <c r="E783" s="107" t="n"/>
      <c r="F783" s="107" t="n"/>
      <c r="G783" s="107" t="n"/>
      <c r="H783" s="107" t="n"/>
      <c r="I783" s="110">
        <f>IF($B783="","",$B783*(IsverenPayiOrani+IssizlikOrani))</f>
        <v/>
      </c>
    </row>
    <row r="784" ht="15" customHeight="1" s="62">
      <c r="A784" s="107" t="n"/>
      <c r="B784" s="108" t="n"/>
      <c r="C784" s="107" t="n"/>
      <c r="D784" s="107" t="n"/>
      <c r="E784" s="107" t="n"/>
      <c r="F784" s="107" t="n"/>
      <c r="G784" s="107" t="n"/>
      <c r="H784" s="107" t="n"/>
      <c r="I784" s="110">
        <f>IF($B784="","",$B784*(IsverenPayiOrani+IssizlikOrani))</f>
        <v/>
      </c>
    </row>
    <row r="785" ht="15" customHeight="1" s="62">
      <c r="A785" s="107" t="n"/>
      <c r="B785" s="108" t="n"/>
      <c r="C785" s="107" t="n"/>
      <c r="D785" s="107" t="n"/>
      <c r="E785" s="107" t="n"/>
      <c r="F785" s="107" t="n"/>
      <c r="G785" s="107" t="n"/>
      <c r="H785" s="107" t="n"/>
      <c r="I785" s="110">
        <f>IF($B785="","",$B785*(IsverenPayiOrani+IssizlikOrani))</f>
        <v/>
      </c>
    </row>
    <row r="786" ht="15" customHeight="1" s="62">
      <c r="A786" s="107" t="n"/>
      <c r="B786" s="108" t="n"/>
      <c r="C786" s="107" t="n"/>
      <c r="D786" s="107" t="n"/>
      <c r="E786" s="107" t="n"/>
      <c r="F786" s="107" t="n"/>
      <c r="G786" s="107" t="n"/>
      <c r="H786" s="107" t="n"/>
      <c r="I786" s="110">
        <f>IF($B786="","",$B786*(IsverenPayiOrani+IssizlikOrani))</f>
        <v/>
      </c>
    </row>
    <row r="787" ht="15" customHeight="1" s="62">
      <c r="A787" s="107" t="n"/>
      <c r="B787" s="108" t="n"/>
      <c r="C787" s="107" t="n"/>
      <c r="D787" s="107" t="n"/>
      <c r="E787" s="107" t="n"/>
      <c r="F787" s="107" t="n"/>
      <c r="G787" s="107" t="n"/>
      <c r="H787" s="107" t="n"/>
      <c r="I787" s="110">
        <f>IF($B787="","",$B787*(IsverenPayiOrani+IssizlikOrani))</f>
        <v/>
      </c>
    </row>
    <row r="788" ht="15" customHeight="1" s="62">
      <c r="A788" s="107" t="n"/>
      <c r="B788" s="108" t="n"/>
      <c r="C788" s="107" t="n"/>
      <c r="D788" s="107" t="n"/>
      <c r="E788" s="107" t="n"/>
      <c r="F788" s="107" t="n"/>
      <c r="G788" s="107" t="n"/>
      <c r="H788" s="107" t="n"/>
      <c r="I788" s="110">
        <f>IF($B788="","",$B788*(IsverenPayiOrani+IssizlikOrani))</f>
        <v/>
      </c>
    </row>
    <row r="789" ht="15" customHeight="1" s="62">
      <c r="A789" s="107" t="n"/>
      <c r="B789" s="108" t="n"/>
      <c r="C789" s="107" t="n"/>
      <c r="D789" s="107" t="n"/>
      <c r="E789" s="107" t="n"/>
      <c r="F789" s="107" t="n"/>
      <c r="G789" s="107" t="n"/>
      <c r="H789" s="107" t="n"/>
      <c r="I789" s="110">
        <f>IF($B789="","",$B789*(IsverenPayiOrani+IssizlikOrani))</f>
        <v/>
      </c>
    </row>
    <row r="790" ht="15" customHeight="1" s="62">
      <c r="A790" s="107" t="n"/>
      <c r="B790" s="108" t="n"/>
      <c r="C790" s="107" t="n"/>
      <c r="D790" s="107" t="n"/>
      <c r="E790" s="107" t="n"/>
      <c r="F790" s="107" t="n"/>
      <c r="G790" s="107" t="n"/>
      <c r="H790" s="107" t="n"/>
      <c r="I790" s="110">
        <f>IF($B790="","",$B790*(IsverenPayiOrani+IssizlikOrani))</f>
        <v/>
      </c>
    </row>
    <row r="791" ht="15" customHeight="1" s="62">
      <c r="A791" s="107" t="n"/>
      <c r="B791" s="108" t="n"/>
      <c r="C791" s="107" t="n"/>
      <c r="D791" s="107" t="n"/>
      <c r="E791" s="107" t="n"/>
      <c r="F791" s="107" t="n"/>
      <c r="G791" s="107" t="n"/>
      <c r="H791" s="107" t="n"/>
      <c r="I791" s="110">
        <f>IF($B791="","",$B791*(IsverenPayiOrani+IssizlikOrani))</f>
        <v/>
      </c>
    </row>
    <row r="792" ht="15" customHeight="1" s="62">
      <c r="A792" s="107" t="n"/>
      <c r="B792" s="108" t="n"/>
      <c r="C792" s="107" t="n"/>
      <c r="D792" s="107" t="n"/>
      <c r="E792" s="107" t="n"/>
      <c r="F792" s="107" t="n"/>
      <c r="G792" s="107" t="n"/>
      <c r="H792" s="107" t="n"/>
      <c r="I792" s="110">
        <f>IF($B792="","",$B792*(IsverenPayiOrani+IssizlikOrani))</f>
        <v/>
      </c>
    </row>
    <row r="793" ht="15" customHeight="1" s="62">
      <c r="A793" s="107" t="n"/>
      <c r="B793" s="108" t="n"/>
      <c r="C793" s="107" t="n"/>
      <c r="D793" s="107" t="n"/>
      <c r="E793" s="107" t="n"/>
      <c r="F793" s="107" t="n"/>
      <c r="G793" s="107" t="n"/>
      <c r="H793" s="107" t="n"/>
      <c r="I793" s="110">
        <f>IF($B793="","",$B793*(IsverenPayiOrani+IssizlikOrani))</f>
        <v/>
      </c>
    </row>
    <row r="794" ht="15" customHeight="1" s="62">
      <c r="A794" s="107" t="n"/>
      <c r="B794" s="108" t="n"/>
      <c r="C794" s="107" t="n"/>
      <c r="D794" s="107" t="n"/>
      <c r="E794" s="107" t="n"/>
      <c r="F794" s="107" t="n"/>
      <c r="G794" s="107" t="n"/>
      <c r="H794" s="107" t="n"/>
      <c r="I794" s="110">
        <f>IF($B794="","",$B794*(IsverenPayiOrani+IssizlikOrani))</f>
        <v/>
      </c>
    </row>
    <row r="795" ht="15" customHeight="1" s="62">
      <c r="A795" s="107" t="n"/>
      <c r="B795" s="108" t="n"/>
      <c r="C795" s="107" t="n"/>
      <c r="D795" s="107" t="n"/>
      <c r="E795" s="107" t="n"/>
      <c r="F795" s="107" t="n"/>
      <c r="G795" s="107" t="n"/>
      <c r="H795" s="107" t="n"/>
      <c r="I795" s="110">
        <f>IF($B795="","",$B795*(IsverenPayiOrani+IssizlikOrani))</f>
        <v/>
      </c>
    </row>
    <row r="796" ht="15" customHeight="1" s="62">
      <c r="A796" s="107" t="n"/>
      <c r="B796" s="108" t="n"/>
      <c r="C796" s="107" t="n"/>
      <c r="D796" s="107" t="n"/>
      <c r="E796" s="107" t="n"/>
      <c r="F796" s="107" t="n"/>
      <c r="G796" s="107" t="n"/>
      <c r="H796" s="107" t="n"/>
      <c r="I796" s="110">
        <f>IF($B796="","",$B796*(IsverenPayiOrani+IssizlikOrani))</f>
        <v/>
      </c>
    </row>
    <row r="797" ht="15" customHeight="1" s="62">
      <c r="A797" s="107" t="n"/>
      <c r="B797" s="108" t="n"/>
      <c r="C797" s="107" t="n"/>
      <c r="D797" s="107" t="n"/>
      <c r="E797" s="107" t="n"/>
      <c r="F797" s="107" t="n"/>
      <c r="G797" s="107" t="n"/>
      <c r="H797" s="107" t="n"/>
      <c r="I797" s="110">
        <f>IF($B797="","",$B797*(IsverenPayiOrani+IssizlikOrani))</f>
        <v/>
      </c>
    </row>
    <row r="798" ht="15" customHeight="1" s="62">
      <c r="A798" s="107" t="n"/>
      <c r="B798" s="108" t="n"/>
      <c r="C798" s="107" t="n"/>
      <c r="D798" s="107" t="n"/>
      <c r="E798" s="107" t="n"/>
      <c r="F798" s="107" t="n"/>
      <c r="G798" s="107" t="n"/>
      <c r="H798" s="107" t="n"/>
      <c r="I798" s="110">
        <f>IF($B798="","",$B798*(IsverenPayiOrani+IssizlikOrani))</f>
        <v/>
      </c>
    </row>
    <row r="799" ht="15" customHeight="1" s="62">
      <c r="A799" s="107" t="n"/>
      <c r="B799" s="108" t="n"/>
      <c r="C799" s="107" t="n"/>
      <c r="D799" s="107" t="n"/>
      <c r="E799" s="107" t="n"/>
      <c r="F799" s="107" t="n"/>
      <c r="G799" s="107" t="n"/>
      <c r="H799" s="107" t="n"/>
      <c r="I799" s="110">
        <f>IF($B799="","",$B799*(IsverenPayiOrani+IssizlikOrani))</f>
        <v/>
      </c>
    </row>
    <row r="800" ht="15" customHeight="1" s="62">
      <c r="A800" s="107" t="n"/>
      <c r="B800" s="108" t="n"/>
      <c r="C800" s="107" t="n"/>
      <c r="D800" s="107" t="n"/>
      <c r="E800" s="107" t="n"/>
      <c r="F800" s="107" t="n"/>
      <c r="G800" s="107" t="n"/>
      <c r="H800" s="107" t="n"/>
      <c r="I800" s="110">
        <f>IF($B800="","",$B800*(IsverenPayiOrani+IssizlikOrani))</f>
        <v/>
      </c>
    </row>
    <row r="801" ht="15" customHeight="1" s="62">
      <c r="A801" s="107" t="n"/>
      <c r="B801" s="108" t="n"/>
      <c r="C801" s="107" t="n"/>
      <c r="D801" s="107" t="n"/>
      <c r="E801" s="107" t="n"/>
      <c r="F801" s="107" t="n"/>
      <c r="G801" s="107" t="n"/>
      <c r="H801" s="107" t="n"/>
      <c r="I801" s="110">
        <f>IF($B801="","",$B801*(IsverenPayiOrani+IssizlikOrani))</f>
        <v/>
      </c>
    </row>
    <row r="802" ht="15" customHeight="1" s="62">
      <c r="A802" s="107" t="n"/>
      <c r="B802" s="108" t="n"/>
      <c r="C802" s="107" t="n"/>
      <c r="D802" s="107" t="n"/>
      <c r="E802" s="107" t="n"/>
      <c r="F802" s="107" t="n"/>
      <c r="G802" s="107" t="n"/>
      <c r="H802" s="107" t="n"/>
      <c r="I802" s="110">
        <f>IF($B802="","",$B802*(IsverenPayiOrani+IssizlikOrani))</f>
        <v/>
      </c>
    </row>
    <row r="803" ht="15" customHeight="1" s="62">
      <c r="A803" s="107" t="n"/>
      <c r="B803" s="108" t="n"/>
      <c r="C803" s="107" t="n"/>
      <c r="D803" s="107" t="n"/>
      <c r="E803" s="107" t="n"/>
      <c r="F803" s="107" t="n"/>
      <c r="G803" s="107" t="n"/>
      <c r="H803" s="107" t="n"/>
      <c r="I803" s="110">
        <f>IF($B803="","",$B803*(IsverenPayiOrani+IssizlikOrani))</f>
        <v/>
      </c>
    </row>
    <row r="804" ht="15" customHeight="1" s="62">
      <c r="A804" s="107" t="n"/>
      <c r="B804" s="108" t="n"/>
      <c r="C804" s="107" t="n"/>
      <c r="D804" s="107" t="n"/>
      <c r="E804" s="107" t="n"/>
      <c r="F804" s="107" t="n"/>
      <c r="G804" s="107" t="n"/>
      <c r="H804" s="107" t="n"/>
      <c r="I804" s="110">
        <f>IF($B804="","",$B804*(IsverenPayiOrani+IssizlikOrani))</f>
        <v/>
      </c>
    </row>
    <row r="805" ht="15" customHeight="1" s="62">
      <c r="A805" s="107" t="n"/>
      <c r="B805" s="108" t="n"/>
      <c r="C805" s="107" t="n"/>
      <c r="D805" s="107" t="n"/>
      <c r="E805" s="107" t="n"/>
      <c r="F805" s="107" t="n"/>
      <c r="G805" s="107" t="n"/>
      <c r="H805" s="107" t="n"/>
      <c r="I805" s="110">
        <f>IF($B805="","",$B805*(IsverenPayiOrani+IssizlikOrani))</f>
        <v/>
      </c>
    </row>
    <row r="806" ht="15" customHeight="1" s="62">
      <c r="A806" s="107" t="n"/>
      <c r="B806" s="108" t="n"/>
      <c r="C806" s="107" t="n"/>
      <c r="D806" s="107" t="n"/>
      <c r="E806" s="107" t="n"/>
      <c r="F806" s="107" t="n"/>
      <c r="G806" s="107" t="n"/>
      <c r="H806" s="107" t="n"/>
      <c r="I806" s="110">
        <f>IF($B806="","",$B806*(IsverenPayiOrani+IssizlikOrani))</f>
        <v/>
      </c>
    </row>
    <row r="807" ht="15" customHeight="1" s="62">
      <c r="A807" s="107" t="n"/>
      <c r="B807" s="108" t="n"/>
      <c r="C807" s="107" t="n"/>
      <c r="D807" s="107" t="n"/>
      <c r="E807" s="107" t="n"/>
      <c r="F807" s="107" t="n"/>
      <c r="G807" s="107" t="n"/>
      <c r="H807" s="107" t="n"/>
      <c r="I807" s="110">
        <f>IF($B807="","",$B807*(IsverenPayiOrani+IssizlikOrani))</f>
        <v/>
      </c>
    </row>
    <row r="808" ht="15" customHeight="1" s="62">
      <c r="A808" s="107" t="n"/>
      <c r="B808" s="108" t="n"/>
      <c r="C808" s="107" t="n"/>
      <c r="D808" s="107" t="n"/>
      <c r="E808" s="107" t="n"/>
      <c r="F808" s="107" t="n"/>
      <c r="G808" s="107" t="n"/>
      <c r="H808" s="107" t="n"/>
      <c r="I808" s="110">
        <f>IF($B808="","",$B808*(IsverenPayiOrani+IssizlikOrani))</f>
        <v/>
      </c>
    </row>
    <row r="809" ht="15" customHeight="1" s="62">
      <c r="A809" s="107" t="n"/>
      <c r="B809" s="108" t="n"/>
      <c r="C809" s="107" t="n"/>
      <c r="D809" s="107" t="n"/>
      <c r="E809" s="107" t="n"/>
      <c r="F809" s="107" t="n"/>
      <c r="G809" s="107" t="n"/>
      <c r="H809" s="107" t="n"/>
      <c r="I809" s="110">
        <f>IF($B809="","",$B809*(IsverenPayiOrani+IssizlikOrani))</f>
        <v/>
      </c>
    </row>
    <row r="810" ht="15" customHeight="1" s="62">
      <c r="A810" s="107" t="n"/>
      <c r="B810" s="108" t="n"/>
      <c r="C810" s="107" t="n"/>
      <c r="D810" s="107" t="n"/>
      <c r="E810" s="107" t="n"/>
      <c r="F810" s="107" t="n"/>
      <c r="G810" s="107" t="n"/>
      <c r="H810" s="107" t="n"/>
      <c r="I810" s="110">
        <f>IF($B810="","",$B810*(IsverenPayiOrani+IssizlikOrani))</f>
        <v/>
      </c>
    </row>
    <row r="811" ht="15" customHeight="1" s="62">
      <c r="A811" s="107" t="n"/>
      <c r="B811" s="108" t="n"/>
      <c r="C811" s="107" t="n"/>
      <c r="D811" s="107" t="n"/>
      <c r="E811" s="107" t="n"/>
      <c r="F811" s="107" t="n"/>
      <c r="G811" s="107" t="n"/>
      <c r="H811" s="107" t="n"/>
      <c r="I811" s="110">
        <f>IF($B811="","",$B811*(IsverenPayiOrani+IssizlikOrani))</f>
        <v/>
      </c>
    </row>
    <row r="812" ht="15" customHeight="1" s="62">
      <c r="A812" s="107" t="n"/>
      <c r="B812" s="108" t="n"/>
      <c r="C812" s="107" t="n"/>
      <c r="D812" s="107" t="n"/>
      <c r="E812" s="107" t="n"/>
      <c r="F812" s="107" t="n"/>
      <c r="G812" s="107" t="n"/>
      <c r="H812" s="107" t="n"/>
      <c r="I812" s="110">
        <f>IF($B812="","",$B812*(IsverenPayiOrani+IssizlikOrani))</f>
        <v/>
      </c>
    </row>
    <row r="813" ht="15" customHeight="1" s="62">
      <c r="A813" s="107" t="n"/>
      <c r="B813" s="108" t="n"/>
      <c r="C813" s="107" t="n"/>
      <c r="D813" s="107" t="n"/>
      <c r="E813" s="107" t="n"/>
      <c r="F813" s="107" t="n"/>
      <c r="G813" s="107" t="n"/>
      <c r="H813" s="107" t="n"/>
      <c r="I813" s="110">
        <f>IF($B813="","",$B813*(IsverenPayiOrani+IssizlikOrani))</f>
        <v/>
      </c>
    </row>
    <row r="814" ht="15" customHeight="1" s="62">
      <c r="A814" s="107" t="n"/>
      <c r="B814" s="108" t="n"/>
      <c r="C814" s="107" t="n"/>
      <c r="D814" s="107" t="n"/>
      <c r="E814" s="107" t="n"/>
      <c r="F814" s="107" t="n"/>
      <c r="G814" s="107" t="n"/>
      <c r="H814" s="107" t="n"/>
      <c r="I814" s="110">
        <f>IF($B814="","",$B814*(IsverenPayiOrani+IssizlikOrani))</f>
        <v/>
      </c>
    </row>
    <row r="815" ht="15" customHeight="1" s="62">
      <c r="A815" s="107" t="n"/>
      <c r="B815" s="108" t="n"/>
      <c r="C815" s="107" t="n"/>
      <c r="D815" s="107" t="n"/>
      <c r="E815" s="107" t="n"/>
      <c r="F815" s="107" t="n"/>
      <c r="G815" s="107" t="n"/>
      <c r="H815" s="107" t="n"/>
      <c r="I815" s="110">
        <f>IF($B815="","",$B815*(IsverenPayiOrani+IssizlikOrani))</f>
        <v/>
      </c>
    </row>
    <row r="816" ht="15" customHeight="1" s="62">
      <c r="A816" s="107" t="n"/>
      <c r="B816" s="108" t="n"/>
      <c r="C816" s="107" t="n"/>
      <c r="D816" s="107" t="n"/>
      <c r="E816" s="107" t="n"/>
      <c r="F816" s="107" t="n"/>
      <c r="G816" s="107" t="n"/>
      <c r="H816" s="107" t="n"/>
      <c r="I816" s="110">
        <f>IF($B816="","",$B816*(IsverenPayiOrani+IssizlikOrani))</f>
        <v/>
      </c>
    </row>
    <row r="817" ht="15" customHeight="1" s="62">
      <c r="A817" s="107" t="n"/>
      <c r="B817" s="108" t="n"/>
      <c r="C817" s="107" t="n"/>
      <c r="D817" s="107" t="n"/>
      <c r="E817" s="107" t="n"/>
      <c r="F817" s="107" t="n"/>
      <c r="G817" s="107" t="n"/>
      <c r="H817" s="107" t="n"/>
      <c r="I817" s="110">
        <f>IF($B817="","",$B817*(IsverenPayiOrani+IssizlikOrani))</f>
        <v/>
      </c>
    </row>
    <row r="818" ht="15" customHeight="1" s="62">
      <c r="A818" s="107" t="n"/>
      <c r="B818" s="108" t="n"/>
      <c r="C818" s="107" t="n"/>
      <c r="D818" s="107" t="n"/>
      <c r="E818" s="107" t="n"/>
      <c r="F818" s="107" t="n"/>
      <c r="G818" s="107" t="n"/>
      <c r="H818" s="107" t="n"/>
      <c r="I818" s="110">
        <f>IF($B818="","",$B818*(IsverenPayiOrani+IssizlikOrani))</f>
        <v/>
      </c>
    </row>
    <row r="819" ht="15" customHeight="1" s="62">
      <c r="A819" s="107" t="n"/>
      <c r="B819" s="108" t="n"/>
      <c r="C819" s="107" t="n"/>
      <c r="D819" s="107" t="n"/>
      <c r="E819" s="107" t="n"/>
      <c r="F819" s="107" t="n"/>
      <c r="G819" s="107" t="n"/>
      <c r="H819" s="107" t="n"/>
      <c r="I819" s="110">
        <f>IF($B819="","",$B819*(IsverenPayiOrani+IssizlikOrani))</f>
        <v/>
      </c>
    </row>
    <row r="820" ht="15" customHeight="1" s="62">
      <c r="A820" s="107" t="n"/>
      <c r="B820" s="108" t="n"/>
      <c r="C820" s="107" t="n"/>
      <c r="D820" s="107" t="n"/>
      <c r="E820" s="107" t="n"/>
      <c r="F820" s="107" t="n"/>
      <c r="G820" s="107" t="n"/>
      <c r="H820" s="107" t="n"/>
      <c r="I820" s="110">
        <f>IF($B820="","",$B820*(IsverenPayiOrani+IssizlikOrani))</f>
        <v/>
      </c>
    </row>
    <row r="821" ht="15" customHeight="1" s="62">
      <c r="A821" s="107" t="n"/>
      <c r="B821" s="108" t="n"/>
      <c r="C821" s="107" t="n"/>
      <c r="D821" s="107" t="n"/>
      <c r="E821" s="107" t="n"/>
      <c r="F821" s="107" t="n"/>
      <c r="G821" s="107" t="n"/>
      <c r="H821" s="107" t="n"/>
      <c r="I821" s="110">
        <f>IF($B821="","",$B821*(IsverenPayiOrani+IssizlikOrani))</f>
        <v/>
      </c>
    </row>
    <row r="822" ht="15" customHeight="1" s="62">
      <c r="A822" s="107" t="n"/>
      <c r="B822" s="108" t="n"/>
      <c r="C822" s="107" t="n"/>
      <c r="D822" s="107" t="n"/>
      <c r="E822" s="107" t="n"/>
      <c r="F822" s="107" t="n"/>
      <c r="G822" s="107" t="n"/>
      <c r="H822" s="107" t="n"/>
      <c r="I822" s="110">
        <f>IF($B822="","",$B822*(IsverenPayiOrani+IssizlikOrani))</f>
        <v/>
      </c>
    </row>
    <row r="823" ht="15" customHeight="1" s="62">
      <c r="A823" s="107" t="n"/>
      <c r="B823" s="108" t="n"/>
      <c r="C823" s="107" t="n"/>
      <c r="D823" s="107" t="n"/>
      <c r="E823" s="107" t="n"/>
      <c r="F823" s="107" t="n"/>
      <c r="G823" s="107" t="n"/>
      <c r="H823" s="107" t="n"/>
      <c r="I823" s="110">
        <f>IF($B823="","",$B823*(IsverenPayiOrani+IssizlikOrani))</f>
        <v/>
      </c>
    </row>
    <row r="824" ht="15" customHeight="1" s="62">
      <c r="A824" s="107" t="n"/>
      <c r="B824" s="108" t="n"/>
      <c r="C824" s="107" t="n"/>
      <c r="D824" s="107" t="n"/>
      <c r="E824" s="107" t="n"/>
      <c r="F824" s="107" t="n"/>
      <c r="G824" s="107" t="n"/>
      <c r="H824" s="107" t="n"/>
      <c r="I824" s="110">
        <f>IF($B824="","",$B824*(IsverenPayiOrani+IssizlikOrani))</f>
        <v/>
      </c>
    </row>
    <row r="825" ht="15" customHeight="1" s="62">
      <c r="A825" s="107" t="n"/>
      <c r="B825" s="108" t="n"/>
      <c r="C825" s="107" t="n"/>
      <c r="D825" s="107" t="n"/>
      <c r="E825" s="107" t="n"/>
      <c r="F825" s="107" t="n"/>
      <c r="G825" s="107" t="n"/>
      <c r="H825" s="107" t="n"/>
      <c r="I825" s="110">
        <f>IF($B825="","",$B825*(IsverenPayiOrani+IssizlikOrani))</f>
        <v/>
      </c>
    </row>
    <row r="826" ht="15" customHeight="1" s="62">
      <c r="A826" s="107" t="n"/>
      <c r="B826" s="108" t="n"/>
      <c r="C826" s="107" t="n"/>
      <c r="D826" s="107" t="n"/>
      <c r="E826" s="107" t="n"/>
      <c r="F826" s="107" t="n"/>
      <c r="G826" s="107" t="n"/>
      <c r="H826" s="107" t="n"/>
      <c r="I826" s="110">
        <f>IF($B826="","",$B826*(IsverenPayiOrani+IssizlikOrani))</f>
        <v/>
      </c>
    </row>
    <row r="827" ht="15" customHeight="1" s="62">
      <c r="A827" s="107" t="n"/>
      <c r="B827" s="108" t="n"/>
      <c r="C827" s="107" t="n"/>
      <c r="D827" s="107" t="n"/>
      <c r="E827" s="107" t="n"/>
      <c r="F827" s="107" t="n"/>
      <c r="G827" s="107" t="n"/>
      <c r="H827" s="107" t="n"/>
      <c r="I827" s="110">
        <f>IF($B827="","",$B827*(IsverenPayiOrani+IssizlikOrani))</f>
        <v/>
      </c>
    </row>
    <row r="828" ht="15" customHeight="1" s="62">
      <c r="A828" s="107" t="n"/>
      <c r="B828" s="108" t="n"/>
      <c r="C828" s="107" t="n"/>
      <c r="D828" s="107" t="n"/>
      <c r="E828" s="107" t="n"/>
      <c r="F828" s="107" t="n"/>
      <c r="G828" s="107" t="n"/>
      <c r="H828" s="107" t="n"/>
      <c r="I828" s="110">
        <f>IF($B828="","",$B828*(IsverenPayiOrani+IssizlikOrani))</f>
        <v/>
      </c>
    </row>
    <row r="829" ht="15" customHeight="1" s="62">
      <c r="A829" s="107" t="n"/>
      <c r="B829" s="108" t="n"/>
      <c r="C829" s="107" t="n"/>
      <c r="D829" s="107" t="n"/>
      <c r="E829" s="107" t="n"/>
      <c r="F829" s="107" t="n"/>
      <c r="G829" s="107" t="n"/>
      <c r="H829" s="107" t="n"/>
      <c r="I829" s="110">
        <f>IF($B829="","",$B829*(IsverenPayiOrani+IssizlikOrani))</f>
        <v/>
      </c>
    </row>
    <row r="830" ht="15" customHeight="1" s="62">
      <c r="A830" s="107" t="n"/>
      <c r="B830" s="108" t="n"/>
      <c r="C830" s="107" t="n"/>
      <c r="D830" s="107" t="n"/>
      <c r="E830" s="107" t="n"/>
      <c r="F830" s="107" t="n"/>
      <c r="G830" s="107" t="n"/>
      <c r="H830" s="107" t="n"/>
      <c r="I830" s="110">
        <f>IF($B830="","",$B830*(IsverenPayiOrani+IssizlikOrani))</f>
        <v/>
      </c>
    </row>
    <row r="831" ht="15" customHeight="1" s="62">
      <c r="A831" s="107" t="n"/>
      <c r="B831" s="108" t="n"/>
      <c r="C831" s="107" t="n"/>
      <c r="D831" s="107" t="n"/>
      <c r="E831" s="107" t="n"/>
      <c r="F831" s="107" t="n"/>
      <c r="G831" s="107" t="n"/>
      <c r="H831" s="107" t="n"/>
      <c r="I831" s="110">
        <f>IF($B831="","",$B831*(IsverenPayiOrani+IssizlikOrani))</f>
        <v/>
      </c>
    </row>
    <row r="832" ht="15" customHeight="1" s="62">
      <c r="A832" s="107" t="n"/>
      <c r="B832" s="108" t="n"/>
      <c r="C832" s="107" t="n"/>
      <c r="D832" s="107" t="n"/>
      <c r="E832" s="107" t="n"/>
      <c r="F832" s="107" t="n"/>
      <c r="G832" s="107" t="n"/>
      <c r="H832" s="107" t="n"/>
      <c r="I832" s="110">
        <f>IF($B832="","",$B832*(IsverenPayiOrani+IssizlikOrani))</f>
        <v/>
      </c>
    </row>
    <row r="833" ht="15" customHeight="1" s="62">
      <c r="A833" s="107" t="n"/>
      <c r="B833" s="108" t="n"/>
      <c r="C833" s="107" t="n"/>
      <c r="D833" s="107" t="n"/>
      <c r="E833" s="107" t="n"/>
      <c r="F833" s="107" t="n"/>
      <c r="G833" s="107" t="n"/>
      <c r="H833" s="107" t="n"/>
      <c r="I833" s="110">
        <f>IF($B833="","",$B833*(IsverenPayiOrani+IssizlikOrani))</f>
        <v/>
      </c>
    </row>
    <row r="834" ht="15" customHeight="1" s="62">
      <c r="A834" s="107" t="n"/>
      <c r="B834" s="108" t="n"/>
      <c r="C834" s="107" t="n"/>
      <c r="D834" s="107" t="n"/>
      <c r="E834" s="107" t="n"/>
      <c r="F834" s="107" t="n"/>
      <c r="G834" s="107" t="n"/>
      <c r="H834" s="107" t="n"/>
      <c r="I834" s="110">
        <f>IF($B834="","",$B834*(IsverenPayiOrani+IssizlikOrani))</f>
        <v/>
      </c>
    </row>
    <row r="835" ht="15" customHeight="1" s="62">
      <c r="A835" s="107" t="n"/>
      <c r="B835" s="108" t="n"/>
      <c r="C835" s="107" t="n"/>
      <c r="D835" s="107" t="n"/>
      <c r="E835" s="107" t="n"/>
      <c r="F835" s="107" t="n"/>
      <c r="G835" s="107" t="n"/>
      <c r="H835" s="107" t="n"/>
      <c r="I835" s="110">
        <f>IF($B835="","",$B835*(IsverenPayiOrani+IssizlikOrani))</f>
        <v/>
      </c>
    </row>
    <row r="836" ht="15" customHeight="1" s="62">
      <c r="A836" s="107" t="n"/>
      <c r="B836" s="108" t="n"/>
      <c r="C836" s="107" t="n"/>
      <c r="D836" s="107" t="n"/>
      <c r="E836" s="107" t="n"/>
      <c r="F836" s="107" t="n"/>
      <c r="G836" s="107" t="n"/>
      <c r="H836" s="107" t="n"/>
      <c r="I836" s="110">
        <f>IF($B836="","",$B836*(IsverenPayiOrani+IssizlikOrani))</f>
        <v/>
      </c>
    </row>
    <row r="837" ht="15" customHeight="1" s="62">
      <c r="A837" s="107" t="n"/>
      <c r="B837" s="108" t="n"/>
      <c r="C837" s="107" t="n"/>
      <c r="D837" s="107" t="n"/>
      <c r="E837" s="107" t="n"/>
      <c r="F837" s="107" t="n"/>
      <c r="G837" s="107" t="n"/>
      <c r="H837" s="107" t="n"/>
      <c r="I837" s="110">
        <f>IF($B837="","",$B837*(IsverenPayiOrani+IssizlikOrani))</f>
        <v/>
      </c>
    </row>
    <row r="838" ht="15" customHeight="1" s="62">
      <c r="A838" s="107" t="n"/>
      <c r="B838" s="108" t="n"/>
      <c r="C838" s="107" t="n"/>
      <c r="D838" s="107" t="n"/>
      <c r="E838" s="107" t="n"/>
      <c r="F838" s="107" t="n"/>
      <c r="G838" s="107" t="n"/>
      <c r="H838" s="107" t="n"/>
      <c r="I838" s="110">
        <f>IF($B838="","",$B838*(IsverenPayiOrani+IssizlikOrani))</f>
        <v/>
      </c>
    </row>
    <row r="839" ht="15" customHeight="1" s="62">
      <c r="A839" s="107" t="n"/>
      <c r="B839" s="108" t="n"/>
      <c r="C839" s="107" t="n"/>
      <c r="D839" s="107" t="n"/>
      <c r="E839" s="107" t="n"/>
      <c r="F839" s="107" t="n"/>
      <c r="G839" s="107" t="n"/>
      <c r="H839" s="107" t="n"/>
      <c r="I839" s="110">
        <f>IF($B839="","",$B839*(IsverenPayiOrani+IssizlikOrani))</f>
        <v/>
      </c>
    </row>
    <row r="840" ht="15" customHeight="1" s="62">
      <c r="A840" s="107" t="n"/>
      <c r="B840" s="108" t="n"/>
      <c r="C840" s="107" t="n"/>
      <c r="D840" s="107" t="n"/>
      <c r="E840" s="107" t="n"/>
      <c r="F840" s="107" t="n"/>
      <c r="G840" s="107" t="n"/>
      <c r="H840" s="107" t="n"/>
      <c r="I840" s="110">
        <f>IF($B840="","",$B840*(IsverenPayiOrani+IssizlikOrani))</f>
        <v/>
      </c>
    </row>
    <row r="841" ht="15" customHeight="1" s="62">
      <c r="A841" s="107" t="n"/>
      <c r="B841" s="108" t="n"/>
      <c r="C841" s="107" t="n"/>
      <c r="D841" s="107" t="n"/>
      <c r="E841" s="107" t="n"/>
      <c r="F841" s="107" t="n"/>
      <c r="G841" s="107" t="n"/>
      <c r="H841" s="107" t="n"/>
      <c r="I841" s="110">
        <f>IF($B841="","",$B841*(IsverenPayiOrani+IssizlikOrani))</f>
        <v/>
      </c>
    </row>
    <row r="842" ht="15" customHeight="1" s="62">
      <c r="A842" s="107" t="n"/>
      <c r="B842" s="108" t="n"/>
      <c r="C842" s="107" t="n"/>
      <c r="D842" s="107" t="n"/>
      <c r="E842" s="107" t="n"/>
      <c r="F842" s="107" t="n"/>
      <c r="G842" s="107" t="n"/>
      <c r="H842" s="107" t="n"/>
      <c r="I842" s="110">
        <f>IF($B842="","",$B842*(IsverenPayiOrani+IssizlikOrani))</f>
        <v/>
      </c>
    </row>
    <row r="843" ht="15" customHeight="1" s="62">
      <c r="A843" s="107" t="n"/>
      <c r="B843" s="108" t="n"/>
      <c r="C843" s="107" t="n"/>
      <c r="D843" s="107" t="n"/>
      <c r="E843" s="107" t="n"/>
      <c r="F843" s="107" t="n"/>
      <c r="G843" s="107" t="n"/>
      <c r="H843" s="107" t="n"/>
      <c r="I843" s="110">
        <f>IF($B843="","",$B843*(IsverenPayiOrani+IssizlikOrani))</f>
        <v/>
      </c>
    </row>
    <row r="844" ht="15" customHeight="1" s="62">
      <c r="A844" s="107" t="n"/>
      <c r="B844" s="108" t="n"/>
      <c r="C844" s="107" t="n"/>
      <c r="D844" s="107" t="n"/>
      <c r="E844" s="107" t="n"/>
      <c r="F844" s="107" t="n"/>
      <c r="G844" s="107" t="n"/>
      <c r="H844" s="107" t="n"/>
      <c r="I844" s="110">
        <f>IF($B844="","",$B844*(IsverenPayiOrani+IssizlikOrani))</f>
        <v/>
      </c>
    </row>
    <row r="845" ht="15" customHeight="1" s="62">
      <c r="A845" s="107" t="n"/>
      <c r="B845" s="108" t="n"/>
      <c r="C845" s="107" t="n"/>
      <c r="D845" s="107" t="n"/>
      <c r="E845" s="107" t="n"/>
      <c r="F845" s="107" t="n"/>
      <c r="G845" s="107" t="n"/>
      <c r="H845" s="107" t="n"/>
      <c r="I845" s="110">
        <f>IF($B845="","",$B845*(IsverenPayiOrani+IssizlikOrani))</f>
        <v/>
      </c>
    </row>
    <row r="846" ht="15" customHeight="1" s="62">
      <c r="A846" s="107" t="n"/>
      <c r="B846" s="108" t="n"/>
      <c r="C846" s="107" t="n"/>
      <c r="D846" s="107" t="n"/>
      <c r="E846" s="107" t="n"/>
      <c r="F846" s="107" t="n"/>
      <c r="G846" s="107" t="n"/>
      <c r="H846" s="107" t="n"/>
      <c r="I846" s="110">
        <f>IF($B846="","",$B846*(IsverenPayiOrani+IssizlikOrani))</f>
        <v/>
      </c>
    </row>
    <row r="847" ht="15" customHeight="1" s="62">
      <c r="A847" s="107" t="n"/>
      <c r="B847" s="108" t="n"/>
      <c r="C847" s="107" t="n"/>
      <c r="D847" s="107" t="n"/>
      <c r="E847" s="107" t="n"/>
      <c r="F847" s="107" t="n"/>
      <c r="G847" s="107" t="n"/>
      <c r="H847" s="107" t="n"/>
      <c r="I847" s="110">
        <f>IF($B847="","",$B847*(IsverenPayiOrani+IssizlikOrani))</f>
        <v/>
      </c>
    </row>
    <row r="848" ht="15" customHeight="1" s="62">
      <c r="A848" s="107" t="n"/>
      <c r="B848" s="108" t="n"/>
      <c r="C848" s="107" t="n"/>
      <c r="D848" s="107" t="n"/>
      <c r="E848" s="107" t="n"/>
      <c r="F848" s="107" t="n"/>
      <c r="G848" s="107" t="n"/>
      <c r="H848" s="107" t="n"/>
      <c r="I848" s="110">
        <f>IF($B848="","",$B848*(IsverenPayiOrani+IssizlikOrani))</f>
        <v/>
      </c>
    </row>
    <row r="849" ht="15" customHeight="1" s="62">
      <c r="A849" s="107" t="n"/>
      <c r="B849" s="108" t="n"/>
      <c r="C849" s="107" t="n"/>
      <c r="D849" s="107" t="n"/>
      <c r="E849" s="107" t="n"/>
      <c r="F849" s="107" t="n"/>
      <c r="G849" s="107" t="n"/>
      <c r="H849" s="107" t="n"/>
      <c r="I849" s="110">
        <f>IF($B849="","",$B849*(IsverenPayiOrani+IssizlikOrani))</f>
        <v/>
      </c>
    </row>
    <row r="850" ht="15" customHeight="1" s="62">
      <c r="A850" s="107" t="n"/>
      <c r="B850" s="108" t="n"/>
      <c r="C850" s="107" t="n"/>
      <c r="D850" s="107" t="n"/>
      <c r="E850" s="107" t="n"/>
      <c r="F850" s="107" t="n"/>
      <c r="G850" s="107" t="n"/>
      <c r="H850" s="107" t="n"/>
      <c r="I850" s="110">
        <f>IF($B850="","",$B850*(IsverenPayiOrani+IssizlikOrani))</f>
        <v/>
      </c>
    </row>
    <row r="851" ht="15" customHeight="1" s="62">
      <c r="A851" s="107" t="n"/>
      <c r="B851" s="108" t="n"/>
      <c r="C851" s="107" t="n"/>
      <c r="D851" s="107" t="n"/>
      <c r="E851" s="107" t="n"/>
      <c r="F851" s="107" t="n"/>
      <c r="G851" s="107" t="n"/>
      <c r="H851" s="107" t="n"/>
      <c r="I851" s="110">
        <f>IF($B851="","",$B851*(IsverenPayiOrani+IssizlikOrani))</f>
        <v/>
      </c>
    </row>
    <row r="852" ht="15" customHeight="1" s="62">
      <c r="A852" s="107" t="n"/>
      <c r="B852" s="108" t="n"/>
      <c r="C852" s="107" t="n"/>
      <c r="D852" s="107" t="n"/>
      <c r="E852" s="107" t="n"/>
      <c r="F852" s="107" t="n"/>
      <c r="G852" s="107" t="n"/>
      <c r="H852" s="107" t="n"/>
      <c r="I852" s="110">
        <f>IF($B852="","",$B852*(IsverenPayiOrani+IssizlikOrani))</f>
        <v/>
      </c>
    </row>
    <row r="853" ht="15" customHeight="1" s="62">
      <c r="A853" s="107" t="n"/>
      <c r="B853" s="108" t="n"/>
      <c r="C853" s="107" t="n"/>
      <c r="D853" s="107" t="n"/>
      <c r="E853" s="107" t="n"/>
      <c r="F853" s="107" t="n"/>
      <c r="G853" s="107" t="n"/>
      <c r="H853" s="107" t="n"/>
      <c r="I853" s="110">
        <f>IF($B853="","",$B853*(IsverenPayiOrani+IssizlikOrani))</f>
        <v/>
      </c>
    </row>
    <row r="854" ht="15" customHeight="1" s="62">
      <c r="A854" s="107" t="n"/>
      <c r="B854" s="108" t="n"/>
      <c r="C854" s="107" t="n"/>
      <c r="D854" s="107" t="n"/>
      <c r="E854" s="107" t="n"/>
      <c r="F854" s="107" t="n"/>
      <c r="G854" s="107" t="n"/>
      <c r="H854" s="107" t="n"/>
      <c r="I854" s="110">
        <f>IF($B854="","",$B854*(IsverenPayiOrani+IssizlikOrani))</f>
        <v/>
      </c>
    </row>
    <row r="855" ht="15" customHeight="1" s="62">
      <c r="A855" s="107" t="n"/>
      <c r="B855" s="108" t="n"/>
      <c r="C855" s="107" t="n"/>
      <c r="D855" s="107" t="n"/>
      <c r="E855" s="107" t="n"/>
      <c r="F855" s="107" t="n"/>
      <c r="G855" s="107" t="n"/>
      <c r="H855" s="107" t="n"/>
      <c r="I855" s="110">
        <f>IF($B855="","",$B855*(IsverenPayiOrani+IssizlikOrani))</f>
        <v/>
      </c>
    </row>
    <row r="856" ht="15" customHeight="1" s="62">
      <c r="A856" s="107" t="n"/>
      <c r="B856" s="108" t="n"/>
      <c r="C856" s="107" t="n"/>
      <c r="D856" s="107" t="n"/>
      <c r="E856" s="107" t="n"/>
      <c r="F856" s="107" t="n"/>
      <c r="G856" s="107" t="n"/>
      <c r="H856" s="107" t="n"/>
      <c r="I856" s="110">
        <f>IF($B856="","",$B856*(IsverenPayiOrani+IssizlikOrani))</f>
        <v/>
      </c>
    </row>
    <row r="857" ht="15" customHeight="1" s="62">
      <c r="A857" s="107" t="n"/>
      <c r="B857" s="108" t="n"/>
      <c r="C857" s="107" t="n"/>
      <c r="D857" s="107" t="n"/>
      <c r="E857" s="107" t="n"/>
      <c r="F857" s="107" t="n"/>
      <c r="G857" s="107" t="n"/>
      <c r="H857" s="107" t="n"/>
      <c r="I857" s="110">
        <f>IF($B857="","",$B857*(IsverenPayiOrani+IssizlikOrani))</f>
        <v/>
      </c>
    </row>
    <row r="858" ht="15" customHeight="1" s="62">
      <c r="A858" s="107" t="n"/>
      <c r="B858" s="108" t="n"/>
      <c r="C858" s="107" t="n"/>
      <c r="D858" s="107" t="n"/>
      <c r="E858" s="107" t="n"/>
      <c r="F858" s="107" t="n"/>
      <c r="G858" s="107" t="n"/>
      <c r="H858" s="107" t="n"/>
      <c r="I858" s="110">
        <f>IF($B858="","",$B858*(IsverenPayiOrani+IssizlikOrani))</f>
        <v/>
      </c>
    </row>
    <row r="859" ht="15" customHeight="1" s="62">
      <c r="A859" s="107" t="n"/>
      <c r="B859" s="108" t="n"/>
      <c r="C859" s="107" t="n"/>
      <c r="D859" s="107" t="n"/>
      <c r="E859" s="107" t="n"/>
      <c r="F859" s="107" t="n"/>
      <c r="G859" s="107" t="n"/>
      <c r="H859" s="107" t="n"/>
      <c r="I859" s="110">
        <f>IF($B859="","",$B859*(IsverenPayiOrani+IssizlikOrani))</f>
        <v/>
      </c>
    </row>
    <row r="860" ht="15" customHeight="1" s="62">
      <c r="A860" s="107" t="n"/>
      <c r="B860" s="108" t="n"/>
      <c r="C860" s="107" t="n"/>
      <c r="D860" s="107" t="n"/>
      <c r="E860" s="107" t="n"/>
      <c r="F860" s="107" t="n"/>
      <c r="G860" s="107" t="n"/>
      <c r="H860" s="107" t="n"/>
      <c r="I860" s="110">
        <f>IF($B860="","",$B860*(IsverenPayiOrani+IssizlikOrani))</f>
        <v/>
      </c>
    </row>
    <row r="861" ht="15" customHeight="1" s="62">
      <c r="A861" s="107" t="n"/>
      <c r="B861" s="108" t="n"/>
      <c r="C861" s="107" t="n"/>
      <c r="D861" s="107" t="n"/>
      <c r="E861" s="107" t="n"/>
      <c r="F861" s="107" t="n"/>
      <c r="G861" s="107" t="n"/>
      <c r="H861" s="107" t="n"/>
      <c r="I861" s="110">
        <f>IF($B861="","",$B861*(IsverenPayiOrani+IssizlikOrani))</f>
        <v/>
      </c>
    </row>
    <row r="862" ht="15" customHeight="1" s="62">
      <c r="A862" s="107" t="n"/>
      <c r="B862" s="108" t="n"/>
      <c r="C862" s="107" t="n"/>
      <c r="D862" s="107" t="n"/>
      <c r="E862" s="107" t="n"/>
      <c r="F862" s="107" t="n"/>
      <c r="G862" s="107" t="n"/>
      <c r="H862" s="107" t="n"/>
      <c r="I862" s="110">
        <f>IF($B862="","",$B862*(IsverenPayiOrani+IssizlikOrani))</f>
        <v/>
      </c>
    </row>
    <row r="863" ht="15" customHeight="1" s="62">
      <c r="A863" s="107" t="n"/>
      <c r="B863" s="108" t="n"/>
      <c r="C863" s="107" t="n"/>
      <c r="D863" s="107" t="n"/>
      <c r="E863" s="107" t="n"/>
      <c r="F863" s="107" t="n"/>
      <c r="G863" s="107" t="n"/>
      <c r="H863" s="107" t="n"/>
      <c r="I863" s="110">
        <f>IF($B863="","",$B863*(IsverenPayiOrani+IssizlikOrani))</f>
        <v/>
      </c>
    </row>
    <row r="864" ht="15" customHeight="1" s="62">
      <c r="A864" s="107" t="n"/>
      <c r="B864" s="108" t="n"/>
      <c r="C864" s="107" t="n"/>
      <c r="D864" s="107" t="n"/>
      <c r="E864" s="107" t="n"/>
      <c r="F864" s="107" t="n"/>
      <c r="G864" s="107" t="n"/>
      <c r="H864" s="107" t="n"/>
      <c r="I864" s="110">
        <f>IF($B864="","",$B864*(IsverenPayiOrani+IssizlikOrani))</f>
        <v/>
      </c>
    </row>
    <row r="865" ht="15" customHeight="1" s="62">
      <c r="A865" s="107" t="n"/>
      <c r="B865" s="108" t="n"/>
      <c r="C865" s="107" t="n"/>
      <c r="D865" s="107" t="n"/>
      <c r="E865" s="107" t="n"/>
      <c r="F865" s="107" t="n"/>
      <c r="G865" s="107" t="n"/>
      <c r="H865" s="107" t="n"/>
      <c r="I865" s="110">
        <f>IF($B865="","",$B865*(IsverenPayiOrani+IssizlikOrani))</f>
        <v/>
      </c>
    </row>
    <row r="866" ht="15" customHeight="1" s="62">
      <c r="A866" s="107" t="n"/>
      <c r="B866" s="108" t="n"/>
      <c r="C866" s="107" t="n"/>
      <c r="D866" s="107" t="n"/>
      <c r="E866" s="107" t="n"/>
      <c r="F866" s="107" t="n"/>
      <c r="G866" s="107" t="n"/>
      <c r="H866" s="107" t="n"/>
      <c r="I866" s="110">
        <f>IF($B866="","",$B866*(IsverenPayiOrani+IssizlikOrani))</f>
        <v/>
      </c>
    </row>
    <row r="867" ht="15" customHeight="1" s="62">
      <c r="A867" s="107" t="n"/>
      <c r="B867" s="108" t="n"/>
      <c r="C867" s="107" t="n"/>
      <c r="D867" s="107" t="n"/>
      <c r="E867" s="107" t="n"/>
      <c r="F867" s="107" t="n"/>
      <c r="G867" s="107" t="n"/>
      <c r="H867" s="107" t="n"/>
      <c r="I867" s="110">
        <f>IF($B867="","",$B867*(IsverenPayiOrani+IssizlikOrani))</f>
        <v/>
      </c>
    </row>
    <row r="868" ht="15" customHeight="1" s="62">
      <c r="A868" s="107" t="n"/>
      <c r="B868" s="108" t="n"/>
      <c r="C868" s="107" t="n"/>
      <c r="D868" s="107" t="n"/>
      <c r="E868" s="107" t="n"/>
      <c r="F868" s="107" t="n"/>
      <c r="G868" s="107" t="n"/>
      <c r="H868" s="107" t="n"/>
      <c r="I868" s="110">
        <f>IF($B868="","",$B868*(IsverenPayiOrani+IssizlikOrani))</f>
        <v/>
      </c>
    </row>
    <row r="869" ht="15" customHeight="1" s="62">
      <c r="A869" s="107" t="n"/>
      <c r="B869" s="108" t="n"/>
      <c r="C869" s="107" t="n"/>
      <c r="D869" s="107" t="n"/>
      <c r="E869" s="107" t="n"/>
      <c r="F869" s="107" t="n"/>
      <c r="G869" s="107" t="n"/>
      <c r="H869" s="107" t="n"/>
      <c r="I869" s="110">
        <f>IF($B869="","",$B869*(IsverenPayiOrani+IssizlikOrani))</f>
        <v/>
      </c>
    </row>
    <row r="870" ht="15" customHeight="1" s="62">
      <c r="A870" s="107" t="n"/>
      <c r="B870" s="108" t="n"/>
      <c r="C870" s="107" t="n"/>
      <c r="D870" s="107" t="n"/>
      <c r="E870" s="107" t="n"/>
      <c r="F870" s="107" t="n"/>
      <c r="G870" s="107" t="n"/>
      <c r="H870" s="107" t="n"/>
      <c r="I870" s="110">
        <f>IF($B870="","",$B870*(IsverenPayiOrani+IssizlikOrani))</f>
        <v/>
      </c>
    </row>
    <row r="871" ht="15" customHeight="1" s="62">
      <c r="A871" s="107" t="n"/>
      <c r="B871" s="108" t="n"/>
      <c r="C871" s="107" t="n"/>
      <c r="D871" s="107" t="n"/>
      <c r="E871" s="107" t="n"/>
      <c r="F871" s="107" t="n"/>
      <c r="G871" s="107" t="n"/>
      <c r="H871" s="107" t="n"/>
      <c r="I871" s="110">
        <f>IF($B871="","",$B871*(IsverenPayiOrani+IssizlikOrani))</f>
        <v/>
      </c>
    </row>
    <row r="872" ht="15" customHeight="1" s="62">
      <c r="A872" s="107" t="n"/>
      <c r="B872" s="108" t="n"/>
      <c r="C872" s="107" t="n"/>
      <c r="D872" s="107" t="n"/>
      <c r="E872" s="107" t="n"/>
      <c r="F872" s="107" t="n"/>
      <c r="G872" s="107" t="n"/>
      <c r="H872" s="107" t="n"/>
      <c r="I872" s="110">
        <f>IF($B872="","",$B872*(IsverenPayiOrani+IssizlikOrani))</f>
        <v/>
      </c>
    </row>
    <row r="873" ht="15" customHeight="1" s="62">
      <c r="A873" s="107" t="n"/>
      <c r="B873" s="108" t="n"/>
      <c r="C873" s="107" t="n"/>
      <c r="D873" s="107" t="n"/>
      <c r="E873" s="107" t="n"/>
      <c r="F873" s="107" t="n"/>
      <c r="G873" s="107" t="n"/>
      <c r="H873" s="107" t="n"/>
      <c r="I873" s="110">
        <f>IF($B873="","",$B873*(IsverenPayiOrani+IssizlikOrani))</f>
        <v/>
      </c>
    </row>
    <row r="874" ht="15" customHeight="1" s="62">
      <c r="A874" s="107" t="n"/>
      <c r="B874" s="108" t="n"/>
      <c r="C874" s="107" t="n"/>
      <c r="D874" s="107" t="n"/>
      <c r="E874" s="107" t="n"/>
      <c r="F874" s="107" t="n"/>
      <c r="G874" s="107" t="n"/>
      <c r="H874" s="107" t="n"/>
      <c r="I874" s="110">
        <f>IF($B874="","",$B874*(IsverenPayiOrani+IssizlikOrani))</f>
        <v/>
      </c>
    </row>
    <row r="875" ht="15" customHeight="1" s="62">
      <c r="A875" s="107" t="n"/>
      <c r="B875" s="108" t="n"/>
      <c r="C875" s="107" t="n"/>
      <c r="D875" s="107" t="n"/>
      <c r="E875" s="107" t="n"/>
      <c r="F875" s="107" t="n"/>
      <c r="G875" s="107" t="n"/>
      <c r="H875" s="107" t="n"/>
      <c r="I875" s="110">
        <f>IF($B875="","",$B875*(IsverenPayiOrani+IssizlikOrani))</f>
        <v/>
      </c>
    </row>
    <row r="876" ht="15" customHeight="1" s="62">
      <c r="A876" s="107" t="n"/>
      <c r="B876" s="108" t="n"/>
      <c r="C876" s="107" t="n"/>
      <c r="D876" s="107" t="n"/>
      <c r="E876" s="107" t="n"/>
      <c r="F876" s="107" t="n"/>
      <c r="G876" s="107" t="n"/>
      <c r="H876" s="107" t="n"/>
      <c r="I876" s="110">
        <f>IF($B876="","",$B876*(IsverenPayiOrani+IssizlikOrani))</f>
        <v/>
      </c>
    </row>
    <row r="877" ht="15" customHeight="1" s="62">
      <c r="A877" s="107" t="n"/>
      <c r="B877" s="108" t="n"/>
      <c r="C877" s="107" t="n"/>
      <c r="D877" s="107" t="n"/>
      <c r="E877" s="107" t="n"/>
      <c r="F877" s="107" t="n"/>
      <c r="G877" s="107" t="n"/>
      <c r="H877" s="107" t="n"/>
      <c r="I877" s="110">
        <f>IF($B877="","",$B877*(IsverenPayiOrani+IssizlikOrani))</f>
        <v/>
      </c>
    </row>
    <row r="878" ht="15" customHeight="1" s="62">
      <c r="A878" s="107" t="n"/>
      <c r="B878" s="108" t="n"/>
      <c r="C878" s="107" t="n"/>
      <c r="D878" s="107" t="n"/>
      <c r="E878" s="107" t="n"/>
      <c r="F878" s="107" t="n"/>
      <c r="G878" s="107" t="n"/>
      <c r="H878" s="107" t="n"/>
      <c r="I878" s="110">
        <f>IF($B878="","",$B878*(IsverenPayiOrani+IssizlikOrani))</f>
        <v/>
      </c>
    </row>
    <row r="879" ht="15" customHeight="1" s="62">
      <c r="A879" s="107" t="n"/>
      <c r="B879" s="108" t="n"/>
      <c r="C879" s="107" t="n"/>
      <c r="D879" s="107" t="n"/>
      <c r="E879" s="107" t="n"/>
      <c r="F879" s="107" t="n"/>
      <c r="G879" s="107" t="n"/>
      <c r="H879" s="107" t="n"/>
      <c r="I879" s="110">
        <f>IF($B879="","",$B879*(IsverenPayiOrani+IssizlikOrani))</f>
        <v/>
      </c>
    </row>
    <row r="880" ht="15" customHeight="1" s="62">
      <c r="A880" s="107" t="n"/>
      <c r="B880" s="108" t="n"/>
      <c r="C880" s="107" t="n"/>
      <c r="D880" s="107" t="n"/>
      <c r="E880" s="107" t="n"/>
      <c r="F880" s="107" t="n"/>
      <c r="G880" s="107" t="n"/>
      <c r="H880" s="107" t="n"/>
      <c r="I880" s="110">
        <f>IF($B880="","",$B880*(IsverenPayiOrani+IssizlikOrani))</f>
        <v/>
      </c>
    </row>
    <row r="881" ht="15" customHeight="1" s="62">
      <c r="A881" s="107" t="n"/>
      <c r="B881" s="108" t="n"/>
      <c r="C881" s="107" t="n"/>
      <c r="D881" s="107" t="n"/>
      <c r="E881" s="107" t="n"/>
      <c r="F881" s="107" t="n"/>
      <c r="G881" s="107" t="n"/>
      <c r="H881" s="107" t="n"/>
      <c r="I881" s="110">
        <f>IF($B881="","",$B881*(IsverenPayiOrani+IssizlikOrani))</f>
        <v/>
      </c>
    </row>
    <row r="882" ht="15" customHeight="1" s="62">
      <c r="A882" s="107" t="n"/>
      <c r="B882" s="108" t="n"/>
      <c r="C882" s="107" t="n"/>
      <c r="D882" s="107" t="n"/>
      <c r="E882" s="107" t="n"/>
      <c r="F882" s="107" t="n"/>
      <c r="G882" s="107" t="n"/>
      <c r="H882" s="107" t="n"/>
      <c r="I882" s="110">
        <f>IF($B882="","",$B882*(IsverenPayiOrani+IssizlikOrani))</f>
        <v/>
      </c>
    </row>
    <row r="883" ht="15" customHeight="1" s="62">
      <c r="A883" s="107" t="n"/>
      <c r="B883" s="108" t="n"/>
      <c r="C883" s="107" t="n"/>
      <c r="D883" s="107" t="n"/>
      <c r="E883" s="107" t="n"/>
      <c r="F883" s="107" t="n"/>
      <c r="G883" s="107" t="n"/>
      <c r="H883" s="107" t="n"/>
      <c r="I883" s="110">
        <f>IF($B883="","",$B883*(IsverenPayiOrani+IssizlikOrani))</f>
        <v/>
      </c>
    </row>
    <row r="884" ht="15" customHeight="1" s="62">
      <c r="A884" s="107" t="n"/>
      <c r="B884" s="108" t="n"/>
      <c r="C884" s="107" t="n"/>
      <c r="D884" s="107" t="n"/>
      <c r="E884" s="107" t="n"/>
      <c r="F884" s="107" t="n"/>
      <c r="G884" s="107" t="n"/>
      <c r="H884" s="107" t="n"/>
      <c r="I884" s="110">
        <f>IF($B884="","",$B884*(IsverenPayiOrani+IssizlikOrani))</f>
        <v/>
      </c>
    </row>
    <row r="885" ht="15" customHeight="1" s="62">
      <c r="A885" s="107" t="n"/>
      <c r="B885" s="108" t="n"/>
      <c r="C885" s="107" t="n"/>
      <c r="D885" s="107" t="n"/>
      <c r="E885" s="107" t="n"/>
      <c r="F885" s="107" t="n"/>
      <c r="G885" s="107" t="n"/>
      <c r="H885" s="107" t="n"/>
      <c r="I885" s="110">
        <f>IF($B885="","",$B885*(IsverenPayiOrani+IssizlikOrani))</f>
        <v/>
      </c>
    </row>
    <row r="886" ht="15" customHeight="1" s="62">
      <c r="A886" s="107" t="n"/>
      <c r="B886" s="108" t="n"/>
      <c r="C886" s="107" t="n"/>
      <c r="D886" s="107" t="n"/>
      <c r="E886" s="107" t="n"/>
      <c r="F886" s="107" t="n"/>
      <c r="G886" s="107" t="n"/>
      <c r="H886" s="107" t="n"/>
      <c r="I886" s="110">
        <f>IF($B886="","",$B886*(IsverenPayiOrani+IssizlikOrani))</f>
        <v/>
      </c>
    </row>
    <row r="887" ht="15" customHeight="1" s="62">
      <c r="A887" s="107" t="n"/>
      <c r="B887" s="108" t="n"/>
      <c r="C887" s="107" t="n"/>
      <c r="D887" s="107" t="n"/>
      <c r="E887" s="107" t="n"/>
      <c r="F887" s="107" t="n"/>
      <c r="G887" s="107" t="n"/>
      <c r="H887" s="107" t="n"/>
      <c r="I887" s="110">
        <f>IF($B887="","",$B887*(IsverenPayiOrani+IssizlikOrani))</f>
        <v/>
      </c>
    </row>
    <row r="888" ht="15" customHeight="1" s="62">
      <c r="A888" s="107" t="n"/>
      <c r="B888" s="108" t="n"/>
      <c r="C888" s="107" t="n"/>
      <c r="D888" s="107" t="n"/>
      <c r="E888" s="107" t="n"/>
      <c r="F888" s="107" t="n"/>
      <c r="G888" s="107" t="n"/>
      <c r="H888" s="107" t="n"/>
      <c r="I888" s="110">
        <f>IF($B888="","",$B888*(IsverenPayiOrani+IssizlikOrani))</f>
        <v/>
      </c>
    </row>
    <row r="889" ht="15" customHeight="1" s="62">
      <c r="A889" s="107" t="n"/>
      <c r="B889" s="108" t="n"/>
      <c r="C889" s="107" t="n"/>
      <c r="D889" s="107" t="n"/>
      <c r="E889" s="107" t="n"/>
      <c r="F889" s="107" t="n"/>
      <c r="G889" s="107" t="n"/>
      <c r="H889" s="107" t="n"/>
      <c r="I889" s="110">
        <f>IF($B889="","",$B889*(IsverenPayiOrani+IssizlikOrani))</f>
        <v/>
      </c>
    </row>
    <row r="890" ht="15" customHeight="1" s="62">
      <c r="A890" s="107" t="n"/>
      <c r="B890" s="108" t="n"/>
      <c r="C890" s="107" t="n"/>
      <c r="D890" s="107" t="n"/>
      <c r="E890" s="107" t="n"/>
      <c r="F890" s="107" t="n"/>
      <c r="G890" s="107" t="n"/>
      <c r="H890" s="107" t="n"/>
      <c r="I890" s="110">
        <f>IF($B890="","",$B890*(IsverenPayiOrani+IssizlikOrani))</f>
        <v/>
      </c>
    </row>
    <row r="891" ht="15" customHeight="1" s="62">
      <c r="A891" s="107" t="n"/>
      <c r="B891" s="108" t="n"/>
      <c r="C891" s="107" t="n"/>
      <c r="D891" s="107" t="n"/>
      <c r="E891" s="107" t="n"/>
      <c r="F891" s="107" t="n"/>
      <c r="G891" s="107" t="n"/>
      <c r="H891" s="107" t="n"/>
      <c r="I891" s="110">
        <f>IF($B891="","",$B891*(IsverenPayiOrani+IssizlikOrani))</f>
        <v/>
      </c>
    </row>
    <row r="892" ht="15" customHeight="1" s="62">
      <c r="A892" s="107" t="n"/>
      <c r="B892" s="108" t="n"/>
      <c r="C892" s="107" t="n"/>
      <c r="D892" s="107" t="n"/>
      <c r="E892" s="107" t="n"/>
      <c r="F892" s="107" t="n"/>
      <c r="G892" s="107" t="n"/>
      <c r="H892" s="107" t="n"/>
      <c r="I892" s="110">
        <f>IF($B892="","",$B892*(IsverenPayiOrani+IssizlikOrani))</f>
        <v/>
      </c>
    </row>
    <row r="893" ht="15" customHeight="1" s="62">
      <c r="A893" s="107" t="n"/>
      <c r="B893" s="108" t="n"/>
      <c r="C893" s="107" t="n"/>
      <c r="D893" s="107" t="n"/>
      <c r="E893" s="107" t="n"/>
      <c r="F893" s="107" t="n"/>
      <c r="G893" s="107" t="n"/>
      <c r="H893" s="107" t="n"/>
      <c r="I893" s="110">
        <f>IF($B893="","",$B893*(IsverenPayiOrani+IssizlikOrani))</f>
        <v/>
      </c>
    </row>
    <row r="894" ht="15" customHeight="1" s="62">
      <c r="A894" s="107" t="n"/>
      <c r="B894" s="108" t="n"/>
      <c r="C894" s="107" t="n"/>
      <c r="D894" s="107" t="n"/>
      <c r="E894" s="107" t="n"/>
      <c r="F894" s="107" t="n"/>
      <c r="G894" s="107" t="n"/>
      <c r="H894" s="107" t="n"/>
      <c r="I894" s="110">
        <f>IF($B894="","",$B894*(IsverenPayiOrani+IssizlikOrani))</f>
        <v/>
      </c>
    </row>
    <row r="895" ht="15" customHeight="1" s="62">
      <c r="A895" s="107" t="n"/>
      <c r="B895" s="108" t="n"/>
      <c r="C895" s="107" t="n"/>
      <c r="D895" s="107" t="n"/>
      <c r="E895" s="107" t="n"/>
      <c r="F895" s="107" t="n"/>
      <c r="G895" s="107" t="n"/>
      <c r="H895" s="107" t="n"/>
      <c r="I895" s="110">
        <f>IF($B895="","",$B895*(IsverenPayiOrani+IssizlikOrani))</f>
        <v/>
      </c>
    </row>
    <row r="896" ht="15" customHeight="1" s="62">
      <c r="A896" s="107" t="n"/>
      <c r="B896" s="108" t="n"/>
      <c r="C896" s="107" t="n"/>
      <c r="D896" s="107" t="n"/>
      <c r="E896" s="107" t="n"/>
      <c r="F896" s="107" t="n"/>
      <c r="G896" s="107" t="n"/>
      <c r="H896" s="107" t="n"/>
      <c r="I896" s="110">
        <f>IF($B896="","",$B896*(IsverenPayiOrani+IssizlikOrani))</f>
        <v/>
      </c>
    </row>
    <row r="897" ht="15" customHeight="1" s="62">
      <c r="A897" s="107" t="n"/>
      <c r="B897" s="108" t="n"/>
      <c r="C897" s="107" t="n"/>
      <c r="D897" s="107" t="n"/>
      <c r="E897" s="107" t="n"/>
      <c r="F897" s="107" t="n"/>
      <c r="G897" s="107" t="n"/>
      <c r="H897" s="107" t="n"/>
      <c r="I897" s="110">
        <f>IF($B897="","",$B897*(IsverenPayiOrani+IssizlikOrani))</f>
        <v/>
      </c>
    </row>
    <row r="898" ht="15" customHeight="1" s="62">
      <c r="A898" s="107" t="n"/>
      <c r="B898" s="108" t="n"/>
      <c r="C898" s="107" t="n"/>
      <c r="D898" s="107" t="n"/>
      <c r="E898" s="107" t="n"/>
      <c r="F898" s="107" t="n"/>
      <c r="G898" s="107" t="n"/>
      <c r="H898" s="107" t="n"/>
      <c r="I898" s="110">
        <f>IF($B898="","",$B898*(IsverenPayiOrani+IssizlikOrani))</f>
        <v/>
      </c>
    </row>
    <row r="899" ht="15" customHeight="1" s="62">
      <c r="A899" s="107" t="n"/>
      <c r="B899" s="108" t="n"/>
      <c r="C899" s="107" t="n"/>
      <c r="D899" s="107" t="n"/>
      <c r="E899" s="107" t="n"/>
      <c r="F899" s="107" t="n"/>
      <c r="G899" s="107" t="n"/>
      <c r="H899" s="107" t="n"/>
      <c r="I899" s="110">
        <f>IF($B899="","",$B899*(IsverenPayiOrani+IssizlikOrani))</f>
        <v/>
      </c>
    </row>
    <row r="900" ht="15" customHeight="1" s="62">
      <c r="A900" s="107" t="n"/>
      <c r="B900" s="108" t="n"/>
      <c r="C900" s="107" t="n"/>
      <c r="D900" s="107" t="n"/>
      <c r="E900" s="107" t="n"/>
      <c r="F900" s="107" t="n"/>
      <c r="G900" s="107" t="n"/>
      <c r="H900" s="107" t="n"/>
      <c r="I900" s="110">
        <f>IF($B900="","",$B900*(IsverenPayiOrani+IssizlikOrani))</f>
        <v/>
      </c>
    </row>
    <row r="901" ht="15" customHeight="1" s="62">
      <c r="A901" s="107" t="n"/>
      <c r="B901" s="108" t="n"/>
      <c r="C901" s="107" t="n"/>
      <c r="D901" s="107" t="n"/>
      <c r="E901" s="107" t="n"/>
      <c r="F901" s="107" t="n"/>
      <c r="G901" s="107" t="n"/>
      <c r="H901" s="107" t="n"/>
      <c r="I901" s="110">
        <f>IF($B901="","",$B901*(IsverenPayiOrani+IssizlikOrani))</f>
        <v/>
      </c>
    </row>
    <row r="902" ht="15" customHeight="1" s="62">
      <c r="A902" s="107" t="n"/>
      <c r="B902" s="108" t="n"/>
      <c r="C902" s="107" t="n"/>
      <c r="D902" s="107" t="n"/>
      <c r="E902" s="107" t="n"/>
      <c r="F902" s="107" t="n"/>
      <c r="G902" s="107" t="n"/>
      <c r="H902" s="107" t="n"/>
      <c r="I902" s="110">
        <f>IF($B902="","",$B902*(IsverenPayiOrani+IssizlikOrani))</f>
        <v/>
      </c>
    </row>
    <row r="903" ht="15" customHeight="1" s="62">
      <c r="A903" s="107" t="n"/>
      <c r="B903" s="108" t="n"/>
      <c r="C903" s="107" t="n"/>
      <c r="D903" s="107" t="n"/>
      <c r="E903" s="107" t="n"/>
      <c r="F903" s="107" t="n"/>
      <c r="G903" s="107" t="n"/>
      <c r="H903" s="107" t="n"/>
      <c r="I903" s="110">
        <f>IF($B903="","",$B903*(IsverenPayiOrani+IssizlikOrani))</f>
        <v/>
      </c>
    </row>
    <row r="904" ht="15" customHeight="1" s="62">
      <c r="A904" s="107" t="n"/>
      <c r="B904" s="108" t="n"/>
      <c r="C904" s="107" t="n"/>
      <c r="D904" s="107" t="n"/>
      <c r="E904" s="107" t="n"/>
      <c r="F904" s="107" t="n"/>
      <c r="G904" s="107" t="n"/>
      <c r="H904" s="107" t="n"/>
      <c r="I904" s="110">
        <f>IF($B904="","",$B904*(IsverenPayiOrani+IssizlikOrani))</f>
        <v/>
      </c>
    </row>
    <row r="905" ht="15" customHeight="1" s="62">
      <c r="A905" s="107" t="n"/>
      <c r="B905" s="108" t="n"/>
      <c r="C905" s="107" t="n"/>
      <c r="D905" s="107" t="n"/>
      <c r="E905" s="107" t="n"/>
      <c r="F905" s="107" t="n"/>
      <c r="G905" s="107" t="n"/>
      <c r="H905" s="107" t="n"/>
      <c r="I905" s="110">
        <f>IF($B905="","",$B905*(IsverenPayiOrani+IssizlikOrani))</f>
        <v/>
      </c>
    </row>
    <row r="906" ht="15" customHeight="1" s="62">
      <c r="A906" s="107" t="n"/>
      <c r="B906" s="108" t="n"/>
      <c r="C906" s="107" t="n"/>
      <c r="D906" s="107" t="n"/>
      <c r="E906" s="107" t="n"/>
      <c r="F906" s="107" t="n"/>
      <c r="G906" s="107" t="n"/>
      <c r="H906" s="107" t="n"/>
      <c r="I906" s="110">
        <f>IF($B906="","",$B906*(IsverenPayiOrani+IssizlikOrani))</f>
        <v/>
      </c>
    </row>
    <row r="907" ht="15" customHeight="1" s="62">
      <c r="A907" s="107" t="n"/>
      <c r="B907" s="108" t="n"/>
      <c r="C907" s="107" t="n"/>
      <c r="D907" s="107" t="n"/>
      <c r="E907" s="107" t="n"/>
      <c r="F907" s="107" t="n"/>
      <c r="G907" s="107" t="n"/>
      <c r="H907" s="107" t="n"/>
      <c r="I907" s="110">
        <f>IF($B907="","",$B907*(IsverenPayiOrani+IssizlikOrani))</f>
        <v/>
      </c>
    </row>
    <row r="908" ht="15" customHeight="1" s="62">
      <c r="A908" s="107" t="n"/>
      <c r="B908" s="108" t="n"/>
      <c r="C908" s="107" t="n"/>
      <c r="D908" s="107" t="n"/>
      <c r="E908" s="107" t="n"/>
      <c r="F908" s="107" t="n"/>
      <c r="G908" s="107" t="n"/>
      <c r="H908" s="107" t="n"/>
      <c r="I908" s="110">
        <f>IF($B908="","",$B908*(IsverenPayiOrani+IssizlikOrani))</f>
        <v/>
      </c>
    </row>
    <row r="909" ht="15" customHeight="1" s="62">
      <c r="A909" s="107" t="n"/>
      <c r="B909" s="108" t="n"/>
      <c r="C909" s="107" t="n"/>
      <c r="D909" s="107" t="n"/>
      <c r="E909" s="107" t="n"/>
      <c r="F909" s="107" t="n"/>
      <c r="G909" s="107" t="n"/>
      <c r="H909" s="107" t="n"/>
      <c r="I909" s="110">
        <f>IF($B909="","",$B909*(IsverenPayiOrani+IssizlikOrani))</f>
        <v/>
      </c>
    </row>
    <row r="910" ht="15" customHeight="1" s="62">
      <c r="A910" s="107" t="n"/>
      <c r="B910" s="108" t="n"/>
      <c r="C910" s="107" t="n"/>
      <c r="D910" s="107" t="n"/>
      <c r="E910" s="107" t="n"/>
      <c r="F910" s="107" t="n"/>
      <c r="G910" s="107" t="n"/>
      <c r="H910" s="107" t="n"/>
      <c r="I910" s="110">
        <f>IF($B910="","",$B910*(IsverenPayiOrani+IssizlikOrani))</f>
        <v/>
      </c>
    </row>
    <row r="911" ht="15" customHeight="1" s="62">
      <c r="A911" s="107" t="n"/>
      <c r="B911" s="108" t="n"/>
      <c r="C911" s="107" t="n"/>
      <c r="D911" s="107" t="n"/>
      <c r="E911" s="107" t="n"/>
      <c r="F911" s="107" t="n"/>
      <c r="G911" s="107" t="n"/>
      <c r="H911" s="107" t="n"/>
      <c r="I911" s="110">
        <f>IF($B911="","",$B911*(IsverenPayiOrani+IssizlikOrani))</f>
        <v/>
      </c>
    </row>
    <row r="912" ht="15" customHeight="1" s="62">
      <c r="A912" s="107" t="n"/>
      <c r="B912" s="108" t="n"/>
      <c r="C912" s="107" t="n"/>
      <c r="D912" s="107" t="n"/>
      <c r="E912" s="107" t="n"/>
      <c r="F912" s="107" t="n"/>
      <c r="G912" s="107" t="n"/>
      <c r="H912" s="107" t="n"/>
      <c r="I912" s="110">
        <f>IF($B912="","",$B912*(IsverenPayiOrani+IssizlikOrani))</f>
        <v/>
      </c>
    </row>
    <row r="913" ht="15" customHeight="1" s="62">
      <c r="A913" s="107" t="n"/>
      <c r="B913" s="108" t="n"/>
      <c r="C913" s="107" t="n"/>
      <c r="D913" s="107" t="n"/>
      <c r="E913" s="107" t="n"/>
      <c r="F913" s="107" t="n"/>
      <c r="G913" s="107" t="n"/>
      <c r="H913" s="107" t="n"/>
      <c r="I913" s="110">
        <f>IF($B913="","",$B913*(IsverenPayiOrani+IssizlikOrani))</f>
        <v/>
      </c>
    </row>
    <row r="914" ht="15" customHeight="1" s="62">
      <c r="A914" s="107" t="n"/>
      <c r="B914" s="108" t="n"/>
      <c r="C914" s="107" t="n"/>
      <c r="D914" s="107" t="n"/>
      <c r="E914" s="107" t="n"/>
      <c r="F914" s="107" t="n"/>
      <c r="G914" s="107" t="n"/>
      <c r="H914" s="107" t="n"/>
      <c r="I914" s="110">
        <f>IF($B914="","",$B914*(IsverenPayiOrani+IssizlikOrani))</f>
        <v/>
      </c>
    </row>
    <row r="915" ht="15" customHeight="1" s="62">
      <c r="A915" s="107" t="n"/>
      <c r="B915" s="108" t="n"/>
      <c r="C915" s="107" t="n"/>
      <c r="D915" s="107" t="n"/>
      <c r="E915" s="107" t="n"/>
      <c r="F915" s="107" t="n"/>
      <c r="G915" s="107" t="n"/>
      <c r="H915" s="107" t="n"/>
      <c r="I915" s="110">
        <f>IF($B915="","",$B915*(IsverenPayiOrani+IssizlikOrani))</f>
        <v/>
      </c>
    </row>
    <row r="916" ht="15" customHeight="1" s="62">
      <c r="A916" s="107" t="n"/>
      <c r="B916" s="108" t="n"/>
      <c r="C916" s="107" t="n"/>
      <c r="D916" s="107" t="n"/>
      <c r="E916" s="107" t="n"/>
      <c r="F916" s="107" t="n"/>
      <c r="G916" s="107" t="n"/>
      <c r="H916" s="107" t="n"/>
      <c r="I916" s="110">
        <f>IF($B916="","",$B916*(IsverenPayiOrani+IssizlikOrani))</f>
        <v/>
      </c>
    </row>
    <row r="917" ht="15" customHeight="1" s="62">
      <c r="A917" s="107" t="n"/>
      <c r="B917" s="108" t="n"/>
      <c r="C917" s="107" t="n"/>
      <c r="D917" s="107" t="n"/>
      <c r="E917" s="107" t="n"/>
      <c r="F917" s="107" t="n"/>
      <c r="G917" s="107" t="n"/>
      <c r="H917" s="107" t="n"/>
      <c r="I917" s="110">
        <f>IF($B917="","",$B917*(IsverenPayiOrani+IssizlikOrani))</f>
        <v/>
      </c>
    </row>
    <row r="918" ht="15" customHeight="1" s="62">
      <c r="A918" s="107" t="n"/>
      <c r="B918" s="108" t="n"/>
      <c r="C918" s="107" t="n"/>
      <c r="D918" s="107" t="n"/>
      <c r="E918" s="107" t="n"/>
      <c r="F918" s="107" t="n"/>
      <c r="G918" s="107" t="n"/>
      <c r="H918" s="107" t="n"/>
      <c r="I918" s="110">
        <f>IF($B918="","",$B918*(IsverenPayiOrani+IssizlikOrani))</f>
        <v/>
      </c>
    </row>
    <row r="919" ht="15" customHeight="1" s="62">
      <c r="A919" s="107" t="n"/>
      <c r="B919" s="108" t="n"/>
      <c r="C919" s="107" t="n"/>
      <c r="D919" s="107" t="n"/>
      <c r="E919" s="107" t="n"/>
      <c r="F919" s="107" t="n"/>
      <c r="G919" s="107" t="n"/>
      <c r="H919" s="107" t="n"/>
      <c r="I919" s="110">
        <f>IF($B919="","",$B919*(IsverenPayiOrani+IssizlikOrani))</f>
        <v/>
      </c>
    </row>
    <row r="920" ht="15" customHeight="1" s="62">
      <c r="A920" s="107" t="n"/>
      <c r="B920" s="108" t="n"/>
      <c r="C920" s="107" t="n"/>
      <c r="D920" s="107" t="n"/>
      <c r="E920" s="107" t="n"/>
      <c r="F920" s="107" t="n"/>
      <c r="G920" s="107" t="n"/>
      <c r="H920" s="107" t="n"/>
      <c r="I920" s="110">
        <f>IF($B920="","",$B920*(IsverenPayiOrani+IssizlikOrani))</f>
        <v/>
      </c>
    </row>
    <row r="921" ht="15" customHeight="1" s="62">
      <c r="A921" s="107" t="n"/>
      <c r="B921" s="108" t="n"/>
      <c r="C921" s="107" t="n"/>
      <c r="D921" s="107" t="n"/>
      <c r="E921" s="107" t="n"/>
      <c r="F921" s="107" t="n"/>
      <c r="G921" s="107" t="n"/>
      <c r="H921" s="107" t="n"/>
      <c r="I921" s="110">
        <f>IF($B921="","",$B921*(IsverenPayiOrani+IssizlikOrani))</f>
        <v/>
      </c>
    </row>
    <row r="922" ht="15" customHeight="1" s="62">
      <c r="A922" s="107" t="n"/>
      <c r="B922" s="108" t="n"/>
      <c r="C922" s="107" t="n"/>
      <c r="D922" s="107" t="n"/>
      <c r="E922" s="107" t="n"/>
      <c r="F922" s="107" t="n"/>
      <c r="G922" s="107" t="n"/>
      <c r="H922" s="107" t="n"/>
      <c r="I922" s="110">
        <f>IF($B922="","",$B922*(IsverenPayiOrani+IssizlikOrani))</f>
        <v/>
      </c>
    </row>
    <row r="923" ht="15" customHeight="1" s="62">
      <c r="A923" s="107" t="n"/>
      <c r="B923" s="108" t="n"/>
      <c r="C923" s="107" t="n"/>
      <c r="D923" s="107" t="n"/>
      <c r="E923" s="107" t="n"/>
      <c r="F923" s="107" t="n"/>
      <c r="G923" s="107" t="n"/>
      <c r="H923" s="107" t="n"/>
      <c r="I923" s="110">
        <f>IF($B923="","",$B923*(IsverenPayiOrani+IssizlikOrani))</f>
        <v/>
      </c>
    </row>
    <row r="924" ht="15" customHeight="1" s="62">
      <c r="A924" s="107" t="n"/>
      <c r="B924" s="108" t="n"/>
      <c r="C924" s="107" t="n"/>
      <c r="D924" s="107" t="n"/>
      <c r="E924" s="107" t="n"/>
      <c r="F924" s="107" t="n"/>
      <c r="G924" s="107" t="n"/>
      <c r="H924" s="107" t="n"/>
      <c r="I924" s="110">
        <f>IF($B924="","",$B924*(IsverenPayiOrani+IssizlikOrani))</f>
        <v/>
      </c>
    </row>
    <row r="925" ht="15" customHeight="1" s="62">
      <c r="A925" s="107" t="n"/>
      <c r="B925" s="108" t="n"/>
      <c r="C925" s="107" t="n"/>
      <c r="D925" s="107" t="n"/>
      <c r="E925" s="107" t="n"/>
      <c r="F925" s="107" t="n"/>
      <c r="G925" s="107" t="n"/>
      <c r="H925" s="107" t="n"/>
      <c r="I925" s="110">
        <f>IF($B925="","",$B925*(IsverenPayiOrani+IssizlikOrani))</f>
        <v/>
      </c>
    </row>
    <row r="926" ht="15" customHeight="1" s="62">
      <c r="A926" s="107" t="n"/>
      <c r="B926" s="108" t="n"/>
      <c r="C926" s="107" t="n"/>
      <c r="D926" s="107" t="n"/>
      <c r="E926" s="107" t="n"/>
      <c r="F926" s="107" t="n"/>
      <c r="G926" s="107" t="n"/>
      <c r="H926" s="107" t="n"/>
      <c r="I926" s="110">
        <f>IF($B926="","",$B926*(IsverenPayiOrani+IssizlikOrani))</f>
        <v/>
      </c>
    </row>
    <row r="927" ht="15" customHeight="1" s="62">
      <c r="A927" s="107" t="n"/>
      <c r="B927" s="108" t="n"/>
      <c r="C927" s="107" t="n"/>
      <c r="D927" s="107" t="n"/>
      <c r="E927" s="107" t="n"/>
      <c r="F927" s="107" t="n"/>
      <c r="G927" s="107" t="n"/>
      <c r="H927" s="107" t="n"/>
      <c r="I927" s="110">
        <f>IF($B927="","",$B927*(IsverenPayiOrani+IssizlikOrani))</f>
        <v/>
      </c>
    </row>
    <row r="928" ht="15" customHeight="1" s="62">
      <c r="A928" s="107" t="n"/>
      <c r="B928" s="108" t="n"/>
      <c r="C928" s="107" t="n"/>
      <c r="D928" s="107" t="n"/>
      <c r="E928" s="107" t="n"/>
      <c r="F928" s="107" t="n"/>
      <c r="G928" s="107" t="n"/>
      <c r="H928" s="107" t="n"/>
      <c r="I928" s="110">
        <f>IF($B928="","",$B928*(IsverenPayiOrani+IssizlikOrani))</f>
        <v/>
      </c>
    </row>
    <row r="929" ht="15" customHeight="1" s="62">
      <c r="A929" s="107" t="n"/>
      <c r="B929" s="108" t="n"/>
      <c r="C929" s="107" t="n"/>
      <c r="D929" s="107" t="n"/>
      <c r="E929" s="107" t="n"/>
      <c r="F929" s="107" t="n"/>
      <c r="G929" s="107" t="n"/>
      <c r="H929" s="107" t="n"/>
      <c r="I929" s="110">
        <f>IF($B929="","",$B929*(IsverenPayiOrani+IssizlikOrani))</f>
        <v/>
      </c>
    </row>
    <row r="930" ht="15" customHeight="1" s="62">
      <c r="A930" s="107" t="n"/>
      <c r="B930" s="108" t="n"/>
      <c r="C930" s="107" t="n"/>
      <c r="D930" s="107" t="n"/>
      <c r="E930" s="107" t="n"/>
      <c r="F930" s="107" t="n"/>
      <c r="G930" s="107" t="n"/>
      <c r="H930" s="107" t="n"/>
      <c r="I930" s="110">
        <f>IF($B930="","",$B930*(IsverenPayiOrani+IssizlikOrani))</f>
        <v/>
      </c>
    </row>
    <row r="931" ht="15" customHeight="1" s="62">
      <c r="A931" s="107" t="n"/>
      <c r="B931" s="108" t="n"/>
      <c r="C931" s="107" t="n"/>
      <c r="D931" s="107" t="n"/>
      <c r="E931" s="107" t="n"/>
      <c r="F931" s="107" t="n"/>
      <c r="G931" s="107" t="n"/>
      <c r="H931" s="107" t="n"/>
      <c r="I931" s="110">
        <f>IF($B931="","",$B931*(IsverenPayiOrani+IssizlikOrani))</f>
        <v/>
      </c>
    </row>
    <row r="932" ht="15" customHeight="1" s="62">
      <c r="A932" s="107" t="n"/>
      <c r="B932" s="108" t="n"/>
      <c r="C932" s="107" t="n"/>
      <c r="D932" s="107" t="n"/>
      <c r="E932" s="107" t="n"/>
      <c r="F932" s="107" t="n"/>
      <c r="G932" s="107" t="n"/>
      <c r="H932" s="107" t="n"/>
      <c r="I932" s="110">
        <f>IF($B932="","",$B932*(IsverenPayiOrani+IssizlikOrani))</f>
        <v/>
      </c>
    </row>
    <row r="933" ht="15" customHeight="1" s="62">
      <c r="A933" s="107" t="n"/>
      <c r="B933" s="108" t="n"/>
      <c r="C933" s="107" t="n"/>
      <c r="D933" s="107" t="n"/>
      <c r="E933" s="107" t="n"/>
      <c r="F933" s="107" t="n"/>
      <c r="G933" s="107" t="n"/>
      <c r="H933" s="107" t="n"/>
      <c r="I933" s="110">
        <f>IF($B933="","",$B933*(IsverenPayiOrani+IssizlikOrani))</f>
        <v/>
      </c>
    </row>
    <row r="934" ht="15" customHeight="1" s="62">
      <c r="A934" s="107" t="n"/>
      <c r="B934" s="108" t="n"/>
      <c r="C934" s="107" t="n"/>
      <c r="D934" s="107" t="n"/>
      <c r="E934" s="107" t="n"/>
      <c r="F934" s="107" t="n"/>
      <c r="G934" s="107" t="n"/>
      <c r="H934" s="107" t="n"/>
      <c r="I934" s="110">
        <f>IF($B934="","",$B934*(IsverenPayiOrani+IssizlikOrani))</f>
        <v/>
      </c>
    </row>
    <row r="935" ht="15" customHeight="1" s="62">
      <c r="A935" s="107" t="n"/>
      <c r="B935" s="108" t="n"/>
      <c r="C935" s="107" t="n"/>
      <c r="D935" s="107" t="n"/>
      <c r="E935" s="107" t="n"/>
      <c r="F935" s="107" t="n"/>
      <c r="G935" s="107" t="n"/>
      <c r="H935" s="107" t="n"/>
      <c r="I935" s="110">
        <f>IF($B935="","",$B935*(IsverenPayiOrani+IssizlikOrani))</f>
        <v/>
      </c>
    </row>
    <row r="936" ht="15" customHeight="1" s="62">
      <c r="A936" s="107" t="n"/>
      <c r="B936" s="108" t="n"/>
      <c r="C936" s="107" t="n"/>
      <c r="D936" s="107" t="n"/>
      <c r="E936" s="107" t="n"/>
      <c r="F936" s="107" t="n"/>
      <c r="G936" s="107" t="n"/>
      <c r="H936" s="107" t="n"/>
      <c r="I936" s="110">
        <f>IF($B936="","",$B936*(IsverenPayiOrani+IssizlikOrani))</f>
        <v/>
      </c>
    </row>
    <row r="937" ht="15" customHeight="1" s="62">
      <c r="A937" s="107" t="n"/>
      <c r="B937" s="108" t="n"/>
      <c r="C937" s="107" t="n"/>
      <c r="D937" s="107" t="n"/>
      <c r="E937" s="107" t="n"/>
      <c r="F937" s="107" t="n"/>
      <c r="G937" s="107" t="n"/>
      <c r="H937" s="107" t="n"/>
      <c r="I937" s="110">
        <f>IF($B937="","",$B937*(IsverenPayiOrani+IssizlikOrani))</f>
        <v/>
      </c>
    </row>
    <row r="938" ht="15" customHeight="1" s="62">
      <c r="A938" s="107" t="n"/>
      <c r="B938" s="108" t="n"/>
      <c r="C938" s="107" t="n"/>
      <c r="D938" s="107" t="n"/>
      <c r="E938" s="107" t="n"/>
      <c r="F938" s="107" t="n"/>
      <c r="G938" s="107" t="n"/>
      <c r="H938" s="107" t="n"/>
      <c r="I938" s="110">
        <f>IF($B938="","",$B938*(IsverenPayiOrani+IssizlikOrani))</f>
        <v/>
      </c>
    </row>
    <row r="939" ht="15" customHeight="1" s="62">
      <c r="A939" s="107" t="n"/>
      <c r="B939" s="108" t="n"/>
      <c r="C939" s="107" t="n"/>
      <c r="D939" s="107" t="n"/>
      <c r="E939" s="107" t="n"/>
      <c r="F939" s="107" t="n"/>
      <c r="G939" s="107" t="n"/>
      <c r="H939" s="107" t="n"/>
      <c r="I939" s="110">
        <f>IF($B939="","",$B939*(IsverenPayiOrani+IssizlikOrani))</f>
        <v/>
      </c>
    </row>
    <row r="940" ht="15" customHeight="1" s="62">
      <c r="A940" s="107" t="n"/>
      <c r="B940" s="108" t="n"/>
      <c r="C940" s="107" t="n"/>
      <c r="D940" s="107" t="n"/>
      <c r="E940" s="107" t="n"/>
      <c r="F940" s="107" t="n"/>
      <c r="G940" s="107" t="n"/>
      <c r="H940" s="107" t="n"/>
      <c r="I940" s="110">
        <f>IF($B940="","",$B940*(IsverenPayiOrani+IssizlikOrani))</f>
        <v/>
      </c>
    </row>
    <row r="941" ht="15" customHeight="1" s="62">
      <c r="A941" s="107" t="n"/>
      <c r="B941" s="108" t="n"/>
      <c r="C941" s="107" t="n"/>
      <c r="D941" s="107" t="n"/>
      <c r="E941" s="107" t="n"/>
      <c r="F941" s="107" t="n"/>
      <c r="G941" s="107" t="n"/>
      <c r="H941" s="107" t="n"/>
      <c r="I941" s="110">
        <f>IF($B941="","",$B941*(IsverenPayiOrani+IssizlikOrani))</f>
        <v/>
      </c>
    </row>
    <row r="942" ht="15" customHeight="1" s="62">
      <c r="A942" s="107" t="n"/>
      <c r="B942" s="108" t="n"/>
      <c r="C942" s="107" t="n"/>
      <c r="D942" s="107" t="n"/>
      <c r="E942" s="107" t="n"/>
      <c r="F942" s="107" t="n"/>
      <c r="G942" s="107" t="n"/>
      <c r="H942" s="107" t="n"/>
      <c r="I942" s="110">
        <f>IF($B942="","",$B942*(IsverenPayiOrani+IssizlikOrani))</f>
        <v/>
      </c>
    </row>
    <row r="943" ht="15" customHeight="1" s="62">
      <c r="A943" s="107" t="n"/>
      <c r="B943" s="108" t="n"/>
      <c r="C943" s="107" t="n"/>
      <c r="D943" s="107" t="n"/>
      <c r="E943" s="107" t="n"/>
      <c r="F943" s="107" t="n"/>
      <c r="G943" s="107" t="n"/>
      <c r="H943" s="107" t="n"/>
      <c r="I943" s="110">
        <f>IF($B943="","",$B943*(IsverenPayiOrani+IssizlikOrani))</f>
        <v/>
      </c>
    </row>
    <row r="944" ht="15" customHeight="1" s="62">
      <c r="A944" s="107" t="n"/>
      <c r="B944" s="108" t="n"/>
      <c r="C944" s="107" t="n"/>
      <c r="D944" s="107" t="n"/>
      <c r="E944" s="107" t="n"/>
      <c r="F944" s="107" t="n"/>
      <c r="G944" s="107" t="n"/>
      <c r="H944" s="107" t="n"/>
      <c r="I944" s="110">
        <f>IF($B944="","",$B944*(IsverenPayiOrani+IssizlikOrani))</f>
        <v/>
      </c>
    </row>
    <row r="945" ht="15" customHeight="1" s="62">
      <c r="A945" s="107" t="n"/>
      <c r="B945" s="108" t="n"/>
      <c r="C945" s="107" t="n"/>
      <c r="D945" s="107" t="n"/>
      <c r="E945" s="107" t="n"/>
      <c r="F945" s="107" t="n"/>
      <c r="G945" s="107" t="n"/>
      <c r="H945" s="107" t="n"/>
      <c r="I945" s="110">
        <f>IF($B945="","",$B945*(IsverenPayiOrani+IssizlikOrani))</f>
        <v/>
      </c>
    </row>
    <row r="946" ht="15" customHeight="1" s="62">
      <c r="A946" s="107" t="n"/>
      <c r="B946" s="108" t="n"/>
      <c r="C946" s="107" t="n"/>
      <c r="D946" s="107" t="n"/>
      <c r="E946" s="107" t="n"/>
      <c r="F946" s="107" t="n"/>
      <c r="G946" s="107" t="n"/>
      <c r="H946" s="107" t="n"/>
      <c r="I946" s="110">
        <f>IF($B946="","",$B946*(IsverenPayiOrani+IssizlikOrani))</f>
        <v/>
      </c>
    </row>
    <row r="947" ht="15" customHeight="1" s="62">
      <c r="A947" s="107" t="n"/>
      <c r="B947" s="108" t="n"/>
      <c r="C947" s="107" t="n"/>
      <c r="D947" s="107" t="n"/>
      <c r="E947" s="107" t="n"/>
      <c r="F947" s="107" t="n"/>
      <c r="G947" s="107" t="n"/>
      <c r="H947" s="107" t="n"/>
      <c r="I947" s="110">
        <f>IF($B947="","",$B947*(IsverenPayiOrani+IssizlikOrani))</f>
        <v/>
      </c>
    </row>
    <row r="948" ht="15" customHeight="1" s="62">
      <c r="A948" s="107" t="n"/>
      <c r="B948" s="108" t="n"/>
      <c r="C948" s="107" t="n"/>
      <c r="D948" s="107" t="n"/>
      <c r="E948" s="107" t="n"/>
      <c r="F948" s="107" t="n"/>
      <c r="G948" s="107" t="n"/>
      <c r="H948" s="107" t="n"/>
      <c r="I948" s="110">
        <f>IF($B948="","",$B948*(IsverenPayiOrani+IssizlikOrani))</f>
        <v/>
      </c>
    </row>
    <row r="949" ht="15" customHeight="1" s="62">
      <c r="A949" s="107" t="n"/>
      <c r="B949" s="108" t="n"/>
      <c r="C949" s="107" t="n"/>
      <c r="D949" s="107" t="n"/>
      <c r="E949" s="107" t="n"/>
      <c r="F949" s="107" t="n"/>
      <c r="G949" s="107" t="n"/>
      <c r="H949" s="107" t="n"/>
      <c r="I949" s="110">
        <f>IF($B949="","",$B949*(IsverenPayiOrani+IssizlikOrani))</f>
        <v/>
      </c>
    </row>
    <row r="950" ht="15" customHeight="1" s="62">
      <c r="A950" s="107" t="n"/>
      <c r="B950" s="108" t="n"/>
      <c r="C950" s="107" t="n"/>
      <c r="D950" s="107" t="n"/>
      <c r="E950" s="107" t="n"/>
      <c r="F950" s="107" t="n"/>
      <c r="G950" s="107" t="n"/>
      <c r="H950" s="107" t="n"/>
      <c r="I950" s="110">
        <f>IF($B950="","",$B950*(IsverenPayiOrani+IssizlikOrani))</f>
        <v/>
      </c>
    </row>
    <row r="951" ht="15" customHeight="1" s="62">
      <c r="A951" s="107" t="n"/>
      <c r="B951" s="108" t="n"/>
      <c r="C951" s="107" t="n"/>
      <c r="D951" s="107" t="n"/>
      <c r="E951" s="107" t="n"/>
      <c r="F951" s="107" t="n"/>
      <c r="G951" s="107" t="n"/>
      <c r="H951" s="107" t="n"/>
      <c r="I951" s="110">
        <f>IF($B951="","",$B951*(IsverenPayiOrani+IssizlikOrani))</f>
        <v/>
      </c>
    </row>
    <row r="952" ht="15" customHeight="1" s="62">
      <c r="A952" s="107" t="n"/>
      <c r="B952" s="108" t="n"/>
      <c r="C952" s="107" t="n"/>
      <c r="D952" s="107" t="n"/>
      <c r="E952" s="107" t="n"/>
      <c r="F952" s="107" t="n"/>
      <c r="G952" s="107" t="n"/>
      <c r="H952" s="107" t="n"/>
      <c r="I952" s="110">
        <f>IF($B952="","",$B952*(IsverenPayiOrani+IssizlikOrani))</f>
        <v/>
      </c>
    </row>
    <row r="953" ht="15" customHeight="1" s="62">
      <c r="A953" s="107" t="n"/>
      <c r="B953" s="108" t="n"/>
      <c r="C953" s="107" t="n"/>
      <c r="D953" s="107" t="n"/>
      <c r="E953" s="107" t="n"/>
      <c r="F953" s="107" t="n"/>
      <c r="G953" s="107" t="n"/>
      <c r="H953" s="107" t="n"/>
      <c r="I953" s="110">
        <f>IF($B953="","",$B953*(IsverenPayiOrani+IssizlikOrani))</f>
        <v/>
      </c>
    </row>
    <row r="954" ht="15" customHeight="1" s="62">
      <c r="A954" s="107" t="n"/>
      <c r="B954" s="108" t="n"/>
      <c r="C954" s="107" t="n"/>
      <c r="D954" s="107" t="n"/>
      <c r="E954" s="107" t="n"/>
      <c r="F954" s="107" t="n"/>
      <c r="G954" s="107" t="n"/>
      <c r="H954" s="107" t="n"/>
      <c r="I954" s="110">
        <f>IF($B954="","",$B954*(IsverenPayiOrani+IssizlikOrani))</f>
        <v/>
      </c>
    </row>
    <row r="955" ht="15" customHeight="1" s="62">
      <c r="A955" s="107" t="n"/>
      <c r="B955" s="108" t="n"/>
      <c r="C955" s="107" t="n"/>
      <c r="D955" s="107" t="n"/>
      <c r="E955" s="107" t="n"/>
      <c r="F955" s="107" t="n"/>
      <c r="G955" s="107" t="n"/>
      <c r="H955" s="107" t="n"/>
      <c r="I955" s="110">
        <f>IF($B955="","",$B955*(IsverenPayiOrani+IssizlikOrani))</f>
        <v/>
      </c>
    </row>
    <row r="956" ht="15" customHeight="1" s="62">
      <c r="A956" s="107" t="n"/>
      <c r="B956" s="108" t="n"/>
      <c r="C956" s="107" t="n"/>
      <c r="D956" s="107" t="n"/>
      <c r="E956" s="107" t="n"/>
      <c r="F956" s="107" t="n"/>
      <c r="G956" s="107" t="n"/>
      <c r="H956" s="107" t="n"/>
      <c r="I956" s="110">
        <f>IF($B956="","",$B956*(IsverenPayiOrani+IssizlikOrani))</f>
        <v/>
      </c>
    </row>
    <row r="957" ht="15" customHeight="1" s="62">
      <c r="A957" s="107" t="n"/>
      <c r="B957" s="108" t="n"/>
      <c r="C957" s="107" t="n"/>
      <c r="D957" s="107" t="n"/>
      <c r="E957" s="107" t="n"/>
      <c r="F957" s="107" t="n"/>
      <c r="G957" s="107" t="n"/>
      <c r="H957" s="107" t="n"/>
      <c r="I957" s="110">
        <f>IF($B957="","",$B957*(IsverenPayiOrani+IssizlikOrani))</f>
        <v/>
      </c>
    </row>
    <row r="958" ht="15" customHeight="1" s="62">
      <c r="A958" s="107" t="n"/>
      <c r="B958" s="108" t="n"/>
      <c r="C958" s="107" t="n"/>
      <c r="D958" s="107" t="n"/>
      <c r="E958" s="107" t="n"/>
      <c r="F958" s="107" t="n"/>
      <c r="G958" s="107" t="n"/>
      <c r="H958" s="107" t="n"/>
      <c r="I958" s="110">
        <f>IF($B958="","",$B958*(IsverenPayiOrani+IssizlikOrani))</f>
        <v/>
      </c>
    </row>
    <row r="959" ht="15" customHeight="1" s="62">
      <c r="A959" s="107" t="n"/>
      <c r="B959" s="108" t="n"/>
      <c r="C959" s="107" t="n"/>
      <c r="D959" s="107" t="n"/>
      <c r="E959" s="107" t="n"/>
      <c r="F959" s="107" t="n"/>
      <c r="G959" s="107" t="n"/>
      <c r="H959" s="107" t="n"/>
      <c r="I959" s="110">
        <f>IF($B959="","",$B959*(IsverenPayiOrani+IssizlikOrani))</f>
        <v/>
      </c>
    </row>
    <row r="960" ht="15" customHeight="1" s="62">
      <c r="A960" s="107" t="n"/>
      <c r="B960" s="108" t="n"/>
      <c r="C960" s="107" t="n"/>
      <c r="D960" s="107" t="n"/>
      <c r="E960" s="107" t="n"/>
      <c r="F960" s="107" t="n"/>
      <c r="G960" s="107" t="n"/>
      <c r="H960" s="107" t="n"/>
      <c r="I960" s="110">
        <f>IF($B960="","",$B960*(IsverenPayiOrani+IssizlikOrani))</f>
        <v/>
      </c>
    </row>
    <row r="961" ht="15" customHeight="1" s="62">
      <c r="A961" s="107" t="n"/>
      <c r="B961" s="108" t="n"/>
      <c r="C961" s="107" t="n"/>
      <c r="D961" s="107" t="n"/>
      <c r="E961" s="107" t="n"/>
      <c r="F961" s="107" t="n"/>
      <c r="G961" s="107" t="n"/>
      <c r="H961" s="107" t="n"/>
      <c r="I961" s="110">
        <f>IF($B961="","",$B961*(IsverenPayiOrani+IssizlikOrani))</f>
        <v/>
      </c>
    </row>
    <row r="962" ht="15" customHeight="1" s="62">
      <c r="A962" s="107" t="n"/>
      <c r="B962" s="108" t="n"/>
      <c r="C962" s="107" t="n"/>
      <c r="D962" s="107" t="n"/>
      <c r="E962" s="107" t="n"/>
      <c r="F962" s="107" t="n"/>
      <c r="G962" s="107" t="n"/>
      <c r="H962" s="107" t="n"/>
      <c r="I962" s="110">
        <f>IF($B962="","",$B962*(IsverenPayiOrani+IssizlikOrani))</f>
        <v/>
      </c>
    </row>
    <row r="963" ht="15" customHeight="1" s="62">
      <c r="A963" s="107" t="n"/>
      <c r="B963" s="108" t="n"/>
      <c r="C963" s="107" t="n"/>
      <c r="D963" s="107" t="n"/>
      <c r="E963" s="107" t="n"/>
      <c r="F963" s="107" t="n"/>
      <c r="G963" s="107" t="n"/>
      <c r="H963" s="107" t="n"/>
      <c r="I963" s="110">
        <f>IF($B963="","",$B963*(IsverenPayiOrani+IssizlikOrani))</f>
        <v/>
      </c>
    </row>
    <row r="964" ht="15" customHeight="1" s="62">
      <c r="A964" s="107" t="n"/>
      <c r="B964" s="108" t="n"/>
      <c r="C964" s="107" t="n"/>
      <c r="D964" s="107" t="n"/>
      <c r="E964" s="107" t="n"/>
      <c r="F964" s="107" t="n"/>
      <c r="G964" s="107" t="n"/>
      <c r="H964" s="107" t="n"/>
      <c r="I964" s="110">
        <f>IF($B964="","",$B964*(IsverenPayiOrani+IssizlikOrani))</f>
        <v/>
      </c>
    </row>
    <row r="965" ht="15" customHeight="1" s="62">
      <c r="A965" s="107" t="n"/>
      <c r="B965" s="108" t="n"/>
      <c r="C965" s="107" t="n"/>
      <c r="D965" s="107" t="n"/>
      <c r="E965" s="107" t="n"/>
      <c r="F965" s="107" t="n"/>
      <c r="G965" s="107" t="n"/>
      <c r="H965" s="107" t="n"/>
      <c r="I965" s="110">
        <f>IF($B965="","",$B965*(IsverenPayiOrani+IssizlikOrani))</f>
        <v/>
      </c>
    </row>
    <row r="966" ht="15" customHeight="1" s="62">
      <c r="A966" s="107" t="n"/>
      <c r="B966" s="108" t="n"/>
      <c r="C966" s="107" t="n"/>
      <c r="D966" s="107" t="n"/>
      <c r="E966" s="107" t="n"/>
      <c r="F966" s="107" t="n"/>
      <c r="G966" s="107" t="n"/>
      <c r="H966" s="107" t="n"/>
      <c r="I966" s="110">
        <f>IF($B966="","",$B966*(IsverenPayiOrani+IssizlikOrani))</f>
        <v/>
      </c>
    </row>
    <row r="967" ht="15" customHeight="1" s="62">
      <c r="A967" s="107" t="n"/>
      <c r="B967" s="108" t="n"/>
      <c r="C967" s="107" t="n"/>
      <c r="D967" s="107" t="n"/>
      <c r="E967" s="107" t="n"/>
      <c r="F967" s="107" t="n"/>
      <c r="G967" s="107" t="n"/>
      <c r="H967" s="107" t="n"/>
      <c r="I967" s="110">
        <f>IF($B967="","",$B967*(IsverenPayiOrani+IssizlikOrani))</f>
        <v/>
      </c>
    </row>
    <row r="968" ht="15" customHeight="1" s="62">
      <c r="A968" s="107" t="n"/>
      <c r="B968" s="108" t="n"/>
      <c r="C968" s="107" t="n"/>
      <c r="D968" s="107" t="n"/>
      <c r="E968" s="107" t="n"/>
      <c r="F968" s="107" t="n"/>
      <c r="G968" s="107" t="n"/>
      <c r="H968" s="107" t="n"/>
      <c r="I968" s="110">
        <f>IF($B968="","",$B968*(IsverenPayiOrani+IssizlikOrani))</f>
        <v/>
      </c>
    </row>
    <row r="969" ht="15" customHeight="1" s="62">
      <c r="A969" s="107" t="n"/>
      <c r="B969" s="108" t="n"/>
      <c r="C969" s="107" t="n"/>
      <c r="D969" s="107" t="n"/>
      <c r="E969" s="107" t="n"/>
      <c r="F969" s="107" t="n"/>
      <c r="G969" s="107" t="n"/>
      <c r="H969" s="107" t="n"/>
      <c r="I969" s="110">
        <f>IF($B969="","",$B969*(IsverenPayiOrani+IssizlikOrani))</f>
        <v/>
      </c>
    </row>
    <row r="970" ht="15" customHeight="1" s="62">
      <c r="A970" s="107" t="n"/>
      <c r="B970" s="108" t="n"/>
      <c r="C970" s="107" t="n"/>
      <c r="D970" s="107" t="n"/>
      <c r="E970" s="107" t="n"/>
      <c r="F970" s="107" t="n"/>
      <c r="G970" s="107" t="n"/>
      <c r="H970" s="107" t="n"/>
      <c r="I970" s="110">
        <f>IF($B970="","",$B970*(IsverenPayiOrani+IssizlikOrani))</f>
        <v/>
      </c>
    </row>
    <row r="971" ht="15" customHeight="1" s="62">
      <c r="A971" s="107" t="n"/>
      <c r="B971" s="108" t="n"/>
      <c r="C971" s="107" t="n"/>
      <c r="D971" s="107" t="n"/>
      <c r="E971" s="107" t="n"/>
      <c r="F971" s="107" t="n"/>
      <c r="G971" s="107" t="n"/>
      <c r="H971" s="107" t="n"/>
      <c r="I971" s="110">
        <f>IF($B971="","",$B971*(IsverenPayiOrani+IssizlikOrani))</f>
        <v/>
      </c>
    </row>
    <row r="972" ht="15" customHeight="1" s="62">
      <c r="A972" s="107" t="n"/>
      <c r="B972" s="108" t="n"/>
      <c r="C972" s="107" t="n"/>
      <c r="D972" s="107" t="n"/>
      <c r="E972" s="107" t="n"/>
      <c r="F972" s="107" t="n"/>
      <c r="G972" s="107" t="n"/>
      <c r="H972" s="107" t="n"/>
      <c r="I972" s="110">
        <f>IF($B972="","",$B972*(IsverenPayiOrani+IssizlikOrani))</f>
        <v/>
      </c>
    </row>
    <row r="973" ht="15" customHeight="1" s="62">
      <c r="A973" s="107" t="n"/>
      <c r="B973" s="108" t="n"/>
      <c r="C973" s="107" t="n"/>
      <c r="D973" s="107" t="n"/>
      <c r="E973" s="107" t="n"/>
      <c r="F973" s="107" t="n"/>
      <c r="G973" s="107" t="n"/>
      <c r="H973" s="107" t="n"/>
      <c r="I973" s="110">
        <f>IF($B973="","",$B973*(IsverenPayiOrani+IssizlikOrani))</f>
        <v/>
      </c>
    </row>
    <row r="974" ht="15" customHeight="1" s="62">
      <c r="A974" s="107" t="n"/>
      <c r="B974" s="108" t="n"/>
      <c r="C974" s="107" t="n"/>
      <c r="D974" s="107" t="n"/>
      <c r="E974" s="107" t="n"/>
      <c r="F974" s="107" t="n"/>
      <c r="G974" s="107" t="n"/>
      <c r="H974" s="107" t="n"/>
      <c r="I974" s="110">
        <f>IF($B974="","",$B974*(IsverenPayiOrani+IssizlikOrani))</f>
        <v/>
      </c>
    </row>
    <row r="975" ht="15" customHeight="1" s="62">
      <c r="A975" s="107" t="n"/>
      <c r="B975" s="108" t="n"/>
      <c r="C975" s="107" t="n"/>
      <c r="D975" s="107" t="n"/>
      <c r="E975" s="107" t="n"/>
      <c r="F975" s="107" t="n"/>
      <c r="G975" s="107" t="n"/>
      <c r="H975" s="107" t="n"/>
      <c r="I975" s="110">
        <f>IF($B975="","",$B975*(IsverenPayiOrani+IssizlikOrani))</f>
        <v/>
      </c>
    </row>
    <row r="976" ht="15" customHeight="1" s="62">
      <c r="A976" s="107" t="n"/>
      <c r="B976" s="108" t="n"/>
      <c r="C976" s="107" t="n"/>
      <c r="D976" s="107" t="n"/>
      <c r="E976" s="107" t="n"/>
      <c r="F976" s="107" t="n"/>
      <c r="G976" s="107" t="n"/>
      <c r="H976" s="107" t="n"/>
      <c r="I976" s="110">
        <f>IF($B976="","",$B976*(IsverenPayiOrani+IssizlikOrani))</f>
        <v/>
      </c>
    </row>
    <row r="977" ht="15" customHeight="1" s="62">
      <c r="A977" s="107" t="n"/>
      <c r="B977" s="108" t="n"/>
      <c r="C977" s="107" t="n"/>
      <c r="D977" s="107" t="n"/>
      <c r="E977" s="107" t="n"/>
      <c r="F977" s="107" t="n"/>
      <c r="G977" s="107" t="n"/>
      <c r="H977" s="107" t="n"/>
      <c r="I977" s="110">
        <f>IF($B977="","",$B977*(IsverenPayiOrani+IssizlikOrani))</f>
        <v/>
      </c>
    </row>
    <row r="978" ht="15" customHeight="1" s="62">
      <c r="A978" s="107" t="n"/>
      <c r="B978" s="108" t="n"/>
      <c r="C978" s="107" t="n"/>
      <c r="D978" s="107" t="n"/>
      <c r="E978" s="107" t="n"/>
      <c r="F978" s="107" t="n"/>
      <c r="G978" s="107" t="n"/>
      <c r="H978" s="107" t="n"/>
      <c r="I978" s="110">
        <f>IF($B978="","",$B978*(IsverenPayiOrani+IssizlikOrani))</f>
        <v/>
      </c>
    </row>
    <row r="979" ht="15" customHeight="1" s="62">
      <c r="A979" s="107" t="n"/>
      <c r="B979" s="108" t="n"/>
      <c r="C979" s="107" t="n"/>
      <c r="D979" s="107" t="n"/>
      <c r="E979" s="107" t="n"/>
      <c r="F979" s="107" t="n"/>
      <c r="G979" s="107" t="n"/>
      <c r="H979" s="107" t="n"/>
      <c r="I979" s="110">
        <f>IF($B979="","",$B979*(IsverenPayiOrani+IssizlikOrani))</f>
        <v/>
      </c>
    </row>
    <row r="980" ht="15" customHeight="1" s="62">
      <c r="A980" s="107" t="n"/>
      <c r="B980" s="108" t="n"/>
      <c r="C980" s="107" t="n"/>
      <c r="D980" s="107" t="n"/>
      <c r="E980" s="107" t="n"/>
      <c r="F980" s="107" t="n"/>
      <c r="G980" s="107" t="n"/>
      <c r="H980" s="107" t="n"/>
      <c r="I980" s="110">
        <f>IF($B980="","",$B980*(IsverenPayiOrani+IssizlikOrani))</f>
        <v/>
      </c>
    </row>
    <row r="981" ht="15" customHeight="1" s="62">
      <c r="A981" s="107" t="n"/>
      <c r="B981" s="108" t="n"/>
      <c r="C981" s="107" t="n"/>
      <c r="D981" s="107" t="n"/>
      <c r="E981" s="107" t="n"/>
      <c r="F981" s="107" t="n"/>
      <c r="G981" s="107" t="n"/>
      <c r="H981" s="107" t="n"/>
      <c r="I981" s="110">
        <f>IF($B981="","",$B981*(IsverenPayiOrani+IssizlikOrani))</f>
        <v/>
      </c>
    </row>
    <row r="982" ht="15" customHeight="1" s="62">
      <c r="A982" s="107" t="n"/>
      <c r="B982" s="108" t="n"/>
      <c r="C982" s="107" t="n"/>
      <c r="D982" s="107" t="n"/>
      <c r="E982" s="107" t="n"/>
      <c r="F982" s="107" t="n"/>
      <c r="G982" s="107" t="n"/>
      <c r="H982" s="107" t="n"/>
      <c r="I982" s="110">
        <f>IF($B982="","",$B982*(IsverenPayiOrani+IssizlikOrani))</f>
        <v/>
      </c>
    </row>
    <row r="983" ht="15" customHeight="1" s="62">
      <c r="A983" s="107" t="n"/>
      <c r="B983" s="108" t="n"/>
      <c r="C983" s="107" t="n"/>
      <c r="D983" s="107" t="n"/>
      <c r="E983" s="107" t="n"/>
      <c r="F983" s="107" t="n"/>
      <c r="G983" s="107" t="n"/>
      <c r="H983" s="107" t="n"/>
      <c r="I983" s="110">
        <f>IF($B983="","",$B983*(IsverenPayiOrani+IssizlikOrani))</f>
        <v/>
      </c>
    </row>
    <row r="984" ht="15" customHeight="1" s="62">
      <c r="A984" s="107" t="n"/>
      <c r="B984" s="108" t="n"/>
      <c r="C984" s="107" t="n"/>
      <c r="D984" s="107" t="n"/>
      <c r="E984" s="107" t="n"/>
      <c r="F984" s="107" t="n"/>
      <c r="G984" s="107" t="n"/>
      <c r="H984" s="107" t="n"/>
      <c r="I984" s="110">
        <f>IF($B984="","",$B984*(IsverenPayiOrani+IssizlikOrani))</f>
        <v/>
      </c>
    </row>
    <row r="985" ht="15" customHeight="1" s="62">
      <c r="A985" s="107" t="n"/>
      <c r="B985" s="108" t="n"/>
      <c r="C985" s="107" t="n"/>
      <c r="D985" s="107" t="n"/>
      <c r="E985" s="107" t="n"/>
      <c r="F985" s="107" t="n"/>
      <c r="G985" s="107" t="n"/>
      <c r="H985" s="107" t="n"/>
      <c r="I985" s="110">
        <f>IF($B985="","",$B985*(IsverenPayiOrani+IssizlikOrani))</f>
        <v/>
      </c>
    </row>
    <row r="986" ht="15" customHeight="1" s="62">
      <c r="A986" s="107" t="n"/>
      <c r="B986" s="108" t="n"/>
      <c r="C986" s="107" t="n"/>
      <c r="D986" s="107" t="n"/>
      <c r="E986" s="107" t="n"/>
      <c r="F986" s="107" t="n"/>
      <c r="G986" s="107" t="n"/>
      <c r="H986" s="107" t="n"/>
      <c r="I986" s="110">
        <f>IF($B986="","",$B986*(IsverenPayiOrani+IssizlikOrani))</f>
        <v/>
      </c>
    </row>
    <row r="987" ht="15" customHeight="1" s="62">
      <c r="A987" s="107" t="n"/>
      <c r="B987" s="108" t="n"/>
      <c r="C987" s="107" t="n"/>
      <c r="D987" s="107" t="n"/>
      <c r="E987" s="107" t="n"/>
      <c r="F987" s="107" t="n"/>
      <c r="G987" s="107" t="n"/>
      <c r="H987" s="107" t="n"/>
      <c r="I987" s="110">
        <f>IF($B987="","",$B987*(IsverenPayiOrani+IssizlikOrani))</f>
        <v/>
      </c>
    </row>
    <row r="988" ht="15" customHeight="1" s="62">
      <c r="A988" s="107" t="n"/>
      <c r="B988" s="108" t="n"/>
      <c r="C988" s="107" t="n"/>
      <c r="D988" s="107" t="n"/>
      <c r="E988" s="107" t="n"/>
      <c r="F988" s="107" t="n"/>
      <c r="G988" s="107" t="n"/>
      <c r="H988" s="107" t="n"/>
      <c r="I988" s="110">
        <f>IF($B988="","",$B988*(IsverenPayiOrani+IssizlikOrani))</f>
        <v/>
      </c>
    </row>
    <row r="989" ht="15" customHeight="1" s="62">
      <c r="A989" s="107" t="n"/>
      <c r="B989" s="108" t="n"/>
      <c r="C989" s="107" t="n"/>
      <c r="D989" s="107" t="n"/>
      <c r="E989" s="107" t="n"/>
      <c r="F989" s="107" t="n"/>
      <c r="G989" s="107" t="n"/>
      <c r="H989" s="107" t="n"/>
      <c r="I989" s="110">
        <f>IF($B989="","",$B989*(IsverenPayiOrani+IssizlikOrani))</f>
        <v/>
      </c>
    </row>
    <row r="990" ht="15" customHeight="1" s="62">
      <c r="A990" s="107" t="n"/>
      <c r="B990" s="108" t="n"/>
      <c r="C990" s="107" t="n"/>
      <c r="D990" s="107" t="n"/>
      <c r="E990" s="107" t="n"/>
      <c r="F990" s="107" t="n"/>
      <c r="G990" s="107" t="n"/>
      <c r="H990" s="107" t="n"/>
      <c r="I990" s="110">
        <f>IF($B990="","",$B990*(IsverenPayiOrani+IssizlikOrani))</f>
        <v/>
      </c>
    </row>
    <row r="991" ht="15" customHeight="1" s="62">
      <c r="A991" s="107" t="n"/>
      <c r="B991" s="108" t="n"/>
      <c r="C991" s="107" t="n"/>
      <c r="D991" s="107" t="n"/>
      <c r="E991" s="107" t="n"/>
      <c r="F991" s="107" t="n"/>
      <c r="G991" s="107" t="n"/>
      <c r="H991" s="107" t="n"/>
      <c r="I991" s="110">
        <f>IF($B991="","",$B991*(IsverenPayiOrani+IssizlikOrani))</f>
        <v/>
      </c>
    </row>
    <row r="992" ht="15" customHeight="1" s="62">
      <c r="A992" s="107" t="n"/>
      <c r="B992" s="108" t="n"/>
      <c r="C992" s="107" t="n"/>
      <c r="D992" s="107" t="n"/>
      <c r="E992" s="107" t="n"/>
      <c r="F992" s="107" t="n"/>
      <c r="G992" s="107" t="n"/>
      <c r="H992" s="107" t="n"/>
      <c r="I992" s="110">
        <f>IF($B992="","",$B992*(IsverenPayiOrani+IssizlikOrani))</f>
        <v/>
      </c>
    </row>
    <row r="993" ht="15" customHeight="1" s="62">
      <c r="A993" s="107" t="n"/>
      <c r="B993" s="108" t="n"/>
      <c r="C993" s="107" t="n"/>
      <c r="D993" s="107" t="n"/>
      <c r="E993" s="107" t="n"/>
      <c r="F993" s="107" t="n"/>
      <c r="G993" s="107" t="n"/>
      <c r="H993" s="107" t="n"/>
      <c r="I993" s="110">
        <f>IF($B993="","",$B993*(IsverenPayiOrani+IssizlikOrani))</f>
        <v/>
      </c>
    </row>
    <row r="994" ht="15" customHeight="1" s="62">
      <c r="A994" s="107" t="n"/>
      <c r="B994" s="108" t="n"/>
      <c r="C994" s="107" t="n"/>
      <c r="D994" s="107" t="n"/>
      <c r="E994" s="107" t="n"/>
      <c r="F994" s="107" t="n"/>
      <c r="G994" s="107" t="n"/>
      <c r="H994" s="107" t="n"/>
      <c r="I994" s="110">
        <f>IF($B994="","",$B994*(IsverenPayiOrani+IssizlikOrani))</f>
        <v/>
      </c>
    </row>
    <row r="995" ht="15" customHeight="1" s="62">
      <c r="A995" s="107" t="n"/>
      <c r="B995" s="108" t="n"/>
      <c r="C995" s="107" t="n"/>
      <c r="D995" s="107" t="n"/>
      <c r="E995" s="107" t="n"/>
      <c r="F995" s="107" t="n"/>
      <c r="G995" s="107" t="n"/>
      <c r="H995" s="107" t="n"/>
      <c r="I995" s="110">
        <f>IF($B995="","",$B995*(IsverenPayiOrani+IssizlikOrani))</f>
        <v/>
      </c>
    </row>
    <row r="996" ht="15" customHeight="1" s="62">
      <c r="A996" s="107" t="n"/>
      <c r="B996" s="108" t="n"/>
      <c r="C996" s="107" t="n"/>
      <c r="D996" s="107" t="n"/>
      <c r="E996" s="107" t="n"/>
      <c r="F996" s="107" t="n"/>
      <c r="G996" s="107" t="n"/>
      <c r="H996" s="107" t="n"/>
      <c r="I996" s="110">
        <f>IF($B996="","",$B996*(IsverenPayiOrani+IssizlikOrani))</f>
        <v/>
      </c>
    </row>
    <row r="997" ht="15" customHeight="1" s="62">
      <c r="A997" s="107" t="n"/>
      <c r="B997" s="108" t="n"/>
      <c r="C997" s="107" t="n"/>
      <c r="D997" s="107" t="n"/>
      <c r="E997" s="107" t="n"/>
      <c r="F997" s="107" t="n"/>
      <c r="G997" s="107" t="n"/>
      <c r="H997" s="107" t="n"/>
      <c r="I997" s="110">
        <f>IF($B997="","",$B997*(IsverenPayiOrani+IssizlikOrani))</f>
        <v/>
      </c>
    </row>
    <row r="998" ht="15" customHeight="1" s="62">
      <c r="A998" s="107" t="n"/>
      <c r="B998" s="108" t="n"/>
      <c r="C998" s="107" t="n"/>
      <c r="D998" s="107" t="n"/>
      <c r="E998" s="107" t="n"/>
      <c r="F998" s="107" t="n"/>
      <c r="G998" s="107" t="n"/>
      <c r="H998" s="107" t="n"/>
      <c r="I998" s="110">
        <f>IF($B998="","",$B998*(IsverenPayiOrani+IssizlikOrani))</f>
        <v/>
      </c>
    </row>
    <row r="999" ht="15" customHeight="1" s="62">
      <c r="A999" s="107" t="n"/>
      <c r="B999" s="108" t="n"/>
      <c r="C999" s="107" t="n"/>
      <c r="D999" s="107" t="n"/>
      <c r="E999" s="107" t="n"/>
      <c r="F999" s="107" t="n"/>
      <c r="G999" s="107" t="n"/>
      <c r="H999" s="107" t="n"/>
      <c r="I999" s="110">
        <f>IF($B999="","",$B999*(IsverenPayiOrani+IssizlikOrani))</f>
        <v/>
      </c>
    </row>
    <row r="1000" ht="15" customHeight="1" s="62">
      <c r="A1000" s="107" t="n"/>
      <c r="B1000" s="108" t="n"/>
      <c r="C1000" s="107" t="n"/>
      <c r="D1000" s="107" t="n"/>
      <c r="E1000" s="107" t="n"/>
      <c r="F1000" s="107" t="n"/>
      <c r="G1000" s="107" t="n"/>
      <c r="H1000" s="107" t="n"/>
      <c r="I1000" s="110">
        <f>IF($B1000="","",$B1000*(IsverenPayiOrani+IssizlikOrani))</f>
        <v/>
      </c>
    </row>
    <row r="1001" ht="15" customHeight="1" s="62">
      <c r="A1001" s="107" t="n"/>
      <c r="B1001" s="108" t="n"/>
      <c r="C1001" s="107" t="n"/>
      <c r="D1001" s="107" t="n"/>
      <c r="E1001" s="107" t="n"/>
      <c r="F1001" s="107" t="n"/>
      <c r="G1001" s="107" t="n"/>
      <c r="H1001" s="107" t="n"/>
      <c r="I1001" s="110">
        <f>IF($B1001="","",$B1001*(IsverenPayiOrani+IssizlikOrani))</f>
        <v/>
      </c>
    </row>
    <row r="1002" ht="15" customHeight="1" s="62">
      <c r="A1002" s="107" t="n"/>
      <c r="B1002" s="108" t="n"/>
      <c r="C1002" s="107" t="n"/>
      <c r="D1002" s="107" t="n"/>
      <c r="E1002" s="107" t="n"/>
      <c r="F1002" s="107" t="n"/>
      <c r="G1002" s="107" t="n"/>
      <c r="H1002" s="107" t="n"/>
      <c r="I1002" s="110">
        <f>IF($B1002="","",$B1002*(IsverenPayiOrani+IssizlikOrani))</f>
        <v/>
      </c>
    </row>
    <row r="1003" ht="19.5" customHeight="1" s="62">
      <c r="A1003" s="111" t="inlineStr">
        <is>
          <t>Sarı hücreler manuel giriştir; her hücrenin açıklama notu vardır.</t>
        </is>
      </c>
      <c r="B1003" s="112" t="n"/>
      <c r="C1003" s="112" t="n"/>
      <c r="D1003" s="112" t="n"/>
      <c r="E1003" s="112" t="n"/>
      <c r="F1003" s="112" t="n"/>
      <c r="G1003" s="112" t="n"/>
      <c r="H1003" s="112" t="n"/>
      <c r="I1003" s="112" t="n"/>
      <c r="J1003" s="112" t="n"/>
      <c r="K1003" s="112" t="n"/>
      <c r="L1003" s="112" t="n"/>
      <c r="M1003" s="112" t="n"/>
      <c r="N1003" s="112" t="n"/>
      <c r="O1003" s="112" t="n"/>
      <c r="P1003" s="112" t="n"/>
      <c r="Q1003" s="112" t="n"/>
      <c r="R1003" s="112" t="n"/>
      <c r="S1003" s="112" t="n"/>
      <c r="T1003" s="112" t="n"/>
      <c r="U1003" s="112" t="n"/>
      <c r="V1003" s="112" t="n"/>
      <c r="W1003" s="112" t="n"/>
      <c r="X1003" s="112" t="n"/>
      <c r="Y1003" s="112" t="n"/>
      <c r="Z1003" s="112" t="n"/>
      <c r="AA1003" s="112" t="n"/>
      <c r="AB1003" s="112" t="n"/>
      <c r="AC1003" s="112" t="n"/>
      <c r="AD1003" s="112" t="n"/>
      <c r="AE1003" s="112" t="n"/>
      <c r="AF1003" s="112" t="n"/>
      <c r="AG1003" s="112" t="n"/>
      <c r="AH1003" s="112" t="n"/>
      <c r="AI1003" s="112" t="n"/>
      <c r="AJ1003" s="112" t="n"/>
      <c r="AK1003" s="112" t="n"/>
      <c r="AL1003" s="112" t="n"/>
      <c r="AM1003" s="112" t="n"/>
      <c r="AN1003" s="112" t="n"/>
    </row>
    <row r="1004" ht="15" customHeight="1" s="62">
      <c r="A1004" s="107" t="n"/>
      <c r="B1004" s="108" t="n"/>
      <c r="C1004" s="107" t="n"/>
      <c r="D1004" s="107" t="n"/>
      <c r="E1004" s="107" t="n"/>
      <c r="F1004" s="107" t="n"/>
      <c r="G1004" s="107" t="n"/>
      <c r="H1004" s="107" t="n"/>
      <c r="I1004" s="110">
        <f>IF($B1004="","",$B1004*(IsverenPayiOrani+IssizlikOrani))</f>
        <v/>
      </c>
    </row>
    <row r="1005" ht="15" customHeight="1" s="62">
      <c r="A1005" s="107" t="n"/>
      <c r="B1005" s="108" t="n"/>
      <c r="C1005" s="107" t="n"/>
      <c r="D1005" s="107" t="n"/>
      <c r="E1005" s="107" t="n"/>
      <c r="F1005" s="107" t="n"/>
      <c r="G1005" s="107" t="n"/>
      <c r="H1005" s="107" t="n"/>
      <c r="I1005" s="110">
        <f>IF($B1005="","",$B1005*(IsverenPayiOrani+IssizlikOrani))</f>
        <v/>
      </c>
    </row>
    <row r="1006" ht="15" customHeight="1" s="62">
      <c r="A1006" s="107" t="n"/>
      <c r="B1006" s="108" t="n"/>
      <c r="C1006" s="107" t="n"/>
      <c r="D1006" s="107" t="n"/>
      <c r="E1006" s="107" t="n"/>
      <c r="F1006" s="107" t="n"/>
      <c r="G1006" s="107" t="n"/>
      <c r="H1006" s="107" t="n"/>
      <c r="I1006" s="110">
        <f>IF($B1006="","",$B1006*(IsverenPayiOrani+IssizlikOrani))</f>
        <v/>
      </c>
    </row>
    <row r="1007" ht="15" customHeight="1" s="62">
      <c r="A1007" s="107" t="n"/>
      <c r="B1007" s="108" t="n"/>
      <c r="C1007" s="107" t="n"/>
      <c r="D1007" s="107" t="n"/>
      <c r="E1007" s="107" t="n"/>
      <c r="F1007" s="107" t="n"/>
      <c r="G1007" s="107" t="n"/>
      <c r="H1007" s="107" t="n"/>
      <c r="I1007" s="110">
        <f>IF($B1007="","",$B1007*(IsverenPayiOrani+IssizlikOrani))</f>
        <v/>
      </c>
    </row>
    <row r="1008" ht="15" customHeight="1" s="62">
      <c r="A1008" s="107" t="n"/>
      <c r="B1008" s="108" t="n"/>
      <c r="C1008" s="107" t="n"/>
      <c r="D1008" s="107" t="n"/>
      <c r="E1008" s="107" t="n"/>
      <c r="F1008" s="107" t="n"/>
      <c r="G1008" s="107" t="n"/>
      <c r="H1008" s="107" t="n"/>
      <c r="I1008" s="110">
        <f>IF($B1008="","",$B1008*(IsverenPayiOrani+IssizlikOrani))</f>
        <v/>
      </c>
    </row>
    <row r="1009" ht="15" customHeight="1" s="62">
      <c r="A1009" s="107" t="n"/>
      <c r="B1009" s="108" t="n"/>
      <c r="C1009" s="107" t="n"/>
      <c r="D1009" s="107" t="n"/>
      <c r="E1009" s="107" t="n"/>
      <c r="F1009" s="107" t="n"/>
      <c r="G1009" s="107" t="n"/>
      <c r="H1009" s="107" t="n"/>
      <c r="I1009" s="110">
        <f>IF($B1009="","",$B1009*(IsverenPayiOrani+IssizlikOrani))</f>
        <v/>
      </c>
    </row>
    <row r="1010" ht="15" customHeight="1" s="62">
      <c r="A1010" s="107" t="n"/>
      <c r="B1010" s="108" t="n"/>
      <c r="C1010" s="107" t="n"/>
      <c r="D1010" s="107" t="n"/>
      <c r="E1010" s="107" t="n"/>
      <c r="F1010" s="107" t="n"/>
      <c r="G1010" s="107" t="n"/>
      <c r="H1010" s="107" t="n"/>
      <c r="I1010" s="110">
        <f>IF($B1010="","",$B1010*(IsverenPayiOrani+IssizlikOrani))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003:AN1003"/>
    <mergeCell ref="A1:AD1"/>
  </mergeCells>
  <conditionalFormatting sqref="B11">
    <cfRule type="cellIs" rank="0" priority="2" equalAverage="0" operator="greaterThan" aboveAverage="0" dxfId="8" text="" percent="0" bottom="0">
      <formula>0</formula>
    </cfRule>
    <cfRule type="cellIs" rank="0" priority="3" equalAverage="0" operator="lessThan" aboveAverage="0" dxfId="9" text="" percent="0" bottom="0">
      <formula>MaliyetEsik</formula>
    </cfRule>
  </conditionalFormatting>
  <conditionalFormatting sqref="D11">
    <cfRule type="cellIs" rank="0" priority="4" equalAverage="0" operator="lessThan" aboveAverage="0" dxfId="10" text="" percent="0" bottom="0">
      <formula>18</formula>
    </cfRule>
  </conditionalFormatting>
  <conditionalFormatting sqref="B12">
    <cfRule type="cellIs" rank="0" priority="5" equalAverage="0" operator="greaterThan" aboveAverage="0" dxfId="8" text="" percent="0" bottom="0">
      <formula>0</formula>
    </cfRule>
    <cfRule type="cellIs" rank="0" priority="6" equalAverage="0" operator="lessThan" aboveAverage="0" dxfId="9" text="" percent="0" bottom="0">
      <formula>MaliyetEsik</formula>
    </cfRule>
  </conditionalFormatting>
  <conditionalFormatting sqref="D12">
    <cfRule type="cellIs" rank="0" priority="7" equalAverage="0" operator="lessThan" aboveAverage="0" dxfId="10" text="" percent="0" bottom="0">
      <formula>18</formula>
    </cfRule>
  </conditionalFormatting>
  <conditionalFormatting sqref="B13">
    <cfRule type="cellIs" rank="0" priority="8" equalAverage="0" operator="greaterThan" aboveAverage="0" dxfId="8" text="" percent="0" bottom="0">
      <formula>0</formula>
    </cfRule>
    <cfRule type="cellIs" rank="0" priority="9" equalAverage="0" operator="lessThan" aboveAverage="0" dxfId="9" text="" percent="0" bottom="0">
      <formula>MaliyetEsik</formula>
    </cfRule>
  </conditionalFormatting>
  <conditionalFormatting sqref="D13">
    <cfRule type="cellIs" rank="0" priority="10" equalAverage="0" operator="lessThan" aboveAverage="0" dxfId="10" text="" percent="0" bottom="0">
      <formula>18</formula>
    </cfRule>
  </conditionalFormatting>
  <conditionalFormatting sqref="B14">
    <cfRule type="cellIs" rank="0" priority="11" equalAverage="0" operator="greaterThan" aboveAverage="0" dxfId="8" text="" percent="0" bottom="0">
      <formula>0</formula>
    </cfRule>
    <cfRule type="cellIs" rank="0" priority="12" equalAverage="0" operator="lessThan" aboveAverage="0" dxfId="9" text="" percent="0" bottom="0">
      <formula>MaliyetEsik</formula>
    </cfRule>
  </conditionalFormatting>
  <conditionalFormatting sqref="D14">
    <cfRule type="cellIs" rank="0" priority="13" equalAverage="0" operator="lessThan" aboveAverage="0" dxfId="10" text="" percent="0" bottom="0">
      <formula>18</formula>
    </cfRule>
  </conditionalFormatting>
  <conditionalFormatting sqref="B15">
    <cfRule type="cellIs" rank="0" priority="14" equalAverage="0" operator="greaterThan" aboveAverage="0" dxfId="8" text="" percent="0" bottom="0">
      <formula>0</formula>
    </cfRule>
    <cfRule type="cellIs" rank="0" priority="15" equalAverage="0" operator="lessThan" aboveAverage="0" dxfId="9" text="" percent="0" bottom="0">
      <formula>MaliyetEsik</formula>
    </cfRule>
  </conditionalFormatting>
  <conditionalFormatting sqref="D15">
    <cfRule type="cellIs" rank="0" priority="16" equalAverage="0" operator="lessThan" aboveAverage="0" dxfId="10" text="" percent="0" bottom="0">
      <formula>18</formula>
    </cfRule>
  </conditionalFormatting>
  <conditionalFormatting sqref="B16">
    <cfRule type="cellIs" rank="0" priority="17" equalAverage="0" operator="greaterThan" aboveAverage="0" dxfId="8" text="" percent="0" bottom="0">
      <formula>0</formula>
    </cfRule>
    <cfRule type="cellIs" rank="0" priority="18" equalAverage="0" operator="lessThan" aboveAverage="0" dxfId="9" text="" percent="0" bottom="0">
      <formula>MaliyetEsik</formula>
    </cfRule>
  </conditionalFormatting>
  <conditionalFormatting sqref="D16">
    <cfRule type="cellIs" rank="0" priority="19" equalAverage="0" operator="lessThan" aboveAverage="0" dxfId="10" text="" percent="0" bottom="0">
      <formula>18</formula>
    </cfRule>
  </conditionalFormatting>
  <conditionalFormatting sqref="B17">
    <cfRule type="cellIs" rank="0" priority="20" equalAverage="0" operator="greaterThan" aboveAverage="0" dxfId="8" text="" percent="0" bottom="0">
      <formula>0</formula>
    </cfRule>
    <cfRule type="cellIs" rank="0" priority="21" equalAverage="0" operator="lessThan" aboveAverage="0" dxfId="9" text="" percent="0" bottom="0">
      <formula>MaliyetEsik</formula>
    </cfRule>
  </conditionalFormatting>
  <conditionalFormatting sqref="D17">
    <cfRule type="cellIs" rank="0" priority="22" equalAverage="0" operator="lessThan" aboveAverage="0" dxfId="10" text="" percent="0" bottom="0">
      <formula>18</formula>
    </cfRule>
  </conditionalFormatting>
  <conditionalFormatting sqref="B18">
    <cfRule type="cellIs" rank="0" priority="23" equalAverage="0" operator="greaterThan" aboveAverage="0" dxfId="8" text="" percent="0" bottom="0">
      <formula>0</formula>
    </cfRule>
    <cfRule type="cellIs" rank="0" priority="24" equalAverage="0" operator="lessThan" aboveAverage="0" dxfId="9" text="" percent="0" bottom="0">
      <formula>MaliyetEsik</formula>
    </cfRule>
  </conditionalFormatting>
  <conditionalFormatting sqref="D18">
    <cfRule type="cellIs" rank="0" priority="25" equalAverage="0" operator="lessThan" aboveAverage="0" dxfId="10" text="" percent="0" bottom="0">
      <formula>18</formula>
    </cfRule>
  </conditionalFormatting>
  <conditionalFormatting sqref="B19">
    <cfRule type="cellIs" rank="0" priority="26" equalAverage="0" operator="greaterThan" aboveAverage="0" dxfId="8" text="" percent="0" bottom="0">
      <formula>0</formula>
    </cfRule>
    <cfRule type="cellIs" rank="0" priority="27" equalAverage="0" operator="lessThan" aboveAverage="0" dxfId="9" text="" percent="0" bottom="0">
      <formula>MaliyetEsik</formula>
    </cfRule>
  </conditionalFormatting>
  <conditionalFormatting sqref="D19">
    <cfRule type="cellIs" rank="0" priority="28" equalAverage="0" operator="lessThan" aboveAverage="0" dxfId="10" text="" percent="0" bottom="0">
      <formula>18</formula>
    </cfRule>
  </conditionalFormatting>
  <conditionalFormatting sqref="B20">
    <cfRule type="cellIs" rank="0" priority="29" equalAverage="0" operator="greaterThan" aboveAverage="0" dxfId="8" text="" percent="0" bottom="0">
      <formula>0</formula>
    </cfRule>
    <cfRule type="cellIs" rank="0" priority="30" equalAverage="0" operator="lessThan" aboveAverage="0" dxfId="9" text="" percent="0" bottom="0">
      <formula>MaliyetEsik</formula>
    </cfRule>
  </conditionalFormatting>
  <conditionalFormatting sqref="D20">
    <cfRule type="cellIs" rank="0" priority="31" equalAverage="0" operator="lessThan" aboveAverage="0" dxfId="10" text="" percent="0" bottom="0">
      <formula>18</formula>
    </cfRule>
  </conditionalFormatting>
  <conditionalFormatting sqref="B21">
    <cfRule type="cellIs" rank="0" priority="32" equalAverage="0" operator="greaterThan" aboveAverage="0" dxfId="8" text="" percent="0" bottom="0">
      <formula>0</formula>
    </cfRule>
    <cfRule type="cellIs" rank="0" priority="33" equalAverage="0" operator="lessThan" aboveAverage="0" dxfId="9" text="" percent="0" bottom="0">
      <formula>MaliyetEsik</formula>
    </cfRule>
  </conditionalFormatting>
  <conditionalFormatting sqref="D21">
    <cfRule type="cellIs" rank="0" priority="34" equalAverage="0" operator="lessThan" aboveAverage="0" dxfId="10" text="" percent="0" bottom="0">
      <formula>18</formula>
    </cfRule>
  </conditionalFormatting>
  <conditionalFormatting sqref="B22">
    <cfRule type="cellIs" rank="0" priority="35" equalAverage="0" operator="greaterThan" aboveAverage="0" dxfId="8" text="" percent="0" bottom="0">
      <formula>0</formula>
    </cfRule>
    <cfRule type="cellIs" rank="0" priority="36" equalAverage="0" operator="lessThan" aboveAverage="0" dxfId="9" text="" percent="0" bottom="0">
      <formula>MaliyetEsik</formula>
    </cfRule>
  </conditionalFormatting>
  <conditionalFormatting sqref="D22">
    <cfRule type="cellIs" rank="0" priority="37" equalAverage="0" operator="lessThan" aboveAverage="0" dxfId="10" text="" percent="0" bottom="0">
      <formula>18</formula>
    </cfRule>
  </conditionalFormatting>
  <conditionalFormatting sqref="B23">
    <cfRule type="cellIs" rank="0" priority="38" equalAverage="0" operator="greaterThan" aboveAverage="0" dxfId="8" text="" percent="0" bottom="0">
      <formula>0</formula>
    </cfRule>
    <cfRule type="cellIs" rank="0" priority="39" equalAverage="0" operator="lessThan" aboveAverage="0" dxfId="9" text="" percent="0" bottom="0">
      <formula>MaliyetEsik</formula>
    </cfRule>
  </conditionalFormatting>
  <conditionalFormatting sqref="D23">
    <cfRule type="cellIs" rank="0" priority="40" equalAverage="0" operator="lessThan" aboveAverage="0" dxfId="10" text="" percent="0" bottom="0">
      <formula>18</formula>
    </cfRule>
  </conditionalFormatting>
  <conditionalFormatting sqref="B24">
    <cfRule type="cellIs" rank="0" priority="41" equalAverage="0" operator="greaterThan" aboveAverage="0" dxfId="8" text="" percent="0" bottom="0">
      <formula>0</formula>
    </cfRule>
    <cfRule type="cellIs" rank="0" priority="42" equalAverage="0" operator="lessThan" aboveAverage="0" dxfId="9" text="" percent="0" bottom="0">
      <formula>MaliyetEsik</formula>
    </cfRule>
  </conditionalFormatting>
  <conditionalFormatting sqref="D24">
    <cfRule type="cellIs" rank="0" priority="43" equalAverage="0" operator="lessThan" aboveAverage="0" dxfId="10" text="" percent="0" bottom="0">
      <formula>18</formula>
    </cfRule>
  </conditionalFormatting>
  <conditionalFormatting sqref="B25">
    <cfRule type="cellIs" rank="0" priority="44" equalAverage="0" operator="greaterThan" aboveAverage="0" dxfId="8" text="" percent="0" bottom="0">
      <formula>0</formula>
    </cfRule>
    <cfRule type="cellIs" rank="0" priority="45" equalAverage="0" operator="lessThan" aboveAverage="0" dxfId="9" text="" percent="0" bottom="0">
      <formula>MaliyetEsik</formula>
    </cfRule>
  </conditionalFormatting>
  <conditionalFormatting sqref="D25">
    <cfRule type="cellIs" rank="0" priority="46" equalAverage="0" operator="lessThan" aboveAverage="0" dxfId="10" text="" percent="0" bottom="0">
      <formula>18</formula>
    </cfRule>
  </conditionalFormatting>
  <conditionalFormatting sqref="B26">
    <cfRule type="cellIs" rank="0" priority="47" equalAverage="0" operator="greaterThan" aboveAverage="0" dxfId="8" text="" percent="0" bottom="0">
      <formula>0</formula>
    </cfRule>
    <cfRule type="cellIs" rank="0" priority="48" equalAverage="0" operator="lessThan" aboveAverage="0" dxfId="9" text="" percent="0" bottom="0">
      <formula>MaliyetEsik</formula>
    </cfRule>
  </conditionalFormatting>
  <conditionalFormatting sqref="D26">
    <cfRule type="cellIs" rank="0" priority="49" equalAverage="0" operator="lessThan" aboveAverage="0" dxfId="10" text="" percent="0" bottom="0">
      <formula>18</formula>
    </cfRule>
  </conditionalFormatting>
  <conditionalFormatting sqref="B27">
    <cfRule type="cellIs" rank="0" priority="50" equalAverage="0" operator="greaterThan" aboveAverage="0" dxfId="8" text="" percent="0" bottom="0">
      <formula>0</formula>
    </cfRule>
    <cfRule type="cellIs" rank="0" priority="51" equalAverage="0" operator="lessThan" aboveAverage="0" dxfId="9" text="" percent="0" bottom="0">
      <formula>MaliyetEsik</formula>
    </cfRule>
  </conditionalFormatting>
  <conditionalFormatting sqref="D27">
    <cfRule type="cellIs" rank="0" priority="52" equalAverage="0" operator="lessThan" aboveAverage="0" dxfId="10" text="" percent="0" bottom="0">
      <formula>18</formula>
    </cfRule>
  </conditionalFormatting>
  <conditionalFormatting sqref="B28">
    <cfRule type="cellIs" rank="0" priority="53" equalAverage="0" operator="greaterThan" aboveAverage="0" dxfId="8" text="" percent="0" bottom="0">
      <formula>0</formula>
    </cfRule>
    <cfRule type="cellIs" rank="0" priority="54" equalAverage="0" operator="lessThan" aboveAverage="0" dxfId="9" text="" percent="0" bottom="0">
      <formula>MaliyetEsik</formula>
    </cfRule>
  </conditionalFormatting>
  <conditionalFormatting sqref="D28">
    <cfRule type="cellIs" rank="0" priority="55" equalAverage="0" operator="lessThan" aboveAverage="0" dxfId="10" text="" percent="0" bottom="0">
      <formula>18</formula>
    </cfRule>
  </conditionalFormatting>
  <conditionalFormatting sqref="B29">
    <cfRule type="cellIs" rank="0" priority="56" equalAverage="0" operator="greaterThan" aboveAverage="0" dxfId="8" text="" percent="0" bottom="0">
      <formula>0</formula>
    </cfRule>
    <cfRule type="cellIs" rank="0" priority="57" equalAverage="0" operator="lessThan" aboveAverage="0" dxfId="9" text="" percent="0" bottom="0">
      <formula>MaliyetEsik</formula>
    </cfRule>
  </conditionalFormatting>
  <conditionalFormatting sqref="D29">
    <cfRule type="cellIs" rank="0" priority="58" equalAverage="0" operator="lessThan" aboveAverage="0" dxfId="10" text="" percent="0" bottom="0">
      <formula>18</formula>
    </cfRule>
  </conditionalFormatting>
  <conditionalFormatting sqref="B30">
    <cfRule type="cellIs" rank="0" priority="59" equalAverage="0" operator="greaterThan" aboveAverage="0" dxfId="8" text="" percent="0" bottom="0">
      <formula>0</formula>
    </cfRule>
    <cfRule type="cellIs" rank="0" priority="60" equalAverage="0" operator="lessThan" aboveAverage="0" dxfId="9" text="" percent="0" bottom="0">
      <formula>MaliyetEsik</formula>
    </cfRule>
  </conditionalFormatting>
  <conditionalFormatting sqref="D30">
    <cfRule type="cellIs" rank="0" priority="61" equalAverage="0" operator="lessThan" aboveAverage="0" dxfId="10" text="" percent="0" bottom="0">
      <formula>18</formula>
    </cfRule>
  </conditionalFormatting>
  <conditionalFormatting sqref="B31">
    <cfRule type="cellIs" rank="0" priority="62" equalAverage="0" operator="greaterThan" aboveAverage="0" dxfId="8" text="" percent="0" bottom="0">
      <formula>0</formula>
    </cfRule>
    <cfRule type="cellIs" rank="0" priority="63" equalAverage="0" operator="lessThan" aboveAverage="0" dxfId="9" text="" percent="0" bottom="0">
      <formula>MaliyetEsik</formula>
    </cfRule>
  </conditionalFormatting>
  <conditionalFormatting sqref="D31">
    <cfRule type="cellIs" rank="0" priority="64" equalAverage="0" operator="lessThan" aboveAverage="0" dxfId="10" text="" percent="0" bottom="0">
      <formula>18</formula>
    </cfRule>
  </conditionalFormatting>
  <conditionalFormatting sqref="B32">
    <cfRule type="cellIs" rank="0" priority="65" equalAverage="0" operator="greaterThan" aboveAverage="0" dxfId="8" text="" percent="0" bottom="0">
      <formula>0</formula>
    </cfRule>
    <cfRule type="cellIs" rank="0" priority="66" equalAverage="0" operator="lessThan" aboveAverage="0" dxfId="9" text="" percent="0" bottom="0">
      <formula>MaliyetEsik</formula>
    </cfRule>
  </conditionalFormatting>
  <conditionalFormatting sqref="D32">
    <cfRule type="cellIs" rank="0" priority="67" equalAverage="0" operator="lessThan" aboveAverage="0" dxfId="10" text="" percent="0" bottom="0">
      <formula>18</formula>
    </cfRule>
  </conditionalFormatting>
  <conditionalFormatting sqref="B33">
    <cfRule type="cellIs" rank="0" priority="68" equalAverage="0" operator="greaterThan" aboveAverage="0" dxfId="8" text="" percent="0" bottom="0">
      <formula>0</formula>
    </cfRule>
    <cfRule type="cellIs" rank="0" priority="69" equalAverage="0" operator="lessThan" aboveAverage="0" dxfId="9" text="" percent="0" bottom="0">
      <formula>MaliyetEsik</formula>
    </cfRule>
  </conditionalFormatting>
  <conditionalFormatting sqref="D33">
    <cfRule type="cellIs" rank="0" priority="70" equalAverage="0" operator="lessThan" aboveAverage="0" dxfId="10" text="" percent="0" bottom="0">
      <formula>18</formula>
    </cfRule>
  </conditionalFormatting>
  <conditionalFormatting sqref="B34">
    <cfRule type="cellIs" rank="0" priority="71" equalAverage="0" operator="greaterThan" aboveAverage="0" dxfId="8" text="" percent="0" bottom="0">
      <formula>0</formula>
    </cfRule>
    <cfRule type="cellIs" rank="0" priority="72" equalAverage="0" operator="lessThan" aboveAverage="0" dxfId="9" text="" percent="0" bottom="0">
      <formula>MaliyetEsik</formula>
    </cfRule>
  </conditionalFormatting>
  <conditionalFormatting sqref="D34">
    <cfRule type="cellIs" rank="0" priority="73" equalAverage="0" operator="lessThan" aboveAverage="0" dxfId="10" text="" percent="0" bottom="0">
      <formula>18</formula>
    </cfRule>
  </conditionalFormatting>
  <conditionalFormatting sqref="B35">
    <cfRule type="cellIs" rank="0" priority="74" equalAverage="0" operator="greaterThan" aboveAverage="0" dxfId="8" text="" percent="0" bottom="0">
      <formula>0</formula>
    </cfRule>
    <cfRule type="cellIs" rank="0" priority="75" equalAverage="0" operator="lessThan" aboveAverage="0" dxfId="9" text="" percent="0" bottom="0">
      <formula>MaliyetEsik</formula>
    </cfRule>
  </conditionalFormatting>
  <conditionalFormatting sqref="D35">
    <cfRule type="cellIs" rank="0" priority="76" equalAverage="0" operator="lessThan" aboveAverage="0" dxfId="10" text="" percent="0" bottom="0">
      <formula>18</formula>
    </cfRule>
  </conditionalFormatting>
  <conditionalFormatting sqref="B36">
    <cfRule type="cellIs" rank="0" priority="77" equalAverage="0" operator="greaterThan" aboveAverage="0" dxfId="8" text="" percent="0" bottom="0">
      <formula>0</formula>
    </cfRule>
    <cfRule type="cellIs" rank="0" priority="78" equalAverage="0" operator="lessThan" aboveAverage="0" dxfId="9" text="" percent="0" bottom="0">
      <formula>MaliyetEsik</formula>
    </cfRule>
  </conditionalFormatting>
  <conditionalFormatting sqref="D36">
    <cfRule type="cellIs" rank="0" priority="79" equalAverage="0" operator="lessThan" aboveAverage="0" dxfId="10" text="" percent="0" bottom="0">
      <formula>18</formula>
    </cfRule>
  </conditionalFormatting>
  <conditionalFormatting sqref="B37">
    <cfRule type="cellIs" rank="0" priority="80" equalAverage="0" operator="greaterThan" aboveAverage="0" dxfId="8" text="" percent="0" bottom="0">
      <formula>0</formula>
    </cfRule>
    <cfRule type="cellIs" rank="0" priority="81" equalAverage="0" operator="lessThan" aboveAverage="0" dxfId="9" text="" percent="0" bottom="0">
      <formula>MaliyetEsik</formula>
    </cfRule>
  </conditionalFormatting>
  <conditionalFormatting sqref="D37">
    <cfRule type="cellIs" rank="0" priority="82" equalAverage="0" operator="lessThan" aboveAverage="0" dxfId="10" text="" percent="0" bottom="0">
      <formula>18</formula>
    </cfRule>
  </conditionalFormatting>
  <conditionalFormatting sqref="B38">
    <cfRule type="cellIs" rank="0" priority="83" equalAverage="0" operator="greaterThan" aboveAverage="0" dxfId="8" text="" percent="0" bottom="0">
      <formula>0</formula>
    </cfRule>
    <cfRule type="cellIs" rank="0" priority="84" equalAverage="0" operator="lessThan" aboveAverage="0" dxfId="9" text="" percent="0" bottom="0">
      <formula>MaliyetEsik</formula>
    </cfRule>
  </conditionalFormatting>
  <conditionalFormatting sqref="D38">
    <cfRule type="cellIs" rank="0" priority="85" equalAverage="0" operator="lessThan" aboveAverage="0" dxfId="10" text="" percent="0" bottom="0">
      <formula>18</formula>
    </cfRule>
  </conditionalFormatting>
  <conditionalFormatting sqref="B39">
    <cfRule type="cellIs" rank="0" priority="86" equalAverage="0" operator="greaterThan" aboveAverage="0" dxfId="8" text="" percent="0" bottom="0">
      <formula>0</formula>
    </cfRule>
    <cfRule type="cellIs" rank="0" priority="87" equalAverage="0" operator="lessThan" aboveAverage="0" dxfId="9" text="" percent="0" bottom="0">
      <formula>MaliyetEsik</formula>
    </cfRule>
  </conditionalFormatting>
  <conditionalFormatting sqref="D39">
    <cfRule type="cellIs" rank="0" priority="88" equalAverage="0" operator="lessThan" aboveAverage="0" dxfId="10" text="" percent="0" bottom="0">
      <formula>18</formula>
    </cfRule>
  </conditionalFormatting>
  <conditionalFormatting sqref="B40">
    <cfRule type="cellIs" rank="0" priority="89" equalAverage="0" operator="greaterThan" aboveAverage="0" dxfId="8" text="" percent="0" bottom="0">
      <formula>0</formula>
    </cfRule>
    <cfRule type="cellIs" rank="0" priority="90" equalAverage="0" operator="lessThan" aboveAverage="0" dxfId="9" text="" percent="0" bottom="0">
      <formula>MaliyetEsik</formula>
    </cfRule>
  </conditionalFormatting>
  <conditionalFormatting sqref="D40">
    <cfRule type="cellIs" rank="0" priority="91" equalAverage="0" operator="lessThan" aboveAverage="0" dxfId="10" text="" percent="0" bottom="0">
      <formula>18</formula>
    </cfRule>
  </conditionalFormatting>
  <conditionalFormatting sqref="B41">
    <cfRule type="cellIs" rank="0" priority="92" equalAverage="0" operator="greaterThan" aboveAverage="0" dxfId="8" text="" percent="0" bottom="0">
      <formula>0</formula>
    </cfRule>
    <cfRule type="cellIs" rank="0" priority="93" equalAverage="0" operator="lessThan" aboveAverage="0" dxfId="9" text="" percent="0" bottom="0">
      <formula>MaliyetEsik</formula>
    </cfRule>
  </conditionalFormatting>
  <conditionalFormatting sqref="D41">
    <cfRule type="cellIs" rank="0" priority="94" equalAverage="0" operator="lessThan" aboveAverage="0" dxfId="10" text="" percent="0" bottom="0">
      <formula>18</formula>
    </cfRule>
  </conditionalFormatting>
  <conditionalFormatting sqref="B42">
    <cfRule type="cellIs" rank="0" priority="95" equalAverage="0" operator="greaterThan" aboveAverage="0" dxfId="8" text="" percent="0" bottom="0">
      <formula>0</formula>
    </cfRule>
    <cfRule type="cellIs" rank="0" priority="96" equalAverage="0" operator="lessThan" aboveAverage="0" dxfId="9" text="" percent="0" bottom="0">
      <formula>MaliyetEsik</formula>
    </cfRule>
  </conditionalFormatting>
  <conditionalFormatting sqref="D42">
    <cfRule type="cellIs" rank="0" priority="97" equalAverage="0" operator="lessThan" aboveAverage="0" dxfId="10" text="" percent="0" bottom="0">
      <formula>18</formula>
    </cfRule>
  </conditionalFormatting>
  <conditionalFormatting sqref="B43">
    <cfRule type="cellIs" rank="0" priority="98" equalAverage="0" operator="greaterThan" aboveAverage="0" dxfId="8" text="" percent="0" bottom="0">
      <formula>0</formula>
    </cfRule>
    <cfRule type="cellIs" rank="0" priority="99" equalAverage="0" operator="lessThan" aboveAverage="0" dxfId="9" text="" percent="0" bottom="0">
      <formula>MaliyetEsik</formula>
    </cfRule>
  </conditionalFormatting>
  <conditionalFormatting sqref="D43">
    <cfRule type="cellIs" rank="0" priority="100" equalAverage="0" operator="lessThan" aboveAverage="0" dxfId="10" text="" percent="0" bottom="0">
      <formula>18</formula>
    </cfRule>
  </conditionalFormatting>
  <conditionalFormatting sqref="B44">
    <cfRule type="cellIs" rank="0" priority="101" equalAverage="0" operator="greaterThan" aboveAverage="0" dxfId="8" text="" percent="0" bottom="0">
      <formula>0</formula>
    </cfRule>
    <cfRule type="cellIs" rank="0" priority="102" equalAverage="0" operator="lessThan" aboveAverage="0" dxfId="9" text="" percent="0" bottom="0">
      <formula>MaliyetEsik</formula>
    </cfRule>
  </conditionalFormatting>
  <conditionalFormatting sqref="D44">
    <cfRule type="cellIs" rank="0" priority="103" equalAverage="0" operator="lessThan" aboveAverage="0" dxfId="10" text="" percent="0" bottom="0">
      <formula>18</formula>
    </cfRule>
  </conditionalFormatting>
  <conditionalFormatting sqref="B45">
    <cfRule type="cellIs" rank="0" priority="104" equalAverage="0" operator="greaterThan" aboveAverage="0" dxfId="8" text="" percent="0" bottom="0">
      <formula>0</formula>
    </cfRule>
    <cfRule type="cellIs" rank="0" priority="105" equalAverage="0" operator="lessThan" aboveAverage="0" dxfId="9" text="" percent="0" bottom="0">
      <formula>MaliyetEsik</formula>
    </cfRule>
  </conditionalFormatting>
  <conditionalFormatting sqref="D45">
    <cfRule type="cellIs" rank="0" priority="106" equalAverage="0" operator="lessThan" aboveAverage="0" dxfId="10" text="" percent="0" bottom="0">
      <formula>18</formula>
    </cfRule>
  </conditionalFormatting>
  <conditionalFormatting sqref="B46">
    <cfRule type="cellIs" rank="0" priority="107" equalAverage="0" operator="greaterThan" aboveAverage="0" dxfId="8" text="" percent="0" bottom="0">
      <formula>0</formula>
    </cfRule>
    <cfRule type="cellIs" rank="0" priority="108" equalAverage="0" operator="lessThan" aboveAverage="0" dxfId="9" text="" percent="0" bottom="0">
      <formula>MaliyetEsik</formula>
    </cfRule>
  </conditionalFormatting>
  <conditionalFormatting sqref="D46">
    <cfRule type="cellIs" rank="0" priority="109" equalAverage="0" operator="lessThan" aboveAverage="0" dxfId="10" text="" percent="0" bottom="0">
      <formula>18</formula>
    </cfRule>
  </conditionalFormatting>
  <conditionalFormatting sqref="B47">
    <cfRule type="cellIs" rank="0" priority="110" equalAverage="0" operator="greaterThan" aboveAverage="0" dxfId="8" text="" percent="0" bottom="0">
      <formula>0</formula>
    </cfRule>
    <cfRule type="cellIs" rank="0" priority="111" equalAverage="0" operator="lessThan" aboveAverage="0" dxfId="9" text="" percent="0" bottom="0">
      <formula>MaliyetEsik</formula>
    </cfRule>
  </conditionalFormatting>
  <conditionalFormatting sqref="D47">
    <cfRule type="cellIs" rank="0" priority="112" equalAverage="0" operator="lessThan" aboveAverage="0" dxfId="10" text="" percent="0" bottom="0">
      <formula>18</formula>
    </cfRule>
  </conditionalFormatting>
  <conditionalFormatting sqref="B48">
    <cfRule type="cellIs" rank="0" priority="113" equalAverage="0" operator="greaterThan" aboveAverage="0" dxfId="8" text="" percent="0" bottom="0">
      <formula>0</formula>
    </cfRule>
    <cfRule type="cellIs" rank="0" priority="114" equalAverage="0" operator="lessThan" aboveAverage="0" dxfId="9" text="" percent="0" bottom="0">
      <formula>MaliyetEsik</formula>
    </cfRule>
  </conditionalFormatting>
  <conditionalFormatting sqref="D48">
    <cfRule type="cellIs" rank="0" priority="115" equalAverage="0" operator="lessThan" aboveAverage="0" dxfId="10" text="" percent="0" bottom="0">
      <formula>18</formula>
    </cfRule>
  </conditionalFormatting>
  <conditionalFormatting sqref="B49">
    <cfRule type="cellIs" rank="0" priority="116" equalAverage="0" operator="greaterThan" aboveAverage="0" dxfId="8" text="" percent="0" bottom="0">
      <formula>0</formula>
    </cfRule>
    <cfRule type="cellIs" rank="0" priority="117" equalAverage="0" operator="lessThan" aboveAverage="0" dxfId="9" text="" percent="0" bottom="0">
      <formula>MaliyetEsik</formula>
    </cfRule>
  </conditionalFormatting>
  <conditionalFormatting sqref="D49">
    <cfRule type="cellIs" rank="0" priority="118" equalAverage="0" operator="lessThan" aboveAverage="0" dxfId="10" text="" percent="0" bottom="0">
      <formula>18</formula>
    </cfRule>
  </conditionalFormatting>
  <conditionalFormatting sqref="B50">
    <cfRule type="cellIs" rank="0" priority="119" equalAverage="0" operator="greaterThan" aboveAverage="0" dxfId="8" text="" percent="0" bottom="0">
      <formula>0</formula>
    </cfRule>
    <cfRule type="cellIs" rank="0" priority="120" equalAverage="0" operator="lessThan" aboveAverage="0" dxfId="9" text="" percent="0" bottom="0">
      <formula>MaliyetEsik</formula>
    </cfRule>
  </conditionalFormatting>
  <conditionalFormatting sqref="D50">
    <cfRule type="cellIs" rank="0" priority="121" equalAverage="0" operator="lessThan" aboveAverage="0" dxfId="10" text="" percent="0" bottom="0">
      <formula>18</formula>
    </cfRule>
  </conditionalFormatting>
  <conditionalFormatting sqref="B51">
    <cfRule type="cellIs" rank="0" priority="122" equalAverage="0" operator="greaterThan" aboveAverage="0" dxfId="8" text="" percent="0" bottom="0">
      <formula>0</formula>
    </cfRule>
    <cfRule type="cellIs" rank="0" priority="123" equalAverage="0" operator="lessThan" aboveAverage="0" dxfId="9" text="" percent="0" bottom="0">
      <formula>MaliyetEsik</formula>
    </cfRule>
  </conditionalFormatting>
  <conditionalFormatting sqref="D51">
    <cfRule type="cellIs" rank="0" priority="124" equalAverage="0" operator="lessThan" aboveAverage="0" dxfId="10" text="" percent="0" bottom="0">
      <formula>18</formula>
    </cfRule>
  </conditionalFormatting>
  <conditionalFormatting sqref="B52">
    <cfRule type="cellIs" rank="0" priority="125" equalAverage="0" operator="greaterThan" aboveAverage="0" dxfId="8" text="" percent="0" bottom="0">
      <formula>0</formula>
    </cfRule>
    <cfRule type="cellIs" rank="0" priority="126" equalAverage="0" operator="lessThan" aboveAverage="0" dxfId="9" text="" percent="0" bottom="0">
      <formula>MaliyetEsik</formula>
    </cfRule>
  </conditionalFormatting>
  <conditionalFormatting sqref="D52">
    <cfRule type="cellIs" rank="0" priority="127" equalAverage="0" operator="lessThan" aboveAverage="0" dxfId="10" text="" percent="0" bottom="0">
      <formula>18</formula>
    </cfRule>
  </conditionalFormatting>
  <conditionalFormatting sqref="B53">
    <cfRule type="cellIs" rank="0" priority="128" equalAverage="0" operator="greaterThan" aboveAverage="0" dxfId="8" text="" percent="0" bottom="0">
      <formula>0</formula>
    </cfRule>
    <cfRule type="cellIs" rank="0" priority="129" equalAverage="0" operator="lessThan" aboveAverage="0" dxfId="9" text="" percent="0" bottom="0">
      <formula>MaliyetEsik</formula>
    </cfRule>
  </conditionalFormatting>
  <conditionalFormatting sqref="D53">
    <cfRule type="cellIs" rank="0" priority="130" equalAverage="0" operator="lessThan" aboveAverage="0" dxfId="10" text="" percent="0" bottom="0">
      <formula>18</formula>
    </cfRule>
  </conditionalFormatting>
  <conditionalFormatting sqref="B54">
    <cfRule type="cellIs" rank="0" priority="131" equalAverage="0" operator="greaterThan" aboveAverage="0" dxfId="8" text="" percent="0" bottom="0">
      <formula>0</formula>
    </cfRule>
    <cfRule type="cellIs" rank="0" priority="132" equalAverage="0" operator="lessThan" aboveAverage="0" dxfId="9" text="" percent="0" bottom="0">
      <formula>MaliyetEsik</formula>
    </cfRule>
  </conditionalFormatting>
  <conditionalFormatting sqref="D54">
    <cfRule type="cellIs" rank="0" priority="133" equalAverage="0" operator="lessThan" aboveAverage="0" dxfId="10" text="" percent="0" bottom="0">
      <formula>18</formula>
    </cfRule>
  </conditionalFormatting>
  <conditionalFormatting sqref="B55">
    <cfRule type="cellIs" rank="0" priority="134" equalAverage="0" operator="greaterThan" aboveAverage="0" dxfId="8" text="" percent="0" bottom="0">
      <formula>0</formula>
    </cfRule>
    <cfRule type="cellIs" rank="0" priority="135" equalAverage="0" operator="lessThan" aboveAverage="0" dxfId="9" text="" percent="0" bottom="0">
      <formula>MaliyetEsik</formula>
    </cfRule>
  </conditionalFormatting>
  <conditionalFormatting sqref="D55">
    <cfRule type="cellIs" rank="0" priority="136" equalAverage="0" operator="lessThan" aboveAverage="0" dxfId="10" text="" percent="0" bottom="0">
      <formula>18</formula>
    </cfRule>
  </conditionalFormatting>
  <conditionalFormatting sqref="B56">
    <cfRule type="cellIs" rank="0" priority="137" equalAverage="0" operator="greaterThan" aboveAverage="0" dxfId="8" text="" percent="0" bottom="0">
      <formula>0</formula>
    </cfRule>
    <cfRule type="cellIs" rank="0" priority="138" equalAverage="0" operator="lessThan" aboveAverage="0" dxfId="9" text="" percent="0" bottom="0">
      <formula>MaliyetEsik</formula>
    </cfRule>
  </conditionalFormatting>
  <conditionalFormatting sqref="D56">
    <cfRule type="cellIs" rank="0" priority="139" equalAverage="0" operator="lessThan" aboveAverage="0" dxfId="10" text="" percent="0" bottom="0">
      <formula>18</formula>
    </cfRule>
  </conditionalFormatting>
  <conditionalFormatting sqref="B57">
    <cfRule type="cellIs" rank="0" priority="140" equalAverage="0" operator="greaterThan" aboveAverage="0" dxfId="8" text="" percent="0" bottom="0">
      <formula>0</formula>
    </cfRule>
    <cfRule type="cellIs" rank="0" priority="141" equalAverage="0" operator="lessThan" aboveAverage="0" dxfId="9" text="" percent="0" bottom="0">
      <formula>MaliyetEsik</formula>
    </cfRule>
  </conditionalFormatting>
  <conditionalFormatting sqref="D57">
    <cfRule type="cellIs" rank="0" priority="142" equalAverage="0" operator="lessThan" aboveAverage="0" dxfId="10" text="" percent="0" bottom="0">
      <formula>18</formula>
    </cfRule>
  </conditionalFormatting>
  <conditionalFormatting sqref="B58">
    <cfRule type="cellIs" rank="0" priority="143" equalAverage="0" operator="greaterThan" aboveAverage="0" dxfId="8" text="" percent="0" bottom="0">
      <formula>0</formula>
    </cfRule>
    <cfRule type="cellIs" rank="0" priority="144" equalAverage="0" operator="lessThan" aboveAverage="0" dxfId="9" text="" percent="0" bottom="0">
      <formula>MaliyetEsik</formula>
    </cfRule>
  </conditionalFormatting>
  <conditionalFormatting sqref="D58">
    <cfRule type="cellIs" rank="0" priority="145" equalAverage="0" operator="lessThan" aboveAverage="0" dxfId="10" text="" percent="0" bottom="0">
      <formula>18</formula>
    </cfRule>
  </conditionalFormatting>
  <conditionalFormatting sqref="B59">
    <cfRule type="cellIs" rank="0" priority="146" equalAverage="0" operator="greaterThan" aboveAverage="0" dxfId="8" text="" percent="0" bottom="0">
      <formula>0</formula>
    </cfRule>
    <cfRule type="cellIs" rank="0" priority="147" equalAverage="0" operator="lessThan" aboveAverage="0" dxfId="9" text="" percent="0" bottom="0">
      <formula>MaliyetEsik</formula>
    </cfRule>
  </conditionalFormatting>
  <conditionalFormatting sqref="D59">
    <cfRule type="cellIs" rank="0" priority="148" equalAverage="0" operator="lessThan" aboveAverage="0" dxfId="10" text="" percent="0" bottom="0">
      <formula>18</formula>
    </cfRule>
  </conditionalFormatting>
  <conditionalFormatting sqref="B60">
    <cfRule type="cellIs" rank="0" priority="149" equalAverage="0" operator="greaterThan" aboveAverage="0" dxfId="8" text="" percent="0" bottom="0">
      <formula>0</formula>
    </cfRule>
    <cfRule type="cellIs" rank="0" priority="150" equalAverage="0" operator="lessThan" aboveAverage="0" dxfId="9" text="" percent="0" bottom="0">
      <formula>MaliyetEsik</formula>
    </cfRule>
  </conditionalFormatting>
  <conditionalFormatting sqref="D60">
    <cfRule type="cellIs" rank="0" priority="151" equalAverage="0" operator="lessThan" aboveAverage="0" dxfId="10" text="" percent="0" bottom="0">
      <formula>18</formula>
    </cfRule>
  </conditionalFormatting>
  <conditionalFormatting sqref="B61">
    <cfRule type="cellIs" rank="0" priority="152" equalAverage="0" operator="greaterThan" aboveAverage="0" dxfId="8" text="" percent="0" bottom="0">
      <formula>0</formula>
    </cfRule>
    <cfRule type="cellIs" rank="0" priority="153" equalAverage="0" operator="lessThan" aboveAverage="0" dxfId="9" text="" percent="0" bottom="0">
      <formula>MaliyetEsik</formula>
    </cfRule>
  </conditionalFormatting>
  <conditionalFormatting sqref="D61">
    <cfRule type="cellIs" rank="0" priority="154" equalAverage="0" operator="lessThan" aboveAverage="0" dxfId="10" text="" percent="0" bottom="0">
      <formula>18</formula>
    </cfRule>
  </conditionalFormatting>
  <conditionalFormatting sqref="B62">
    <cfRule type="cellIs" rank="0" priority="155" equalAverage="0" operator="greaterThan" aboveAverage="0" dxfId="8" text="" percent="0" bottom="0">
      <formula>0</formula>
    </cfRule>
    <cfRule type="cellIs" rank="0" priority="156" equalAverage="0" operator="lessThan" aboveAverage="0" dxfId="9" text="" percent="0" bottom="0">
      <formula>MaliyetEsik</formula>
    </cfRule>
  </conditionalFormatting>
  <conditionalFormatting sqref="D62">
    <cfRule type="cellIs" rank="0" priority="157" equalAverage="0" operator="lessThan" aboveAverage="0" dxfId="10" text="" percent="0" bottom="0">
      <formula>18</formula>
    </cfRule>
  </conditionalFormatting>
  <conditionalFormatting sqref="B63">
    <cfRule type="cellIs" rank="0" priority="158" equalAverage="0" operator="greaterThan" aboveAverage="0" dxfId="8" text="" percent="0" bottom="0">
      <formula>0</formula>
    </cfRule>
    <cfRule type="cellIs" rank="0" priority="159" equalAverage="0" operator="lessThan" aboveAverage="0" dxfId="9" text="" percent="0" bottom="0">
      <formula>MaliyetEsik</formula>
    </cfRule>
  </conditionalFormatting>
  <conditionalFormatting sqref="D63">
    <cfRule type="cellIs" rank="0" priority="160" equalAverage="0" operator="lessThan" aboveAverage="0" dxfId="10" text="" percent="0" bottom="0">
      <formula>18</formula>
    </cfRule>
  </conditionalFormatting>
  <conditionalFormatting sqref="B64">
    <cfRule type="cellIs" rank="0" priority="161" equalAverage="0" operator="greaterThan" aboveAverage="0" dxfId="8" text="" percent="0" bottom="0">
      <formula>0</formula>
    </cfRule>
    <cfRule type="cellIs" rank="0" priority="162" equalAverage="0" operator="lessThan" aboveAverage="0" dxfId="9" text="" percent="0" bottom="0">
      <formula>MaliyetEsik</formula>
    </cfRule>
  </conditionalFormatting>
  <conditionalFormatting sqref="D64">
    <cfRule type="cellIs" rank="0" priority="163" equalAverage="0" operator="lessThan" aboveAverage="0" dxfId="10" text="" percent="0" bottom="0">
      <formula>18</formula>
    </cfRule>
  </conditionalFormatting>
  <conditionalFormatting sqref="B65">
    <cfRule type="cellIs" rank="0" priority="164" equalAverage="0" operator="greaterThan" aboveAverage="0" dxfId="8" text="" percent="0" bottom="0">
      <formula>0</formula>
    </cfRule>
    <cfRule type="cellIs" rank="0" priority="165" equalAverage="0" operator="lessThan" aboveAverage="0" dxfId="9" text="" percent="0" bottom="0">
      <formula>MaliyetEsik</formula>
    </cfRule>
  </conditionalFormatting>
  <conditionalFormatting sqref="D65">
    <cfRule type="cellIs" rank="0" priority="166" equalAverage="0" operator="lessThan" aboveAverage="0" dxfId="10" text="" percent="0" bottom="0">
      <formula>18</formula>
    </cfRule>
  </conditionalFormatting>
  <conditionalFormatting sqref="B66">
    <cfRule type="cellIs" rank="0" priority="167" equalAverage="0" operator="greaterThan" aboveAverage="0" dxfId="8" text="" percent="0" bottom="0">
      <formula>0</formula>
    </cfRule>
    <cfRule type="cellIs" rank="0" priority="168" equalAverage="0" operator="lessThan" aboveAverage="0" dxfId="9" text="" percent="0" bottom="0">
      <formula>MaliyetEsik</formula>
    </cfRule>
  </conditionalFormatting>
  <conditionalFormatting sqref="D66">
    <cfRule type="cellIs" rank="0" priority="169" equalAverage="0" operator="lessThan" aboveAverage="0" dxfId="10" text="" percent="0" bottom="0">
      <formula>18</formula>
    </cfRule>
  </conditionalFormatting>
  <conditionalFormatting sqref="B67">
    <cfRule type="cellIs" rank="0" priority="170" equalAverage="0" operator="greaterThan" aboveAverage="0" dxfId="8" text="" percent="0" bottom="0">
      <formula>0</formula>
    </cfRule>
    <cfRule type="cellIs" rank="0" priority="171" equalAverage="0" operator="lessThan" aboveAverage="0" dxfId="9" text="" percent="0" bottom="0">
      <formula>MaliyetEsik</formula>
    </cfRule>
  </conditionalFormatting>
  <conditionalFormatting sqref="D67">
    <cfRule type="cellIs" rank="0" priority="172" equalAverage="0" operator="lessThan" aboveAverage="0" dxfId="10" text="" percent="0" bottom="0">
      <formula>18</formula>
    </cfRule>
  </conditionalFormatting>
  <conditionalFormatting sqref="B68">
    <cfRule type="cellIs" rank="0" priority="173" equalAverage="0" operator="greaterThan" aboveAverage="0" dxfId="8" text="" percent="0" bottom="0">
      <formula>0</formula>
    </cfRule>
    <cfRule type="cellIs" rank="0" priority="174" equalAverage="0" operator="lessThan" aboveAverage="0" dxfId="9" text="" percent="0" bottom="0">
      <formula>MaliyetEsik</formula>
    </cfRule>
  </conditionalFormatting>
  <conditionalFormatting sqref="D68">
    <cfRule type="cellIs" rank="0" priority="175" equalAverage="0" operator="lessThan" aboveAverage="0" dxfId="10" text="" percent="0" bottom="0">
      <formula>18</formula>
    </cfRule>
  </conditionalFormatting>
  <conditionalFormatting sqref="B69">
    <cfRule type="cellIs" rank="0" priority="176" equalAverage="0" operator="greaterThan" aboveAverage="0" dxfId="8" text="" percent="0" bottom="0">
      <formula>0</formula>
    </cfRule>
    <cfRule type="cellIs" rank="0" priority="177" equalAverage="0" operator="lessThan" aboveAverage="0" dxfId="9" text="" percent="0" bottom="0">
      <formula>MaliyetEsik</formula>
    </cfRule>
  </conditionalFormatting>
  <conditionalFormatting sqref="D69">
    <cfRule type="cellIs" rank="0" priority="178" equalAverage="0" operator="lessThan" aboveAverage="0" dxfId="10" text="" percent="0" bottom="0">
      <formula>18</formula>
    </cfRule>
  </conditionalFormatting>
  <conditionalFormatting sqref="B70">
    <cfRule type="cellIs" rank="0" priority="179" equalAverage="0" operator="greaterThan" aboveAverage="0" dxfId="8" text="" percent="0" bottom="0">
      <formula>0</formula>
    </cfRule>
    <cfRule type="cellIs" rank="0" priority="180" equalAverage="0" operator="lessThan" aboveAverage="0" dxfId="9" text="" percent="0" bottom="0">
      <formula>MaliyetEsik</formula>
    </cfRule>
  </conditionalFormatting>
  <conditionalFormatting sqref="D70">
    <cfRule type="cellIs" rank="0" priority="181" equalAverage="0" operator="lessThan" aboveAverage="0" dxfId="10" text="" percent="0" bottom="0">
      <formula>18</formula>
    </cfRule>
  </conditionalFormatting>
  <conditionalFormatting sqref="B71">
    <cfRule type="cellIs" rank="0" priority="182" equalAverage="0" operator="greaterThan" aboveAverage="0" dxfId="8" text="" percent="0" bottom="0">
      <formula>0</formula>
    </cfRule>
    <cfRule type="cellIs" rank="0" priority="183" equalAverage="0" operator="lessThan" aboveAverage="0" dxfId="9" text="" percent="0" bottom="0">
      <formula>MaliyetEsik</formula>
    </cfRule>
  </conditionalFormatting>
  <conditionalFormatting sqref="D71">
    <cfRule type="cellIs" rank="0" priority="184" equalAverage="0" operator="lessThan" aboveAverage="0" dxfId="10" text="" percent="0" bottom="0">
      <formula>18</formula>
    </cfRule>
  </conditionalFormatting>
  <conditionalFormatting sqref="B72">
    <cfRule type="cellIs" rank="0" priority="185" equalAverage="0" operator="greaterThan" aboveAverage="0" dxfId="8" text="" percent="0" bottom="0">
      <formula>0</formula>
    </cfRule>
    <cfRule type="cellIs" rank="0" priority="186" equalAverage="0" operator="lessThan" aboveAverage="0" dxfId="9" text="" percent="0" bottom="0">
      <formula>MaliyetEsik</formula>
    </cfRule>
  </conditionalFormatting>
  <conditionalFormatting sqref="D72">
    <cfRule type="cellIs" rank="0" priority="187" equalAverage="0" operator="lessThan" aboveAverage="0" dxfId="10" text="" percent="0" bottom="0">
      <formula>18</formula>
    </cfRule>
  </conditionalFormatting>
  <conditionalFormatting sqref="B73">
    <cfRule type="cellIs" rank="0" priority="188" equalAverage="0" operator="greaterThan" aboveAverage="0" dxfId="8" text="" percent="0" bottom="0">
      <formula>0</formula>
    </cfRule>
    <cfRule type="cellIs" rank="0" priority="189" equalAverage="0" operator="lessThan" aboveAverage="0" dxfId="9" text="" percent="0" bottom="0">
      <formula>MaliyetEsik</formula>
    </cfRule>
  </conditionalFormatting>
  <conditionalFormatting sqref="D73">
    <cfRule type="cellIs" rank="0" priority="190" equalAverage="0" operator="lessThan" aboveAverage="0" dxfId="10" text="" percent="0" bottom="0">
      <formula>18</formula>
    </cfRule>
  </conditionalFormatting>
  <conditionalFormatting sqref="B74">
    <cfRule type="cellIs" rank="0" priority="191" equalAverage="0" operator="greaterThan" aboveAverage="0" dxfId="8" text="" percent="0" bottom="0">
      <formula>0</formula>
    </cfRule>
    <cfRule type="cellIs" rank="0" priority="192" equalAverage="0" operator="lessThan" aboveAverage="0" dxfId="9" text="" percent="0" bottom="0">
      <formula>MaliyetEsik</formula>
    </cfRule>
  </conditionalFormatting>
  <conditionalFormatting sqref="D74">
    <cfRule type="cellIs" rank="0" priority="193" equalAverage="0" operator="lessThan" aboveAverage="0" dxfId="10" text="" percent="0" bottom="0">
      <formula>18</formula>
    </cfRule>
  </conditionalFormatting>
  <conditionalFormatting sqref="B75">
    <cfRule type="cellIs" rank="0" priority="194" equalAverage="0" operator="greaterThan" aboveAverage="0" dxfId="8" text="" percent="0" bottom="0">
      <formula>0</formula>
    </cfRule>
    <cfRule type="cellIs" rank="0" priority="195" equalAverage="0" operator="lessThan" aboveAverage="0" dxfId="9" text="" percent="0" bottom="0">
      <formula>MaliyetEsik</formula>
    </cfRule>
  </conditionalFormatting>
  <conditionalFormatting sqref="D75">
    <cfRule type="cellIs" rank="0" priority="196" equalAverage="0" operator="lessThan" aboveAverage="0" dxfId="10" text="" percent="0" bottom="0">
      <formula>18</formula>
    </cfRule>
  </conditionalFormatting>
  <conditionalFormatting sqref="B76">
    <cfRule type="cellIs" rank="0" priority="197" equalAverage="0" operator="greaterThan" aboveAverage="0" dxfId="8" text="" percent="0" bottom="0">
      <formula>0</formula>
    </cfRule>
    <cfRule type="cellIs" rank="0" priority="198" equalAverage="0" operator="lessThan" aboveAverage="0" dxfId="9" text="" percent="0" bottom="0">
      <formula>MaliyetEsik</formula>
    </cfRule>
  </conditionalFormatting>
  <conditionalFormatting sqref="D76">
    <cfRule type="cellIs" rank="0" priority="199" equalAverage="0" operator="lessThan" aboveAverage="0" dxfId="10" text="" percent="0" bottom="0">
      <formula>18</formula>
    </cfRule>
  </conditionalFormatting>
  <conditionalFormatting sqref="B77">
    <cfRule type="cellIs" rank="0" priority="200" equalAverage="0" operator="greaterThan" aboveAverage="0" dxfId="8" text="" percent="0" bottom="0">
      <formula>0</formula>
    </cfRule>
    <cfRule type="cellIs" rank="0" priority="201" equalAverage="0" operator="lessThan" aboveAverage="0" dxfId="9" text="" percent="0" bottom="0">
      <formula>MaliyetEsik</formula>
    </cfRule>
  </conditionalFormatting>
  <conditionalFormatting sqref="D77">
    <cfRule type="cellIs" rank="0" priority="202" equalAverage="0" operator="lessThan" aboveAverage="0" dxfId="10" text="" percent="0" bottom="0">
      <formula>18</formula>
    </cfRule>
  </conditionalFormatting>
  <conditionalFormatting sqref="B78">
    <cfRule type="cellIs" rank="0" priority="203" equalAverage="0" operator="greaterThan" aboveAverage="0" dxfId="8" text="" percent="0" bottom="0">
      <formula>0</formula>
    </cfRule>
    <cfRule type="cellIs" rank="0" priority="204" equalAverage="0" operator="lessThan" aboveAverage="0" dxfId="9" text="" percent="0" bottom="0">
      <formula>MaliyetEsik</formula>
    </cfRule>
  </conditionalFormatting>
  <conditionalFormatting sqref="D78">
    <cfRule type="cellIs" rank="0" priority="205" equalAverage="0" operator="lessThan" aboveAverage="0" dxfId="10" text="" percent="0" bottom="0">
      <formula>18</formula>
    </cfRule>
  </conditionalFormatting>
  <conditionalFormatting sqref="B79">
    <cfRule type="cellIs" rank="0" priority="206" equalAverage="0" operator="greaterThan" aboveAverage="0" dxfId="8" text="" percent="0" bottom="0">
      <formula>0</formula>
    </cfRule>
    <cfRule type="cellIs" rank="0" priority="207" equalAverage="0" operator="lessThan" aboveAverage="0" dxfId="9" text="" percent="0" bottom="0">
      <formula>MaliyetEsik</formula>
    </cfRule>
  </conditionalFormatting>
  <conditionalFormatting sqref="D79">
    <cfRule type="cellIs" rank="0" priority="208" equalAverage="0" operator="lessThan" aboveAverage="0" dxfId="10" text="" percent="0" bottom="0">
      <formula>18</formula>
    </cfRule>
  </conditionalFormatting>
  <conditionalFormatting sqref="B80">
    <cfRule type="cellIs" rank="0" priority="209" equalAverage="0" operator="greaterThan" aboveAverage="0" dxfId="8" text="" percent="0" bottom="0">
      <formula>0</formula>
    </cfRule>
    <cfRule type="cellIs" rank="0" priority="210" equalAverage="0" operator="lessThan" aboveAverage="0" dxfId="9" text="" percent="0" bottom="0">
      <formula>MaliyetEsik</formula>
    </cfRule>
  </conditionalFormatting>
  <conditionalFormatting sqref="D80">
    <cfRule type="cellIs" rank="0" priority="211" equalAverage="0" operator="lessThan" aboveAverage="0" dxfId="10" text="" percent="0" bottom="0">
      <formula>18</formula>
    </cfRule>
  </conditionalFormatting>
  <conditionalFormatting sqref="B81">
    <cfRule type="cellIs" rank="0" priority="212" equalAverage="0" operator="greaterThan" aboveAverage="0" dxfId="8" text="" percent="0" bottom="0">
      <formula>0</formula>
    </cfRule>
    <cfRule type="cellIs" rank="0" priority="213" equalAverage="0" operator="lessThan" aboveAverage="0" dxfId="9" text="" percent="0" bottom="0">
      <formula>MaliyetEsik</formula>
    </cfRule>
  </conditionalFormatting>
  <conditionalFormatting sqref="D81">
    <cfRule type="cellIs" rank="0" priority="214" equalAverage="0" operator="lessThan" aboveAverage="0" dxfId="10" text="" percent="0" bottom="0">
      <formula>18</formula>
    </cfRule>
  </conditionalFormatting>
  <conditionalFormatting sqref="B82">
    <cfRule type="cellIs" rank="0" priority="215" equalAverage="0" operator="greaterThan" aboveAverage="0" dxfId="8" text="" percent="0" bottom="0">
      <formula>0</formula>
    </cfRule>
    <cfRule type="cellIs" rank="0" priority="216" equalAverage="0" operator="lessThan" aboveAverage="0" dxfId="9" text="" percent="0" bottom="0">
      <formula>MaliyetEsik</formula>
    </cfRule>
  </conditionalFormatting>
  <conditionalFormatting sqref="D82">
    <cfRule type="cellIs" rank="0" priority="217" equalAverage="0" operator="lessThan" aboveAverage="0" dxfId="10" text="" percent="0" bottom="0">
      <formula>18</formula>
    </cfRule>
  </conditionalFormatting>
  <conditionalFormatting sqref="B83">
    <cfRule type="cellIs" rank="0" priority="218" equalAverage="0" operator="greaterThan" aboveAverage="0" dxfId="8" text="" percent="0" bottom="0">
      <formula>0</formula>
    </cfRule>
    <cfRule type="cellIs" rank="0" priority="219" equalAverage="0" operator="lessThan" aboveAverage="0" dxfId="9" text="" percent="0" bottom="0">
      <formula>MaliyetEsik</formula>
    </cfRule>
  </conditionalFormatting>
  <conditionalFormatting sqref="D83">
    <cfRule type="cellIs" rank="0" priority="220" equalAverage="0" operator="lessThan" aboveAverage="0" dxfId="10" text="" percent="0" bottom="0">
      <formula>18</formula>
    </cfRule>
  </conditionalFormatting>
  <conditionalFormatting sqref="B84">
    <cfRule type="cellIs" rank="0" priority="221" equalAverage="0" operator="greaterThan" aboveAverage="0" dxfId="8" text="" percent="0" bottom="0">
      <formula>0</formula>
    </cfRule>
    <cfRule type="cellIs" rank="0" priority="222" equalAverage="0" operator="lessThan" aboveAverage="0" dxfId="9" text="" percent="0" bottom="0">
      <formula>MaliyetEsik</formula>
    </cfRule>
  </conditionalFormatting>
  <conditionalFormatting sqref="D84">
    <cfRule type="cellIs" rank="0" priority="223" equalAverage="0" operator="lessThan" aboveAverage="0" dxfId="10" text="" percent="0" bottom="0">
      <formula>18</formula>
    </cfRule>
  </conditionalFormatting>
  <conditionalFormatting sqref="B85">
    <cfRule type="cellIs" rank="0" priority="224" equalAverage="0" operator="greaterThan" aboveAverage="0" dxfId="8" text="" percent="0" bottom="0">
      <formula>0</formula>
    </cfRule>
    <cfRule type="cellIs" rank="0" priority="225" equalAverage="0" operator="lessThan" aboveAverage="0" dxfId="9" text="" percent="0" bottom="0">
      <formula>MaliyetEsik</formula>
    </cfRule>
  </conditionalFormatting>
  <conditionalFormatting sqref="D85">
    <cfRule type="cellIs" rank="0" priority="226" equalAverage="0" operator="lessThan" aboveAverage="0" dxfId="10" text="" percent="0" bottom="0">
      <formula>18</formula>
    </cfRule>
  </conditionalFormatting>
  <conditionalFormatting sqref="B86">
    <cfRule type="cellIs" rank="0" priority="227" equalAverage="0" operator="greaterThan" aboveAverage="0" dxfId="8" text="" percent="0" bottom="0">
      <formula>0</formula>
    </cfRule>
    <cfRule type="cellIs" rank="0" priority="228" equalAverage="0" operator="lessThan" aboveAverage="0" dxfId="9" text="" percent="0" bottom="0">
      <formula>MaliyetEsik</formula>
    </cfRule>
  </conditionalFormatting>
  <conditionalFormatting sqref="D86">
    <cfRule type="cellIs" rank="0" priority="229" equalAverage="0" operator="lessThan" aboveAverage="0" dxfId="10" text="" percent="0" bottom="0">
      <formula>18</formula>
    </cfRule>
  </conditionalFormatting>
  <conditionalFormatting sqref="B87">
    <cfRule type="cellIs" rank="0" priority="230" equalAverage="0" operator="greaterThan" aboveAverage="0" dxfId="8" text="" percent="0" bottom="0">
      <formula>0</formula>
    </cfRule>
    <cfRule type="cellIs" rank="0" priority="231" equalAverage="0" operator="lessThan" aboveAverage="0" dxfId="9" text="" percent="0" bottom="0">
      <formula>MaliyetEsik</formula>
    </cfRule>
  </conditionalFormatting>
  <conditionalFormatting sqref="D87">
    <cfRule type="cellIs" rank="0" priority="232" equalAverage="0" operator="lessThan" aboveAverage="0" dxfId="10" text="" percent="0" bottom="0">
      <formula>18</formula>
    </cfRule>
  </conditionalFormatting>
  <conditionalFormatting sqref="B88">
    <cfRule type="cellIs" rank="0" priority="233" equalAverage="0" operator="greaterThan" aboveAverage="0" dxfId="8" text="" percent="0" bottom="0">
      <formula>0</formula>
    </cfRule>
    <cfRule type="cellIs" rank="0" priority="234" equalAverage="0" operator="lessThan" aboveAverage="0" dxfId="9" text="" percent="0" bottom="0">
      <formula>MaliyetEsik</formula>
    </cfRule>
  </conditionalFormatting>
  <conditionalFormatting sqref="D88">
    <cfRule type="cellIs" rank="0" priority="235" equalAverage="0" operator="lessThan" aboveAverage="0" dxfId="10" text="" percent="0" bottom="0">
      <formula>18</formula>
    </cfRule>
  </conditionalFormatting>
  <conditionalFormatting sqref="B89">
    <cfRule type="cellIs" rank="0" priority="236" equalAverage="0" operator="greaterThan" aboveAverage="0" dxfId="8" text="" percent="0" bottom="0">
      <formula>0</formula>
    </cfRule>
    <cfRule type="cellIs" rank="0" priority="237" equalAverage="0" operator="lessThan" aboveAverage="0" dxfId="9" text="" percent="0" bottom="0">
      <formula>MaliyetEsik</formula>
    </cfRule>
  </conditionalFormatting>
  <conditionalFormatting sqref="D89">
    <cfRule type="cellIs" rank="0" priority="238" equalAverage="0" operator="lessThan" aboveAverage="0" dxfId="10" text="" percent="0" bottom="0">
      <formula>18</formula>
    </cfRule>
  </conditionalFormatting>
  <conditionalFormatting sqref="B90">
    <cfRule type="cellIs" rank="0" priority="239" equalAverage="0" operator="greaterThan" aboveAverage="0" dxfId="8" text="" percent="0" bottom="0">
      <formula>0</formula>
    </cfRule>
    <cfRule type="cellIs" rank="0" priority="240" equalAverage="0" operator="lessThan" aboveAverage="0" dxfId="9" text="" percent="0" bottom="0">
      <formula>MaliyetEsik</formula>
    </cfRule>
  </conditionalFormatting>
  <conditionalFormatting sqref="D90">
    <cfRule type="cellIs" rank="0" priority="241" equalAverage="0" operator="lessThan" aboveAverage="0" dxfId="10" text="" percent="0" bottom="0">
      <formula>18</formula>
    </cfRule>
  </conditionalFormatting>
  <conditionalFormatting sqref="B91">
    <cfRule type="cellIs" rank="0" priority="242" equalAverage="0" operator="greaterThan" aboveAverage="0" dxfId="8" text="" percent="0" bottom="0">
      <formula>0</formula>
    </cfRule>
    <cfRule type="cellIs" rank="0" priority="243" equalAverage="0" operator="lessThan" aboveAverage="0" dxfId="9" text="" percent="0" bottom="0">
      <formula>MaliyetEsik</formula>
    </cfRule>
  </conditionalFormatting>
  <conditionalFormatting sqref="D91">
    <cfRule type="cellIs" rank="0" priority="244" equalAverage="0" operator="lessThan" aboveAverage="0" dxfId="10" text="" percent="0" bottom="0">
      <formula>18</formula>
    </cfRule>
  </conditionalFormatting>
  <conditionalFormatting sqref="B92">
    <cfRule type="cellIs" rank="0" priority="245" equalAverage="0" operator="greaterThan" aboveAverage="0" dxfId="8" text="" percent="0" bottom="0">
      <formula>0</formula>
    </cfRule>
    <cfRule type="cellIs" rank="0" priority="246" equalAverage="0" operator="lessThan" aboveAverage="0" dxfId="9" text="" percent="0" bottom="0">
      <formula>MaliyetEsik</formula>
    </cfRule>
  </conditionalFormatting>
  <conditionalFormatting sqref="D92">
    <cfRule type="cellIs" rank="0" priority="247" equalAverage="0" operator="lessThan" aboveAverage="0" dxfId="10" text="" percent="0" bottom="0">
      <formula>18</formula>
    </cfRule>
  </conditionalFormatting>
  <conditionalFormatting sqref="B93">
    <cfRule type="cellIs" rank="0" priority="248" equalAverage="0" operator="greaterThan" aboveAverage="0" dxfId="8" text="" percent="0" bottom="0">
      <formula>0</formula>
    </cfRule>
    <cfRule type="cellIs" rank="0" priority="249" equalAverage="0" operator="lessThan" aboveAverage="0" dxfId="9" text="" percent="0" bottom="0">
      <formula>MaliyetEsik</formula>
    </cfRule>
  </conditionalFormatting>
  <conditionalFormatting sqref="D93">
    <cfRule type="cellIs" rank="0" priority="250" equalAverage="0" operator="lessThan" aboveAverage="0" dxfId="10" text="" percent="0" bottom="0">
      <formula>18</formula>
    </cfRule>
  </conditionalFormatting>
  <conditionalFormatting sqref="B94">
    <cfRule type="cellIs" rank="0" priority="251" equalAverage="0" operator="greaterThan" aboveAverage="0" dxfId="8" text="" percent="0" bottom="0">
      <formula>0</formula>
    </cfRule>
    <cfRule type="cellIs" rank="0" priority="252" equalAverage="0" operator="lessThan" aboveAverage="0" dxfId="9" text="" percent="0" bottom="0">
      <formula>MaliyetEsik</formula>
    </cfRule>
  </conditionalFormatting>
  <conditionalFormatting sqref="D94">
    <cfRule type="cellIs" rank="0" priority="253" equalAverage="0" operator="lessThan" aboveAverage="0" dxfId="10" text="" percent="0" bottom="0">
      <formula>18</formula>
    </cfRule>
  </conditionalFormatting>
  <conditionalFormatting sqref="B95">
    <cfRule type="cellIs" rank="0" priority="254" equalAverage="0" operator="greaterThan" aboveAverage="0" dxfId="8" text="" percent="0" bottom="0">
      <formula>0</formula>
    </cfRule>
    <cfRule type="cellIs" rank="0" priority="255" equalAverage="0" operator="lessThan" aboveAverage="0" dxfId="9" text="" percent="0" bottom="0">
      <formula>MaliyetEsik</formula>
    </cfRule>
  </conditionalFormatting>
  <conditionalFormatting sqref="D95">
    <cfRule type="cellIs" rank="0" priority="256" equalAverage="0" operator="lessThan" aboveAverage="0" dxfId="10" text="" percent="0" bottom="0">
      <formula>18</formula>
    </cfRule>
  </conditionalFormatting>
  <conditionalFormatting sqref="B96">
    <cfRule type="cellIs" rank="0" priority="257" equalAverage="0" operator="greaterThan" aboveAverage="0" dxfId="8" text="" percent="0" bottom="0">
      <formula>0</formula>
    </cfRule>
    <cfRule type="cellIs" rank="0" priority="258" equalAverage="0" operator="lessThan" aboveAverage="0" dxfId="9" text="" percent="0" bottom="0">
      <formula>MaliyetEsik</formula>
    </cfRule>
  </conditionalFormatting>
  <conditionalFormatting sqref="D96">
    <cfRule type="cellIs" rank="0" priority="259" equalAverage="0" operator="lessThan" aboveAverage="0" dxfId="10" text="" percent="0" bottom="0">
      <formula>18</formula>
    </cfRule>
  </conditionalFormatting>
  <conditionalFormatting sqref="B97">
    <cfRule type="cellIs" rank="0" priority="260" equalAverage="0" operator="greaterThan" aboveAverage="0" dxfId="8" text="" percent="0" bottom="0">
      <formula>0</formula>
    </cfRule>
    <cfRule type="cellIs" rank="0" priority="261" equalAverage="0" operator="lessThan" aboveAverage="0" dxfId="9" text="" percent="0" bottom="0">
      <formula>MaliyetEsik</formula>
    </cfRule>
  </conditionalFormatting>
  <conditionalFormatting sqref="D97">
    <cfRule type="cellIs" rank="0" priority="262" equalAverage="0" operator="lessThan" aboveAverage="0" dxfId="10" text="" percent="0" bottom="0">
      <formula>18</formula>
    </cfRule>
  </conditionalFormatting>
  <conditionalFormatting sqref="B98">
    <cfRule type="cellIs" rank="0" priority="263" equalAverage="0" operator="greaterThan" aboveAverage="0" dxfId="8" text="" percent="0" bottom="0">
      <formula>0</formula>
    </cfRule>
    <cfRule type="cellIs" rank="0" priority="264" equalAverage="0" operator="lessThan" aboveAverage="0" dxfId="9" text="" percent="0" bottom="0">
      <formula>MaliyetEsik</formula>
    </cfRule>
  </conditionalFormatting>
  <conditionalFormatting sqref="D98">
    <cfRule type="cellIs" rank="0" priority="265" equalAverage="0" operator="lessThan" aboveAverage="0" dxfId="10" text="" percent="0" bottom="0">
      <formula>18</formula>
    </cfRule>
  </conditionalFormatting>
  <conditionalFormatting sqref="B99">
    <cfRule type="cellIs" rank="0" priority="266" equalAverage="0" operator="greaterThan" aboveAverage="0" dxfId="8" text="" percent="0" bottom="0">
      <formula>0</formula>
    </cfRule>
    <cfRule type="cellIs" rank="0" priority="267" equalAverage="0" operator="lessThan" aboveAverage="0" dxfId="9" text="" percent="0" bottom="0">
      <formula>MaliyetEsik</formula>
    </cfRule>
  </conditionalFormatting>
  <conditionalFormatting sqref="D99">
    <cfRule type="cellIs" rank="0" priority="268" equalAverage="0" operator="lessThan" aboveAverage="0" dxfId="10" text="" percent="0" bottom="0">
      <formula>18</formula>
    </cfRule>
  </conditionalFormatting>
  <conditionalFormatting sqref="B100">
    <cfRule type="cellIs" rank="0" priority="269" equalAverage="0" operator="greaterThan" aboveAverage="0" dxfId="8" text="" percent="0" bottom="0">
      <formula>0</formula>
    </cfRule>
    <cfRule type="cellIs" rank="0" priority="270" equalAverage="0" operator="lessThan" aboveAverage="0" dxfId="9" text="" percent="0" bottom="0">
      <formula>MaliyetEsik</formula>
    </cfRule>
  </conditionalFormatting>
  <conditionalFormatting sqref="D100">
    <cfRule type="cellIs" rank="0" priority="271" equalAverage="0" operator="lessThan" aboveAverage="0" dxfId="10" text="" percent="0" bottom="0">
      <formula>18</formula>
    </cfRule>
  </conditionalFormatting>
  <conditionalFormatting sqref="B101">
    <cfRule type="cellIs" rank="0" priority="272" equalAverage="0" operator="greaterThan" aboveAverage="0" dxfId="8" text="" percent="0" bottom="0">
      <formula>0</formula>
    </cfRule>
    <cfRule type="cellIs" rank="0" priority="273" equalAverage="0" operator="lessThan" aboveAverage="0" dxfId="9" text="" percent="0" bottom="0">
      <formula>MaliyetEsik</formula>
    </cfRule>
  </conditionalFormatting>
  <conditionalFormatting sqref="D101">
    <cfRule type="cellIs" rank="0" priority="274" equalAverage="0" operator="lessThan" aboveAverage="0" dxfId="10" text="" percent="0" bottom="0">
      <formula>18</formula>
    </cfRule>
  </conditionalFormatting>
  <conditionalFormatting sqref="B102">
    <cfRule type="cellIs" rank="0" priority="275" equalAverage="0" operator="greaterThan" aboveAverage="0" dxfId="8" text="" percent="0" bottom="0">
      <formula>0</formula>
    </cfRule>
    <cfRule type="cellIs" rank="0" priority="276" equalAverage="0" operator="lessThan" aboveAverage="0" dxfId="9" text="" percent="0" bottom="0">
      <formula>MaliyetEsik</formula>
    </cfRule>
  </conditionalFormatting>
  <conditionalFormatting sqref="D102">
    <cfRule type="cellIs" rank="0" priority="277" equalAverage="0" operator="lessThan" aboveAverage="0" dxfId="10" text="" percent="0" bottom="0">
      <formula>18</formula>
    </cfRule>
  </conditionalFormatting>
  <conditionalFormatting sqref="B103">
    <cfRule type="cellIs" rank="0" priority="278" equalAverage="0" operator="greaterThan" aboveAverage="0" dxfId="8" text="" percent="0" bottom="0">
      <formula>0</formula>
    </cfRule>
    <cfRule type="cellIs" rank="0" priority="279" equalAverage="0" operator="lessThan" aboveAverage="0" dxfId="9" text="" percent="0" bottom="0">
      <formula>MaliyetEsik</formula>
    </cfRule>
  </conditionalFormatting>
  <conditionalFormatting sqref="D103">
    <cfRule type="cellIs" rank="0" priority="280" equalAverage="0" operator="lessThan" aboveAverage="0" dxfId="10" text="" percent="0" bottom="0">
      <formula>18</formula>
    </cfRule>
  </conditionalFormatting>
  <conditionalFormatting sqref="B104">
    <cfRule type="cellIs" rank="0" priority="281" equalAverage="0" operator="greaterThan" aboveAverage="0" dxfId="8" text="" percent="0" bottom="0">
      <formula>0</formula>
    </cfRule>
    <cfRule type="cellIs" rank="0" priority="282" equalAverage="0" operator="lessThan" aboveAverage="0" dxfId="9" text="" percent="0" bottom="0">
      <formula>MaliyetEsik</formula>
    </cfRule>
  </conditionalFormatting>
  <conditionalFormatting sqref="D104">
    <cfRule type="cellIs" rank="0" priority="283" equalAverage="0" operator="lessThan" aboveAverage="0" dxfId="10" text="" percent="0" bottom="0">
      <formula>18</formula>
    </cfRule>
  </conditionalFormatting>
  <conditionalFormatting sqref="B105">
    <cfRule type="cellIs" rank="0" priority="284" equalAverage="0" operator="greaterThan" aboveAverage="0" dxfId="8" text="" percent="0" bottom="0">
      <formula>0</formula>
    </cfRule>
    <cfRule type="cellIs" rank="0" priority="285" equalAverage="0" operator="lessThan" aboveAverage="0" dxfId="9" text="" percent="0" bottom="0">
      <formula>MaliyetEsik</formula>
    </cfRule>
  </conditionalFormatting>
  <conditionalFormatting sqref="D105">
    <cfRule type="cellIs" rank="0" priority="286" equalAverage="0" operator="lessThan" aboveAverage="0" dxfId="10" text="" percent="0" bottom="0">
      <formula>18</formula>
    </cfRule>
  </conditionalFormatting>
  <conditionalFormatting sqref="B106">
    <cfRule type="cellIs" rank="0" priority="287" equalAverage="0" operator="greaterThan" aboveAverage="0" dxfId="8" text="" percent="0" bottom="0">
      <formula>0</formula>
    </cfRule>
    <cfRule type="cellIs" rank="0" priority="288" equalAverage="0" operator="lessThan" aboveAverage="0" dxfId="9" text="" percent="0" bottom="0">
      <formula>MaliyetEsik</formula>
    </cfRule>
  </conditionalFormatting>
  <conditionalFormatting sqref="D106">
    <cfRule type="cellIs" rank="0" priority="289" equalAverage="0" operator="lessThan" aboveAverage="0" dxfId="10" text="" percent="0" bottom="0">
      <formula>18</formula>
    </cfRule>
  </conditionalFormatting>
  <conditionalFormatting sqref="B107">
    <cfRule type="cellIs" rank="0" priority="290" equalAverage="0" operator="greaterThan" aboveAverage="0" dxfId="8" text="" percent="0" bottom="0">
      <formula>0</formula>
    </cfRule>
    <cfRule type="cellIs" rank="0" priority="291" equalAverage="0" operator="lessThan" aboveAverage="0" dxfId="9" text="" percent="0" bottom="0">
      <formula>MaliyetEsik</formula>
    </cfRule>
  </conditionalFormatting>
  <conditionalFormatting sqref="D107">
    <cfRule type="cellIs" rank="0" priority="292" equalAverage="0" operator="lessThan" aboveAverage="0" dxfId="10" text="" percent="0" bottom="0">
      <formula>18</formula>
    </cfRule>
  </conditionalFormatting>
  <conditionalFormatting sqref="B108">
    <cfRule type="cellIs" rank="0" priority="293" equalAverage="0" operator="greaterThan" aboveAverage="0" dxfId="8" text="" percent="0" bottom="0">
      <formula>0</formula>
    </cfRule>
    <cfRule type="cellIs" rank="0" priority="294" equalAverage="0" operator="lessThan" aboveAverage="0" dxfId="9" text="" percent="0" bottom="0">
      <formula>MaliyetEsik</formula>
    </cfRule>
  </conditionalFormatting>
  <conditionalFormatting sqref="D108">
    <cfRule type="cellIs" rank="0" priority="295" equalAverage="0" operator="lessThan" aboveAverage="0" dxfId="10" text="" percent="0" bottom="0">
      <formula>18</formula>
    </cfRule>
  </conditionalFormatting>
  <conditionalFormatting sqref="B109">
    <cfRule type="cellIs" rank="0" priority="296" equalAverage="0" operator="greaterThan" aboveAverage="0" dxfId="8" text="" percent="0" bottom="0">
      <formula>0</formula>
    </cfRule>
    <cfRule type="cellIs" rank="0" priority="297" equalAverage="0" operator="lessThan" aboveAverage="0" dxfId="9" text="" percent="0" bottom="0">
      <formula>MaliyetEsik</formula>
    </cfRule>
  </conditionalFormatting>
  <conditionalFormatting sqref="D109">
    <cfRule type="cellIs" rank="0" priority="298" equalAverage="0" operator="lessThan" aboveAverage="0" dxfId="10" text="" percent="0" bottom="0">
      <formula>18</formula>
    </cfRule>
  </conditionalFormatting>
  <conditionalFormatting sqref="B110">
    <cfRule type="cellIs" rank="0" priority="299" equalAverage="0" operator="greaterThan" aboveAverage="0" dxfId="8" text="" percent="0" bottom="0">
      <formula>0</formula>
    </cfRule>
    <cfRule type="cellIs" rank="0" priority="300" equalAverage="0" operator="lessThan" aboveAverage="0" dxfId="9" text="" percent="0" bottom="0">
      <formula>MaliyetEsik</formula>
    </cfRule>
  </conditionalFormatting>
  <conditionalFormatting sqref="D110">
    <cfRule type="cellIs" rank="0" priority="301" equalAverage="0" operator="lessThan" aboveAverage="0" dxfId="10" text="" percent="0" bottom="0">
      <formula>18</formula>
    </cfRule>
  </conditionalFormatting>
  <conditionalFormatting sqref="B111">
    <cfRule type="cellIs" rank="0" priority="302" equalAverage="0" operator="greaterThan" aboveAverage="0" dxfId="8" text="" percent="0" bottom="0">
      <formula>0</formula>
    </cfRule>
    <cfRule type="cellIs" rank="0" priority="303" equalAverage="0" operator="lessThan" aboveAverage="0" dxfId="9" text="" percent="0" bottom="0">
      <formula>MaliyetEsik</formula>
    </cfRule>
  </conditionalFormatting>
  <conditionalFormatting sqref="D111">
    <cfRule type="cellIs" rank="0" priority="304" equalAverage="0" operator="lessThan" aboveAverage="0" dxfId="10" text="" percent="0" bottom="0">
      <formula>18</formula>
    </cfRule>
  </conditionalFormatting>
  <conditionalFormatting sqref="B112">
    <cfRule type="cellIs" rank="0" priority="305" equalAverage="0" operator="greaterThan" aboveAverage="0" dxfId="8" text="" percent="0" bottom="0">
      <formula>0</formula>
    </cfRule>
    <cfRule type="cellIs" rank="0" priority="306" equalAverage="0" operator="lessThan" aboveAverage="0" dxfId="9" text="" percent="0" bottom="0">
      <formula>MaliyetEsik</formula>
    </cfRule>
  </conditionalFormatting>
  <conditionalFormatting sqref="D112">
    <cfRule type="cellIs" rank="0" priority="307" equalAverage="0" operator="lessThan" aboveAverage="0" dxfId="10" text="" percent="0" bottom="0">
      <formula>18</formula>
    </cfRule>
  </conditionalFormatting>
  <conditionalFormatting sqref="B113">
    <cfRule type="cellIs" rank="0" priority="308" equalAverage="0" operator="greaterThan" aboveAverage="0" dxfId="8" text="" percent="0" bottom="0">
      <formula>0</formula>
    </cfRule>
    <cfRule type="cellIs" rank="0" priority="309" equalAverage="0" operator="lessThan" aboveAverage="0" dxfId="9" text="" percent="0" bottom="0">
      <formula>MaliyetEsik</formula>
    </cfRule>
  </conditionalFormatting>
  <conditionalFormatting sqref="D113">
    <cfRule type="cellIs" rank="0" priority="310" equalAverage="0" operator="lessThan" aboveAverage="0" dxfId="10" text="" percent="0" bottom="0">
      <formula>18</formula>
    </cfRule>
  </conditionalFormatting>
  <conditionalFormatting sqref="B114">
    <cfRule type="cellIs" rank="0" priority="311" equalAverage="0" operator="greaterThan" aboveAverage="0" dxfId="8" text="" percent="0" bottom="0">
      <formula>0</formula>
    </cfRule>
    <cfRule type="cellIs" rank="0" priority="312" equalAverage="0" operator="lessThan" aboveAverage="0" dxfId="9" text="" percent="0" bottom="0">
      <formula>MaliyetEsik</formula>
    </cfRule>
  </conditionalFormatting>
  <conditionalFormatting sqref="D114">
    <cfRule type="cellIs" rank="0" priority="313" equalAverage="0" operator="lessThan" aboveAverage="0" dxfId="10" text="" percent="0" bottom="0">
      <formula>18</formula>
    </cfRule>
  </conditionalFormatting>
  <conditionalFormatting sqref="B115">
    <cfRule type="cellIs" rank="0" priority="314" equalAverage="0" operator="greaterThan" aboveAverage="0" dxfId="8" text="" percent="0" bottom="0">
      <formula>0</formula>
    </cfRule>
    <cfRule type="cellIs" rank="0" priority="315" equalAverage="0" operator="lessThan" aboveAverage="0" dxfId="9" text="" percent="0" bottom="0">
      <formula>MaliyetEsik</formula>
    </cfRule>
  </conditionalFormatting>
  <conditionalFormatting sqref="D115">
    <cfRule type="cellIs" rank="0" priority="316" equalAverage="0" operator="lessThan" aboveAverage="0" dxfId="10" text="" percent="0" bottom="0">
      <formula>18</formula>
    </cfRule>
  </conditionalFormatting>
  <conditionalFormatting sqref="B116">
    <cfRule type="cellIs" rank="0" priority="317" equalAverage="0" operator="greaterThan" aboveAverage="0" dxfId="8" text="" percent="0" bottom="0">
      <formula>0</formula>
    </cfRule>
    <cfRule type="cellIs" rank="0" priority="318" equalAverage="0" operator="lessThan" aboveAverage="0" dxfId="9" text="" percent="0" bottom="0">
      <formula>MaliyetEsik</formula>
    </cfRule>
  </conditionalFormatting>
  <conditionalFormatting sqref="D116">
    <cfRule type="cellIs" rank="0" priority="319" equalAverage="0" operator="lessThan" aboveAverage="0" dxfId="10" text="" percent="0" bottom="0">
      <formula>18</formula>
    </cfRule>
  </conditionalFormatting>
  <conditionalFormatting sqref="B117">
    <cfRule type="cellIs" rank="0" priority="320" equalAverage="0" operator="greaterThan" aboveAverage="0" dxfId="8" text="" percent="0" bottom="0">
      <formula>0</formula>
    </cfRule>
    <cfRule type="cellIs" rank="0" priority="321" equalAverage="0" operator="lessThan" aboveAverage="0" dxfId="9" text="" percent="0" bottom="0">
      <formula>MaliyetEsik</formula>
    </cfRule>
  </conditionalFormatting>
  <conditionalFormatting sqref="D117">
    <cfRule type="cellIs" rank="0" priority="322" equalAverage="0" operator="lessThan" aboveAverage="0" dxfId="10" text="" percent="0" bottom="0">
      <formula>18</formula>
    </cfRule>
  </conditionalFormatting>
  <conditionalFormatting sqref="B118">
    <cfRule type="cellIs" rank="0" priority="323" equalAverage="0" operator="greaterThan" aboveAverage="0" dxfId="8" text="" percent="0" bottom="0">
      <formula>0</formula>
    </cfRule>
    <cfRule type="cellIs" rank="0" priority="324" equalAverage="0" operator="lessThan" aboveAverage="0" dxfId="9" text="" percent="0" bottom="0">
      <formula>MaliyetEsik</formula>
    </cfRule>
  </conditionalFormatting>
  <conditionalFormatting sqref="D118">
    <cfRule type="cellIs" rank="0" priority="325" equalAverage="0" operator="lessThan" aboveAverage="0" dxfId="10" text="" percent="0" bottom="0">
      <formula>18</formula>
    </cfRule>
  </conditionalFormatting>
  <conditionalFormatting sqref="B119">
    <cfRule type="cellIs" rank="0" priority="326" equalAverage="0" operator="greaterThan" aboveAverage="0" dxfId="8" text="" percent="0" bottom="0">
      <formula>0</formula>
    </cfRule>
    <cfRule type="cellIs" rank="0" priority="327" equalAverage="0" operator="lessThan" aboveAverage="0" dxfId="9" text="" percent="0" bottom="0">
      <formula>MaliyetEsik</formula>
    </cfRule>
  </conditionalFormatting>
  <conditionalFormatting sqref="D119">
    <cfRule type="cellIs" rank="0" priority="328" equalAverage="0" operator="lessThan" aboveAverage="0" dxfId="10" text="" percent="0" bottom="0">
      <formula>18</formula>
    </cfRule>
  </conditionalFormatting>
  <conditionalFormatting sqref="B120">
    <cfRule type="cellIs" rank="0" priority="329" equalAverage="0" operator="greaterThan" aboveAverage="0" dxfId="8" text="" percent="0" bottom="0">
      <formula>0</formula>
    </cfRule>
    <cfRule type="cellIs" rank="0" priority="330" equalAverage="0" operator="lessThan" aboveAverage="0" dxfId="9" text="" percent="0" bottom="0">
      <formula>MaliyetEsik</formula>
    </cfRule>
  </conditionalFormatting>
  <conditionalFormatting sqref="D120">
    <cfRule type="cellIs" rank="0" priority="331" equalAverage="0" operator="lessThan" aboveAverage="0" dxfId="10" text="" percent="0" bottom="0">
      <formula>18</formula>
    </cfRule>
  </conditionalFormatting>
  <conditionalFormatting sqref="B121">
    <cfRule type="cellIs" rank="0" priority="332" equalAverage="0" operator="greaterThan" aboveAverage="0" dxfId="8" text="" percent="0" bottom="0">
      <formula>0</formula>
    </cfRule>
    <cfRule type="cellIs" rank="0" priority="333" equalAverage="0" operator="lessThan" aboveAverage="0" dxfId="9" text="" percent="0" bottom="0">
      <formula>MaliyetEsik</formula>
    </cfRule>
  </conditionalFormatting>
  <conditionalFormatting sqref="D121">
    <cfRule type="cellIs" rank="0" priority="334" equalAverage="0" operator="lessThan" aboveAverage="0" dxfId="10" text="" percent="0" bottom="0">
      <formula>18</formula>
    </cfRule>
  </conditionalFormatting>
  <conditionalFormatting sqref="B122">
    <cfRule type="cellIs" rank="0" priority="335" equalAverage="0" operator="greaterThan" aboveAverage="0" dxfId="8" text="" percent="0" bottom="0">
      <formula>0</formula>
    </cfRule>
    <cfRule type="cellIs" rank="0" priority="336" equalAverage="0" operator="lessThan" aboveAverage="0" dxfId="9" text="" percent="0" bottom="0">
      <formula>MaliyetEsik</formula>
    </cfRule>
  </conditionalFormatting>
  <conditionalFormatting sqref="D122">
    <cfRule type="cellIs" rank="0" priority="337" equalAverage="0" operator="lessThan" aboveAverage="0" dxfId="10" text="" percent="0" bottom="0">
      <formula>18</formula>
    </cfRule>
  </conditionalFormatting>
  <conditionalFormatting sqref="B123">
    <cfRule type="cellIs" rank="0" priority="338" equalAverage="0" operator="greaterThan" aboveAverage="0" dxfId="8" text="" percent="0" bottom="0">
      <formula>0</formula>
    </cfRule>
    <cfRule type="cellIs" rank="0" priority="339" equalAverage="0" operator="lessThan" aboveAverage="0" dxfId="9" text="" percent="0" bottom="0">
      <formula>MaliyetEsik</formula>
    </cfRule>
  </conditionalFormatting>
  <conditionalFormatting sqref="D123">
    <cfRule type="cellIs" rank="0" priority="340" equalAverage="0" operator="lessThan" aboveAverage="0" dxfId="10" text="" percent="0" bottom="0">
      <formula>18</formula>
    </cfRule>
  </conditionalFormatting>
  <conditionalFormatting sqref="B124">
    <cfRule type="cellIs" rank="0" priority="341" equalAverage="0" operator="greaterThan" aboveAverage="0" dxfId="8" text="" percent="0" bottom="0">
      <formula>0</formula>
    </cfRule>
    <cfRule type="cellIs" rank="0" priority="342" equalAverage="0" operator="lessThan" aboveAverage="0" dxfId="9" text="" percent="0" bottom="0">
      <formula>MaliyetEsik</formula>
    </cfRule>
  </conditionalFormatting>
  <conditionalFormatting sqref="D124">
    <cfRule type="cellIs" rank="0" priority="343" equalAverage="0" operator="lessThan" aboveAverage="0" dxfId="10" text="" percent="0" bottom="0">
      <formula>18</formula>
    </cfRule>
  </conditionalFormatting>
  <conditionalFormatting sqref="B125">
    <cfRule type="cellIs" rank="0" priority="344" equalAverage="0" operator="greaterThan" aboveAverage="0" dxfId="8" text="" percent="0" bottom="0">
      <formula>0</formula>
    </cfRule>
    <cfRule type="cellIs" rank="0" priority="345" equalAverage="0" operator="lessThan" aboveAverage="0" dxfId="9" text="" percent="0" bottom="0">
      <formula>MaliyetEsik</formula>
    </cfRule>
  </conditionalFormatting>
  <conditionalFormatting sqref="D125">
    <cfRule type="cellIs" rank="0" priority="346" equalAverage="0" operator="lessThan" aboveAverage="0" dxfId="10" text="" percent="0" bottom="0">
      <formula>18</formula>
    </cfRule>
  </conditionalFormatting>
  <conditionalFormatting sqref="B126">
    <cfRule type="cellIs" rank="0" priority="347" equalAverage="0" operator="greaterThan" aboveAverage="0" dxfId="8" text="" percent="0" bottom="0">
      <formula>0</formula>
    </cfRule>
    <cfRule type="cellIs" rank="0" priority="348" equalAverage="0" operator="lessThan" aboveAverage="0" dxfId="9" text="" percent="0" bottom="0">
      <formula>MaliyetEsik</formula>
    </cfRule>
  </conditionalFormatting>
  <conditionalFormatting sqref="D126">
    <cfRule type="cellIs" rank="0" priority="349" equalAverage="0" operator="lessThan" aboveAverage="0" dxfId="10" text="" percent="0" bottom="0">
      <formula>18</formula>
    </cfRule>
  </conditionalFormatting>
  <conditionalFormatting sqref="B127">
    <cfRule type="cellIs" rank="0" priority="350" equalAverage="0" operator="greaterThan" aboveAverage="0" dxfId="8" text="" percent="0" bottom="0">
      <formula>0</formula>
    </cfRule>
    <cfRule type="cellIs" rank="0" priority="351" equalAverage="0" operator="lessThan" aboveAverage="0" dxfId="9" text="" percent="0" bottom="0">
      <formula>MaliyetEsik</formula>
    </cfRule>
  </conditionalFormatting>
  <conditionalFormatting sqref="D127">
    <cfRule type="cellIs" rank="0" priority="352" equalAverage="0" operator="lessThan" aboveAverage="0" dxfId="10" text="" percent="0" bottom="0">
      <formula>18</formula>
    </cfRule>
  </conditionalFormatting>
  <conditionalFormatting sqref="B128">
    <cfRule type="cellIs" rank="0" priority="353" equalAverage="0" operator="greaterThan" aboveAverage="0" dxfId="8" text="" percent="0" bottom="0">
      <formula>0</formula>
    </cfRule>
    <cfRule type="cellIs" rank="0" priority="354" equalAverage="0" operator="lessThan" aboveAverage="0" dxfId="9" text="" percent="0" bottom="0">
      <formula>MaliyetEsik</formula>
    </cfRule>
  </conditionalFormatting>
  <conditionalFormatting sqref="D128">
    <cfRule type="cellIs" rank="0" priority="355" equalAverage="0" operator="lessThan" aboveAverage="0" dxfId="10" text="" percent="0" bottom="0">
      <formula>18</formula>
    </cfRule>
  </conditionalFormatting>
  <conditionalFormatting sqref="B129">
    <cfRule type="cellIs" rank="0" priority="356" equalAverage="0" operator="greaterThan" aboveAverage="0" dxfId="8" text="" percent="0" bottom="0">
      <formula>0</formula>
    </cfRule>
    <cfRule type="cellIs" rank="0" priority="357" equalAverage="0" operator="lessThan" aboveAverage="0" dxfId="9" text="" percent="0" bottom="0">
      <formula>MaliyetEsik</formula>
    </cfRule>
  </conditionalFormatting>
  <conditionalFormatting sqref="D129">
    <cfRule type="cellIs" rank="0" priority="358" equalAverage="0" operator="lessThan" aboveAverage="0" dxfId="10" text="" percent="0" bottom="0">
      <formula>18</formula>
    </cfRule>
  </conditionalFormatting>
  <conditionalFormatting sqref="B130">
    <cfRule type="cellIs" rank="0" priority="359" equalAverage="0" operator="greaterThan" aboveAverage="0" dxfId="8" text="" percent="0" bottom="0">
      <formula>0</formula>
    </cfRule>
    <cfRule type="cellIs" rank="0" priority="360" equalAverage="0" operator="lessThan" aboveAverage="0" dxfId="9" text="" percent="0" bottom="0">
      <formula>MaliyetEsik</formula>
    </cfRule>
  </conditionalFormatting>
  <conditionalFormatting sqref="D130">
    <cfRule type="cellIs" rank="0" priority="361" equalAverage="0" operator="lessThan" aboveAverage="0" dxfId="10" text="" percent="0" bottom="0">
      <formula>18</formula>
    </cfRule>
  </conditionalFormatting>
  <conditionalFormatting sqref="B131">
    <cfRule type="cellIs" rank="0" priority="362" equalAverage="0" operator="greaterThan" aboveAverage="0" dxfId="8" text="" percent="0" bottom="0">
      <formula>0</formula>
    </cfRule>
    <cfRule type="cellIs" rank="0" priority="363" equalAverage="0" operator="lessThan" aboveAverage="0" dxfId="9" text="" percent="0" bottom="0">
      <formula>MaliyetEsik</formula>
    </cfRule>
  </conditionalFormatting>
  <conditionalFormatting sqref="D131">
    <cfRule type="cellIs" rank="0" priority="364" equalAverage="0" operator="lessThan" aboveAverage="0" dxfId="10" text="" percent="0" bottom="0">
      <formula>18</formula>
    </cfRule>
  </conditionalFormatting>
  <conditionalFormatting sqref="B132">
    <cfRule type="cellIs" rank="0" priority="365" equalAverage="0" operator="greaterThan" aboveAverage="0" dxfId="8" text="" percent="0" bottom="0">
      <formula>0</formula>
    </cfRule>
    <cfRule type="cellIs" rank="0" priority="366" equalAverage="0" operator="lessThan" aboveAverage="0" dxfId="9" text="" percent="0" bottom="0">
      <formula>MaliyetEsik</formula>
    </cfRule>
  </conditionalFormatting>
  <conditionalFormatting sqref="D132">
    <cfRule type="cellIs" rank="0" priority="367" equalAverage="0" operator="lessThan" aboveAverage="0" dxfId="10" text="" percent="0" bottom="0">
      <formula>18</formula>
    </cfRule>
  </conditionalFormatting>
  <conditionalFormatting sqref="B133">
    <cfRule type="cellIs" rank="0" priority="368" equalAverage="0" operator="greaterThan" aboveAverage="0" dxfId="8" text="" percent="0" bottom="0">
      <formula>0</formula>
    </cfRule>
    <cfRule type="cellIs" rank="0" priority="369" equalAverage="0" operator="lessThan" aboveAverage="0" dxfId="9" text="" percent="0" bottom="0">
      <formula>MaliyetEsik</formula>
    </cfRule>
  </conditionalFormatting>
  <conditionalFormatting sqref="D133">
    <cfRule type="cellIs" rank="0" priority="370" equalAverage="0" operator="lessThan" aboveAverage="0" dxfId="10" text="" percent="0" bottom="0">
      <formula>18</formula>
    </cfRule>
  </conditionalFormatting>
  <conditionalFormatting sqref="B134">
    <cfRule type="cellIs" rank="0" priority="371" equalAverage="0" operator="greaterThan" aboveAverage="0" dxfId="8" text="" percent="0" bottom="0">
      <formula>0</formula>
    </cfRule>
    <cfRule type="cellIs" rank="0" priority="372" equalAverage="0" operator="lessThan" aboveAverage="0" dxfId="9" text="" percent="0" bottom="0">
      <formula>MaliyetEsik</formula>
    </cfRule>
  </conditionalFormatting>
  <conditionalFormatting sqref="D134">
    <cfRule type="cellIs" rank="0" priority="373" equalAverage="0" operator="lessThan" aboveAverage="0" dxfId="10" text="" percent="0" bottom="0">
      <formula>18</formula>
    </cfRule>
  </conditionalFormatting>
  <conditionalFormatting sqref="B135">
    <cfRule type="cellIs" rank="0" priority="374" equalAverage="0" operator="greaterThan" aboveAverage="0" dxfId="8" text="" percent="0" bottom="0">
      <formula>0</formula>
    </cfRule>
    <cfRule type="cellIs" rank="0" priority="375" equalAverage="0" operator="lessThan" aboveAverage="0" dxfId="9" text="" percent="0" bottom="0">
      <formula>MaliyetEsik</formula>
    </cfRule>
  </conditionalFormatting>
  <conditionalFormatting sqref="D135">
    <cfRule type="cellIs" rank="0" priority="376" equalAverage="0" operator="lessThan" aboveAverage="0" dxfId="10" text="" percent="0" bottom="0">
      <formula>18</formula>
    </cfRule>
  </conditionalFormatting>
  <conditionalFormatting sqref="B136">
    <cfRule type="cellIs" rank="0" priority="377" equalAverage="0" operator="greaterThan" aboveAverage="0" dxfId="8" text="" percent="0" bottom="0">
      <formula>0</formula>
    </cfRule>
    <cfRule type="cellIs" rank="0" priority="378" equalAverage="0" operator="lessThan" aboveAverage="0" dxfId="9" text="" percent="0" bottom="0">
      <formula>MaliyetEsik</formula>
    </cfRule>
  </conditionalFormatting>
  <conditionalFormatting sqref="D136">
    <cfRule type="cellIs" rank="0" priority="379" equalAverage="0" operator="lessThan" aboveAverage="0" dxfId="10" text="" percent="0" bottom="0">
      <formula>18</formula>
    </cfRule>
  </conditionalFormatting>
  <conditionalFormatting sqref="B137">
    <cfRule type="cellIs" rank="0" priority="380" equalAverage="0" operator="greaterThan" aboveAverage="0" dxfId="8" text="" percent="0" bottom="0">
      <formula>0</formula>
    </cfRule>
    <cfRule type="cellIs" rank="0" priority="381" equalAverage="0" operator="lessThan" aboveAverage="0" dxfId="9" text="" percent="0" bottom="0">
      <formula>MaliyetEsik</formula>
    </cfRule>
  </conditionalFormatting>
  <conditionalFormatting sqref="D137">
    <cfRule type="cellIs" rank="0" priority="382" equalAverage="0" operator="lessThan" aboveAverage="0" dxfId="10" text="" percent="0" bottom="0">
      <formula>18</formula>
    </cfRule>
  </conditionalFormatting>
  <conditionalFormatting sqref="B138">
    <cfRule type="cellIs" rank="0" priority="383" equalAverage="0" operator="greaterThan" aboveAverage="0" dxfId="8" text="" percent="0" bottom="0">
      <formula>0</formula>
    </cfRule>
    <cfRule type="cellIs" rank="0" priority="384" equalAverage="0" operator="lessThan" aboveAverage="0" dxfId="9" text="" percent="0" bottom="0">
      <formula>MaliyetEsik</formula>
    </cfRule>
  </conditionalFormatting>
  <conditionalFormatting sqref="D138">
    <cfRule type="cellIs" rank="0" priority="385" equalAverage="0" operator="lessThan" aboveAverage="0" dxfId="10" text="" percent="0" bottom="0">
      <formula>18</formula>
    </cfRule>
  </conditionalFormatting>
  <conditionalFormatting sqref="B139">
    <cfRule type="cellIs" rank="0" priority="386" equalAverage="0" operator="greaterThan" aboveAverage="0" dxfId="8" text="" percent="0" bottom="0">
      <formula>0</formula>
    </cfRule>
    <cfRule type="cellIs" rank="0" priority="387" equalAverage="0" operator="lessThan" aboveAverage="0" dxfId="9" text="" percent="0" bottom="0">
      <formula>MaliyetEsik</formula>
    </cfRule>
  </conditionalFormatting>
  <conditionalFormatting sqref="D139">
    <cfRule type="cellIs" rank="0" priority="388" equalAverage="0" operator="lessThan" aboveAverage="0" dxfId="10" text="" percent="0" bottom="0">
      <formula>18</formula>
    </cfRule>
  </conditionalFormatting>
  <conditionalFormatting sqref="B140">
    <cfRule type="cellIs" rank="0" priority="389" equalAverage="0" operator="greaterThan" aboveAverage="0" dxfId="8" text="" percent="0" bottom="0">
      <formula>0</formula>
    </cfRule>
    <cfRule type="cellIs" rank="0" priority="390" equalAverage="0" operator="lessThan" aboveAverage="0" dxfId="9" text="" percent="0" bottom="0">
      <formula>MaliyetEsik</formula>
    </cfRule>
  </conditionalFormatting>
  <conditionalFormatting sqref="D140">
    <cfRule type="cellIs" rank="0" priority="391" equalAverage="0" operator="lessThan" aboveAverage="0" dxfId="10" text="" percent="0" bottom="0">
      <formula>18</formula>
    </cfRule>
  </conditionalFormatting>
  <conditionalFormatting sqref="B141">
    <cfRule type="cellIs" rank="0" priority="392" equalAverage="0" operator="greaterThan" aboveAverage="0" dxfId="8" text="" percent="0" bottom="0">
      <formula>0</formula>
    </cfRule>
    <cfRule type="cellIs" rank="0" priority="393" equalAverage="0" operator="lessThan" aboveAverage="0" dxfId="9" text="" percent="0" bottom="0">
      <formula>MaliyetEsik</formula>
    </cfRule>
  </conditionalFormatting>
  <conditionalFormatting sqref="D141">
    <cfRule type="cellIs" rank="0" priority="394" equalAverage="0" operator="lessThan" aboveAverage="0" dxfId="10" text="" percent="0" bottom="0">
      <formula>18</formula>
    </cfRule>
  </conditionalFormatting>
  <conditionalFormatting sqref="B142">
    <cfRule type="cellIs" rank="0" priority="395" equalAverage="0" operator="greaterThan" aboveAverage="0" dxfId="8" text="" percent="0" bottom="0">
      <formula>0</formula>
    </cfRule>
    <cfRule type="cellIs" rank="0" priority="396" equalAverage="0" operator="lessThan" aboveAverage="0" dxfId="9" text="" percent="0" bottom="0">
      <formula>MaliyetEsik</formula>
    </cfRule>
  </conditionalFormatting>
  <conditionalFormatting sqref="D142">
    <cfRule type="cellIs" rank="0" priority="397" equalAverage="0" operator="lessThan" aboveAverage="0" dxfId="10" text="" percent="0" bottom="0">
      <formula>18</formula>
    </cfRule>
  </conditionalFormatting>
  <conditionalFormatting sqref="B143">
    <cfRule type="cellIs" rank="0" priority="398" equalAverage="0" operator="greaterThan" aboveAverage="0" dxfId="8" text="" percent="0" bottom="0">
      <formula>0</formula>
    </cfRule>
    <cfRule type="cellIs" rank="0" priority="399" equalAverage="0" operator="lessThan" aboveAverage="0" dxfId="9" text="" percent="0" bottom="0">
      <formula>MaliyetEsik</formula>
    </cfRule>
  </conditionalFormatting>
  <conditionalFormatting sqref="D143">
    <cfRule type="cellIs" rank="0" priority="400" equalAverage="0" operator="lessThan" aboveAverage="0" dxfId="10" text="" percent="0" bottom="0">
      <formula>18</formula>
    </cfRule>
  </conditionalFormatting>
  <conditionalFormatting sqref="B144">
    <cfRule type="cellIs" rank="0" priority="401" equalAverage="0" operator="greaterThan" aboveAverage="0" dxfId="8" text="" percent="0" bottom="0">
      <formula>0</formula>
    </cfRule>
    <cfRule type="cellIs" rank="0" priority="402" equalAverage="0" operator="lessThan" aboveAverage="0" dxfId="9" text="" percent="0" bottom="0">
      <formula>MaliyetEsik</formula>
    </cfRule>
  </conditionalFormatting>
  <conditionalFormatting sqref="D144">
    <cfRule type="cellIs" rank="0" priority="403" equalAverage="0" operator="lessThan" aboveAverage="0" dxfId="10" text="" percent="0" bottom="0">
      <formula>18</formula>
    </cfRule>
  </conditionalFormatting>
  <conditionalFormatting sqref="B145">
    <cfRule type="cellIs" rank="0" priority="404" equalAverage="0" operator="greaterThan" aboveAverage="0" dxfId="8" text="" percent="0" bottom="0">
      <formula>0</formula>
    </cfRule>
    <cfRule type="cellIs" rank="0" priority="405" equalAverage="0" operator="lessThan" aboveAverage="0" dxfId="9" text="" percent="0" bottom="0">
      <formula>MaliyetEsik</formula>
    </cfRule>
  </conditionalFormatting>
  <conditionalFormatting sqref="D145">
    <cfRule type="cellIs" rank="0" priority="406" equalAverage="0" operator="lessThan" aboveAverage="0" dxfId="10" text="" percent="0" bottom="0">
      <formula>18</formula>
    </cfRule>
  </conditionalFormatting>
  <conditionalFormatting sqref="B146">
    <cfRule type="cellIs" rank="0" priority="407" equalAverage="0" operator="greaterThan" aboveAverage="0" dxfId="8" text="" percent="0" bottom="0">
      <formula>0</formula>
    </cfRule>
    <cfRule type="cellIs" rank="0" priority="408" equalAverage="0" operator="lessThan" aboveAverage="0" dxfId="9" text="" percent="0" bottom="0">
      <formula>MaliyetEsik</formula>
    </cfRule>
  </conditionalFormatting>
  <conditionalFormatting sqref="D146">
    <cfRule type="cellIs" rank="0" priority="409" equalAverage="0" operator="lessThan" aboveAverage="0" dxfId="10" text="" percent="0" bottom="0">
      <formula>18</formula>
    </cfRule>
  </conditionalFormatting>
  <conditionalFormatting sqref="B147">
    <cfRule type="cellIs" rank="0" priority="410" equalAverage="0" operator="greaterThan" aboveAverage="0" dxfId="8" text="" percent="0" bottom="0">
      <formula>0</formula>
    </cfRule>
    <cfRule type="cellIs" rank="0" priority="411" equalAverage="0" operator="lessThan" aboveAverage="0" dxfId="9" text="" percent="0" bottom="0">
      <formula>MaliyetEsik</formula>
    </cfRule>
  </conditionalFormatting>
  <conditionalFormatting sqref="D147">
    <cfRule type="cellIs" rank="0" priority="412" equalAverage="0" operator="lessThan" aboveAverage="0" dxfId="10" text="" percent="0" bottom="0">
      <formula>18</formula>
    </cfRule>
  </conditionalFormatting>
  <conditionalFormatting sqref="B148">
    <cfRule type="cellIs" rank="0" priority="413" equalAverage="0" operator="greaterThan" aboveAverage="0" dxfId="8" text="" percent="0" bottom="0">
      <formula>0</formula>
    </cfRule>
    <cfRule type="cellIs" rank="0" priority="414" equalAverage="0" operator="lessThan" aboveAverage="0" dxfId="9" text="" percent="0" bottom="0">
      <formula>MaliyetEsik</formula>
    </cfRule>
  </conditionalFormatting>
  <conditionalFormatting sqref="D148">
    <cfRule type="cellIs" rank="0" priority="415" equalAverage="0" operator="lessThan" aboveAverage="0" dxfId="10" text="" percent="0" bottom="0">
      <formula>18</formula>
    </cfRule>
  </conditionalFormatting>
  <conditionalFormatting sqref="B149">
    <cfRule type="cellIs" rank="0" priority="416" equalAverage="0" operator="greaterThan" aboveAverage="0" dxfId="8" text="" percent="0" bottom="0">
      <formula>0</formula>
    </cfRule>
    <cfRule type="cellIs" rank="0" priority="417" equalAverage="0" operator="lessThan" aboveAverage="0" dxfId="9" text="" percent="0" bottom="0">
      <formula>MaliyetEsik</formula>
    </cfRule>
  </conditionalFormatting>
  <conditionalFormatting sqref="D149">
    <cfRule type="cellIs" rank="0" priority="418" equalAverage="0" operator="lessThan" aboveAverage="0" dxfId="10" text="" percent="0" bottom="0">
      <formula>18</formula>
    </cfRule>
  </conditionalFormatting>
  <conditionalFormatting sqref="B150">
    <cfRule type="cellIs" rank="0" priority="419" equalAverage="0" operator="greaterThan" aboveAverage="0" dxfId="8" text="" percent="0" bottom="0">
      <formula>0</formula>
    </cfRule>
    <cfRule type="cellIs" rank="0" priority="420" equalAverage="0" operator="lessThan" aboveAverage="0" dxfId="9" text="" percent="0" bottom="0">
      <formula>MaliyetEsik</formula>
    </cfRule>
  </conditionalFormatting>
  <conditionalFormatting sqref="D150">
    <cfRule type="cellIs" rank="0" priority="421" equalAverage="0" operator="lessThan" aboveAverage="0" dxfId="10" text="" percent="0" bottom="0">
      <formula>18</formula>
    </cfRule>
  </conditionalFormatting>
  <conditionalFormatting sqref="B151">
    <cfRule type="cellIs" rank="0" priority="422" equalAverage="0" operator="greaterThan" aboveAverage="0" dxfId="8" text="" percent="0" bottom="0">
      <formula>0</formula>
    </cfRule>
    <cfRule type="cellIs" rank="0" priority="423" equalAverage="0" operator="lessThan" aboveAverage="0" dxfId="9" text="" percent="0" bottom="0">
      <formula>MaliyetEsik</formula>
    </cfRule>
  </conditionalFormatting>
  <conditionalFormatting sqref="D151">
    <cfRule type="cellIs" rank="0" priority="424" equalAverage="0" operator="lessThan" aboveAverage="0" dxfId="10" text="" percent="0" bottom="0">
      <formula>18</formula>
    </cfRule>
  </conditionalFormatting>
  <conditionalFormatting sqref="B152">
    <cfRule type="cellIs" rank="0" priority="425" equalAverage="0" operator="greaterThan" aboveAverage="0" dxfId="8" text="" percent="0" bottom="0">
      <formula>0</formula>
    </cfRule>
    <cfRule type="cellIs" rank="0" priority="426" equalAverage="0" operator="lessThan" aboveAverage="0" dxfId="9" text="" percent="0" bottom="0">
      <formula>MaliyetEsik</formula>
    </cfRule>
  </conditionalFormatting>
  <conditionalFormatting sqref="D152">
    <cfRule type="cellIs" rank="0" priority="427" equalAverage="0" operator="lessThan" aboveAverage="0" dxfId="10" text="" percent="0" bottom="0">
      <formula>18</formula>
    </cfRule>
  </conditionalFormatting>
  <conditionalFormatting sqref="B153">
    <cfRule type="cellIs" rank="0" priority="428" equalAverage="0" operator="greaterThan" aboveAverage="0" dxfId="8" text="" percent="0" bottom="0">
      <formula>0</formula>
    </cfRule>
    <cfRule type="cellIs" rank="0" priority="429" equalAverage="0" operator="lessThan" aboveAverage="0" dxfId="9" text="" percent="0" bottom="0">
      <formula>MaliyetEsik</formula>
    </cfRule>
  </conditionalFormatting>
  <conditionalFormatting sqref="D153">
    <cfRule type="cellIs" rank="0" priority="430" equalAverage="0" operator="lessThan" aboveAverage="0" dxfId="10" text="" percent="0" bottom="0">
      <formula>18</formula>
    </cfRule>
  </conditionalFormatting>
  <conditionalFormatting sqref="B154">
    <cfRule type="cellIs" rank="0" priority="431" equalAverage="0" operator="greaterThan" aboveAverage="0" dxfId="8" text="" percent="0" bottom="0">
      <formula>0</formula>
    </cfRule>
    <cfRule type="cellIs" rank="0" priority="432" equalAverage="0" operator="lessThan" aboveAverage="0" dxfId="9" text="" percent="0" bottom="0">
      <formula>MaliyetEsik</formula>
    </cfRule>
  </conditionalFormatting>
  <conditionalFormatting sqref="D154">
    <cfRule type="cellIs" rank="0" priority="433" equalAverage="0" operator="lessThan" aboveAverage="0" dxfId="10" text="" percent="0" bottom="0">
      <formula>18</formula>
    </cfRule>
  </conditionalFormatting>
  <conditionalFormatting sqref="B155">
    <cfRule type="cellIs" rank="0" priority="434" equalAverage="0" operator="greaterThan" aboveAverage="0" dxfId="8" text="" percent="0" bottom="0">
      <formula>0</formula>
    </cfRule>
    <cfRule type="cellIs" rank="0" priority="435" equalAverage="0" operator="lessThan" aboveAverage="0" dxfId="9" text="" percent="0" bottom="0">
      <formula>MaliyetEsik</formula>
    </cfRule>
  </conditionalFormatting>
  <conditionalFormatting sqref="D155">
    <cfRule type="cellIs" rank="0" priority="436" equalAverage="0" operator="lessThan" aboveAverage="0" dxfId="10" text="" percent="0" bottom="0">
      <formula>18</formula>
    </cfRule>
  </conditionalFormatting>
  <conditionalFormatting sqref="B156">
    <cfRule type="cellIs" rank="0" priority="437" equalAverage="0" operator="greaterThan" aboveAverage="0" dxfId="8" text="" percent="0" bottom="0">
      <formula>0</formula>
    </cfRule>
    <cfRule type="cellIs" rank="0" priority="438" equalAverage="0" operator="lessThan" aboveAverage="0" dxfId="9" text="" percent="0" bottom="0">
      <formula>MaliyetEsik</formula>
    </cfRule>
  </conditionalFormatting>
  <conditionalFormatting sqref="D156">
    <cfRule type="cellIs" rank="0" priority="439" equalAverage="0" operator="lessThan" aboveAverage="0" dxfId="10" text="" percent="0" bottom="0">
      <formula>18</formula>
    </cfRule>
  </conditionalFormatting>
  <conditionalFormatting sqref="B157">
    <cfRule type="cellIs" rank="0" priority="440" equalAverage="0" operator="greaterThan" aboveAverage="0" dxfId="8" text="" percent="0" bottom="0">
      <formula>0</formula>
    </cfRule>
    <cfRule type="cellIs" rank="0" priority="441" equalAverage="0" operator="lessThan" aboveAverage="0" dxfId="9" text="" percent="0" bottom="0">
      <formula>MaliyetEsik</formula>
    </cfRule>
  </conditionalFormatting>
  <conditionalFormatting sqref="D157">
    <cfRule type="cellIs" rank="0" priority="442" equalAverage="0" operator="lessThan" aboveAverage="0" dxfId="10" text="" percent="0" bottom="0">
      <formula>18</formula>
    </cfRule>
  </conditionalFormatting>
  <conditionalFormatting sqref="B158">
    <cfRule type="cellIs" rank="0" priority="443" equalAverage="0" operator="greaterThan" aboveAverage="0" dxfId="8" text="" percent="0" bottom="0">
      <formula>0</formula>
    </cfRule>
    <cfRule type="cellIs" rank="0" priority="444" equalAverage="0" operator="lessThan" aboveAverage="0" dxfId="9" text="" percent="0" bottom="0">
      <formula>MaliyetEsik</formula>
    </cfRule>
  </conditionalFormatting>
  <conditionalFormatting sqref="D158">
    <cfRule type="cellIs" rank="0" priority="445" equalAverage="0" operator="lessThan" aboveAverage="0" dxfId="10" text="" percent="0" bottom="0">
      <formula>18</formula>
    </cfRule>
  </conditionalFormatting>
  <conditionalFormatting sqref="B159">
    <cfRule type="cellIs" rank="0" priority="446" equalAverage="0" operator="greaterThan" aboveAverage="0" dxfId="8" text="" percent="0" bottom="0">
      <formula>0</formula>
    </cfRule>
    <cfRule type="cellIs" rank="0" priority="447" equalAverage="0" operator="lessThan" aboveAverage="0" dxfId="9" text="" percent="0" bottom="0">
      <formula>MaliyetEsik</formula>
    </cfRule>
  </conditionalFormatting>
  <conditionalFormatting sqref="D159">
    <cfRule type="cellIs" rank="0" priority="448" equalAverage="0" operator="lessThan" aboveAverage="0" dxfId="10" text="" percent="0" bottom="0">
      <formula>18</formula>
    </cfRule>
  </conditionalFormatting>
  <conditionalFormatting sqref="B160">
    <cfRule type="cellIs" rank="0" priority="449" equalAverage="0" operator="greaterThan" aboveAverage="0" dxfId="8" text="" percent="0" bottom="0">
      <formula>0</formula>
    </cfRule>
    <cfRule type="cellIs" rank="0" priority="450" equalAverage="0" operator="lessThan" aboveAverage="0" dxfId="9" text="" percent="0" bottom="0">
      <formula>MaliyetEsik</formula>
    </cfRule>
  </conditionalFormatting>
  <conditionalFormatting sqref="D160">
    <cfRule type="cellIs" rank="0" priority="451" equalAverage="0" operator="lessThan" aboveAverage="0" dxfId="10" text="" percent="0" bottom="0">
      <formula>18</formula>
    </cfRule>
  </conditionalFormatting>
  <conditionalFormatting sqref="B161">
    <cfRule type="cellIs" rank="0" priority="452" equalAverage="0" operator="greaterThan" aboveAverage="0" dxfId="8" text="" percent="0" bottom="0">
      <formula>0</formula>
    </cfRule>
    <cfRule type="cellIs" rank="0" priority="453" equalAverage="0" operator="lessThan" aboveAverage="0" dxfId="9" text="" percent="0" bottom="0">
      <formula>MaliyetEsik</formula>
    </cfRule>
  </conditionalFormatting>
  <conditionalFormatting sqref="D161">
    <cfRule type="cellIs" rank="0" priority="454" equalAverage="0" operator="lessThan" aboveAverage="0" dxfId="10" text="" percent="0" bottom="0">
      <formula>18</formula>
    </cfRule>
  </conditionalFormatting>
  <conditionalFormatting sqref="B162">
    <cfRule type="cellIs" rank="0" priority="455" equalAverage="0" operator="greaterThan" aboveAverage="0" dxfId="8" text="" percent="0" bottom="0">
      <formula>0</formula>
    </cfRule>
    <cfRule type="cellIs" rank="0" priority="456" equalAverage="0" operator="lessThan" aboveAverage="0" dxfId="9" text="" percent="0" bottom="0">
      <formula>MaliyetEsik</formula>
    </cfRule>
  </conditionalFormatting>
  <conditionalFormatting sqref="D162">
    <cfRule type="cellIs" rank="0" priority="457" equalAverage="0" operator="lessThan" aboveAverage="0" dxfId="10" text="" percent="0" bottom="0">
      <formula>18</formula>
    </cfRule>
  </conditionalFormatting>
  <conditionalFormatting sqref="B163">
    <cfRule type="cellIs" rank="0" priority="458" equalAverage="0" operator="greaterThan" aboveAverage="0" dxfId="8" text="" percent="0" bottom="0">
      <formula>0</formula>
    </cfRule>
    <cfRule type="cellIs" rank="0" priority="459" equalAverage="0" operator="lessThan" aboveAverage="0" dxfId="9" text="" percent="0" bottom="0">
      <formula>MaliyetEsik</formula>
    </cfRule>
  </conditionalFormatting>
  <conditionalFormatting sqref="D163">
    <cfRule type="cellIs" rank="0" priority="460" equalAverage="0" operator="lessThan" aboveAverage="0" dxfId="10" text="" percent="0" bottom="0">
      <formula>18</formula>
    </cfRule>
  </conditionalFormatting>
  <conditionalFormatting sqref="B164">
    <cfRule type="cellIs" rank="0" priority="461" equalAverage="0" operator="greaterThan" aboveAverage="0" dxfId="8" text="" percent="0" bottom="0">
      <formula>0</formula>
    </cfRule>
    <cfRule type="cellIs" rank="0" priority="462" equalAverage="0" operator="lessThan" aboveAverage="0" dxfId="9" text="" percent="0" bottom="0">
      <formula>MaliyetEsik</formula>
    </cfRule>
  </conditionalFormatting>
  <conditionalFormatting sqref="D164">
    <cfRule type="cellIs" rank="0" priority="463" equalAverage="0" operator="lessThan" aboveAverage="0" dxfId="10" text="" percent="0" bottom="0">
      <formula>18</formula>
    </cfRule>
  </conditionalFormatting>
  <conditionalFormatting sqref="B165">
    <cfRule type="cellIs" rank="0" priority="464" equalAverage="0" operator="greaterThan" aboveAverage="0" dxfId="8" text="" percent="0" bottom="0">
      <formula>0</formula>
    </cfRule>
    <cfRule type="cellIs" rank="0" priority="465" equalAverage="0" operator="lessThan" aboveAverage="0" dxfId="9" text="" percent="0" bottom="0">
      <formula>MaliyetEsik</formula>
    </cfRule>
  </conditionalFormatting>
  <conditionalFormatting sqref="D165">
    <cfRule type="cellIs" rank="0" priority="466" equalAverage="0" operator="lessThan" aboveAverage="0" dxfId="10" text="" percent="0" bottom="0">
      <formula>18</formula>
    </cfRule>
  </conditionalFormatting>
  <conditionalFormatting sqref="B166">
    <cfRule type="cellIs" rank="0" priority="467" equalAverage="0" operator="greaterThan" aboveAverage="0" dxfId="8" text="" percent="0" bottom="0">
      <formula>0</formula>
    </cfRule>
    <cfRule type="cellIs" rank="0" priority="468" equalAverage="0" operator="lessThan" aboveAverage="0" dxfId="9" text="" percent="0" bottom="0">
      <formula>MaliyetEsik</formula>
    </cfRule>
  </conditionalFormatting>
  <conditionalFormatting sqref="D166">
    <cfRule type="cellIs" rank="0" priority="469" equalAverage="0" operator="lessThan" aboveAverage="0" dxfId="10" text="" percent="0" bottom="0">
      <formula>18</formula>
    </cfRule>
  </conditionalFormatting>
  <conditionalFormatting sqref="B167">
    <cfRule type="cellIs" rank="0" priority="470" equalAverage="0" operator="greaterThan" aboveAverage="0" dxfId="8" text="" percent="0" bottom="0">
      <formula>0</formula>
    </cfRule>
    <cfRule type="cellIs" rank="0" priority="471" equalAverage="0" operator="lessThan" aboveAverage="0" dxfId="9" text="" percent="0" bottom="0">
      <formula>MaliyetEsik</formula>
    </cfRule>
  </conditionalFormatting>
  <conditionalFormatting sqref="D167">
    <cfRule type="cellIs" rank="0" priority="472" equalAverage="0" operator="lessThan" aboveAverage="0" dxfId="10" text="" percent="0" bottom="0">
      <formula>18</formula>
    </cfRule>
  </conditionalFormatting>
  <conditionalFormatting sqref="B168">
    <cfRule type="cellIs" rank="0" priority="473" equalAverage="0" operator="greaterThan" aboveAverage="0" dxfId="8" text="" percent="0" bottom="0">
      <formula>0</formula>
    </cfRule>
    <cfRule type="cellIs" rank="0" priority="474" equalAverage="0" operator="lessThan" aboveAverage="0" dxfId="9" text="" percent="0" bottom="0">
      <formula>MaliyetEsik</formula>
    </cfRule>
  </conditionalFormatting>
  <conditionalFormatting sqref="D168">
    <cfRule type="cellIs" rank="0" priority="475" equalAverage="0" operator="lessThan" aboveAverage="0" dxfId="10" text="" percent="0" bottom="0">
      <formula>18</formula>
    </cfRule>
  </conditionalFormatting>
  <conditionalFormatting sqref="B169">
    <cfRule type="cellIs" rank="0" priority="476" equalAverage="0" operator="greaterThan" aboveAverage="0" dxfId="8" text="" percent="0" bottom="0">
      <formula>0</formula>
    </cfRule>
    <cfRule type="cellIs" rank="0" priority="477" equalAverage="0" operator="lessThan" aboveAverage="0" dxfId="9" text="" percent="0" bottom="0">
      <formula>MaliyetEsik</formula>
    </cfRule>
  </conditionalFormatting>
  <conditionalFormatting sqref="D169">
    <cfRule type="cellIs" rank="0" priority="478" equalAverage="0" operator="lessThan" aboveAverage="0" dxfId="10" text="" percent="0" bottom="0">
      <formula>18</formula>
    </cfRule>
  </conditionalFormatting>
  <conditionalFormatting sqref="B170">
    <cfRule type="cellIs" rank="0" priority="479" equalAverage="0" operator="greaterThan" aboveAverage="0" dxfId="8" text="" percent="0" bottom="0">
      <formula>0</formula>
    </cfRule>
    <cfRule type="cellIs" rank="0" priority="480" equalAverage="0" operator="lessThan" aboveAverage="0" dxfId="9" text="" percent="0" bottom="0">
      <formula>MaliyetEsik</formula>
    </cfRule>
  </conditionalFormatting>
  <conditionalFormatting sqref="D170">
    <cfRule type="cellIs" rank="0" priority="481" equalAverage="0" operator="lessThan" aboveAverage="0" dxfId="10" text="" percent="0" bottom="0">
      <formula>18</formula>
    </cfRule>
  </conditionalFormatting>
  <conditionalFormatting sqref="B171">
    <cfRule type="cellIs" rank="0" priority="482" equalAverage="0" operator="greaterThan" aboveAverage="0" dxfId="8" text="" percent="0" bottom="0">
      <formula>0</formula>
    </cfRule>
    <cfRule type="cellIs" rank="0" priority="483" equalAverage="0" operator="lessThan" aboveAverage="0" dxfId="9" text="" percent="0" bottom="0">
      <formula>MaliyetEsik</formula>
    </cfRule>
  </conditionalFormatting>
  <conditionalFormatting sqref="D171">
    <cfRule type="cellIs" rank="0" priority="484" equalAverage="0" operator="lessThan" aboveAverage="0" dxfId="10" text="" percent="0" bottom="0">
      <formula>18</formula>
    </cfRule>
  </conditionalFormatting>
  <conditionalFormatting sqref="B172">
    <cfRule type="cellIs" rank="0" priority="485" equalAverage="0" operator="greaterThan" aboveAverage="0" dxfId="8" text="" percent="0" bottom="0">
      <formula>0</formula>
    </cfRule>
    <cfRule type="cellIs" rank="0" priority="486" equalAverage="0" operator="lessThan" aboveAverage="0" dxfId="9" text="" percent="0" bottom="0">
      <formula>MaliyetEsik</formula>
    </cfRule>
  </conditionalFormatting>
  <conditionalFormatting sqref="D172">
    <cfRule type="cellIs" rank="0" priority="487" equalAverage="0" operator="lessThan" aboveAverage="0" dxfId="10" text="" percent="0" bottom="0">
      <formula>18</formula>
    </cfRule>
  </conditionalFormatting>
  <conditionalFormatting sqref="B173">
    <cfRule type="cellIs" rank="0" priority="488" equalAverage="0" operator="greaterThan" aboveAverage="0" dxfId="8" text="" percent="0" bottom="0">
      <formula>0</formula>
    </cfRule>
    <cfRule type="cellIs" rank="0" priority="489" equalAverage="0" operator="lessThan" aboveAverage="0" dxfId="9" text="" percent="0" bottom="0">
      <formula>MaliyetEsik</formula>
    </cfRule>
  </conditionalFormatting>
  <conditionalFormatting sqref="D173">
    <cfRule type="cellIs" rank="0" priority="490" equalAverage="0" operator="lessThan" aboveAverage="0" dxfId="10" text="" percent="0" bottom="0">
      <formula>18</formula>
    </cfRule>
  </conditionalFormatting>
  <conditionalFormatting sqref="B174">
    <cfRule type="cellIs" rank="0" priority="491" equalAverage="0" operator="greaterThan" aboveAverage="0" dxfId="8" text="" percent="0" bottom="0">
      <formula>0</formula>
    </cfRule>
    <cfRule type="cellIs" rank="0" priority="492" equalAverage="0" operator="lessThan" aboveAverage="0" dxfId="9" text="" percent="0" bottom="0">
      <formula>MaliyetEsik</formula>
    </cfRule>
  </conditionalFormatting>
  <conditionalFormatting sqref="D174">
    <cfRule type="cellIs" rank="0" priority="493" equalAverage="0" operator="lessThan" aboveAverage="0" dxfId="10" text="" percent="0" bottom="0">
      <formula>18</formula>
    </cfRule>
  </conditionalFormatting>
  <conditionalFormatting sqref="B175">
    <cfRule type="cellIs" rank="0" priority="494" equalAverage="0" operator="greaterThan" aboveAverage="0" dxfId="8" text="" percent="0" bottom="0">
      <formula>0</formula>
    </cfRule>
    <cfRule type="cellIs" rank="0" priority="495" equalAverage="0" operator="lessThan" aboveAverage="0" dxfId="9" text="" percent="0" bottom="0">
      <formula>MaliyetEsik</formula>
    </cfRule>
  </conditionalFormatting>
  <conditionalFormatting sqref="D175">
    <cfRule type="cellIs" rank="0" priority="496" equalAverage="0" operator="lessThan" aboveAverage="0" dxfId="10" text="" percent="0" bottom="0">
      <formula>18</formula>
    </cfRule>
  </conditionalFormatting>
  <conditionalFormatting sqref="B176">
    <cfRule type="cellIs" rank="0" priority="497" equalAverage="0" operator="greaterThan" aboveAverage="0" dxfId="8" text="" percent="0" bottom="0">
      <formula>0</formula>
    </cfRule>
    <cfRule type="cellIs" rank="0" priority="498" equalAverage="0" operator="lessThan" aboveAverage="0" dxfId="9" text="" percent="0" bottom="0">
      <formula>MaliyetEsik</formula>
    </cfRule>
  </conditionalFormatting>
  <conditionalFormatting sqref="D176">
    <cfRule type="cellIs" rank="0" priority="499" equalAverage="0" operator="lessThan" aboveAverage="0" dxfId="10" text="" percent="0" bottom="0">
      <formula>18</formula>
    </cfRule>
  </conditionalFormatting>
  <conditionalFormatting sqref="B177">
    <cfRule type="cellIs" rank="0" priority="500" equalAverage="0" operator="greaterThan" aboveAverage="0" dxfId="8" text="" percent="0" bottom="0">
      <formula>0</formula>
    </cfRule>
    <cfRule type="cellIs" rank="0" priority="501" equalAverage="0" operator="lessThan" aboveAverage="0" dxfId="9" text="" percent="0" bottom="0">
      <formula>MaliyetEsik</formula>
    </cfRule>
  </conditionalFormatting>
  <conditionalFormatting sqref="D177">
    <cfRule type="cellIs" rank="0" priority="502" equalAverage="0" operator="lessThan" aboveAverage="0" dxfId="10" text="" percent="0" bottom="0">
      <formula>18</formula>
    </cfRule>
  </conditionalFormatting>
  <conditionalFormatting sqref="B178">
    <cfRule type="cellIs" rank="0" priority="503" equalAverage="0" operator="greaterThan" aboveAverage="0" dxfId="8" text="" percent="0" bottom="0">
      <formula>0</formula>
    </cfRule>
    <cfRule type="cellIs" rank="0" priority="504" equalAverage="0" operator="lessThan" aboveAverage="0" dxfId="9" text="" percent="0" bottom="0">
      <formula>MaliyetEsik</formula>
    </cfRule>
  </conditionalFormatting>
  <conditionalFormatting sqref="D178">
    <cfRule type="cellIs" rank="0" priority="505" equalAverage="0" operator="lessThan" aboveAverage="0" dxfId="10" text="" percent="0" bottom="0">
      <formula>18</formula>
    </cfRule>
  </conditionalFormatting>
  <conditionalFormatting sqref="B179">
    <cfRule type="cellIs" rank="0" priority="506" equalAverage="0" operator="greaterThan" aboveAverage="0" dxfId="8" text="" percent="0" bottom="0">
      <formula>0</formula>
    </cfRule>
    <cfRule type="cellIs" rank="0" priority="507" equalAverage="0" operator="lessThan" aboveAverage="0" dxfId="9" text="" percent="0" bottom="0">
      <formula>MaliyetEsik</formula>
    </cfRule>
  </conditionalFormatting>
  <conditionalFormatting sqref="D179">
    <cfRule type="cellIs" rank="0" priority="508" equalAverage="0" operator="lessThan" aboveAverage="0" dxfId="10" text="" percent="0" bottom="0">
      <formula>18</formula>
    </cfRule>
  </conditionalFormatting>
  <conditionalFormatting sqref="B180">
    <cfRule type="cellIs" rank="0" priority="509" equalAverage="0" operator="greaterThan" aboveAverage="0" dxfId="8" text="" percent="0" bottom="0">
      <formula>0</formula>
    </cfRule>
    <cfRule type="cellIs" rank="0" priority="510" equalAverage="0" operator="lessThan" aboveAverage="0" dxfId="9" text="" percent="0" bottom="0">
      <formula>MaliyetEsik</formula>
    </cfRule>
  </conditionalFormatting>
  <conditionalFormatting sqref="D180">
    <cfRule type="cellIs" rank="0" priority="511" equalAverage="0" operator="lessThan" aboveAverage="0" dxfId="10" text="" percent="0" bottom="0">
      <formula>18</formula>
    </cfRule>
  </conditionalFormatting>
  <conditionalFormatting sqref="B181">
    <cfRule type="cellIs" rank="0" priority="512" equalAverage="0" operator="greaterThan" aboveAverage="0" dxfId="8" text="" percent="0" bottom="0">
      <formula>0</formula>
    </cfRule>
    <cfRule type="cellIs" rank="0" priority="513" equalAverage="0" operator="lessThan" aboveAverage="0" dxfId="9" text="" percent="0" bottom="0">
      <formula>MaliyetEsik</formula>
    </cfRule>
  </conditionalFormatting>
  <conditionalFormatting sqref="D181">
    <cfRule type="cellIs" rank="0" priority="514" equalAverage="0" operator="lessThan" aboveAverage="0" dxfId="10" text="" percent="0" bottom="0">
      <formula>18</formula>
    </cfRule>
  </conditionalFormatting>
  <conditionalFormatting sqref="B182">
    <cfRule type="cellIs" rank="0" priority="515" equalAverage="0" operator="greaterThan" aboveAverage="0" dxfId="8" text="" percent="0" bottom="0">
      <formula>0</formula>
    </cfRule>
    <cfRule type="cellIs" rank="0" priority="516" equalAverage="0" operator="lessThan" aboveAverage="0" dxfId="9" text="" percent="0" bottom="0">
      <formula>MaliyetEsik</formula>
    </cfRule>
  </conditionalFormatting>
  <conditionalFormatting sqref="D182">
    <cfRule type="cellIs" rank="0" priority="517" equalAverage="0" operator="lessThan" aboveAverage="0" dxfId="10" text="" percent="0" bottom="0">
      <formula>18</formula>
    </cfRule>
  </conditionalFormatting>
  <conditionalFormatting sqref="B183">
    <cfRule type="cellIs" rank="0" priority="518" equalAverage="0" operator="greaterThan" aboveAverage="0" dxfId="8" text="" percent="0" bottom="0">
      <formula>0</formula>
    </cfRule>
    <cfRule type="cellIs" rank="0" priority="519" equalAverage="0" operator="lessThan" aboveAverage="0" dxfId="9" text="" percent="0" bottom="0">
      <formula>MaliyetEsik</formula>
    </cfRule>
  </conditionalFormatting>
  <conditionalFormatting sqref="D183">
    <cfRule type="cellIs" rank="0" priority="520" equalAverage="0" operator="lessThan" aboveAverage="0" dxfId="10" text="" percent="0" bottom="0">
      <formula>18</formula>
    </cfRule>
  </conditionalFormatting>
  <conditionalFormatting sqref="B184">
    <cfRule type="cellIs" rank="0" priority="521" equalAverage="0" operator="greaterThan" aboveAverage="0" dxfId="8" text="" percent="0" bottom="0">
      <formula>0</formula>
    </cfRule>
    <cfRule type="cellIs" rank="0" priority="522" equalAverage="0" operator="lessThan" aboveAverage="0" dxfId="9" text="" percent="0" bottom="0">
      <formula>MaliyetEsik</formula>
    </cfRule>
  </conditionalFormatting>
  <conditionalFormatting sqref="D184">
    <cfRule type="cellIs" rank="0" priority="523" equalAverage="0" operator="lessThan" aboveAverage="0" dxfId="10" text="" percent="0" bottom="0">
      <formula>18</formula>
    </cfRule>
  </conditionalFormatting>
  <conditionalFormatting sqref="B185">
    <cfRule type="cellIs" rank="0" priority="524" equalAverage="0" operator="greaterThan" aboveAverage="0" dxfId="8" text="" percent="0" bottom="0">
      <formula>0</formula>
    </cfRule>
    <cfRule type="cellIs" rank="0" priority="525" equalAverage="0" operator="lessThan" aboveAverage="0" dxfId="9" text="" percent="0" bottom="0">
      <formula>MaliyetEsik</formula>
    </cfRule>
  </conditionalFormatting>
  <conditionalFormatting sqref="D185">
    <cfRule type="cellIs" rank="0" priority="526" equalAverage="0" operator="lessThan" aboveAverage="0" dxfId="10" text="" percent="0" bottom="0">
      <formula>18</formula>
    </cfRule>
  </conditionalFormatting>
  <conditionalFormatting sqref="B186">
    <cfRule type="cellIs" rank="0" priority="527" equalAverage="0" operator="greaterThan" aboveAverage="0" dxfId="8" text="" percent="0" bottom="0">
      <formula>0</formula>
    </cfRule>
    <cfRule type="cellIs" rank="0" priority="528" equalAverage="0" operator="lessThan" aboveAverage="0" dxfId="9" text="" percent="0" bottom="0">
      <formula>MaliyetEsik</formula>
    </cfRule>
  </conditionalFormatting>
  <conditionalFormatting sqref="D186">
    <cfRule type="cellIs" rank="0" priority="529" equalAverage="0" operator="lessThan" aboveAverage="0" dxfId="10" text="" percent="0" bottom="0">
      <formula>18</formula>
    </cfRule>
  </conditionalFormatting>
  <conditionalFormatting sqref="B187">
    <cfRule type="cellIs" rank="0" priority="530" equalAverage="0" operator="greaterThan" aboveAverage="0" dxfId="8" text="" percent="0" bottom="0">
      <formula>0</formula>
    </cfRule>
    <cfRule type="cellIs" rank="0" priority="531" equalAverage="0" operator="lessThan" aboveAverage="0" dxfId="9" text="" percent="0" bottom="0">
      <formula>MaliyetEsik</formula>
    </cfRule>
  </conditionalFormatting>
  <conditionalFormatting sqref="D187">
    <cfRule type="cellIs" rank="0" priority="532" equalAverage="0" operator="lessThan" aboveAverage="0" dxfId="10" text="" percent="0" bottom="0">
      <formula>18</formula>
    </cfRule>
  </conditionalFormatting>
  <conditionalFormatting sqref="B188">
    <cfRule type="cellIs" rank="0" priority="533" equalAverage="0" operator="greaterThan" aboveAverage="0" dxfId="8" text="" percent="0" bottom="0">
      <formula>0</formula>
    </cfRule>
    <cfRule type="cellIs" rank="0" priority="534" equalAverage="0" operator="lessThan" aboveAverage="0" dxfId="9" text="" percent="0" bottom="0">
      <formula>MaliyetEsik</formula>
    </cfRule>
  </conditionalFormatting>
  <conditionalFormatting sqref="D188">
    <cfRule type="cellIs" rank="0" priority="535" equalAverage="0" operator="lessThan" aboveAverage="0" dxfId="10" text="" percent="0" bottom="0">
      <formula>18</formula>
    </cfRule>
  </conditionalFormatting>
  <conditionalFormatting sqref="B189">
    <cfRule type="cellIs" rank="0" priority="536" equalAverage="0" operator="greaterThan" aboveAverage="0" dxfId="8" text="" percent="0" bottom="0">
      <formula>0</formula>
    </cfRule>
    <cfRule type="cellIs" rank="0" priority="537" equalAverage="0" operator="lessThan" aboveAverage="0" dxfId="9" text="" percent="0" bottom="0">
      <formula>MaliyetEsik</formula>
    </cfRule>
  </conditionalFormatting>
  <conditionalFormatting sqref="D189">
    <cfRule type="cellIs" rank="0" priority="538" equalAverage="0" operator="lessThan" aboveAverage="0" dxfId="10" text="" percent="0" bottom="0">
      <formula>18</formula>
    </cfRule>
  </conditionalFormatting>
  <conditionalFormatting sqref="B190">
    <cfRule type="cellIs" rank="0" priority="539" equalAverage="0" operator="greaterThan" aboveAverage="0" dxfId="8" text="" percent="0" bottom="0">
      <formula>0</formula>
    </cfRule>
    <cfRule type="cellIs" rank="0" priority="540" equalAverage="0" operator="lessThan" aboveAverage="0" dxfId="9" text="" percent="0" bottom="0">
      <formula>MaliyetEsik</formula>
    </cfRule>
  </conditionalFormatting>
  <conditionalFormatting sqref="D190">
    <cfRule type="cellIs" rank="0" priority="541" equalAverage="0" operator="lessThan" aboveAverage="0" dxfId="10" text="" percent="0" bottom="0">
      <formula>18</formula>
    </cfRule>
  </conditionalFormatting>
  <conditionalFormatting sqref="B191">
    <cfRule type="cellIs" rank="0" priority="542" equalAverage="0" operator="greaterThan" aboveAverage="0" dxfId="8" text="" percent="0" bottom="0">
      <formula>0</formula>
    </cfRule>
    <cfRule type="cellIs" rank="0" priority="543" equalAverage="0" operator="lessThan" aboveAverage="0" dxfId="9" text="" percent="0" bottom="0">
      <formula>MaliyetEsik</formula>
    </cfRule>
  </conditionalFormatting>
  <conditionalFormatting sqref="D191">
    <cfRule type="cellIs" rank="0" priority="544" equalAverage="0" operator="lessThan" aboveAverage="0" dxfId="10" text="" percent="0" bottom="0">
      <formula>18</formula>
    </cfRule>
  </conditionalFormatting>
  <conditionalFormatting sqref="B192">
    <cfRule type="cellIs" rank="0" priority="545" equalAverage="0" operator="greaterThan" aboveAverage="0" dxfId="8" text="" percent="0" bottom="0">
      <formula>0</formula>
    </cfRule>
    <cfRule type="cellIs" rank="0" priority="546" equalAverage="0" operator="lessThan" aboveAverage="0" dxfId="9" text="" percent="0" bottom="0">
      <formula>MaliyetEsik</formula>
    </cfRule>
  </conditionalFormatting>
  <conditionalFormatting sqref="D192">
    <cfRule type="cellIs" rank="0" priority="547" equalAverage="0" operator="lessThan" aboveAverage="0" dxfId="10" text="" percent="0" bottom="0">
      <formula>18</formula>
    </cfRule>
  </conditionalFormatting>
  <conditionalFormatting sqref="B193">
    <cfRule type="cellIs" rank="0" priority="548" equalAverage="0" operator="greaterThan" aboveAverage="0" dxfId="8" text="" percent="0" bottom="0">
      <formula>0</formula>
    </cfRule>
    <cfRule type="cellIs" rank="0" priority="549" equalAverage="0" operator="lessThan" aboveAverage="0" dxfId="9" text="" percent="0" bottom="0">
      <formula>MaliyetEsik</formula>
    </cfRule>
  </conditionalFormatting>
  <conditionalFormatting sqref="D193">
    <cfRule type="cellIs" rank="0" priority="550" equalAverage="0" operator="lessThan" aboveAverage="0" dxfId="10" text="" percent="0" bottom="0">
      <formula>18</formula>
    </cfRule>
  </conditionalFormatting>
  <conditionalFormatting sqref="B194">
    <cfRule type="cellIs" rank="0" priority="551" equalAverage="0" operator="greaterThan" aboveAverage="0" dxfId="8" text="" percent="0" bottom="0">
      <formula>0</formula>
    </cfRule>
    <cfRule type="cellIs" rank="0" priority="552" equalAverage="0" operator="lessThan" aboveAverage="0" dxfId="9" text="" percent="0" bottom="0">
      <formula>MaliyetEsik</formula>
    </cfRule>
  </conditionalFormatting>
  <conditionalFormatting sqref="D194">
    <cfRule type="cellIs" rank="0" priority="553" equalAverage="0" operator="lessThan" aboveAverage="0" dxfId="10" text="" percent="0" bottom="0">
      <formula>18</formula>
    </cfRule>
  </conditionalFormatting>
  <conditionalFormatting sqref="B195">
    <cfRule type="cellIs" rank="0" priority="554" equalAverage="0" operator="greaterThan" aboveAverage="0" dxfId="8" text="" percent="0" bottom="0">
      <formula>0</formula>
    </cfRule>
    <cfRule type="cellIs" rank="0" priority="555" equalAverage="0" operator="lessThan" aboveAverage="0" dxfId="9" text="" percent="0" bottom="0">
      <formula>MaliyetEsik</formula>
    </cfRule>
  </conditionalFormatting>
  <conditionalFormatting sqref="D195">
    <cfRule type="cellIs" rank="0" priority="556" equalAverage="0" operator="lessThan" aboveAverage="0" dxfId="10" text="" percent="0" bottom="0">
      <formula>18</formula>
    </cfRule>
  </conditionalFormatting>
  <conditionalFormatting sqref="B196">
    <cfRule type="cellIs" rank="0" priority="557" equalAverage="0" operator="greaterThan" aboveAverage="0" dxfId="8" text="" percent="0" bottom="0">
      <formula>0</formula>
    </cfRule>
    <cfRule type="cellIs" rank="0" priority="558" equalAverage="0" operator="lessThan" aboveAverage="0" dxfId="9" text="" percent="0" bottom="0">
      <formula>MaliyetEsik</formula>
    </cfRule>
  </conditionalFormatting>
  <conditionalFormatting sqref="D196">
    <cfRule type="cellIs" rank="0" priority="559" equalAverage="0" operator="lessThan" aboveAverage="0" dxfId="10" text="" percent="0" bottom="0">
      <formula>18</formula>
    </cfRule>
  </conditionalFormatting>
  <conditionalFormatting sqref="B197">
    <cfRule type="cellIs" rank="0" priority="560" equalAverage="0" operator="greaterThan" aboveAverage="0" dxfId="8" text="" percent="0" bottom="0">
      <formula>0</formula>
    </cfRule>
    <cfRule type="cellIs" rank="0" priority="561" equalAverage="0" operator="lessThan" aboveAverage="0" dxfId="9" text="" percent="0" bottom="0">
      <formula>MaliyetEsik</formula>
    </cfRule>
  </conditionalFormatting>
  <conditionalFormatting sqref="D197">
    <cfRule type="cellIs" rank="0" priority="562" equalAverage="0" operator="lessThan" aboveAverage="0" dxfId="10" text="" percent="0" bottom="0">
      <formula>18</formula>
    </cfRule>
  </conditionalFormatting>
  <conditionalFormatting sqref="B198">
    <cfRule type="cellIs" rank="0" priority="563" equalAverage="0" operator="greaterThan" aboveAverage="0" dxfId="8" text="" percent="0" bottom="0">
      <formula>0</formula>
    </cfRule>
    <cfRule type="cellIs" rank="0" priority="564" equalAverage="0" operator="lessThan" aboveAverage="0" dxfId="9" text="" percent="0" bottom="0">
      <formula>MaliyetEsik</formula>
    </cfRule>
  </conditionalFormatting>
  <conditionalFormatting sqref="D198">
    <cfRule type="cellIs" rank="0" priority="565" equalAverage="0" operator="lessThan" aboveAverage="0" dxfId="10" text="" percent="0" bottom="0">
      <formula>18</formula>
    </cfRule>
  </conditionalFormatting>
  <conditionalFormatting sqref="B199">
    <cfRule type="cellIs" rank="0" priority="566" equalAverage="0" operator="greaterThan" aboveAverage="0" dxfId="8" text="" percent="0" bottom="0">
      <formula>0</formula>
    </cfRule>
    <cfRule type="cellIs" rank="0" priority="567" equalAverage="0" operator="lessThan" aboveAverage="0" dxfId="9" text="" percent="0" bottom="0">
      <formula>MaliyetEsik</formula>
    </cfRule>
  </conditionalFormatting>
  <conditionalFormatting sqref="D199">
    <cfRule type="cellIs" rank="0" priority="568" equalAverage="0" operator="lessThan" aboveAverage="0" dxfId="10" text="" percent="0" bottom="0">
      <formula>18</formula>
    </cfRule>
  </conditionalFormatting>
  <conditionalFormatting sqref="B200">
    <cfRule type="cellIs" rank="0" priority="569" equalAverage="0" operator="greaterThan" aboveAverage="0" dxfId="8" text="" percent="0" bottom="0">
      <formula>0</formula>
    </cfRule>
    <cfRule type="cellIs" rank="0" priority="570" equalAverage="0" operator="lessThan" aboveAverage="0" dxfId="9" text="" percent="0" bottom="0">
      <formula>MaliyetEsik</formula>
    </cfRule>
  </conditionalFormatting>
  <conditionalFormatting sqref="D200">
    <cfRule type="cellIs" rank="0" priority="571" equalAverage="0" operator="lessThan" aboveAverage="0" dxfId="10" text="" percent="0" bottom="0">
      <formula>18</formula>
    </cfRule>
  </conditionalFormatting>
  <conditionalFormatting sqref="B201">
    <cfRule type="cellIs" rank="0" priority="572" equalAverage="0" operator="greaterThan" aboveAverage="0" dxfId="8" text="" percent="0" bottom="0">
      <formula>0</formula>
    </cfRule>
    <cfRule type="cellIs" rank="0" priority="573" equalAverage="0" operator="lessThan" aboveAverage="0" dxfId="9" text="" percent="0" bottom="0">
      <formula>MaliyetEsik</formula>
    </cfRule>
  </conditionalFormatting>
  <conditionalFormatting sqref="D201">
    <cfRule type="cellIs" rank="0" priority="574" equalAverage="0" operator="lessThan" aboveAverage="0" dxfId="10" text="" percent="0" bottom="0">
      <formula>18</formula>
    </cfRule>
  </conditionalFormatting>
  <conditionalFormatting sqref="B202">
    <cfRule type="cellIs" rank="0" priority="575" equalAverage="0" operator="greaterThan" aboveAverage="0" dxfId="8" text="" percent="0" bottom="0">
      <formula>0</formula>
    </cfRule>
    <cfRule type="cellIs" rank="0" priority="576" equalAverage="0" operator="lessThan" aboveAverage="0" dxfId="9" text="" percent="0" bottom="0">
      <formula>MaliyetEsik</formula>
    </cfRule>
  </conditionalFormatting>
  <conditionalFormatting sqref="D202">
    <cfRule type="cellIs" rank="0" priority="577" equalAverage="0" operator="lessThan" aboveAverage="0" dxfId="10" text="" percent="0" bottom="0">
      <formula>18</formula>
    </cfRule>
  </conditionalFormatting>
  <conditionalFormatting sqref="B203">
    <cfRule type="cellIs" rank="0" priority="578" equalAverage="0" operator="greaterThan" aboveAverage="0" dxfId="8" text="" percent="0" bottom="0">
      <formula>0</formula>
    </cfRule>
    <cfRule type="cellIs" rank="0" priority="579" equalAverage="0" operator="lessThan" aboveAverage="0" dxfId="9" text="" percent="0" bottom="0">
      <formula>MaliyetEsik</formula>
    </cfRule>
  </conditionalFormatting>
  <conditionalFormatting sqref="D203">
    <cfRule type="cellIs" rank="0" priority="580" equalAverage="0" operator="lessThan" aboveAverage="0" dxfId="10" text="" percent="0" bottom="0">
      <formula>18</formula>
    </cfRule>
  </conditionalFormatting>
  <conditionalFormatting sqref="B204">
    <cfRule type="cellIs" rank="0" priority="581" equalAverage="0" operator="greaterThan" aboveAverage="0" dxfId="8" text="" percent="0" bottom="0">
      <formula>0</formula>
    </cfRule>
    <cfRule type="cellIs" rank="0" priority="582" equalAverage="0" operator="lessThan" aboveAverage="0" dxfId="9" text="" percent="0" bottom="0">
      <formula>MaliyetEsik</formula>
    </cfRule>
  </conditionalFormatting>
  <conditionalFormatting sqref="D204">
    <cfRule type="cellIs" rank="0" priority="583" equalAverage="0" operator="lessThan" aboveAverage="0" dxfId="10" text="" percent="0" bottom="0">
      <formula>18</formula>
    </cfRule>
  </conditionalFormatting>
  <conditionalFormatting sqref="B205">
    <cfRule type="cellIs" rank="0" priority="584" equalAverage="0" operator="greaterThan" aboveAverage="0" dxfId="8" text="" percent="0" bottom="0">
      <formula>0</formula>
    </cfRule>
    <cfRule type="cellIs" rank="0" priority="585" equalAverage="0" operator="lessThan" aboveAverage="0" dxfId="9" text="" percent="0" bottom="0">
      <formula>MaliyetEsik</formula>
    </cfRule>
  </conditionalFormatting>
  <conditionalFormatting sqref="D205">
    <cfRule type="cellIs" rank="0" priority="586" equalAverage="0" operator="lessThan" aboveAverage="0" dxfId="10" text="" percent="0" bottom="0">
      <formula>18</formula>
    </cfRule>
  </conditionalFormatting>
  <conditionalFormatting sqref="B206">
    <cfRule type="cellIs" rank="0" priority="587" equalAverage="0" operator="greaterThan" aboveAverage="0" dxfId="8" text="" percent="0" bottom="0">
      <formula>0</formula>
    </cfRule>
    <cfRule type="cellIs" rank="0" priority="588" equalAverage="0" operator="lessThan" aboveAverage="0" dxfId="9" text="" percent="0" bottom="0">
      <formula>MaliyetEsik</formula>
    </cfRule>
  </conditionalFormatting>
  <conditionalFormatting sqref="D206">
    <cfRule type="cellIs" rank="0" priority="589" equalAverage="0" operator="lessThan" aboveAverage="0" dxfId="10" text="" percent="0" bottom="0">
      <formula>18</formula>
    </cfRule>
  </conditionalFormatting>
  <conditionalFormatting sqref="B207">
    <cfRule type="cellIs" rank="0" priority="590" equalAverage="0" operator="greaterThan" aboveAverage="0" dxfId="8" text="" percent="0" bottom="0">
      <formula>0</formula>
    </cfRule>
    <cfRule type="cellIs" rank="0" priority="591" equalAverage="0" operator="lessThan" aboveAverage="0" dxfId="9" text="" percent="0" bottom="0">
      <formula>MaliyetEsik</formula>
    </cfRule>
  </conditionalFormatting>
  <conditionalFormatting sqref="D207">
    <cfRule type="cellIs" rank="0" priority="592" equalAverage="0" operator="lessThan" aboveAverage="0" dxfId="10" text="" percent="0" bottom="0">
      <formula>18</formula>
    </cfRule>
  </conditionalFormatting>
  <conditionalFormatting sqref="B208">
    <cfRule type="cellIs" rank="0" priority="593" equalAverage="0" operator="greaterThan" aboveAverage="0" dxfId="8" text="" percent="0" bottom="0">
      <formula>0</formula>
    </cfRule>
    <cfRule type="cellIs" rank="0" priority="594" equalAverage="0" operator="lessThan" aboveAverage="0" dxfId="9" text="" percent="0" bottom="0">
      <formula>MaliyetEsik</formula>
    </cfRule>
  </conditionalFormatting>
  <conditionalFormatting sqref="D208">
    <cfRule type="cellIs" rank="0" priority="595" equalAverage="0" operator="lessThan" aboveAverage="0" dxfId="10" text="" percent="0" bottom="0">
      <formula>18</formula>
    </cfRule>
  </conditionalFormatting>
  <conditionalFormatting sqref="B209">
    <cfRule type="cellIs" rank="0" priority="596" equalAverage="0" operator="greaterThan" aboveAverage="0" dxfId="8" text="" percent="0" bottom="0">
      <formula>0</formula>
    </cfRule>
    <cfRule type="cellIs" rank="0" priority="597" equalAverage="0" operator="lessThan" aboveAverage="0" dxfId="9" text="" percent="0" bottom="0">
      <formula>MaliyetEsik</formula>
    </cfRule>
  </conditionalFormatting>
  <conditionalFormatting sqref="D209">
    <cfRule type="cellIs" rank="0" priority="598" equalAverage="0" operator="lessThan" aboveAverage="0" dxfId="10" text="" percent="0" bottom="0">
      <formula>18</formula>
    </cfRule>
  </conditionalFormatting>
  <conditionalFormatting sqref="B210">
    <cfRule type="cellIs" rank="0" priority="599" equalAverage="0" operator="greaterThan" aboveAverage="0" dxfId="8" text="" percent="0" bottom="0">
      <formula>0</formula>
    </cfRule>
    <cfRule type="cellIs" rank="0" priority="600" equalAverage="0" operator="lessThan" aboveAverage="0" dxfId="9" text="" percent="0" bottom="0">
      <formula>MaliyetEsik</formula>
    </cfRule>
  </conditionalFormatting>
  <conditionalFormatting sqref="D210">
    <cfRule type="cellIs" rank="0" priority="601" equalAverage="0" operator="lessThan" aboveAverage="0" dxfId="10" text="" percent="0" bottom="0">
      <formula>18</formula>
    </cfRule>
  </conditionalFormatting>
  <conditionalFormatting sqref="B211">
    <cfRule type="cellIs" rank="0" priority="602" equalAverage="0" operator="greaterThan" aboveAverage="0" dxfId="8" text="" percent="0" bottom="0">
      <formula>0</formula>
    </cfRule>
    <cfRule type="cellIs" rank="0" priority="603" equalAverage="0" operator="lessThan" aboveAverage="0" dxfId="9" text="" percent="0" bottom="0">
      <formula>MaliyetEsik</formula>
    </cfRule>
  </conditionalFormatting>
  <conditionalFormatting sqref="D211">
    <cfRule type="cellIs" rank="0" priority="604" equalAverage="0" operator="lessThan" aboveAverage="0" dxfId="10" text="" percent="0" bottom="0">
      <formula>18</formula>
    </cfRule>
  </conditionalFormatting>
  <conditionalFormatting sqref="B212">
    <cfRule type="cellIs" rank="0" priority="605" equalAverage="0" operator="greaterThan" aboveAverage="0" dxfId="8" text="" percent="0" bottom="0">
      <formula>0</formula>
    </cfRule>
    <cfRule type="cellIs" rank="0" priority="606" equalAverage="0" operator="lessThan" aboveAverage="0" dxfId="9" text="" percent="0" bottom="0">
      <formula>MaliyetEsik</formula>
    </cfRule>
  </conditionalFormatting>
  <conditionalFormatting sqref="D212">
    <cfRule type="cellIs" rank="0" priority="607" equalAverage="0" operator="lessThan" aboveAverage="0" dxfId="10" text="" percent="0" bottom="0">
      <formula>18</formula>
    </cfRule>
  </conditionalFormatting>
  <conditionalFormatting sqref="B213">
    <cfRule type="cellIs" rank="0" priority="608" equalAverage="0" operator="greaterThan" aboveAverage="0" dxfId="8" text="" percent="0" bottom="0">
      <formula>0</formula>
    </cfRule>
    <cfRule type="cellIs" rank="0" priority="609" equalAverage="0" operator="lessThan" aboveAverage="0" dxfId="9" text="" percent="0" bottom="0">
      <formula>MaliyetEsik</formula>
    </cfRule>
  </conditionalFormatting>
  <conditionalFormatting sqref="D213">
    <cfRule type="cellIs" rank="0" priority="610" equalAverage="0" operator="lessThan" aboveAverage="0" dxfId="10" text="" percent="0" bottom="0">
      <formula>18</formula>
    </cfRule>
  </conditionalFormatting>
  <conditionalFormatting sqref="B214">
    <cfRule type="cellIs" rank="0" priority="611" equalAverage="0" operator="greaterThan" aboveAverage="0" dxfId="8" text="" percent="0" bottom="0">
      <formula>0</formula>
    </cfRule>
    <cfRule type="cellIs" rank="0" priority="612" equalAverage="0" operator="lessThan" aboveAverage="0" dxfId="9" text="" percent="0" bottom="0">
      <formula>MaliyetEsik</formula>
    </cfRule>
  </conditionalFormatting>
  <conditionalFormatting sqref="D214">
    <cfRule type="cellIs" rank="0" priority="613" equalAverage="0" operator="lessThan" aboveAverage="0" dxfId="10" text="" percent="0" bottom="0">
      <formula>18</formula>
    </cfRule>
  </conditionalFormatting>
  <conditionalFormatting sqref="B215">
    <cfRule type="cellIs" rank="0" priority="614" equalAverage="0" operator="greaterThan" aboveAverage="0" dxfId="8" text="" percent="0" bottom="0">
      <formula>0</formula>
    </cfRule>
    <cfRule type="cellIs" rank="0" priority="615" equalAverage="0" operator="lessThan" aboveAverage="0" dxfId="9" text="" percent="0" bottom="0">
      <formula>MaliyetEsik</formula>
    </cfRule>
  </conditionalFormatting>
  <conditionalFormatting sqref="D215">
    <cfRule type="cellIs" rank="0" priority="616" equalAverage="0" operator="lessThan" aboveAverage="0" dxfId="10" text="" percent="0" bottom="0">
      <formula>18</formula>
    </cfRule>
  </conditionalFormatting>
  <conditionalFormatting sqref="B216">
    <cfRule type="cellIs" rank="0" priority="617" equalAverage="0" operator="greaterThan" aboveAverage="0" dxfId="8" text="" percent="0" bottom="0">
      <formula>0</formula>
    </cfRule>
    <cfRule type="cellIs" rank="0" priority="618" equalAverage="0" operator="lessThan" aboveAverage="0" dxfId="9" text="" percent="0" bottom="0">
      <formula>MaliyetEsik</formula>
    </cfRule>
  </conditionalFormatting>
  <conditionalFormatting sqref="D216">
    <cfRule type="cellIs" rank="0" priority="619" equalAverage="0" operator="lessThan" aboveAverage="0" dxfId="10" text="" percent="0" bottom="0">
      <formula>18</formula>
    </cfRule>
  </conditionalFormatting>
  <conditionalFormatting sqref="B217">
    <cfRule type="cellIs" rank="0" priority="620" equalAverage="0" operator="greaterThan" aboveAverage="0" dxfId="8" text="" percent="0" bottom="0">
      <formula>0</formula>
    </cfRule>
    <cfRule type="cellIs" rank="0" priority="621" equalAverage="0" operator="lessThan" aboveAverage="0" dxfId="9" text="" percent="0" bottom="0">
      <formula>MaliyetEsik</formula>
    </cfRule>
  </conditionalFormatting>
  <conditionalFormatting sqref="D217">
    <cfRule type="cellIs" rank="0" priority="622" equalAverage="0" operator="lessThan" aboveAverage="0" dxfId="10" text="" percent="0" bottom="0">
      <formula>18</formula>
    </cfRule>
  </conditionalFormatting>
  <conditionalFormatting sqref="B218">
    <cfRule type="cellIs" rank="0" priority="623" equalAverage="0" operator="greaterThan" aboveAverage="0" dxfId="8" text="" percent="0" bottom="0">
      <formula>0</formula>
    </cfRule>
    <cfRule type="cellIs" rank="0" priority="624" equalAverage="0" operator="lessThan" aboveAverage="0" dxfId="9" text="" percent="0" bottom="0">
      <formula>MaliyetEsik</formula>
    </cfRule>
  </conditionalFormatting>
  <conditionalFormatting sqref="D218">
    <cfRule type="cellIs" rank="0" priority="625" equalAverage="0" operator="lessThan" aboveAverage="0" dxfId="10" text="" percent="0" bottom="0">
      <formula>18</formula>
    </cfRule>
  </conditionalFormatting>
  <conditionalFormatting sqref="B219">
    <cfRule type="cellIs" rank="0" priority="626" equalAverage="0" operator="greaterThan" aboveAverage="0" dxfId="8" text="" percent="0" bottom="0">
      <formula>0</formula>
    </cfRule>
    <cfRule type="cellIs" rank="0" priority="627" equalAverage="0" operator="lessThan" aboveAverage="0" dxfId="9" text="" percent="0" bottom="0">
      <formula>MaliyetEsik</formula>
    </cfRule>
  </conditionalFormatting>
  <conditionalFormatting sqref="D219">
    <cfRule type="cellIs" rank="0" priority="628" equalAverage="0" operator="lessThan" aboveAverage="0" dxfId="10" text="" percent="0" bottom="0">
      <formula>18</formula>
    </cfRule>
  </conditionalFormatting>
  <conditionalFormatting sqref="B220">
    <cfRule type="cellIs" rank="0" priority="629" equalAverage="0" operator="greaterThan" aboveAverage="0" dxfId="8" text="" percent="0" bottom="0">
      <formula>0</formula>
    </cfRule>
    <cfRule type="cellIs" rank="0" priority="630" equalAverage="0" operator="lessThan" aboveAverage="0" dxfId="9" text="" percent="0" bottom="0">
      <formula>MaliyetEsik</formula>
    </cfRule>
  </conditionalFormatting>
  <conditionalFormatting sqref="D220">
    <cfRule type="cellIs" rank="0" priority="631" equalAverage="0" operator="lessThan" aboveAverage="0" dxfId="10" text="" percent="0" bottom="0">
      <formula>18</formula>
    </cfRule>
  </conditionalFormatting>
  <conditionalFormatting sqref="B221">
    <cfRule type="cellIs" rank="0" priority="632" equalAverage="0" operator="greaterThan" aboveAverage="0" dxfId="8" text="" percent="0" bottom="0">
      <formula>0</formula>
    </cfRule>
    <cfRule type="cellIs" rank="0" priority="633" equalAverage="0" operator="lessThan" aboveAverage="0" dxfId="9" text="" percent="0" bottom="0">
      <formula>MaliyetEsik</formula>
    </cfRule>
  </conditionalFormatting>
  <conditionalFormatting sqref="D221">
    <cfRule type="cellIs" rank="0" priority="634" equalAverage="0" operator="lessThan" aboveAverage="0" dxfId="10" text="" percent="0" bottom="0">
      <formula>18</formula>
    </cfRule>
  </conditionalFormatting>
  <conditionalFormatting sqref="B222">
    <cfRule type="cellIs" rank="0" priority="635" equalAverage="0" operator="greaterThan" aboveAverage="0" dxfId="8" text="" percent="0" bottom="0">
      <formula>0</formula>
    </cfRule>
    <cfRule type="cellIs" rank="0" priority="636" equalAverage="0" operator="lessThan" aboveAverage="0" dxfId="9" text="" percent="0" bottom="0">
      <formula>MaliyetEsik</formula>
    </cfRule>
  </conditionalFormatting>
  <conditionalFormatting sqref="D222">
    <cfRule type="cellIs" rank="0" priority="637" equalAverage="0" operator="lessThan" aboveAverage="0" dxfId="10" text="" percent="0" bottom="0">
      <formula>18</formula>
    </cfRule>
  </conditionalFormatting>
  <conditionalFormatting sqref="B223">
    <cfRule type="cellIs" rank="0" priority="638" equalAverage="0" operator="greaterThan" aboveAverage="0" dxfId="8" text="" percent="0" bottom="0">
      <formula>0</formula>
    </cfRule>
    <cfRule type="cellIs" rank="0" priority="639" equalAverage="0" operator="lessThan" aboveAverage="0" dxfId="9" text="" percent="0" bottom="0">
      <formula>MaliyetEsik</formula>
    </cfRule>
  </conditionalFormatting>
  <conditionalFormatting sqref="D223">
    <cfRule type="cellIs" rank="0" priority="640" equalAverage="0" operator="lessThan" aboveAverage="0" dxfId="10" text="" percent="0" bottom="0">
      <formula>18</formula>
    </cfRule>
  </conditionalFormatting>
  <conditionalFormatting sqref="B224">
    <cfRule type="cellIs" rank="0" priority="641" equalAverage="0" operator="greaterThan" aboveAverage="0" dxfId="8" text="" percent="0" bottom="0">
      <formula>0</formula>
    </cfRule>
    <cfRule type="cellIs" rank="0" priority="642" equalAverage="0" operator="lessThan" aboveAverage="0" dxfId="9" text="" percent="0" bottom="0">
      <formula>MaliyetEsik</formula>
    </cfRule>
  </conditionalFormatting>
  <conditionalFormatting sqref="D224">
    <cfRule type="cellIs" rank="0" priority="643" equalAverage="0" operator="lessThan" aboveAverage="0" dxfId="10" text="" percent="0" bottom="0">
      <formula>18</formula>
    </cfRule>
  </conditionalFormatting>
  <conditionalFormatting sqref="B225">
    <cfRule type="cellIs" rank="0" priority="644" equalAverage="0" operator="greaterThan" aboveAverage="0" dxfId="8" text="" percent="0" bottom="0">
      <formula>0</formula>
    </cfRule>
    <cfRule type="cellIs" rank="0" priority="645" equalAverage="0" operator="lessThan" aboveAverage="0" dxfId="9" text="" percent="0" bottom="0">
      <formula>MaliyetEsik</formula>
    </cfRule>
  </conditionalFormatting>
  <conditionalFormatting sqref="D225">
    <cfRule type="cellIs" rank="0" priority="646" equalAverage="0" operator="lessThan" aboveAverage="0" dxfId="10" text="" percent="0" bottom="0">
      <formula>18</formula>
    </cfRule>
  </conditionalFormatting>
  <conditionalFormatting sqref="B226">
    <cfRule type="cellIs" rank="0" priority="647" equalAverage="0" operator="greaterThan" aboveAverage="0" dxfId="8" text="" percent="0" bottom="0">
      <formula>0</formula>
    </cfRule>
    <cfRule type="cellIs" rank="0" priority="648" equalAverage="0" operator="lessThan" aboveAverage="0" dxfId="9" text="" percent="0" bottom="0">
      <formula>MaliyetEsik</formula>
    </cfRule>
  </conditionalFormatting>
  <conditionalFormatting sqref="D226">
    <cfRule type="cellIs" rank="0" priority="649" equalAverage="0" operator="lessThan" aboveAverage="0" dxfId="10" text="" percent="0" bottom="0">
      <formula>18</formula>
    </cfRule>
  </conditionalFormatting>
  <conditionalFormatting sqref="B227">
    <cfRule type="cellIs" rank="0" priority="650" equalAverage="0" operator="greaterThan" aboveAverage="0" dxfId="8" text="" percent="0" bottom="0">
      <formula>0</formula>
    </cfRule>
    <cfRule type="cellIs" rank="0" priority="651" equalAverage="0" operator="lessThan" aboveAverage="0" dxfId="9" text="" percent="0" bottom="0">
      <formula>MaliyetEsik</formula>
    </cfRule>
  </conditionalFormatting>
  <conditionalFormatting sqref="D227">
    <cfRule type="cellIs" rank="0" priority="652" equalAverage="0" operator="lessThan" aboveAverage="0" dxfId="10" text="" percent="0" bottom="0">
      <formula>18</formula>
    </cfRule>
  </conditionalFormatting>
  <conditionalFormatting sqref="B228">
    <cfRule type="cellIs" rank="0" priority="653" equalAverage="0" operator="greaterThan" aboveAverage="0" dxfId="8" text="" percent="0" bottom="0">
      <formula>0</formula>
    </cfRule>
    <cfRule type="cellIs" rank="0" priority="654" equalAverage="0" operator="lessThan" aboveAverage="0" dxfId="9" text="" percent="0" bottom="0">
      <formula>MaliyetEsik</formula>
    </cfRule>
  </conditionalFormatting>
  <conditionalFormatting sqref="D228">
    <cfRule type="cellIs" rank="0" priority="655" equalAverage="0" operator="lessThan" aboveAverage="0" dxfId="10" text="" percent="0" bottom="0">
      <formula>18</formula>
    </cfRule>
  </conditionalFormatting>
  <conditionalFormatting sqref="B229">
    <cfRule type="cellIs" rank="0" priority="656" equalAverage="0" operator="greaterThan" aboveAverage="0" dxfId="8" text="" percent="0" bottom="0">
      <formula>0</formula>
    </cfRule>
    <cfRule type="cellIs" rank="0" priority="657" equalAverage="0" operator="lessThan" aboveAverage="0" dxfId="9" text="" percent="0" bottom="0">
      <formula>MaliyetEsik</formula>
    </cfRule>
  </conditionalFormatting>
  <conditionalFormatting sqref="D229">
    <cfRule type="cellIs" rank="0" priority="658" equalAverage="0" operator="lessThan" aboveAverage="0" dxfId="10" text="" percent="0" bottom="0">
      <formula>18</formula>
    </cfRule>
  </conditionalFormatting>
  <conditionalFormatting sqref="B230">
    <cfRule type="cellIs" rank="0" priority="659" equalAverage="0" operator="greaterThan" aboveAverage="0" dxfId="8" text="" percent="0" bottom="0">
      <formula>0</formula>
    </cfRule>
    <cfRule type="cellIs" rank="0" priority="660" equalAverage="0" operator="lessThan" aboveAverage="0" dxfId="9" text="" percent="0" bottom="0">
      <formula>MaliyetEsik</formula>
    </cfRule>
  </conditionalFormatting>
  <conditionalFormatting sqref="D230">
    <cfRule type="cellIs" rank="0" priority="661" equalAverage="0" operator="lessThan" aboveAverage="0" dxfId="10" text="" percent="0" bottom="0">
      <formula>18</formula>
    </cfRule>
  </conditionalFormatting>
  <conditionalFormatting sqref="B231">
    <cfRule type="cellIs" rank="0" priority="662" equalAverage="0" operator="greaterThan" aboveAverage="0" dxfId="8" text="" percent="0" bottom="0">
      <formula>0</formula>
    </cfRule>
    <cfRule type="cellIs" rank="0" priority="663" equalAverage="0" operator="lessThan" aboveAverage="0" dxfId="9" text="" percent="0" bottom="0">
      <formula>MaliyetEsik</formula>
    </cfRule>
  </conditionalFormatting>
  <conditionalFormatting sqref="D231">
    <cfRule type="cellIs" rank="0" priority="664" equalAverage="0" operator="lessThan" aboveAverage="0" dxfId="10" text="" percent="0" bottom="0">
      <formula>18</formula>
    </cfRule>
  </conditionalFormatting>
  <conditionalFormatting sqref="B232">
    <cfRule type="cellIs" rank="0" priority="665" equalAverage="0" operator="greaterThan" aboveAverage="0" dxfId="8" text="" percent="0" bottom="0">
      <formula>0</formula>
    </cfRule>
    <cfRule type="cellIs" rank="0" priority="666" equalAverage="0" operator="lessThan" aboveAverage="0" dxfId="9" text="" percent="0" bottom="0">
      <formula>MaliyetEsik</formula>
    </cfRule>
  </conditionalFormatting>
  <conditionalFormatting sqref="D232">
    <cfRule type="cellIs" rank="0" priority="667" equalAverage="0" operator="lessThan" aboveAverage="0" dxfId="10" text="" percent="0" bottom="0">
      <formula>18</formula>
    </cfRule>
  </conditionalFormatting>
  <conditionalFormatting sqref="B233">
    <cfRule type="cellIs" rank="0" priority="668" equalAverage="0" operator="greaterThan" aboveAverage="0" dxfId="8" text="" percent="0" bottom="0">
      <formula>0</formula>
    </cfRule>
    <cfRule type="cellIs" rank="0" priority="669" equalAverage="0" operator="lessThan" aboveAverage="0" dxfId="9" text="" percent="0" bottom="0">
      <formula>MaliyetEsik</formula>
    </cfRule>
  </conditionalFormatting>
  <conditionalFormatting sqref="D233">
    <cfRule type="cellIs" rank="0" priority="670" equalAverage="0" operator="lessThan" aboveAverage="0" dxfId="10" text="" percent="0" bottom="0">
      <formula>18</formula>
    </cfRule>
  </conditionalFormatting>
  <conditionalFormatting sqref="B234">
    <cfRule type="cellIs" rank="0" priority="671" equalAverage="0" operator="greaterThan" aboveAverage="0" dxfId="8" text="" percent="0" bottom="0">
      <formula>0</formula>
    </cfRule>
    <cfRule type="cellIs" rank="0" priority="672" equalAverage="0" operator="lessThan" aboveAverage="0" dxfId="9" text="" percent="0" bottom="0">
      <formula>MaliyetEsik</formula>
    </cfRule>
  </conditionalFormatting>
  <conditionalFormatting sqref="D234">
    <cfRule type="cellIs" rank="0" priority="673" equalAverage="0" operator="lessThan" aboveAverage="0" dxfId="10" text="" percent="0" bottom="0">
      <formula>18</formula>
    </cfRule>
  </conditionalFormatting>
  <conditionalFormatting sqref="B235">
    <cfRule type="cellIs" rank="0" priority="674" equalAverage="0" operator="greaterThan" aboveAverage="0" dxfId="8" text="" percent="0" bottom="0">
      <formula>0</formula>
    </cfRule>
    <cfRule type="cellIs" rank="0" priority="675" equalAverage="0" operator="lessThan" aboveAverage="0" dxfId="9" text="" percent="0" bottom="0">
      <formula>MaliyetEsik</formula>
    </cfRule>
  </conditionalFormatting>
  <conditionalFormatting sqref="D235">
    <cfRule type="cellIs" rank="0" priority="676" equalAverage="0" operator="lessThan" aboveAverage="0" dxfId="10" text="" percent="0" bottom="0">
      <formula>18</formula>
    </cfRule>
  </conditionalFormatting>
  <conditionalFormatting sqref="B236">
    <cfRule type="cellIs" rank="0" priority="677" equalAverage="0" operator="greaterThan" aboveAverage="0" dxfId="8" text="" percent="0" bottom="0">
      <formula>0</formula>
    </cfRule>
    <cfRule type="cellIs" rank="0" priority="678" equalAverage="0" operator="lessThan" aboveAverage="0" dxfId="9" text="" percent="0" bottom="0">
      <formula>MaliyetEsik</formula>
    </cfRule>
  </conditionalFormatting>
  <conditionalFormatting sqref="D236">
    <cfRule type="cellIs" rank="0" priority="679" equalAverage="0" operator="lessThan" aboveAverage="0" dxfId="10" text="" percent="0" bottom="0">
      <formula>18</formula>
    </cfRule>
  </conditionalFormatting>
  <conditionalFormatting sqref="B237">
    <cfRule type="cellIs" rank="0" priority="680" equalAverage="0" operator="greaterThan" aboveAverage="0" dxfId="8" text="" percent="0" bottom="0">
      <formula>0</formula>
    </cfRule>
    <cfRule type="cellIs" rank="0" priority="681" equalAverage="0" operator="lessThan" aboveAverage="0" dxfId="9" text="" percent="0" bottom="0">
      <formula>MaliyetEsik</formula>
    </cfRule>
  </conditionalFormatting>
  <conditionalFormatting sqref="D237">
    <cfRule type="cellIs" rank="0" priority="682" equalAverage="0" operator="lessThan" aboveAverage="0" dxfId="10" text="" percent="0" bottom="0">
      <formula>18</formula>
    </cfRule>
  </conditionalFormatting>
  <conditionalFormatting sqref="B238">
    <cfRule type="cellIs" rank="0" priority="683" equalAverage="0" operator="greaterThan" aboveAverage="0" dxfId="8" text="" percent="0" bottom="0">
      <formula>0</formula>
    </cfRule>
    <cfRule type="cellIs" rank="0" priority="684" equalAverage="0" operator="lessThan" aboveAverage="0" dxfId="9" text="" percent="0" bottom="0">
      <formula>MaliyetEsik</formula>
    </cfRule>
  </conditionalFormatting>
  <conditionalFormatting sqref="D238">
    <cfRule type="cellIs" rank="0" priority="685" equalAverage="0" operator="lessThan" aboveAverage="0" dxfId="10" text="" percent="0" bottom="0">
      <formula>18</formula>
    </cfRule>
  </conditionalFormatting>
  <conditionalFormatting sqref="B239">
    <cfRule type="cellIs" rank="0" priority="686" equalAverage="0" operator="greaterThan" aboveAverage="0" dxfId="8" text="" percent="0" bottom="0">
      <formula>0</formula>
    </cfRule>
    <cfRule type="cellIs" rank="0" priority="687" equalAverage="0" operator="lessThan" aboveAverage="0" dxfId="9" text="" percent="0" bottom="0">
      <formula>MaliyetEsik</formula>
    </cfRule>
  </conditionalFormatting>
  <conditionalFormatting sqref="D239">
    <cfRule type="cellIs" rank="0" priority="688" equalAverage="0" operator="lessThan" aboveAverage="0" dxfId="10" text="" percent="0" bottom="0">
      <formula>18</formula>
    </cfRule>
  </conditionalFormatting>
  <conditionalFormatting sqref="B240">
    <cfRule type="cellIs" rank="0" priority="689" equalAverage="0" operator="greaterThan" aboveAverage="0" dxfId="8" text="" percent="0" bottom="0">
      <formula>0</formula>
    </cfRule>
    <cfRule type="cellIs" rank="0" priority="690" equalAverage="0" operator="lessThan" aboveAverage="0" dxfId="9" text="" percent="0" bottom="0">
      <formula>MaliyetEsik</formula>
    </cfRule>
  </conditionalFormatting>
  <conditionalFormatting sqref="D240">
    <cfRule type="cellIs" rank="0" priority="691" equalAverage="0" operator="lessThan" aboveAverage="0" dxfId="10" text="" percent="0" bottom="0">
      <formula>18</formula>
    </cfRule>
  </conditionalFormatting>
  <conditionalFormatting sqref="B241">
    <cfRule type="cellIs" rank="0" priority="692" equalAverage="0" operator="greaterThan" aboveAverage="0" dxfId="8" text="" percent="0" bottom="0">
      <formula>0</formula>
    </cfRule>
    <cfRule type="cellIs" rank="0" priority="693" equalAverage="0" operator="lessThan" aboveAverage="0" dxfId="9" text="" percent="0" bottom="0">
      <formula>MaliyetEsik</formula>
    </cfRule>
  </conditionalFormatting>
  <conditionalFormatting sqref="D241">
    <cfRule type="cellIs" rank="0" priority="694" equalAverage="0" operator="lessThan" aboveAverage="0" dxfId="10" text="" percent="0" bottom="0">
      <formula>18</formula>
    </cfRule>
  </conditionalFormatting>
  <conditionalFormatting sqref="B242">
    <cfRule type="cellIs" rank="0" priority="695" equalAverage="0" operator="greaterThan" aboveAverage="0" dxfId="8" text="" percent="0" bottom="0">
      <formula>0</formula>
    </cfRule>
    <cfRule type="cellIs" rank="0" priority="696" equalAverage="0" operator="lessThan" aboveAverage="0" dxfId="9" text="" percent="0" bottom="0">
      <formula>MaliyetEsik</formula>
    </cfRule>
  </conditionalFormatting>
  <conditionalFormatting sqref="D242">
    <cfRule type="cellIs" rank="0" priority="697" equalAverage="0" operator="lessThan" aboveAverage="0" dxfId="10" text="" percent="0" bottom="0">
      <formula>18</formula>
    </cfRule>
  </conditionalFormatting>
  <conditionalFormatting sqref="B243">
    <cfRule type="cellIs" rank="0" priority="698" equalAverage="0" operator="greaterThan" aboveAverage="0" dxfId="8" text="" percent="0" bottom="0">
      <formula>0</formula>
    </cfRule>
    <cfRule type="cellIs" rank="0" priority="699" equalAverage="0" operator="lessThan" aboveAverage="0" dxfId="9" text="" percent="0" bottom="0">
      <formula>MaliyetEsik</formula>
    </cfRule>
  </conditionalFormatting>
  <conditionalFormatting sqref="D243">
    <cfRule type="cellIs" rank="0" priority="700" equalAverage="0" operator="lessThan" aboveAverage="0" dxfId="10" text="" percent="0" bottom="0">
      <formula>18</formula>
    </cfRule>
  </conditionalFormatting>
  <conditionalFormatting sqref="B244">
    <cfRule type="cellIs" rank="0" priority="701" equalAverage="0" operator="greaterThan" aboveAverage="0" dxfId="8" text="" percent="0" bottom="0">
      <formula>0</formula>
    </cfRule>
    <cfRule type="cellIs" rank="0" priority="702" equalAverage="0" operator="lessThan" aboveAverage="0" dxfId="9" text="" percent="0" bottom="0">
      <formula>MaliyetEsik</formula>
    </cfRule>
  </conditionalFormatting>
  <conditionalFormatting sqref="D244">
    <cfRule type="cellIs" rank="0" priority="703" equalAverage="0" operator="lessThan" aboveAverage="0" dxfId="10" text="" percent="0" bottom="0">
      <formula>18</formula>
    </cfRule>
  </conditionalFormatting>
  <conditionalFormatting sqref="B245">
    <cfRule type="cellIs" rank="0" priority="704" equalAverage="0" operator="greaterThan" aboveAverage="0" dxfId="8" text="" percent="0" bottom="0">
      <formula>0</formula>
    </cfRule>
    <cfRule type="cellIs" rank="0" priority="705" equalAverage="0" operator="lessThan" aboveAverage="0" dxfId="9" text="" percent="0" bottom="0">
      <formula>MaliyetEsik</formula>
    </cfRule>
  </conditionalFormatting>
  <conditionalFormatting sqref="D245">
    <cfRule type="cellIs" rank="0" priority="706" equalAverage="0" operator="lessThan" aboveAverage="0" dxfId="10" text="" percent="0" bottom="0">
      <formula>18</formula>
    </cfRule>
  </conditionalFormatting>
  <conditionalFormatting sqref="B246">
    <cfRule type="cellIs" rank="0" priority="707" equalAverage="0" operator="greaterThan" aboveAverage="0" dxfId="8" text="" percent="0" bottom="0">
      <formula>0</formula>
    </cfRule>
    <cfRule type="cellIs" rank="0" priority="708" equalAverage="0" operator="lessThan" aboveAverage="0" dxfId="9" text="" percent="0" bottom="0">
      <formula>MaliyetEsik</formula>
    </cfRule>
  </conditionalFormatting>
  <conditionalFormatting sqref="D246">
    <cfRule type="cellIs" rank="0" priority="709" equalAverage="0" operator="lessThan" aboveAverage="0" dxfId="10" text="" percent="0" bottom="0">
      <formula>18</formula>
    </cfRule>
  </conditionalFormatting>
  <conditionalFormatting sqref="B247">
    <cfRule type="cellIs" rank="0" priority="710" equalAverage="0" operator="greaterThan" aboveAverage="0" dxfId="8" text="" percent="0" bottom="0">
      <formula>0</formula>
    </cfRule>
    <cfRule type="cellIs" rank="0" priority="711" equalAverage="0" operator="lessThan" aboveAverage="0" dxfId="9" text="" percent="0" bottom="0">
      <formula>MaliyetEsik</formula>
    </cfRule>
  </conditionalFormatting>
  <conditionalFormatting sqref="D247">
    <cfRule type="cellIs" rank="0" priority="712" equalAverage="0" operator="lessThan" aboveAverage="0" dxfId="10" text="" percent="0" bottom="0">
      <formula>18</formula>
    </cfRule>
  </conditionalFormatting>
  <conditionalFormatting sqref="B248">
    <cfRule type="cellIs" rank="0" priority="713" equalAverage="0" operator="greaterThan" aboveAverage="0" dxfId="8" text="" percent="0" bottom="0">
      <formula>0</formula>
    </cfRule>
    <cfRule type="cellIs" rank="0" priority="714" equalAverage="0" operator="lessThan" aboveAverage="0" dxfId="9" text="" percent="0" bottom="0">
      <formula>MaliyetEsik</formula>
    </cfRule>
  </conditionalFormatting>
  <conditionalFormatting sqref="D248">
    <cfRule type="cellIs" rank="0" priority="715" equalAverage="0" operator="lessThan" aboveAverage="0" dxfId="10" text="" percent="0" bottom="0">
      <formula>18</formula>
    </cfRule>
  </conditionalFormatting>
  <conditionalFormatting sqref="B249">
    <cfRule type="cellIs" rank="0" priority="716" equalAverage="0" operator="greaterThan" aboveAverage="0" dxfId="8" text="" percent="0" bottom="0">
      <formula>0</formula>
    </cfRule>
    <cfRule type="cellIs" rank="0" priority="717" equalAverage="0" operator="lessThan" aboveAverage="0" dxfId="9" text="" percent="0" bottom="0">
      <formula>MaliyetEsik</formula>
    </cfRule>
  </conditionalFormatting>
  <conditionalFormatting sqref="D249">
    <cfRule type="cellIs" rank="0" priority="718" equalAverage="0" operator="lessThan" aboveAverage="0" dxfId="10" text="" percent="0" bottom="0">
      <formula>18</formula>
    </cfRule>
  </conditionalFormatting>
  <conditionalFormatting sqref="B250">
    <cfRule type="cellIs" rank="0" priority="719" equalAverage="0" operator="greaterThan" aboveAverage="0" dxfId="8" text="" percent="0" bottom="0">
      <formula>0</formula>
    </cfRule>
    <cfRule type="cellIs" rank="0" priority="720" equalAverage="0" operator="lessThan" aboveAverage="0" dxfId="9" text="" percent="0" bottom="0">
      <formula>MaliyetEsik</formula>
    </cfRule>
  </conditionalFormatting>
  <conditionalFormatting sqref="D250">
    <cfRule type="cellIs" rank="0" priority="721" equalAverage="0" operator="lessThan" aboveAverage="0" dxfId="10" text="" percent="0" bottom="0">
      <formula>18</formula>
    </cfRule>
  </conditionalFormatting>
  <conditionalFormatting sqref="B251">
    <cfRule type="cellIs" rank="0" priority="722" equalAverage="0" operator="greaterThan" aboveAverage="0" dxfId="8" text="" percent="0" bottom="0">
      <formula>0</formula>
    </cfRule>
    <cfRule type="cellIs" rank="0" priority="723" equalAverage="0" operator="lessThan" aboveAverage="0" dxfId="9" text="" percent="0" bottom="0">
      <formula>MaliyetEsik</formula>
    </cfRule>
  </conditionalFormatting>
  <conditionalFormatting sqref="D251">
    <cfRule type="cellIs" rank="0" priority="724" equalAverage="0" operator="lessThan" aboveAverage="0" dxfId="10" text="" percent="0" bottom="0">
      <formula>18</formula>
    </cfRule>
  </conditionalFormatting>
  <conditionalFormatting sqref="B252">
    <cfRule type="cellIs" rank="0" priority="725" equalAverage="0" operator="greaterThan" aboveAverage="0" dxfId="8" text="" percent="0" bottom="0">
      <formula>0</formula>
    </cfRule>
    <cfRule type="cellIs" rank="0" priority="726" equalAverage="0" operator="lessThan" aboveAverage="0" dxfId="9" text="" percent="0" bottom="0">
      <formula>MaliyetEsik</formula>
    </cfRule>
  </conditionalFormatting>
  <conditionalFormatting sqref="D252">
    <cfRule type="cellIs" rank="0" priority="727" equalAverage="0" operator="lessThan" aboveAverage="0" dxfId="10" text="" percent="0" bottom="0">
      <formula>18</formula>
    </cfRule>
  </conditionalFormatting>
  <conditionalFormatting sqref="B253">
    <cfRule type="cellIs" rank="0" priority="728" equalAverage="0" operator="greaterThan" aboveAverage="0" dxfId="8" text="" percent="0" bottom="0">
      <formula>0</formula>
    </cfRule>
    <cfRule type="cellIs" rank="0" priority="729" equalAverage="0" operator="lessThan" aboveAverage="0" dxfId="9" text="" percent="0" bottom="0">
      <formula>MaliyetEsik</formula>
    </cfRule>
  </conditionalFormatting>
  <conditionalFormatting sqref="D253">
    <cfRule type="cellIs" rank="0" priority="730" equalAverage="0" operator="lessThan" aboveAverage="0" dxfId="10" text="" percent="0" bottom="0">
      <formula>18</formula>
    </cfRule>
  </conditionalFormatting>
  <conditionalFormatting sqref="B254">
    <cfRule type="cellIs" rank="0" priority="731" equalAverage="0" operator="greaterThan" aboveAverage="0" dxfId="8" text="" percent="0" bottom="0">
      <formula>0</formula>
    </cfRule>
    <cfRule type="cellIs" rank="0" priority="732" equalAverage="0" operator="lessThan" aboveAverage="0" dxfId="9" text="" percent="0" bottom="0">
      <formula>MaliyetEsik</formula>
    </cfRule>
  </conditionalFormatting>
  <conditionalFormatting sqref="D254">
    <cfRule type="cellIs" rank="0" priority="733" equalAverage="0" operator="lessThan" aboveAverage="0" dxfId="10" text="" percent="0" bottom="0">
      <formula>18</formula>
    </cfRule>
  </conditionalFormatting>
  <conditionalFormatting sqref="B255">
    <cfRule type="cellIs" rank="0" priority="734" equalAverage="0" operator="greaterThan" aboveAverage="0" dxfId="8" text="" percent="0" bottom="0">
      <formula>0</formula>
    </cfRule>
    <cfRule type="cellIs" rank="0" priority="735" equalAverage="0" operator="lessThan" aboveAverage="0" dxfId="9" text="" percent="0" bottom="0">
      <formula>MaliyetEsik</formula>
    </cfRule>
  </conditionalFormatting>
  <conditionalFormatting sqref="D255">
    <cfRule type="cellIs" rank="0" priority="736" equalAverage="0" operator="lessThan" aboveAverage="0" dxfId="10" text="" percent="0" bottom="0">
      <formula>18</formula>
    </cfRule>
  </conditionalFormatting>
  <conditionalFormatting sqref="B256">
    <cfRule type="cellIs" rank="0" priority="737" equalAverage="0" operator="greaterThan" aboveAverage="0" dxfId="8" text="" percent="0" bottom="0">
      <formula>0</formula>
    </cfRule>
    <cfRule type="cellIs" rank="0" priority="738" equalAverage="0" operator="lessThan" aboveAverage="0" dxfId="9" text="" percent="0" bottom="0">
      <formula>MaliyetEsik</formula>
    </cfRule>
  </conditionalFormatting>
  <conditionalFormatting sqref="D256">
    <cfRule type="cellIs" rank="0" priority="739" equalAverage="0" operator="lessThan" aboveAverage="0" dxfId="10" text="" percent="0" bottom="0">
      <formula>18</formula>
    </cfRule>
  </conditionalFormatting>
  <conditionalFormatting sqref="B257">
    <cfRule type="cellIs" rank="0" priority="740" equalAverage="0" operator="greaterThan" aboveAverage="0" dxfId="8" text="" percent="0" bottom="0">
      <formula>0</formula>
    </cfRule>
    <cfRule type="cellIs" rank="0" priority="741" equalAverage="0" operator="lessThan" aboveAverage="0" dxfId="9" text="" percent="0" bottom="0">
      <formula>MaliyetEsik</formula>
    </cfRule>
  </conditionalFormatting>
  <conditionalFormatting sqref="D257">
    <cfRule type="cellIs" rank="0" priority="742" equalAverage="0" operator="lessThan" aboveAverage="0" dxfId="10" text="" percent="0" bottom="0">
      <formula>18</formula>
    </cfRule>
  </conditionalFormatting>
  <conditionalFormatting sqref="B258">
    <cfRule type="cellIs" rank="0" priority="743" equalAverage="0" operator="greaterThan" aboveAverage="0" dxfId="8" text="" percent="0" bottom="0">
      <formula>0</formula>
    </cfRule>
    <cfRule type="cellIs" rank="0" priority="744" equalAverage="0" operator="lessThan" aboveAverage="0" dxfId="9" text="" percent="0" bottom="0">
      <formula>MaliyetEsik</formula>
    </cfRule>
  </conditionalFormatting>
  <conditionalFormatting sqref="D258">
    <cfRule type="cellIs" rank="0" priority="745" equalAverage="0" operator="lessThan" aboveAverage="0" dxfId="10" text="" percent="0" bottom="0">
      <formula>18</formula>
    </cfRule>
  </conditionalFormatting>
  <conditionalFormatting sqref="B259">
    <cfRule type="cellIs" rank="0" priority="746" equalAverage="0" operator="greaterThan" aboveAverage="0" dxfId="8" text="" percent="0" bottom="0">
      <formula>0</formula>
    </cfRule>
    <cfRule type="cellIs" rank="0" priority="747" equalAverage="0" operator="lessThan" aboveAverage="0" dxfId="9" text="" percent="0" bottom="0">
      <formula>MaliyetEsik</formula>
    </cfRule>
  </conditionalFormatting>
  <conditionalFormatting sqref="D259">
    <cfRule type="cellIs" rank="0" priority="748" equalAverage="0" operator="lessThan" aboveAverage="0" dxfId="10" text="" percent="0" bottom="0">
      <formula>18</formula>
    </cfRule>
  </conditionalFormatting>
  <conditionalFormatting sqref="B260">
    <cfRule type="cellIs" rank="0" priority="749" equalAverage="0" operator="greaterThan" aboveAverage="0" dxfId="8" text="" percent="0" bottom="0">
      <formula>0</formula>
    </cfRule>
    <cfRule type="cellIs" rank="0" priority="750" equalAverage="0" operator="lessThan" aboveAverage="0" dxfId="9" text="" percent="0" bottom="0">
      <formula>MaliyetEsik</formula>
    </cfRule>
  </conditionalFormatting>
  <conditionalFormatting sqref="D260">
    <cfRule type="cellIs" rank="0" priority="751" equalAverage="0" operator="lessThan" aboveAverage="0" dxfId="10" text="" percent="0" bottom="0">
      <formula>18</formula>
    </cfRule>
  </conditionalFormatting>
  <conditionalFormatting sqref="B261">
    <cfRule type="cellIs" rank="0" priority="752" equalAverage="0" operator="greaterThan" aboveAverage="0" dxfId="8" text="" percent="0" bottom="0">
      <formula>0</formula>
    </cfRule>
    <cfRule type="cellIs" rank="0" priority="753" equalAverage="0" operator="lessThan" aboveAverage="0" dxfId="9" text="" percent="0" bottom="0">
      <formula>MaliyetEsik</formula>
    </cfRule>
  </conditionalFormatting>
  <conditionalFormatting sqref="D261">
    <cfRule type="cellIs" rank="0" priority="754" equalAverage="0" operator="lessThan" aboveAverage="0" dxfId="10" text="" percent="0" bottom="0">
      <formula>18</formula>
    </cfRule>
  </conditionalFormatting>
  <conditionalFormatting sqref="B262">
    <cfRule type="cellIs" rank="0" priority="755" equalAverage="0" operator="greaterThan" aboveAverage="0" dxfId="8" text="" percent="0" bottom="0">
      <formula>0</formula>
    </cfRule>
    <cfRule type="cellIs" rank="0" priority="756" equalAverage="0" operator="lessThan" aboveAverage="0" dxfId="9" text="" percent="0" bottom="0">
      <formula>MaliyetEsik</formula>
    </cfRule>
  </conditionalFormatting>
  <conditionalFormatting sqref="D262">
    <cfRule type="cellIs" rank="0" priority="757" equalAverage="0" operator="lessThan" aboveAverage="0" dxfId="10" text="" percent="0" bottom="0">
      <formula>18</formula>
    </cfRule>
  </conditionalFormatting>
  <conditionalFormatting sqref="B263">
    <cfRule type="cellIs" rank="0" priority="758" equalAverage="0" operator="greaterThan" aboveAverage="0" dxfId="8" text="" percent="0" bottom="0">
      <formula>0</formula>
    </cfRule>
    <cfRule type="cellIs" rank="0" priority="759" equalAverage="0" operator="lessThan" aboveAverage="0" dxfId="9" text="" percent="0" bottom="0">
      <formula>MaliyetEsik</formula>
    </cfRule>
  </conditionalFormatting>
  <conditionalFormatting sqref="D263">
    <cfRule type="cellIs" rank="0" priority="760" equalAverage="0" operator="lessThan" aboveAverage="0" dxfId="10" text="" percent="0" bottom="0">
      <formula>18</formula>
    </cfRule>
  </conditionalFormatting>
  <conditionalFormatting sqref="B264">
    <cfRule type="cellIs" rank="0" priority="761" equalAverage="0" operator="greaterThan" aboveAverage="0" dxfId="8" text="" percent="0" bottom="0">
      <formula>0</formula>
    </cfRule>
    <cfRule type="cellIs" rank="0" priority="762" equalAverage="0" operator="lessThan" aboveAverage="0" dxfId="9" text="" percent="0" bottom="0">
      <formula>MaliyetEsik</formula>
    </cfRule>
  </conditionalFormatting>
  <conditionalFormatting sqref="D264">
    <cfRule type="cellIs" rank="0" priority="763" equalAverage="0" operator="lessThan" aboveAverage="0" dxfId="10" text="" percent="0" bottom="0">
      <formula>18</formula>
    </cfRule>
  </conditionalFormatting>
  <conditionalFormatting sqref="B265">
    <cfRule type="cellIs" rank="0" priority="764" equalAverage="0" operator="greaterThan" aboveAverage="0" dxfId="8" text="" percent="0" bottom="0">
      <formula>0</formula>
    </cfRule>
    <cfRule type="cellIs" rank="0" priority="765" equalAverage="0" operator="lessThan" aboveAverage="0" dxfId="9" text="" percent="0" bottom="0">
      <formula>MaliyetEsik</formula>
    </cfRule>
  </conditionalFormatting>
  <conditionalFormatting sqref="D265">
    <cfRule type="cellIs" rank="0" priority="766" equalAverage="0" operator="lessThan" aboveAverage="0" dxfId="10" text="" percent="0" bottom="0">
      <formula>18</formula>
    </cfRule>
  </conditionalFormatting>
  <conditionalFormatting sqref="B266">
    <cfRule type="cellIs" rank="0" priority="767" equalAverage="0" operator="greaterThan" aboveAverage="0" dxfId="8" text="" percent="0" bottom="0">
      <formula>0</formula>
    </cfRule>
    <cfRule type="cellIs" rank="0" priority="768" equalAverage="0" operator="lessThan" aboveAverage="0" dxfId="9" text="" percent="0" bottom="0">
      <formula>MaliyetEsik</formula>
    </cfRule>
  </conditionalFormatting>
  <conditionalFormatting sqref="D266">
    <cfRule type="cellIs" rank="0" priority="769" equalAverage="0" operator="lessThan" aboveAverage="0" dxfId="10" text="" percent="0" bottom="0">
      <formula>18</formula>
    </cfRule>
  </conditionalFormatting>
  <conditionalFormatting sqref="B267">
    <cfRule type="cellIs" rank="0" priority="770" equalAverage="0" operator="greaterThan" aboveAverage="0" dxfId="8" text="" percent="0" bottom="0">
      <formula>0</formula>
    </cfRule>
    <cfRule type="cellIs" rank="0" priority="771" equalAverage="0" operator="lessThan" aboveAverage="0" dxfId="9" text="" percent="0" bottom="0">
      <formula>MaliyetEsik</formula>
    </cfRule>
  </conditionalFormatting>
  <conditionalFormatting sqref="D267">
    <cfRule type="cellIs" rank="0" priority="772" equalAverage="0" operator="lessThan" aboveAverage="0" dxfId="10" text="" percent="0" bottom="0">
      <formula>18</formula>
    </cfRule>
  </conditionalFormatting>
  <conditionalFormatting sqref="B268">
    <cfRule type="cellIs" rank="0" priority="773" equalAverage="0" operator="greaterThan" aboveAverage="0" dxfId="8" text="" percent="0" bottom="0">
      <formula>0</formula>
    </cfRule>
    <cfRule type="cellIs" rank="0" priority="774" equalAverage="0" operator="lessThan" aboveAverage="0" dxfId="9" text="" percent="0" bottom="0">
      <formula>MaliyetEsik</formula>
    </cfRule>
  </conditionalFormatting>
  <conditionalFormatting sqref="D268">
    <cfRule type="cellIs" rank="0" priority="775" equalAverage="0" operator="lessThan" aboveAverage="0" dxfId="10" text="" percent="0" bottom="0">
      <formula>18</formula>
    </cfRule>
  </conditionalFormatting>
  <conditionalFormatting sqref="B269">
    <cfRule type="cellIs" rank="0" priority="776" equalAverage="0" operator="greaterThan" aboveAverage="0" dxfId="8" text="" percent="0" bottom="0">
      <formula>0</formula>
    </cfRule>
    <cfRule type="cellIs" rank="0" priority="777" equalAverage="0" operator="lessThan" aboveAverage="0" dxfId="9" text="" percent="0" bottom="0">
      <formula>MaliyetEsik</formula>
    </cfRule>
  </conditionalFormatting>
  <conditionalFormatting sqref="D269">
    <cfRule type="cellIs" rank="0" priority="778" equalAverage="0" operator="lessThan" aboveAverage="0" dxfId="10" text="" percent="0" bottom="0">
      <formula>18</formula>
    </cfRule>
  </conditionalFormatting>
  <conditionalFormatting sqref="B270">
    <cfRule type="cellIs" rank="0" priority="779" equalAverage="0" operator="greaterThan" aboveAverage="0" dxfId="8" text="" percent="0" bottom="0">
      <formula>0</formula>
    </cfRule>
    <cfRule type="cellIs" rank="0" priority="780" equalAverage="0" operator="lessThan" aboveAverage="0" dxfId="9" text="" percent="0" bottom="0">
      <formula>MaliyetEsik</formula>
    </cfRule>
  </conditionalFormatting>
  <conditionalFormatting sqref="D270">
    <cfRule type="cellIs" rank="0" priority="781" equalAverage="0" operator="lessThan" aboveAverage="0" dxfId="10" text="" percent="0" bottom="0">
      <formula>18</formula>
    </cfRule>
  </conditionalFormatting>
  <conditionalFormatting sqref="B271">
    <cfRule type="cellIs" rank="0" priority="782" equalAverage="0" operator="greaterThan" aboveAverage="0" dxfId="8" text="" percent="0" bottom="0">
      <formula>0</formula>
    </cfRule>
    <cfRule type="cellIs" rank="0" priority="783" equalAverage="0" operator="lessThan" aboveAverage="0" dxfId="9" text="" percent="0" bottom="0">
      <formula>MaliyetEsik</formula>
    </cfRule>
  </conditionalFormatting>
  <conditionalFormatting sqref="D271">
    <cfRule type="cellIs" rank="0" priority="784" equalAverage="0" operator="lessThan" aboveAverage="0" dxfId="10" text="" percent="0" bottom="0">
      <formula>18</formula>
    </cfRule>
  </conditionalFormatting>
  <conditionalFormatting sqref="B272">
    <cfRule type="cellIs" rank="0" priority="785" equalAverage="0" operator="greaterThan" aboveAverage="0" dxfId="8" text="" percent="0" bottom="0">
      <formula>0</formula>
    </cfRule>
    <cfRule type="cellIs" rank="0" priority="786" equalAverage="0" operator="lessThan" aboveAverage="0" dxfId="9" text="" percent="0" bottom="0">
      <formula>MaliyetEsik</formula>
    </cfRule>
  </conditionalFormatting>
  <conditionalFormatting sqref="D272">
    <cfRule type="cellIs" rank="0" priority="787" equalAverage="0" operator="lessThan" aboveAverage="0" dxfId="10" text="" percent="0" bottom="0">
      <formula>18</formula>
    </cfRule>
  </conditionalFormatting>
  <conditionalFormatting sqref="B273">
    <cfRule type="cellIs" rank="0" priority="788" equalAverage="0" operator="greaterThan" aboveAverage="0" dxfId="8" text="" percent="0" bottom="0">
      <formula>0</formula>
    </cfRule>
    <cfRule type="cellIs" rank="0" priority="789" equalAverage="0" operator="lessThan" aboveAverage="0" dxfId="9" text="" percent="0" bottom="0">
      <formula>MaliyetEsik</formula>
    </cfRule>
  </conditionalFormatting>
  <conditionalFormatting sqref="D273">
    <cfRule type="cellIs" rank="0" priority="790" equalAverage="0" operator="lessThan" aboveAverage="0" dxfId="10" text="" percent="0" bottom="0">
      <formula>18</formula>
    </cfRule>
  </conditionalFormatting>
  <conditionalFormatting sqref="B274">
    <cfRule type="cellIs" rank="0" priority="791" equalAverage="0" operator="greaterThan" aboveAverage="0" dxfId="8" text="" percent="0" bottom="0">
      <formula>0</formula>
    </cfRule>
    <cfRule type="cellIs" rank="0" priority="792" equalAverage="0" operator="lessThan" aboveAverage="0" dxfId="9" text="" percent="0" bottom="0">
      <formula>MaliyetEsik</formula>
    </cfRule>
  </conditionalFormatting>
  <conditionalFormatting sqref="D274">
    <cfRule type="cellIs" rank="0" priority="793" equalAverage="0" operator="lessThan" aboveAverage="0" dxfId="10" text="" percent="0" bottom="0">
      <formula>18</formula>
    </cfRule>
  </conditionalFormatting>
  <conditionalFormatting sqref="B275">
    <cfRule type="cellIs" rank="0" priority="794" equalAverage="0" operator="greaterThan" aboveAverage="0" dxfId="8" text="" percent="0" bottom="0">
      <formula>0</formula>
    </cfRule>
    <cfRule type="cellIs" rank="0" priority="795" equalAverage="0" operator="lessThan" aboveAverage="0" dxfId="9" text="" percent="0" bottom="0">
      <formula>MaliyetEsik</formula>
    </cfRule>
  </conditionalFormatting>
  <conditionalFormatting sqref="D275">
    <cfRule type="cellIs" rank="0" priority="796" equalAverage="0" operator="lessThan" aboveAverage="0" dxfId="10" text="" percent="0" bottom="0">
      <formula>18</formula>
    </cfRule>
  </conditionalFormatting>
  <conditionalFormatting sqref="B276">
    <cfRule type="cellIs" rank="0" priority="797" equalAverage="0" operator="greaterThan" aboveAverage="0" dxfId="8" text="" percent="0" bottom="0">
      <formula>0</formula>
    </cfRule>
    <cfRule type="cellIs" rank="0" priority="798" equalAverage="0" operator="lessThan" aboveAverage="0" dxfId="9" text="" percent="0" bottom="0">
      <formula>MaliyetEsik</formula>
    </cfRule>
  </conditionalFormatting>
  <conditionalFormatting sqref="D276">
    <cfRule type="cellIs" rank="0" priority="799" equalAverage="0" operator="lessThan" aboveAverage="0" dxfId="10" text="" percent="0" bottom="0">
      <formula>18</formula>
    </cfRule>
  </conditionalFormatting>
  <conditionalFormatting sqref="B277">
    <cfRule type="cellIs" rank="0" priority="800" equalAverage="0" operator="greaterThan" aboveAverage="0" dxfId="8" text="" percent="0" bottom="0">
      <formula>0</formula>
    </cfRule>
    <cfRule type="cellIs" rank="0" priority="801" equalAverage="0" operator="lessThan" aboveAverage="0" dxfId="9" text="" percent="0" bottom="0">
      <formula>MaliyetEsik</formula>
    </cfRule>
  </conditionalFormatting>
  <conditionalFormatting sqref="D277">
    <cfRule type="cellIs" rank="0" priority="802" equalAverage="0" operator="lessThan" aboveAverage="0" dxfId="10" text="" percent="0" bottom="0">
      <formula>18</formula>
    </cfRule>
  </conditionalFormatting>
  <conditionalFormatting sqref="B278">
    <cfRule type="cellIs" rank="0" priority="803" equalAverage="0" operator="greaterThan" aboveAverage="0" dxfId="8" text="" percent="0" bottom="0">
      <formula>0</formula>
    </cfRule>
    <cfRule type="cellIs" rank="0" priority="804" equalAverage="0" operator="lessThan" aboveAverage="0" dxfId="9" text="" percent="0" bottom="0">
      <formula>MaliyetEsik</formula>
    </cfRule>
  </conditionalFormatting>
  <conditionalFormatting sqref="D278">
    <cfRule type="cellIs" rank="0" priority="805" equalAverage="0" operator="lessThan" aboveAverage="0" dxfId="10" text="" percent="0" bottom="0">
      <formula>18</formula>
    </cfRule>
  </conditionalFormatting>
  <conditionalFormatting sqref="B279">
    <cfRule type="cellIs" rank="0" priority="806" equalAverage="0" operator="greaterThan" aboveAverage="0" dxfId="8" text="" percent="0" bottom="0">
      <formula>0</formula>
    </cfRule>
    <cfRule type="cellIs" rank="0" priority="807" equalAverage="0" operator="lessThan" aboveAverage="0" dxfId="9" text="" percent="0" bottom="0">
      <formula>MaliyetEsik</formula>
    </cfRule>
  </conditionalFormatting>
  <conditionalFormatting sqref="D279">
    <cfRule type="cellIs" rank="0" priority="808" equalAverage="0" operator="lessThan" aboveAverage="0" dxfId="10" text="" percent="0" bottom="0">
      <formula>18</formula>
    </cfRule>
  </conditionalFormatting>
  <conditionalFormatting sqref="B280">
    <cfRule type="cellIs" rank="0" priority="809" equalAverage="0" operator="greaterThan" aboveAverage="0" dxfId="8" text="" percent="0" bottom="0">
      <formula>0</formula>
    </cfRule>
    <cfRule type="cellIs" rank="0" priority="810" equalAverage="0" operator="lessThan" aboveAverage="0" dxfId="9" text="" percent="0" bottom="0">
      <formula>MaliyetEsik</formula>
    </cfRule>
  </conditionalFormatting>
  <conditionalFormatting sqref="D280">
    <cfRule type="cellIs" rank="0" priority="811" equalAverage="0" operator="lessThan" aboveAverage="0" dxfId="10" text="" percent="0" bottom="0">
      <formula>18</formula>
    </cfRule>
  </conditionalFormatting>
  <conditionalFormatting sqref="B281">
    <cfRule type="cellIs" rank="0" priority="812" equalAverage="0" operator="greaterThan" aboveAverage="0" dxfId="8" text="" percent="0" bottom="0">
      <formula>0</formula>
    </cfRule>
    <cfRule type="cellIs" rank="0" priority="813" equalAverage="0" operator="lessThan" aboveAverage="0" dxfId="9" text="" percent="0" bottom="0">
      <formula>MaliyetEsik</formula>
    </cfRule>
  </conditionalFormatting>
  <conditionalFormatting sqref="D281">
    <cfRule type="cellIs" rank="0" priority="814" equalAverage="0" operator="lessThan" aboveAverage="0" dxfId="10" text="" percent="0" bottom="0">
      <formula>18</formula>
    </cfRule>
  </conditionalFormatting>
  <conditionalFormatting sqref="B282">
    <cfRule type="cellIs" rank="0" priority="815" equalAverage="0" operator="greaterThan" aboveAverage="0" dxfId="8" text="" percent="0" bottom="0">
      <formula>0</formula>
    </cfRule>
    <cfRule type="cellIs" rank="0" priority="816" equalAverage="0" operator="lessThan" aboveAverage="0" dxfId="9" text="" percent="0" bottom="0">
      <formula>MaliyetEsik</formula>
    </cfRule>
  </conditionalFormatting>
  <conditionalFormatting sqref="D282">
    <cfRule type="cellIs" rank="0" priority="817" equalAverage="0" operator="lessThan" aboveAverage="0" dxfId="10" text="" percent="0" bottom="0">
      <formula>18</formula>
    </cfRule>
  </conditionalFormatting>
  <conditionalFormatting sqref="B283">
    <cfRule type="cellIs" rank="0" priority="818" equalAverage="0" operator="greaterThan" aboveAverage="0" dxfId="8" text="" percent="0" bottom="0">
      <formula>0</formula>
    </cfRule>
    <cfRule type="cellIs" rank="0" priority="819" equalAverage="0" operator="lessThan" aboveAverage="0" dxfId="9" text="" percent="0" bottom="0">
      <formula>MaliyetEsik</formula>
    </cfRule>
  </conditionalFormatting>
  <conditionalFormatting sqref="D283">
    <cfRule type="cellIs" rank="0" priority="820" equalAverage="0" operator="lessThan" aboveAverage="0" dxfId="10" text="" percent="0" bottom="0">
      <formula>18</formula>
    </cfRule>
  </conditionalFormatting>
  <conditionalFormatting sqref="B284">
    <cfRule type="cellIs" rank="0" priority="821" equalAverage="0" operator="greaterThan" aboveAverage="0" dxfId="8" text="" percent="0" bottom="0">
      <formula>0</formula>
    </cfRule>
    <cfRule type="cellIs" rank="0" priority="822" equalAverage="0" operator="lessThan" aboveAverage="0" dxfId="9" text="" percent="0" bottom="0">
      <formula>MaliyetEsik</formula>
    </cfRule>
  </conditionalFormatting>
  <conditionalFormatting sqref="D284">
    <cfRule type="cellIs" rank="0" priority="823" equalAverage="0" operator="lessThan" aboveAverage="0" dxfId="10" text="" percent="0" bottom="0">
      <formula>18</formula>
    </cfRule>
  </conditionalFormatting>
  <conditionalFormatting sqref="B285">
    <cfRule type="cellIs" rank="0" priority="824" equalAverage="0" operator="greaterThan" aboveAverage="0" dxfId="8" text="" percent="0" bottom="0">
      <formula>0</formula>
    </cfRule>
    <cfRule type="cellIs" rank="0" priority="825" equalAverage="0" operator="lessThan" aboveAverage="0" dxfId="9" text="" percent="0" bottom="0">
      <formula>MaliyetEsik</formula>
    </cfRule>
  </conditionalFormatting>
  <conditionalFormatting sqref="D285">
    <cfRule type="cellIs" rank="0" priority="826" equalAverage="0" operator="lessThan" aboveAverage="0" dxfId="10" text="" percent="0" bottom="0">
      <formula>18</formula>
    </cfRule>
  </conditionalFormatting>
  <conditionalFormatting sqref="B286">
    <cfRule type="cellIs" rank="0" priority="827" equalAverage="0" operator="greaterThan" aboveAverage="0" dxfId="8" text="" percent="0" bottom="0">
      <formula>0</formula>
    </cfRule>
    <cfRule type="cellIs" rank="0" priority="828" equalAverage="0" operator="lessThan" aboveAverage="0" dxfId="9" text="" percent="0" bottom="0">
      <formula>MaliyetEsik</formula>
    </cfRule>
  </conditionalFormatting>
  <conditionalFormatting sqref="D286">
    <cfRule type="cellIs" rank="0" priority="829" equalAverage="0" operator="lessThan" aboveAverage="0" dxfId="10" text="" percent="0" bottom="0">
      <formula>18</formula>
    </cfRule>
  </conditionalFormatting>
  <conditionalFormatting sqref="B287">
    <cfRule type="cellIs" rank="0" priority="830" equalAverage="0" operator="greaterThan" aboveAverage="0" dxfId="8" text="" percent="0" bottom="0">
      <formula>0</formula>
    </cfRule>
    <cfRule type="cellIs" rank="0" priority="831" equalAverage="0" operator="lessThan" aboveAverage="0" dxfId="9" text="" percent="0" bottom="0">
      <formula>MaliyetEsik</formula>
    </cfRule>
  </conditionalFormatting>
  <conditionalFormatting sqref="D287">
    <cfRule type="cellIs" rank="0" priority="832" equalAverage="0" operator="lessThan" aboveAverage="0" dxfId="10" text="" percent="0" bottom="0">
      <formula>18</formula>
    </cfRule>
  </conditionalFormatting>
  <conditionalFormatting sqref="B288">
    <cfRule type="cellIs" rank="0" priority="833" equalAverage="0" operator="greaterThan" aboveAverage="0" dxfId="8" text="" percent="0" bottom="0">
      <formula>0</formula>
    </cfRule>
    <cfRule type="cellIs" rank="0" priority="834" equalAverage="0" operator="lessThan" aboveAverage="0" dxfId="9" text="" percent="0" bottom="0">
      <formula>MaliyetEsik</formula>
    </cfRule>
  </conditionalFormatting>
  <conditionalFormatting sqref="D288">
    <cfRule type="cellIs" rank="0" priority="835" equalAverage="0" operator="lessThan" aboveAverage="0" dxfId="10" text="" percent="0" bottom="0">
      <formula>18</formula>
    </cfRule>
  </conditionalFormatting>
  <conditionalFormatting sqref="B289">
    <cfRule type="cellIs" rank="0" priority="836" equalAverage="0" operator="greaterThan" aboveAverage="0" dxfId="8" text="" percent="0" bottom="0">
      <formula>0</formula>
    </cfRule>
    <cfRule type="cellIs" rank="0" priority="837" equalAverage="0" operator="lessThan" aboveAverage="0" dxfId="9" text="" percent="0" bottom="0">
      <formula>MaliyetEsik</formula>
    </cfRule>
  </conditionalFormatting>
  <conditionalFormatting sqref="D289">
    <cfRule type="cellIs" rank="0" priority="838" equalAverage="0" operator="lessThan" aboveAverage="0" dxfId="10" text="" percent="0" bottom="0">
      <formula>18</formula>
    </cfRule>
  </conditionalFormatting>
  <conditionalFormatting sqref="B290">
    <cfRule type="cellIs" rank="0" priority="839" equalAverage="0" operator="greaterThan" aboveAverage="0" dxfId="8" text="" percent="0" bottom="0">
      <formula>0</formula>
    </cfRule>
    <cfRule type="cellIs" rank="0" priority="840" equalAverage="0" operator="lessThan" aboveAverage="0" dxfId="9" text="" percent="0" bottom="0">
      <formula>MaliyetEsik</formula>
    </cfRule>
  </conditionalFormatting>
  <conditionalFormatting sqref="D290">
    <cfRule type="cellIs" rank="0" priority="841" equalAverage="0" operator="lessThan" aboveAverage="0" dxfId="10" text="" percent="0" bottom="0">
      <formula>18</formula>
    </cfRule>
  </conditionalFormatting>
  <conditionalFormatting sqref="B291">
    <cfRule type="cellIs" rank="0" priority="842" equalAverage="0" operator="greaterThan" aboveAverage="0" dxfId="8" text="" percent="0" bottom="0">
      <formula>0</formula>
    </cfRule>
    <cfRule type="cellIs" rank="0" priority="843" equalAverage="0" operator="lessThan" aboveAverage="0" dxfId="9" text="" percent="0" bottom="0">
      <formula>MaliyetEsik</formula>
    </cfRule>
  </conditionalFormatting>
  <conditionalFormatting sqref="D291">
    <cfRule type="cellIs" rank="0" priority="844" equalAverage="0" operator="lessThan" aboveAverage="0" dxfId="10" text="" percent="0" bottom="0">
      <formula>18</formula>
    </cfRule>
  </conditionalFormatting>
  <conditionalFormatting sqref="B292">
    <cfRule type="cellIs" rank="0" priority="845" equalAverage="0" operator="greaterThan" aboveAverage="0" dxfId="8" text="" percent="0" bottom="0">
      <formula>0</formula>
    </cfRule>
    <cfRule type="cellIs" rank="0" priority="846" equalAverage="0" operator="lessThan" aboveAverage="0" dxfId="9" text="" percent="0" bottom="0">
      <formula>MaliyetEsik</formula>
    </cfRule>
  </conditionalFormatting>
  <conditionalFormatting sqref="D292">
    <cfRule type="cellIs" rank="0" priority="847" equalAverage="0" operator="lessThan" aboveAverage="0" dxfId="10" text="" percent="0" bottom="0">
      <formula>18</formula>
    </cfRule>
  </conditionalFormatting>
  <conditionalFormatting sqref="B293">
    <cfRule type="cellIs" rank="0" priority="848" equalAverage="0" operator="greaterThan" aboveAverage="0" dxfId="8" text="" percent="0" bottom="0">
      <formula>0</formula>
    </cfRule>
    <cfRule type="cellIs" rank="0" priority="849" equalAverage="0" operator="lessThan" aboveAverage="0" dxfId="9" text="" percent="0" bottom="0">
      <formula>MaliyetEsik</formula>
    </cfRule>
  </conditionalFormatting>
  <conditionalFormatting sqref="D293">
    <cfRule type="cellIs" rank="0" priority="850" equalAverage="0" operator="lessThan" aboveAverage="0" dxfId="10" text="" percent="0" bottom="0">
      <formula>18</formula>
    </cfRule>
  </conditionalFormatting>
  <conditionalFormatting sqref="B294">
    <cfRule type="cellIs" rank="0" priority="851" equalAverage="0" operator="greaterThan" aboveAverage="0" dxfId="8" text="" percent="0" bottom="0">
      <formula>0</formula>
    </cfRule>
    <cfRule type="cellIs" rank="0" priority="852" equalAverage="0" operator="lessThan" aboveAverage="0" dxfId="9" text="" percent="0" bottom="0">
      <formula>MaliyetEsik</formula>
    </cfRule>
  </conditionalFormatting>
  <conditionalFormatting sqref="D294">
    <cfRule type="cellIs" rank="0" priority="853" equalAverage="0" operator="lessThan" aboveAverage="0" dxfId="10" text="" percent="0" bottom="0">
      <formula>18</formula>
    </cfRule>
  </conditionalFormatting>
  <conditionalFormatting sqref="B295">
    <cfRule type="cellIs" rank="0" priority="854" equalAverage="0" operator="greaterThan" aboveAverage="0" dxfId="8" text="" percent="0" bottom="0">
      <formula>0</formula>
    </cfRule>
    <cfRule type="cellIs" rank="0" priority="855" equalAverage="0" operator="lessThan" aboveAverage="0" dxfId="9" text="" percent="0" bottom="0">
      <formula>MaliyetEsik</formula>
    </cfRule>
  </conditionalFormatting>
  <conditionalFormatting sqref="D295">
    <cfRule type="cellIs" rank="0" priority="856" equalAverage="0" operator="lessThan" aboveAverage="0" dxfId="10" text="" percent="0" bottom="0">
      <formula>18</formula>
    </cfRule>
  </conditionalFormatting>
  <conditionalFormatting sqref="B296">
    <cfRule type="cellIs" rank="0" priority="857" equalAverage="0" operator="greaterThan" aboveAverage="0" dxfId="8" text="" percent="0" bottom="0">
      <formula>0</formula>
    </cfRule>
    <cfRule type="cellIs" rank="0" priority="858" equalAverage="0" operator="lessThan" aboveAverage="0" dxfId="9" text="" percent="0" bottom="0">
      <formula>MaliyetEsik</formula>
    </cfRule>
  </conditionalFormatting>
  <conditionalFormatting sqref="D296">
    <cfRule type="cellIs" rank="0" priority="859" equalAverage="0" operator="lessThan" aboveAverage="0" dxfId="10" text="" percent="0" bottom="0">
      <formula>18</formula>
    </cfRule>
  </conditionalFormatting>
  <conditionalFormatting sqref="B297">
    <cfRule type="cellIs" rank="0" priority="860" equalAverage="0" operator="greaterThan" aboveAverage="0" dxfId="8" text="" percent="0" bottom="0">
      <formula>0</formula>
    </cfRule>
    <cfRule type="cellIs" rank="0" priority="861" equalAverage="0" operator="lessThan" aboveAverage="0" dxfId="9" text="" percent="0" bottom="0">
      <formula>MaliyetEsik</formula>
    </cfRule>
  </conditionalFormatting>
  <conditionalFormatting sqref="D297">
    <cfRule type="cellIs" rank="0" priority="862" equalAverage="0" operator="lessThan" aboveAverage="0" dxfId="10" text="" percent="0" bottom="0">
      <formula>18</formula>
    </cfRule>
  </conditionalFormatting>
  <conditionalFormatting sqref="B298">
    <cfRule type="cellIs" rank="0" priority="863" equalAverage="0" operator="greaterThan" aboveAverage="0" dxfId="8" text="" percent="0" bottom="0">
      <formula>0</formula>
    </cfRule>
    <cfRule type="cellIs" rank="0" priority="864" equalAverage="0" operator="lessThan" aboveAverage="0" dxfId="9" text="" percent="0" bottom="0">
      <formula>MaliyetEsik</formula>
    </cfRule>
  </conditionalFormatting>
  <conditionalFormatting sqref="D298">
    <cfRule type="cellIs" rank="0" priority="865" equalAverage="0" operator="lessThan" aboveAverage="0" dxfId="10" text="" percent="0" bottom="0">
      <formula>18</formula>
    </cfRule>
  </conditionalFormatting>
  <conditionalFormatting sqref="B299">
    <cfRule type="cellIs" rank="0" priority="866" equalAverage="0" operator="greaterThan" aboveAverage="0" dxfId="8" text="" percent="0" bottom="0">
      <formula>0</formula>
    </cfRule>
    <cfRule type="cellIs" rank="0" priority="867" equalAverage="0" operator="lessThan" aboveAverage="0" dxfId="9" text="" percent="0" bottom="0">
      <formula>MaliyetEsik</formula>
    </cfRule>
  </conditionalFormatting>
  <conditionalFormatting sqref="D299">
    <cfRule type="cellIs" rank="0" priority="868" equalAverage="0" operator="lessThan" aboveAverage="0" dxfId="10" text="" percent="0" bottom="0">
      <formula>18</formula>
    </cfRule>
  </conditionalFormatting>
  <conditionalFormatting sqref="B300">
    <cfRule type="cellIs" rank="0" priority="869" equalAverage="0" operator="greaterThan" aboveAverage="0" dxfId="8" text="" percent="0" bottom="0">
      <formula>0</formula>
    </cfRule>
    <cfRule type="cellIs" rank="0" priority="870" equalAverage="0" operator="lessThan" aboveAverage="0" dxfId="9" text="" percent="0" bottom="0">
      <formula>MaliyetEsik</formula>
    </cfRule>
  </conditionalFormatting>
  <conditionalFormatting sqref="D300">
    <cfRule type="cellIs" rank="0" priority="871" equalAverage="0" operator="lessThan" aboveAverage="0" dxfId="10" text="" percent="0" bottom="0">
      <formula>18</formula>
    </cfRule>
  </conditionalFormatting>
  <conditionalFormatting sqref="B301">
    <cfRule type="cellIs" rank="0" priority="872" equalAverage="0" operator="greaterThan" aboveAverage="0" dxfId="8" text="" percent="0" bottom="0">
      <formula>0</formula>
    </cfRule>
    <cfRule type="cellIs" rank="0" priority="873" equalAverage="0" operator="lessThan" aboveAverage="0" dxfId="9" text="" percent="0" bottom="0">
      <formula>MaliyetEsik</formula>
    </cfRule>
  </conditionalFormatting>
  <conditionalFormatting sqref="D301">
    <cfRule type="cellIs" rank="0" priority="874" equalAverage="0" operator="lessThan" aboveAverage="0" dxfId="10" text="" percent="0" bottom="0">
      <formula>18</formula>
    </cfRule>
  </conditionalFormatting>
  <conditionalFormatting sqref="B302">
    <cfRule type="cellIs" rank="0" priority="875" equalAverage="0" operator="greaterThan" aboveAverage="0" dxfId="8" text="" percent="0" bottom="0">
      <formula>0</formula>
    </cfRule>
    <cfRule type="cellIs" rank="0" priority="876" equalAverage="0" operator="lessThan" aboveAverage="0" dxfId="9" text="" percent="0" bottom="0">
      <formula>MaliyetEsik</formula>
    </cfRule>
  </conditionalFormatting>
  <conditionalFormatting sqref="D302">
    <cfRule type="cellIs" rank="0" priority="877" equalAverage="0" operator="lessThan" aboveAverage="0" dxfId="10" text="" percent="0" bottom="0">
      <formula>18</formula>
    </cfRule>
  </conditionalFormatting>
  <conditionalFormatting sqref="B303">
    <cfRule type="cellIs" rank="0" priority="878" equalAverage="0" operator="greaterThan" aboveAverage="0" dxfId="8" text="" percent="0" bottom="0">
      <formula>0</formula>
    </cfRule>
    <cfRule type="cellIs" rank="0" priority="879" equalAverage="0" operator="lessThan" aboveAverage="0" dxfId="9" text="" percent="0" bottom="0">
      <formula>MaliyetEsik</formula>
    </cfRule>
  </conditionalFormatting>
  <conditionalFormatting sqref="D303">
    <cfRule type="cellIs" rank="0" priority="880" equalAverage="0" operator="lessThan" aboveAverage="0" dxfId="10" text="" percent="0" bottom="0">
      <formula>18</formula>
    </cfRule>
  </conditionalFormatting>
  <conditionalFormatting sqref="B304">
    <cfRule type="cellIs" rank="0" priority="881" equalAverage="0" operator="greaterThan" aboveAverage="0" dxfId="8" text="" percent="0" bottom="0">
      <formula>0</formula>
    </cfRule>
    <cfRule type="cellIs" rank="0" priority="882" equalAverage="0" operator="lessThan" aboveAverage="0" dxfId="9" text="" percent="0" bottom="0">
      <formula>MaliyetEsik</formula>
    </cfRule>
  </conditionalFormatting>
  <conditionalFormatting sqref="D304">
    <cfRule type="cellIs" rank="0" priority="883" equalAverage="0" operator="lessThan" aboveAverage="0" dxfId="10" text="" percent="0" bottom="0">
      <formula>18</formula>
    </cfRule>
  </conditionalFormatting>
  <conditionalFormatting sqref="B305">
    <cfRule type="cellIs" rank="0" priority="884" equalAverage="0" operator="greaterThan" aboveAverage="0" dxfId="8" text="" percent="0" bottom="0">
      <formula>0</formula>
    </cfRule>
    <cfRule type="cellIs" rank="0" priority="885" equalAverage="0" operator="lessThan" aboveAverage="0" dxfId="9" text="" percent="0" bottom="0">
      <formula>MaliyetEsik</formula>
    </cfRule>
  </conditionalFormatting>
  <conditionalFormatting sqref="D305">
    <cfRule type="cellIs" rank="0" priority="886" equalAverage="0" operator="lessThan" aboveAverage="0" dxfId="10" text="" percent="0" bottom="0">
      <formula>18</formula>
    </cfRule>
  </conditionalFormatting>
  <conditionalFormatting sqref="B306">
    <cfRule type="cellIs" rank="0" priority="887" equalAverage="0" operator="greaterThan" aboveAverage="0" dxfId="8" text="" percent="0" bottom="0">
      <formula>0</formula>
    </cfRule>
    <cfRule type="cellIs" rank="0" priority="888" equalAverage="0" operator="lessThan" aboveAverage="0" dxfId="9" text="" percent="0" bottom="0">
      <formula>MaliyetEsik</formula>
    </cfRule>
  </conditionalFormatting>
  <conditionalFormatting sqref="D306">
    <cfRule type="cellIs" rank="0" priority="889" equalAverage="0" operator="lessThan" aboveAverage="0" dxfId="10" text="" percent="0" bottom="0">
      <formula>18</formula>
    </cfRule>
  </conditionalFormatting>
  <conditionalFormatting sqref="B307">
    <cfRule type="cellIs" rank="0" priority="890" equalAverage="0" operator="greaterThan" aboveAverage="0" dxfId="8" text="" percent="0" bottom="0">
      <formula>0</formula>
    </cfRule>
    <cfRule type="cellIs" rank="0" priority="891" equalAverage="0" operator="lessThan" aboveAverage="0" dxfId="9" text="" percent="0" bottom="0">
      <formula>MaliyetEsik</formula>
    </cfRule>
  </conditionalFormatting>
  <conditionalFormatting sqref="D307">
    <cfRule type="cellIs" rank="0" priority="892" equalAverage="0" operator="lessThan" aboveAverage="0" dxfId="10" text="" percent="0" bottom="0">
      <formula>18</formula>
    </cfRule>
  </conditionalFormatting>
  <conditionalFormatting sqref="B308">
    <cfRule type="cellIs" rank="0" priority="893" equalAverage="0" operator="greaterThan" aboveAverage="0" dxfId="8" text="" percent="0" bottom="0">
      <formula>0</formula>
    </cfRule>
    <cfRule type="cellIs" rank="0" priority="894" equalAverage="0" operator="lessThan" aboveAverage="0" dxfId="9" text="" percent="0" bottom="0">
      <formula>MaliyetEsik</formula>
    </cfRule>
  </conditionalFormatting>
  <conditionalFormatting sqref="D308">
    <cfRule type="cellIs" rank="0" priority="895" equalAverage="0" operator="lessThan" aboveAverage="0" dxfId="10" text="" percent="0" bottom="0">
      <formula>18</formula>
    </cfRule>
  </conditionalFormatting>
  <conditionalFormatting sqref="B309">
    <cfRule type="cellIs" rank="0" priority="896" equalAverage="0" operator="greaterThan" aboveAverage="0" dxfId="8" text="" percent="0" bottom="0">
      <formula>0</formula>
    </cfRule>
    <cfRule type="cellIs" rank="0" priority="897" equalAverage="0" operator="lessThan" aboveAverage="0" dxfId="9" text="" percent="0" bottom="0">
      <formula>MaliyetEsik</formula>
    </cfRule>
  </conditionalFormatting>
  <conditionalFormatting sqref="D309">
    <cfRule type="cellIs" rank="0" priority="898" equalAverage="0" operator="lessThan" aboveAverage="0" dxfId="10" text="" percent="0" bottom="0">
      <formula>18</formula>
    </cfRule>
  </conditionalFormatting>
  <conditionalFormatting sqref="B310">
    <cfRule type="cellIs" rank="0" priority="899" equalAverage="0" operator="greaterThan" aboveAverage="0" dxfId="8" text="" percent="0" bottom="0">
      <formula>0</formula>
    </cfRule>
    <cfRule type="cellIs" rank="0" priority="900" equalAverage="0" operator="lessThan" aboveAverage="0" dxfId="9" text="" percent="0" bottom="0">
      <formula>MaliyetEsik</formula>
    </cfRule>
  </conditionalFormatting>
  <conditionalFormatting sqref="D310">
    <cfRule type="cellIs" rank="0" priority="901" equalAverage="0" operator="lessThan" aboveAverage="0" dxfId="10" text="" percent="0" bottom="0">
      <formula>18</formula>
    </cfRule>
  </conditionalFormatting>
  <conditionalFormatting sqref="B311">
    <cfRule type="cellIs" rank="0" priority="902" equalAverage="0" operator="greaterThan" aboveAverage="0" dxfId="8" text="" percent="0" bottom="0">
      <formula>0</formula>
    </cfRule>
    <cfRule type="cellIs" rank="0" priority="903" equalAverage="0" operator="lessThan" aboveAverage="0" dxfId="9" text="" percent="0" bottom="0">
      <formula>MaliyetEsik</formula>
    </cfRule>
  </conditionalFormatting>
  <conditionalFormatting sqref="D311">
    <cfRule type="cellIs" rank="0" priority="904" equalAverage="0" operator="lessThan" aboveAverage="0" dxfId="10" text="" percent="0" bottom="0">
      <formula>18</formula>
    </cfRule>
  </conditionalFormatting>
  <conditionalFormatting sqref="B312">
    <cfRule type="cellIs" rank="0" priority="905" equalAverage="0" operator="greaterThan" aboveAverage="0" dxfId="8" text="" percent="0" bottom="0">
      <formula>0</formula>
    </cfRule>
    <cfRule type="cellIs" rank="0" priority="906" equalAverage="0" operator="lessThan" aboveAverage="0" dxfId="9" text="" percent="0" bottom="0">
      <formula>MaliyetEsik</formula>
    </cfRule>
  </conditionalFormatting>
  <conditionalFormatting sqref="D312">
    <cfRule type="cellIs" rank="0" priority="907" equalAverage="0" operator="lessThan" aboveAverage="0" dxfId="10" text="" percent="0" bottom="0">
      <formula>18</formula>
    </cfRule>
  </conditionalFormatting>
  <conditionalFormatting sqref="B313">
    <cfRule type="cellIs" rank="0" priority="908" equalAverage="0" operator="greaterThan" aboveAverage="0" dxfId="8" text="" percent="0" bottom="0">
      <formula>0</formula>
    </cfRule>
    <cfRule type="cellIs" rank="0" priority="909" equalAverage="0" operator="lessThan" aboveAverage="0" dxfId="9" text="" percent="0" bottom="0">
      <formula>MaliyetEsik</formula>
    </cfRule>
  </conditionalFormatting>
  <conditionalFormatting sqref="D313">
    <cfRule type="cellIs" rank="0" priority="910" equalAverage="0" operator="lessThan" aboveAverage="0" dxfId="10" text="" percent="0" bottom="0">
      <formula>18</formula>
    </cfRule>
  </conditionalFormatting>
  <conditionalFormatting sqref="B314">
    <cfRule type="cellIs" rank="0" priority="911" equalAverage="0" operator="greaterThan" aboveAverage="0" dxfId="8" text="" percent="0" bottom="0">
      <formula>0</formula>
    </cfRule>
    <cfRule type="cellIs" rank="0" priority="912" equalAverage="0" operator="lessThan" aboveAverage="0" dxfId="9" text="" percent="0" bottom="0">
      <formula>MaliyetEsik</formula>
    </cfRule>
  </conditionalFormatting>
  <conditionalFormatting sqref="D314">
    <cfRule type="cellIs" rank="0" priority="913" equalAverage="0" operator="lessThan" aboveAverage="0" dxfId="10" text="" percent="0" bottom="0">
      <formula>18</formula>
    </cfRule>
  </conditionalFormatting>
  <conditionalFormatting sqref="B315">
    <cfRule type="cellIs" rank="0" priority="914" equalAverage="0" operator="greaterThan" aboveAverage="0" dxfId="8" text="" percent="0" bottom="0">
      <formula>0</formula>
    </cfRule>
    <cfRule type="cellIs" rank="0" priority="915" equalAverage="0" operator="lessThan" aboveAverage="0" dxfId="9" text="" percent="0" bottom="0">
      <formula>MaliyetEsik</formula>
    </cfRule>
  </conditionalFormatting>
  <conditionalFormatting sqref="D315">
    <cfRule type="cellIs" rank="0" priority="916" equalAverage="0" operator="lessThan" aboveAverage="0" dxfId="10" text="" percent="0" bottom="0">
      <formula>18</formula>
    </cfRule>
  </conditionalFormatting>
  <conditionalFormatting sqref="B316">
    <cfRule type="cellIs" rank="0" priority="917" equalAverage="0" operator="greaterThan" aboveAverage="0" dxfId="8" text="" percent="0" bottom="0">
      <formula>0</formula>
    </cfRule>
    <cfRule type="cellIs" rank="0" priority="918" equalAverage="0" operator="lessThan" aboveAverage="0" dxfId="9" text="" percent="0" bottom="0">
      <formula>MaliyetEsik</formula>
    </cfRule>
  </conditionalFormatting>
  <conditionalFormatting sqref="D316">
    <cfRule type="cellIs" rank="0" priority="919" equalAverage="0" operator="lessThan" aboveAverage="0" dxfId="10" text="" percent="0" bottom="0">
      <formula>18</formula>
    </cfRule>
  </conditionalFormatting>
  <conditionalFormatting sqref="B317">
    <cfRule type="cellIs" rank="0" priority="920" equalAverage="0" operator="greaterThan" aboveAverage="0" dxfId="8" text="" percent="0" bottom="0">
      <formula>0</formula>
    </cfRule>
    <cfRule type="cellIs" rank="0" priority="921" equalAverage="0" operator="lessThan" aboveAverage="0" dxfId="9" text="" percent="0" bottom="0">
      <formula>MaliyetEsik</formula>
    </cfRule>
  </conditionalFormatting>
  <conditionalFormatting sqref="D317">
    <cfRule type="cellIs" rank="0" priority="922" equalAverage="0" operator="lessThan" aboveAverage="0" dxfId="10" text="" percent="0" bottom="0">
      <formula>18</formula>
    </cfRule>
  </conditionalFormatting>
  <conditionalFormatting sqref="B318">
    <cfRule type="cellIs" rank="0" priority="923" equalAverage="0" operator="greaterThan" aboveAverage="0" dxfId="8" text="" percent="0" bottom="0">
      <formula>0</formula>
    </cfRule>
    <cfRule type="cellIs" rank="0" priority="924" equalAverage="0" operator="lessThan" aboveAverage="0" dxfId="9" text="" percent="0" bottom="0">
      <formula>MaliyetEsik</formula>
    </cfRule>
  </conditionalFormatting>
  <conditionalFormatting sqref="D318">
    <cfRule type="cellIs" rank="0" priority="925" equalAverage="0" operator="lessThan" aboveAverage="0" dxfId="10" text="" percent="0" bottom="0">
      <formula>18</formula>
    </cfRule>
  </conditionalFormatting>
  <conditionalFormatting sqref="B319">
    <cfRule type="cellIs" rank="0" priority="926" equalAverage="0" operator="greaterThan" aboveAverage="0" dxfId="8" text="" percent="0" bottom="0">
      <formula>0</formula>
    </cfRule>
    <cfRule type="cellIs" rank="0" priority="927" equalAverage="0" operator="lessThan" aboveAverage="0" dxfId="9" text="" percent="0" bottom="0">
      <formula>MaliyetEsik</formula>
    </cfRule>
  </conditionalFormatting>
  <conditionalFormatting sqref="D319">
    <cfRule type="cellIs" rank="0" priority="928" equalAverage="0" operator="lessThan" aboveAverage="0" dxfId="10" text="" percent="0" bottom="0">
      <formula>18</formula>
    </cfRule>
  </conditionalFormatting>
  <conditionalFormatting sqref="B320">
    <cfRule type="cellIs" rank="0" priority="929" equalAverage="0" operator="greaterThan" aboveAverage="0" dxfId="8" text="" percent="0" bottom="0">
      <formula>0</formula>
    </cfRule>
    <cfRule type="cellIs" rank="0" priority="930" equalAverage="0" operator="lessThan" aboveAverage="0" dxfId="9" text="" percent="0" bottom="0">
      <formula>MaliyetEsik</formula>
    </cfRule>
  </conditionalFormatting>
  <conditionalFormatting sqref="D320">
    <cfRule type="cellIs" rank="0" priority="931" equalAverage="0" operator="lessThan" aboveAverage="0" dxfId="10" text="" percent="0" bottom="0">
      <formula>18</formula>
    </cfRule>
  </conditionalFormatting>
  <conditionalFormatting sqref="B321">
    <cfRule type="cellIs" rank="0" priority="932" equalAverage="0" operator="greaterThan" aboveAverage="0" dxfId="8" text="" percent="0" bottom="0">
      <formula>0</formula>
    </cfRule>
    <cfRule type="cellIs" rank="0" priority="933" equalAverage="0" operator="lessThan" aboveAverage="0" dxfId="9" text="" percent="0" bottom="0">
      <formula>MaliyetEsik</formula>
    </cfRule>
  </conditionalFormatting>
  <conditionalFormatting sqref="D321">
    <cfRule type="cellIs" rank="0" priority="934" equalAverage="0" operator="lessThan" aboveAverage="0" dxfId="10" text="" percent="0" bottom="0">
      <formula>18</formula>
    </cfRule>
  </conditionalFormatting>
  <conditionalFormatting sqref="B322">
    <cfRule type="cellIs" rank="0" priority="935" equalAverage="0" operator="greaterThan" aboveAverage="0" dxfId="8" text="" percent="0" bottom="0">
      <formula>0</formula>
    </cfRule>
    <cfRule type="cellIs" rank="0" priority="936" equalAverage="0" operator="lessThan" aboveAverage="0" dxfId="9" text="" percent="0" bottom="0">
      <formula>MaliyetEsik</formula>
    </cfRule>
  </conditionalFormatting>
  <conditionalFormatting sqref="D322">
    <cfRule type="cellIs" rank="0" priority="937" equalAverage="0" operator="lessThan" aboveAverage="0" dxfId="10" text="" percent="0" bottom="0">
      <formula>18</formula>
    </cfRule>
  </conditionalFormatting>
  <conditionalFormatting sqref="B323">
    <cfRule type="cellIs" rank="0" priority="938" equalAverage="0" operator="greaterThan" aboveAverage="0" dxfId="8" text="" percent="0" bottom="0">
      <formula>0</formula>
    </cfRule>
    <cfRule type="cellIs" rank="0" priority="939" equalAverage="0" operator="lessThan" aboveAverage="0" dxfId="9" text="" percent="0" bottom="0">
      <formula>MaliyetEsik</formula>
    </cfRule>
  </conditionalFormatting>
  <conditionalFormatting sqref="D323">
    <cfRule type="cellIs" rank="0" priority="940" equalAverage="0" operator="lessThan" aboveAverage="0" dxfId="10" text="" percent="0" bottom="0">
      <formula>18</formula>
    </cfRule>
  </conditionalFormatting>
  <conditionalFormatting sqref="B324">
    <cfRule type="cellIs" rank="0" priority="941" equalAverage="0" operator="greaterThan" aboveAverage="0" dxfId="8" text="" percent="0" bottom="0">
      <formula>0</formula>
    </cfRule>
    <cfRule type="cellIs" rank="0" priority="942" equalAverage="0" operator="lessThan" aboveAverage="0" dxfId="9" text="" percent="0" bottom="0">
      <formula>MaliyetEsik</formula>
    </cfRule>
  </conditionalFormatting>
  <conditionalFormatting sqref="D324">
    <cfRule type="cellIs" rank="0" priority="943" equalAverage="0" operator="lessThan" aboveAverage="0" dxfId="10" text="" percent="0" bottom="0">
      <formula>18</formula>
    </cfRule>
  </conditionalFormatting>
  <conditionalFormatting sqref="B325">
    <cfRule type="cellIs" rank="0" priority="944" equalAverage="0" operator="greaterThan" aboveAverage="0" dxfId="8" text="" percent="0" bottom="0">
      <formula>0</formula>
    </cfRule>
    <cfRule type="cellIs" rank="0" priority="945" equalAverage="0" operator="lessThan" aboveAverage="0" dxfId="9" text="" percent="0" bottom="0">
      <formula>MaliyetEsik</formula>
    </cfRule>
  </conditionalFormatting>
  <conditionalFormatting sqref="D325">
    <cfRule type="cellIs" rank="0" priority="946" equalAverage="0" operator="lessThan" aboveAverage="0" dxfId="10" text="" percent="0" bottom="0">
      <formula>18</formula>
    </cfRule>
  </conditionalFormatting>
  <conditionalFormatting sqref="B326">
    <cfRule type="cellIs" rank="0" priority="947" equalAverage="0" operator="greaterThan" aboveAverage="0" dxfId="8" text="" percent="0" bottom="0">
      <formula>0</formula>
    </cfRule>
    <cfRule type="cellIs" rank="0" priority="948" equalAverage="0" operator="lessThan" aboveAverage="0" dxfId="9" text="" percent="0" bottom="0">
      <formula>MaliyetEsik</formula>
    </cfRule>
  </conditionalFormatting>
  <conditionalFormatting sqref="D326">
    <cfRule type="cellIs" rank="0" priority="949" equalAverage="0" operator="lessThan" aboveAverage="0" dxfId="10" text="" percent="0" bottom="0">
      <formula>18</formula>
    </cfRule>
  </conditionalFormatting>
  <conditionalFormatting sqref="B327">
    <cfRule type="cellIs" rank="0" priority="950" equalAverage="0" operator="greaterThan" aboveAverage="0" dxfId="8" text="" percent="0" bottom="0">
      <formula>0</formula>
    </cfRule>
    <cfRule type="cellIs" rank="0" priority="951" equalAverage="0" operator="lessThan" aboveAverage="0" dxfId="9" text="" percent="0" bottom="0">
      <formula>MaliyetEsik</formula>
    </cfRule>
  </conditionalFormatting>
  <conditionalFormatting sqref="D327">
    <cfRule type="cellIs" rank="0" priority="952" equalAverage="0" operator="lessThan" aboveAverage="0" dxfId="10" text="" percent="0" bottom="0">
      <formula>18</formula>
    </cfRule>
  </conditionalFormatting>
  <conditionalFormatting sqref="B328">
    <cfRule type="cellIs" rank="0" priority="953" equalAverage="0" operator="greaterThan" aboveAverage="0" dxfId="8" text="" percent="0" bottom="0">
      <formula>0</formula>
    </cfRule>
    <cfRule type="cellIs" rank="0" priority="954" equalAverage="0" operator="lessThan" aboveAverage="0" dxfId="9" text="" percent="0" bottom="0">
      <formula>MaliyetEsik</formula>
    </cfRule>
  </conditionalFormatting>
  <conditionalFormatting sqref="D328">
    <cfRule type="cellIs" rank="0" priority="955" equalAverage="0" operator="lessThan" aboveAverage="0" dxfId="10" text="" percent="0" bottom="0">
      <formula>18</formula>
    </cfRule>
  </conditionalFormatting>
  <conditionalFormatting sqref="B329">
    <cfRule type="cellIs" rank="0" priority="956" equalAverage="0" operator="greaterThan" aboveAverage="0" dxfId="8" text="" percent="0" bottom="0">
      <formula>0</formula>
    </cfRule>
    <cfRule type="cellIs" rank="0" priority="957" equalAverage="0" operator="lessThan" aboveAverage="0" dxfId="9" text="" percent="0" bottom="0">
      <formula>MaliyetEsik</formula>
    </cfRule>
  </conditionalFormatting>
  <conditionalFormatting sqref="D329">
    <cfRule type="cellIs" rank="0" priority="958" equalAverage="0" operator="lessThan" aboveAverage="0" dxfId="10" text="" percent="0" bottom="0">
      <formula>18</formula>
    </cfRule>
  </conditionalFormatting>
  <conditionalFormatting sqref="B330">
    <cfRule type="cellIs" rank="0" priority="959" equalAverage="0" operator="greaterThan" aboveAverage="0" dxfId="8" text="" percent="0" bottom="0">
      <formula>0</formula>
    </cfRule>
    <cfRule type="cellIs" rank="0" priority="960" equalAverage="0" operator="lessThan" aboveAverage="0" dxfId="9" text="" percent="0" bottom="0">
      <formula>MaliyetEsik</formula>
    </cfRule>
  </conditionalFormatting>
  <conditionalFormatting sqref="D330">
    <cfRule type="cellIs" rank="0" priority="961" equalAverage="0" operator="lessThan" aboveAverage="0" dxfId="10" text="" percent="0" bottom="0">
      <formula>18</formula>
    </cfRule>
  </conditionalFormatting>
  <conditionalFormatting sqref="B331">
    <cfRule type="cellIs" rank="0" priority="962" equalAverage="0" operator="greaterThan" aboveAverage="0" dxfId="8" text="" percent="0" bottom="0">
      <formula>0</formula>
    </cfRule>
    <cfRule type="cellIs" rank="0" priority="963" equalAverage="0" operator="lessThan" aboveAverage="0" dxfId="9" text="" percent="0" bottom="0">
      <formula>MaliyetEsik</formula>
    </cfRule>
  </conditionalFormatting>
  <conditionalFormatting sqref="D331">
    <cfRule type="cellIs" rank="0" priority="964" equalAverage="0" operator="lessThan" aboveAverage="0" dxfId="10" text="" percent="0" bottom="0">
      <formula>18</formula>
    </cfRule>
  </conditionalFormatting>
  <conditionalFormatting sqref="B332">
    <cfRule type="cellIs" rank="0" priority="965" equalAverage="0" operator="greaterThan" aboveAverage="0" dxfId="8" text="" percent="0" bottom="0">
      <formula>0</formula>
    </cfRule>
    <cfRule type="cellIs" rank="0" priority="966" equalAverage="0" operator="lessThan" aboveAverage="0" dxfId="9" text="" percent="0" bottom="0">
      <formula>MaliyetEsik</formula>
    </cfRule>
  </conditionalFormatting>
  <conditionalFormatting sqref="D332">
    <cfRule type="cellIs" rank="0" priority="967" equalAverage="0" operator="lessThan" aboveAverage="0" dxfId="10" text="" percent="0" bottom="0">
      <formula>18</formula>
    </cfRule>
  </conditionalFormatting>
  <conditionalFormatting sqref="B333">
    <cfRule type="cellIs" rank="0" priority="968" equalAverage="0" operator="greaterThan" aboveAverage="0" dxfId="8" text="" percent="0" bottom="0">
      <formula>0</formula>
    </cfRule>
    <cfRule type="cellIs" rank="0" priority="969" equalAverage="0" operator="lessThan" aboveAverage="0" dxfId="9" text="" percent="0" bottom="0">
      <formula>MaliyetEsik</formula>
    </cfRule>
  </conditionalFormatting>
  <conditionalFormatting sqref="D333">
    <cfRule type="cellIs" rank="0" priority="970" equalAverage="0" operator="lessThan" aboveAverage="0" dxfId="10" text="" percent="0" bottom="0">
      <formula>18</formula>
    </cfRule>
  </conditionalFormatting>
  <conditionalFormatting sqref="B334">
    <cfRule type="cellIs" rank="0" priority="971" equalAverage="0" operator="greaterThan" aboveAverage="0" dxfId="8" text="" percent="0" bottom="0">
      <formula>0</formula>
    </cfRule>
    <cfRule type="cellIs" rank="0" priority="972" equalAverage="0" operator="lessThan" aboveAverage="0" dxfId="9" text="" percent="0" bottom="0">
      <formula>MaliyetEsik</formula>
    </cfRule>
  </conditionalFormatting>
  <conditionalFormatting sqref="D334">
    <cfRule type="cellIs" rank="0" priority="973" equalAverage="0" operator="lessThan" aboveAverage="0" dxfId="10" text="" percent="0" bottom="0">
      <formula>18</formula>
    </cfRule>
  </conditionalFormatting>
  <conditionalFormatting sqref="B335">
    <cfRule type="cellIs" rank="0" priority="974" equalAverage="0" operator="greaterThan" aboveAverage="0" dxfId="8" text="" percent="0" bottom="0">
      <formula>0</formula>
    </cfRule>
    <cfRule type="cellIs" rank="0" priority="975" equalAverage="0" operator="lessThan" aboveAverage="0" dxfId="9" text="" percent="0" bottom="0">
      <formula>MaliyetEsik</formula>
    </cfRule>
  </conditionalFormatting>
  <conditionalFormatting sqref="D335">
    <cfRule type="cellIs" rank="0" priority="976" equalAverage="0" operator="lessThan" aboveAverage="0" dxfId="10" text="" percent="0" bottom="0">
      <formula>18</formula>
    </cfRule>
  </conditionalFormatting>
  <conditionalFormatting sqref="B336">
    <cfRule type="cellIs" rank="0" priority="977" equalAverage="0" operator="greaterThan" aboveAverage="0" dxfId="8" text="" percent="0" bottom="0">
      <formula>0</formula>
    </cfRule>
    <cfRule type="cellIs" rank="0" priority="978" equalAverage="0" operator="lessThan" aboveAverage="0" dxfId="9" text="" percent="0" bottom="0">
      <formula>MaliyetEsik</formula>
    </cfRule>
  </conditionalFormatting>
  <conditionalFormatting sqref="D336">
    <cfRule type="cellIs" rank="0" priority="979" equalAverage="0" operator="lessThan" aboveAverage="0" dxfId="10" text="" percent="0" bottom="0">
      <formula>18</formula>
    </cfRule>
  </conditionalFormatting>
  <conditionalFormatting sqref="B337">
    <cfRule type="cellIs" rank="0" priority="980" equalAverage="0" operator="greaterThan" aboveAverage="0" dxfId="8" text="" percent="0" bottom="0">
      <formula>0</formula>
    </cfRule>
    <cfRule type="cellIs" rank="0" priority="981" equalAverage="0" operator="lessThan" aboveAverage="0" dxfId="9" text="" percent="0" bottom="0">
      <formula>MaliyetEsik</formula>
    </cfRule>
  </conditionalFormatting>
  <conditionalFormatting sqref="D337">
    <cfRule type="cellIs" rank="0" priority="982" equalAverage="0" operator="lessThan" aboveAverage="0" dxfId="10" text="" percent="0" bottom="0">
      <formula>18</formula>
    </cfRule>
  </conditionalFormatting>
  <conditionalFormatting sqref="B338">
    <cfRule type="cellIs" rank="0" priority="983" equalAverage="0" operator="greaterThan" aboveAverage="0" dxfId="8" text="" percent="0" bottom="0">
      <formula>0</formula>
    </cfRule>
    <cfRule type="cellIs" rank="0" priority="984" equalAverage="0" operator="lessThan" aboveAverage="0" dxfId="9" text="" percent="0" bottom="0">
      <formula>MaliyetEsik</formula>
    </cfRule>
  </conditionalFormatting>
  <conditionalFormatting sqref="D338">
    <cfRule type="cellIs" rank="0" priority="985" equalAverage="0" operator="lessThan" aboveAverage="0" dxfId="10" text="" percent="0" bottom="0">
      <formula>18</formula>
    </cfRule>
  </conditionalFormatting>
  <conditionalFormatting sqref="B339">
    <cfRule type="cellIs" rank="0" priority="986" equalAverage="0" operator="greaterThan" aboveAverage="0" dxfId="8" text="" percent="0" bottom="0">
      <formula>0</formula>
    </cfRule>
    <cfRule type="cellIs" rank="0" priority="987" equalAverage="0" operator="lessThan" aboveAverage="0" dxfId="9" text="" percent="0" bottom="0">
      <formula>MaliyetEsik</formula>
    </cfRule>
  </conditionalFormatting>
  <conditionalFormatting sqref="D339">
    <cfRule type="cellIs" rank="0" priority="988" equalAverage="0" operator="lessThan" aboveAverage="0" dxfId="10" text="" percent="0" bottom="0">
      <formula>18</formula>
    </cfRule>
  </conditionalFormatting>
  <conditionalFormatting sqref="B340">
    <cfRule type="cellIs" rank="0" priority="989" equalAverage="0" operator="greaterThan" aboveAverage="0" dxfId="8" text="" percent="0" bottom="0">
      <formula>0</formula>
    </cfRule>
    <cfRule type="cellIs" rank="0" priority="990" equalAverage="0" operator="lessThan" aboveAverage="0" dxfId="9" text="" percent="0" bottom="0">
      <formula>MaliyetEsik</formula>
    </cfRule>
  </conditionalFormatting>
  <conditionalFormatting sqref="D340">
    <cfRule type="cellIs" rank="0" priority="991" equalAverage="0" operator="lessThan" aboveAverage="0" dxfId="10" text="" percent="0" bottom="0">
      <formula>18</formula>
    </cfRule>
  </conditionalFormatting>
  <conditionalFormatting sqref="B341">
    <cfRule type="cellIs" rank="0" priority="992" equalAverage="0" operator="greaterThan" aboveAverage="0" dxfId="8" text="" percent="0" bottom="0">
      <formula>0</formula>
    </cfRule>
    <cfRule type="cellIs" rank="0" priority="993" equalAverage="0" operator="lessThan" aboveAverage="0" dxfId="9" text="" percent="0" bottom="0">
      <formula>MaliyetEsik</formula>
    </cfRule>
  </conditionalFormatting>
  <conditionalFormatting sqref="D341">
    <cfRule type="cellIs" rank="0" priority="994" equalAverage="0" operator="lessThan" aboveAverage="0" dxfId="10" text="" percent="0" bottom="0">
      <formula>18</formula>
    </cfRule>
  </conditionalFormatting>
  <conditionalFormatting sqref="B342">
    <cfRule type="cellIs" rank="0" priority="995" equalAverage="0" operator="greaterThan" aboveAverage="0" dxfId="8" text="" percent="0" bottom="0">
      <formula>0</formula>
    </cfRule>
    <cfRule type="cellIs" rank="0" priority="996" equalAverage="0" operator="lessThan" aboveAverage="0" dxfId="9" text="" percent="0" bottom="0">
      <formula>MaliyetEsik</formula>
    </cfRule>
  </conditionalFormatting>
  <conditionalFormatting sqref="D342">
    <cfRule type="cellIs" rank="0" priority="997" equalAverage="0" operator="lessThan" aboveAverage="0" dxfId="10" text="" percent="0" bottom="0">
      <formula>18</formula>
    </cfRule>
  </conditionalFormatting>
  <conditionalFormatting sqref="B343">
    <cfRule type="cellIs" rank="0" priority="998" equalAverage="0" operator="greaterThan" aboveAverage="0" dxfId="8" text="" percent="0" bottom="0">
      <formula>0</formula>
    </cfRule>
    <cfRule type="cellIs" rank="0" priority="999" equalAverage="0" operator="lessThan" aboveAverage="0" dxfId="9" text="" percent="0" bottom="0">
      <formula>MaliyetEsik</formula>
    </cfRule>
  </conditionalFormatting>
  <conditionalFormatting sqref="D343">
    <cfRule type="cellIs" rank="0" priority="1000" equalAverage="0" operator="lessThan" aboveAverage="0" dxfId="10" text="" percent="0" bottom="0">
      <formula>18</formula>
    </cfRule>
  </conditionalFormatting>
  <conditionalFormatting sqref="B344">
    <cfRule type="cellIs" rank="0" priority="1001" equalAverage="0" operator="greaterThan" aboveAverage="0" dxfId="8" text="" percent="0" bottom="0">
      <formula>0</formula>
    </cfRule>
    <cfRule type="cellIs" rank="0" priority="1002" equalAverage="0" operator="lessThan" aboveAverage="0" dxfId="9" text="" percent="0" bottom="0">
      <formula>MaliyetEsik</formula>
    </cfRule>
  </conditionalFormatting>
  <conditionalFormatting sqref="D344">
    <cfRule type="cellIs" rank="0" priority="1003" equalAverage="0" operator="lessThan" aboveAverage="0" dxfId="10" text="" percent="0" bottom="0">
      <formula>18</formula>
    </cfRule>
  </conditionalFormatting>
  <conditionalFormatting sqref="B345">
    <cfRule type="cellIs" rank="0" priority="1004" equalAverage="0" operator="greaterThan" aboveAverage="0" dxfId="8" text="" percent="0" bottom="0">
      <formula>0</formula>
    </cfRule>
    <cfRule type="cellIs" rank="0" priority="1005" equalAverage="0" operator="lessThan" aboveAverage="0" dxfId="9" text="" percent="0" bottom="0">
      <formula>MaliyetEsik</formula>
    </cfRule>
  </conditionalFormatting>
  <conditionalFormatting sqref="D345">
    <cfRule type="cellIs" rank="0" priority="1006" equalAverage="0" operator="lessThan" aboveAverage="0" dxfId="10" text="" percent="0" bottom="0">
      <formula>18</formula>
    </cfRule>
  </conditionalFormatting>
  <conditionalFormatting sqref="B346">
    <cfRule type="cellIs" rank="0" priority="1007" equalAverage="0" operator="greaterThan" aboveAverage="0" dxfId="8" text="" percent="0" bottom="0">
      <formula>0</formula>
    </cfRule>
    <cfRule type="cellIs" rank="0" priority="1008" equalAverage="0" operator="lessThan" aboveAverage="0" dxfId="9" text="" percent="0" bottom="0">
      <formula>MaliyetEsik</formula>
    </cfRule>
  </conditionalFormatting>
  <conditionalFormatting sqref="D346">
    <cfRule type="cellIs" rank="0" priority="1009" equalAverage="0" operator="lessThan" aboveAverage="0" dxfId="10" text="" percent="0" bottom="0">
      <formula>18</formula>
    </cfRule>
  </conditionalFormatting>
  <conditionalFormatting sqref="B347">
    <cfRule type="cellIs" rank="0" priority="1010" equalAverage="0" operator="greaterThan" aboveAverage="0" dxfId="8" text="" percent="0" bottom="0">
      <formula>0</formula>
    </cfRule>
    <cfRule type="cellIs" rank="0" priority="1011" equalAverage="0" operator="lessThan" aboveAverage="0" dxfId="9" text="" percent="0" bottom="0">
      <formula>MaliyetEsik</formula>
    </cfRule>
  </conditionalFormatting>
  <conditionalFormatting sqref="D347">
    <cfRule type="cellIs" rank="0" priority="1012" equalAverage="0" operator="lessThan" aboveAverage="0" dxfId="10" text="" percent="0" bottom="0">
      <formula>18</formula>
    </cfRule>
  </conditionalFormatting>
  <conditionalFormatting sqref="B348">
    <cfRule type="cellIs" rank="0" priority="1013" equalAverage="0" operator="greaterThan" aboveAverage="0" dxfId="8" text="" percent="0" bottom="0">
      <formula>0</formula>
    </cfRule>
    <cfRule type="cellIs" rank="0" priority="1014" equalAverage="0" operator="lessThan" aboveAverage="0" dxfId="9" text="" percent="0" bottom="0">
      <formula>MaliyetEsik</formula>
    </cfRule>
  </conditionalFormatting>
  <conditionalFormatting sqref="D348">
    <cfRule type="cellIs" rank="0" priority="1015" equalAverage="0" operator="lessThan" aboveAverage="0" dxfId="10" text="" percent="0" bottom="0">
      <formula>18</formula>
    </cfRule>
  </conditionalFormatting>
  <conditionalFormatting sqref="B349">
    <cfRule type="cellIs" rank="0" priority="1016" equalAverage="0" operator="greaterThan" aboveAverage="0" dxfId="8" text="" percent="0" bottom="0">
      <formula>0</formula>
    </cfRule>
    <cfRule type="cellIs" rank="0" priority="1017" equalAverage="0" operator="lessThan" aboveAverage="0" dxfId="9" text="" percent="0" bottom="0">
      <formula>MaliyetEsik</formula>
    </cfRule>
  </conditionalFormatting>
  <conditionalFormatting sqref="D349">
    <cfRule type="cellIs" rank="0" priority="1018" equalAverage="0" operator="lessThan" aboveAverage="0" dxfId="10" text="" percent="0" bottom="0">
      <formula>18</formula>
    </cfRule>
  </conditionalFormatting>
  <conditionalFormatting sqref="B350">
    <cfRule type="cellIs" rank="0" priority="1019" equalAverage="0" operator="greaterThan" aboveAverage="0" dxfId="8" text="" percent="0" bottom="0">
      <formula>0</formula>
    </cfRule>
    <cfRule type="cellIs" rank="0" priority="1020" equalAverage="0" operator="lessThan" aboveAverage="0" dxfId="9" text="" percent="0" bottom="0">
      <formula>MaliyetEsik</formula>
    </cfRule>
  </conditionalFormatting>
  <conditionalFormatting sqref="D350">
    <cfRule type="cellIs" rank="0" priority="1021" equalAverage="0" operator="lessThan" aboveAverage="0" dxfId="10" text="" percent="0" bottom="0">
      <formula>18</formula>
    </cfRule>
  </conditionalFormatting>
  <conditionalFormatting sqref="B351">
    <cfRule type="cellIs" rank="0" priority="1022" equalAverage="0" operator="greaterThan" aboveAverage="0" dxfId="8" text="" percent="0" bottom="0">
      <formula>0</formula>
    </cfRule>
    <cfRule type="cellIs" rank="0" priority="1023" equalAverage="0" operator="lessThan" aboveAverage="0" dxfId="9" text="" percent="0" bottom="0">
      <formula>MaliyetEsik</formula>
    </cfRule>
  </conditionalFormatting>
  <conditionalFormatting sqref="D351">
    <cfRule type="cellIs" rank="0" priority="1024" equalAverage="0" operator="lessThan" aboveAverage="0" dxfId="10" text="" percent="0" bottom="0">
      <formula>18</formula>
    </cfRule>
  </conditionalFormatting>
  <conditionalFormatting sqref="B352">
    <cfRule type="cellIs" rank="0" priority="1025" equalAverage="0" operator="greaterThan" aboveAverage="0" dxfId="8" text="" percent="0" bottom="0">
      <formula>0</formula>
    </cfRule>
    <cfRule type="cellIs" rank="0" priority="1026" equalAverage="0" operator="lessThan" aboveAverage="0" dxfId="9" text="" percent="0" bottom="0">
      <formula>MaliyetEsik</formula>
    </cfRule>
  </conditionalFormatting>
  <conditionalFormatting sqref="D352">
    <cfRule type="cellIs" rank="0" priority="1027" equalAverage="0" operator="lessThan" aboveAverage="0" dxfId="10" text="" percent="0" bottom="0">
      <formula>18</formula>
    </cfRule>
  </conditionalFormatting>
  <conditionalFormatting sqref="B353">
    <cfRule type="cellIs" rank="0" priority="1028" equalAverage="0" operator="greaterThan" aboveAverage="0" dxfId="8" text="" percent="0" bottom="0">
      <formula>0</formula>
    </cfRule>
    <cfRule type="cellIs" rank="0" priority="1029" equalAverage="0" operator="lessThan" aboveAverage="0" dxfId="9" text="" percent="0" bottom="0">
      <formula>MaliyetEsik</formula>
    </cfRule>
  </conditionalFormatting>
  <conditionalFormatting sqref="D353">
    <cfRule type="cellIs" rank="0" priority="1030" equalAverage="0" operator="lessThan" aboveAverage="0" dxfId="10" text="" percent="0" bottom="0">
      <formula>18</formula>
    </cfRule>
  </conditionalFormatting>
  <conditionalFormatting sqref="B354">
    <cfRule type="cellIs" rank="0" priority="1031" equalAverage="0" operator="greaterThan" aboveAverage="0" dxfId="8" text="" percent="0" bottom="0">
      <formula>0</formula>
    </cfRule>
    <cfRule type="cellIs" rank="0" priority="1032" equalAverage="0" operator="lessThan" aboveAverage="0" dxfId="9" text="" percent="0" bottom="0">
      <formula>MaliyetEsik</formula>
    </cfRule>
  </conditionalFormatting>
  <conditionalFormatting sqref="D354">
    <cfRule type="cellIs" rank="0" priority="1033" equalAverage="0" operator="lessThan" aboveAverage="0" dxfId="10" text="" percent="0" bottom="0">
      <formula>18</formula>
    </cfRule>
  </conditionalFormatting>
  <conditionalFormatting sqref="B355">
    <cfRule type="cellIs" rank="0" priority="1034" equalAverage="0" operator="greaterThan" aboveAverage="0" dxfId="8" text="" percent="0" bottom="0">
      <formula>0</formula>
    </cfRule>
    <cfRule type="cellIs" rank="0" priority="1035" equalAverage="0" operator="lessThan" aboveAverage="0" dxfId="9" text="" percent="0" bottom="0">
      <formula>MaliyetEsik</formula>
    </cfRule>
  </conditionalFormatting>
  <conditionalFormatting sqref="D355">
    <cfRule type="cellIs" rank="0" priority="1036" equalAverage="0" operator="lessThan" aboveAverage="0" dxfId="10" text="" percent="0" bottom="0">
      <formula>18</formula>
    </cfRule>
  </conditionalFormatting>
  <conditionalFormatting sqref="B356">
    <cfRule type="cellIs" rank="0" priority="1037" equalAverage="0" operator="greaterThan" aboveAverage="0" dxfId="8" text="" percent="0" bottom="0">
      <formula>0</formula>
    </cfRule>
    <cfRule type="cellIs" rank="0" priority="1038" equalAverage="0" operator="lessThan" aboveAverage="0" dxfId="9" text="" percent="0" bottom="0">
      <formula>MaliyetEsik</formula>
    </cfRule>
  </conditionalFormatting>
  <conditionalFormatting sqref="D356">
    <cfRule type="cellIs" rank="0" priority="1039" equalAverage="0" operator="lessThan" aboveAverage="0" dxfId="10" text="" percent="0" bottom="0">
      <formula>18</formula>
    </cfRule>
  </conditionalFormatting>
  <conditionalFormatting sqref="B357">
    <cfRule type="cellIs" rank="0" priority="1040" equalAverage="0" operator="greaterThan" aboveAverage="0" dxfId="8" text="" percent="0" bottom="0">
      <formula>0</formula>
    </cfRule>
    <cfRule type="cellIs" rank="0" priority="1041" equalAverage="0" operator="lessThan" aboveAverage="0" dxfId="9" text="" percent="0" bottom="0">
      <formula>MaliyetEsik</formula>
    </cfRule>
  </conditionalFormatting>
  <conditionalFormatting sqref="D357">
    <cfRule type="cellIs" rank="0" priority="1042" equalAverage="0" operator="lessThan" aboveAverage="0" dxfId="10" text="" percent="0" bottom="0">
      <formula>18</formula>
    </cfRule>
  </conditionalFormatting>
  <conditionalFormatting sqref="B358">
    <cfRule type="cellIs" rank="0" priority="1043" equalAverage="0" operator="greaterThan" aboveAverage="0" dxfId="8" text="" percent="0" bottom="0">
      <formula>0</formula>
    </cfRule>
    <cfRule type="cellIs" rank="0" priority="1044" equalAverage="0" operator="lessThan" aboveAverage="0" dxfId="9" text="" percent="0" bottom="0">
      <formula>MaliyetEsik</formula>
    </cfRule>
  </conditionalFormatting>
  <conditionalFormatting sqref="D358">
    <cfRule type="cellIs" rank="0" priority="1045" equalAverage="0" operator="lessThan" aboveAverage="0" dxfId="10" text="" percent="0" bottom="0">
      <formula>18</formula>
    </cfRule>
  </conditionalFormatting>
  <conditionalFormatting sqref="B359">
    <cfRule type="cellIs" rank="0" priority="1046" equalAverage="0" operator="greaterThan" aboveAverage="0" dxfId="8" text="" percent="0" bottom="0">
      <formula>0</formula>
    </cfRule>
    <cfRule type="cellIs" rank="0" priority="1047" equalAverage="0" operator="lessThan" aboveAverage="0" dxfId="9" text="" percent="0" bottom="0">
      <formula>MaliyetEsik</formula>
    </cfRule>
  </conditionalFormatting>
  <conditionalFormatting sqref="D359">
    <cfRule type="cellIs" rank="0" priority="1048" equalAverage="0" operator="lessThan" aboveAverage="0" dxfId="10" text="" percent="0" bottom="0">
      <formula>18</formula>
    </cfRule>
  </conditionalFormatting>
  <conditionalFormatting sqref="B360">
    <cfRule type="cellIs" rank="0" priority="1049" equalAverage="0" operator="greaterThan" aboveAverage="0" dxfId="8" text="" percent="0" bottom="0">
      <formula>0</formula>
    </cfRule>
    <cfRule type="cellIs" rank="0" priority="1050" equalAverage="0" operator="lessThan" aboveAverage="0" dxfId="9" text="" percent="0" bottom="0">
      <formula>MaliyetEsik</formula>
    </cfRule>
  </conditionalFormatting>
  <conditionalFormatting sqref="D360">
    <cfRule type="cellIs" rank="0" priority="1051" equalAverage="0" operator="lessThan" aboveAverage="0" dxfId="10" text="" percent="0" bottom="0">
      <formula>18</formula>
    </cfRule>
  </conditionalFormatting>
  <conditionalFormatting sqref="B361">
    <cfRule type="cellIs" rank="0" priority="1052" equalAverage="0" operator="greaterThan" aboveAverage="0" dxfId="8" text="" percent="0" bottom="0">
      <formula>0</formula>
    </cfRule>
    <cfRule type="cellIs" rank="0" priority="1053" equalAverage="0" operator="lessThan" aboveAverage="0" dxfId="9" text="" percent="0" bottom="0">
      <formula>MaliyetEsik</formula>
    </cfRule>
  </conditionalFormatting>
  <conditionalFormatting sqref="D361">
    <cfRule type="cellIs" rank="0" priority="1054" equalAverage="0" operator="lessThan" aboveAverage="0" dxfId="10" text="" percent="0" bottom="0">
      <formula>18</formula>
    </cfRule>
  </conditionalFormatting>
  <conditionalFormatting sqref="B362">
    <cfRule type="cellIs" rank="0" priority="1055" equalAverage="0" operator="greaterThan" aboveAverage="0" dxfId="8" text="" percent="0" bottom="0">
      <formula>0</formula>
    </cfRule>
    <cfRule type="cellIs" rank="0" priority="1056" equalAverage="0" operator="lessThan" aboveAverage="0" dxfId="9" text="" percent="0" bottom="0">
      <formula>MaliyetEsik</formula>
    </cfRule>
  </conditionalFormatting>
  <conditionalFormatting sqref="D362">
    <cfRule type="cellIs" rank="0" priority="1057" equalAverage="0" operator="lessThan" aboveAverage="0" dxfId="10" text="" percent="0" bottom="0">
      <formula>18</formula>
    </cfRule>
  </conditionalFormatting>
  <conditionalFormatting sqref="B363">
    <cfRule type="cellIs" rank="0" priority="1058" equalAverage="0" operator="greaterThan" aboveAverage="0" dxfId="8" text="" percent="0" bottom="0">
      <formula>0</formula>
    </cfRule>
    <cfRule type="cellIs" rank="0" priority="1059" equalAverage="0" operator="lessThan" aboveAverage="0" dxfId="9" text="" percent="0" bottom="0">
      <formula>MaliyetEsik</formula>
    </cfRule>
  </conditionalFormatting>
  <conditionalFormatting sqref="D363">
    <cfRule type="cellIs" rank="0" priority="1060" equalAverage="0" operator="lessThan" aboveAverage="0" dxfId="10" text="" percent="0" bottom="0">
      <formula>18</formula>
    </cfRule>
  </conditionalFormatting>
  <conditionalFormatting sqref="B364">
    <cfRule type="cellIs" rank="0" priority="1061" equalAverage="0" operator="greaterThan" aboveAverage="0" dxfId="8" text="" percent="0" bottom="0">
      <formula>0</formula>
    </cfRule>
    <cfRule type="cellIs" rank="0" priority="1062" equalAverage="0" operator="lessThan" aboveAverage="0" dxfId="9" text="" percent="0" bottom="0">
      <formula>MaliyetEsik</formula>
    </cfRule>
  </conditionalFormatting>
  <conditionalFormatting sqref="D364">
    <cfRule type="cellIs" rank="0" priority="1063" equalAverage="0" operator="lessThan" aboveAverage="0" dxfId="10" text="" percent="0" bottom="0">
      <formula>18</formula>
    </cfRule>
  </conditionalFormatting>
  <conditionalFormatting sqref="B365">
    <cfRule type="cellIs" rank="0" priority="1064" equalAverage="0" operator="greaterThan" aboveAverage="0" dxfId="8" text="" percent="0" bottom="0">
      <formula>0</formula>
    </cfRule>
    <cfRule type="cellIs" rank="0" priority="1065" equalAverage="0" operator="lessThan" aboveAverage="0" dxfId="9" text="" percent="0" bottom="0">
      <formula>MaliyetEsik</formula>
    </cfRule>
  </conditionalFormatting>
  <conditionalFormatting sqref="D365">
    <cfRule type="cellIs" rank="0" priority="1066" equalAverage="0" operator="lessThan" aboveAverage="0" dxfId="10" text="" percent="0" bottom="0">
      <formula>18</formula>
    </cfRule>
  </conditionalFormatting>
  <conditionalFormatting sqref="B366">
    <cfRule type="cellIs" rank="0" priority="1067" equalAverage="0" operator="greaterThan" aboveAverage="0" dxfId="8" text="" percent="0" bottom="0">
      <formula>0</formula>
    </cfRule>
    <cfRule type="cellIs" rank="0" priority="1068" equalAverage="0" operator="lessThan" aboveAverage="0" dxfId="9" text="" percent="0" bottom="0">
      <formula>MaliyetEsik</formula>
    </cfRule>
  </conditionalFormatting>
  <conditionalFormatting sqref="D366">
    <cfRule type="cellIs" rank="0" priority="1069" equalAverage="0" operator="lessThan" aboveAverage="0" dxfId="10" text="" percent="0" bottom="0">
      <formula>18</formula>
    </cfRule>
  </conditionalFormatting>
  <conditionalFormatting sqref="B367">
    <cfRule type="cellIs" rank="0" priority="1070" equalAverage="0" operator="greaterThan" aboveAverage="0" dxfId="8" text="" percent="0" bottom="0">
      <formula>0</formula>
    </cfRule>
    <cfRule type="cellIs" rank="0" priority="1071" equalAverage="0" operator="lessThan" aboveAverage="0" dxfId="9" text="" percent="0" bottom="0">
      <formula>MaliyetEsik</formula>
    </cfRule>
  </conditionalFormatting>
  <conditionalFormatting sqref="D367">
    <cfRule type="cellIs" rank="0" priority="1072" equalAverage="0" operator="lessThan" aboveAverage="0" dxfId="10" text="" percent="0" bottom="0">
      <formula>18</formula>
    </cfRule>
  </conditionalFormatting>
  <conditionalFormatting sqref="B368">
    <cfRule type="cellIs" rank="0" priority="1073" equalAverage="0" operator="greaterThan" aboveAverage="0" dxfId="8" text="" percent="0" bottom="0">
      <formula>0</formula>
    </cfRule>
    <cfRule type="cellIs" rank="0" priority="1074" equalAverage="0" operator="lessThan" aboveAverage="0" dxfId="9" text="" percent="0" bottom="0">
      <formula>MaliyetEsik</formula>
    </cfRule>
  </conditionalFormatting>
  <conditionalFormatting sqref="D368">
    <cfRule type="cellIs" rank="0" priority="1075" equalAverage="0" operator="lessThan" aboveAverage="0" dxfId="10" text="" percent="0" bottom="0">
      <formula>18</formula>
    </cfRule>
  </conditionalFormatting>
  <conditionalFormatting sqref="B369">
    <cfRule type="cellIs" rank="0" priority="1076" equalAverage="0" operator="greaterThan" aboveAverage="0" dxfId="8" text="" percent="0" bottom="0">
      <formula>0</formula>
    </cfRule>
    <cfRule type="cellIs" rank="0" priority="1077" equalAverage="0" operator="lessThan" aboveAverage="0" dxfId="9" text="" percent="0" bottom="0">
      <formula>MaliyetEsik</formula>
    </cfRule>
  </conditionalFormatting>
  <conditionalFormatting sqref="D369">
    <cfRule type="cellIs" rank="0" priority="1078" equalAverage="0" operator="lessThan" aboveAverage="0" dxfId="10" text="" percent="0" bottom="0">
      <formula>18</formula>
    </cfRule>
  </conditionalFormatting>
  <conditionalFormatting sqref="B370">
    <cfRule type="cellIs" rank="0" priority="1079" equalAverage="0" operator="greaterThan" aboveAverage="0" dxfId="8" text="" percent="0" bottom="0">
      <formula>0</formula>
    </cfRule>
    <cfRule type="cellIs" rank="0" priority="1080" equalAverage="0" operator="lessThan" aboveAverage="0" dxfId="9" text="" percent="0" bottom="0">
      <formula>MaliyetEsik</formula>
    </cfRule>
  </conditionalFormatting>
  <conditionalFormatting sqref="D370">
    <cfRule type="cellIs" rank="0" priority="1081" equalAverage="0" operator="lessThan" aboveAverage="0" dxfId="10" text="" percent="0" bottom="0">
      <formula>18</formula>
    </cfRule>
  </conditionalFormatting>
  <conditionalFormatting sqref="B371">
    <cfRule type="cellIs" rank="0" priority="1082" equalAverage="0" operator="greaterThan" aboveAverage="0" dxfId="8" text="" percent="0" bottom="0">
      <formula>0</formula>
    </cfRule>
    <cfRule type="cellIs" rank="0" priority="1083" equalAverage="0" operator="lessThan" aboveAverage="0" dxfId="9" text="" percent="0" bottom="0">
      <formula>MaliyetEsik</formula>
    </cfRule>
  </conditionalFormatting>
  <conditionalFormatting sqref="D371">
    <cfRule type="cellIs" rank="0" priority="1084" equalAverage="0" operator="lessThan" aboveAverage="0" dxfId="10" text="" percent="0" bottom="0">
      <formula>18</formula>
    </cfRule>
  </conditionalFormatting>
  <conditionalFormatting sqref="B372">
    <cfRule type="cellIs" rank="0" priority="1085" equalAverage="0" operator="greaterThan" aboveAverage="0" dxfId="8" text="" percent="0" bottom="0">
      <formula>0</formula>
    </cfRule>
    <cfRule type="cellIs" rank="0" priority="1086" equalAverage="0" operator="lessThan" aboveAverage="0" dxfId="9" text="" percent="0" bottom="0">
      <formula>MaliyetEsik</formula>
    </cfRule>
  </conditionalFormatting>
  <conditionalFormatting sqref="D372">
    <cfRule type="cellIs" rank="0" priority="1087" equalAverage="0" operator="lessThan" aboveAverage="0" dxfId="10" text="" percent="0" bottom="0">
      <formula>18</formula>
    </cfRule>
  </conditionalFormatting>
  <conditionalFormatting sqref="B373">
    <cfRule type="cellIs" rank="0" priority="1088" equalAverage="0" operator="greaterThan" aboveAverage="0" dxfId="8" text="" percent="0" bottom="0">
      <formula>0</formula>
    </cfRule>
    <cfRule type="cellIs" rank="0" priority="1089" equalAverage="0" operator="lessThan" aboveAverage="0" dxfId="9" text="" percent="0" bottom="0">
      <formula>MaliyetEsik</formula>
    </cfRule>
  </conditionalFormatting>
  <conditionalFormatting sqref="D373">
    <cfRule type="cellIs" rank="0" priority="1090" equalAverage="0" operator="lessThan" aboveAverage="0" dxfId="10" text="" percent="0" bottom="0">
      <formula>18</formula>
    </cfRule>
  </conditionalFormatting>
  <conditionalFormatting sqref="B374">
    <cfRule type="cellIs" rank="0" priority="1091" equalAverage="0" operator="greaterThan" aboveAverage="0" dxfId="8" text="" percent="0" bottom="0">
      <formula>0</formula>
    </cfRule>
    <cfRule type="cellIs" rank="0" priority="1092" equalAverage="0" operator="lessThan" aboveAverage="0" dxfId="9" text="" percent="0" bottom="0">
      <formula>MaliyetEsik</formula>
    </cfRule>
  </conditionalFormatting>
  <conditionalFormatting sqref="D374">
    <cfRule type="cellIs" rank="0" priority="1093" equalAverage="0" operator="lessThan" aboveAverage="0" dxfId="10" text="" percent="0" bottom="0">
      <formula>18</formula>
    </cfRule>
  </conditionalFormatting>
  <conditionalFormatting sqref="B375">
    <cfRule type="cellIs" rank="0" priority="1094" equalAverage="0" operator="greaterThan" aboveAverage="0" dxfId="8" text="" percent="0" bottom="0">
      <formula>0</formula>
    </cfRule>
    <cfRule type="cellIs" rank="0" priority="1095" equalAverage="0" operator="lessThan" aboveAverage="0" dxfId="9" text="" percent="0" bottom="0">
      <formula>MaliyetEsik</formula>
    </cfRule>
  </conditionalFormatting>
  <conditionalFormatting sqref="D375">
    <cfRule type="cellIs" rank="0" priority="1096" equalAverage="0" operator="lessThan" aboveAverage="0" dxfId="10" text="" percent="0" bottom="0">
      <formula>18</formula>
    </cfRule>
  </conditionalFormatting>
  <conditionalFormatting sqref="B376">
    <cfRule type="cellIs" rank="0" priority="1097" equalAverage="0" operator="greaterThan" aboveAverage="0" dxfId="8" text="" percent="0" bottom="0">
      <formula>0</formula>
    </cfRule>
    <cfRule type="cellIs" rank="0" priority="1098" equalAverage="0" operator="lessThan" aboveAverage="0" dxfId="9" text="" percent="0" bottom="0">
      <formula>MaliyetEsik</formula>
    </cfRule>
  </conditionalFormatting>
  <conditionalFormatting sqref="D376">
    <cfRule type="cellIs" rank="0" priority="1099" equalAverage="0" operator="lessThan" aboveAverage="0" dxfId="10" text="" percent="0" bottom="0">
      <formula>18</formula>
    </cfRule>
  </conditionalFormatting>
  <conditionalFormatting sqref="B377">
    <cfRule type="cellIs" rank="0" priority="1100" equalAverage="0" operator="greaterThan" aboveAverage="0" dxfId="8" text="" percent="0" bottom="0">
      <formula>0</formula>
    </cfRule>
    <cfRule type="cellIs" rank="0" priority="1101" equalAverage="0" operator="lessThan" aboveAverage="0" dxfId="9" text="" percent="0" bottom="0">
      <formula>MaliyetEsik</formula>
    </cfRule>
  </conditionalFormatting>
  <conditionalFormatting sqref="D377">
    <cfRule type="cellIs" rank="0" priority="1102" equalAverage="0" operator="lessThan" aboveAverage="0" dxfId="10" text="" percent="0" bottom="0">
      <formula>18</formula>
    </cfRule>
  </conditionalFormatting>
  <conditionalFormatting sqref="B378">
    <cfRule type="cellIs" rank="0" priority="1103" equalAverage="0" operator="greaterThan" aboveAverage="0" dxfId="8" text="" percent="0" bottom="0">
      <formula>0</formula>
    </cfRule>
    <cfRule type="cellIs" rank="0" priority="1104" equalAverage="0" operator="lessThan" aboveAverage="0" dxfId="9" text="" percent="0" bottom="0">
      <formula>MaliyetEsik</formula>
    </cfRule>
  </conditionalFormatting>
  <conditionalFormatting sqref="D378">
    <cfRule type="cellIs" rank="0" priority="1105" equalAverage="0" operator="lessThan" aboveAverage="0" dxfId="10" text="" percent="0" bottom="0">
      <formula>18</formula>
    </cfRule>
  </conditionalFormatting>
  <conditionalFormatting sqref="B379">
    <cfRule type="cellIs" rank="0" priority="1106" equalAverage="0" operator="greaterThan" aboveAverage="0" dxfId="8" text="" percent="0" bottom="0">
      <formula>0</formula>
    </cfRule>
    <cfRule type="cellIs" rank="0" priority="1107" equalAverage="0" operator="lessThan" aboveAverage="0" dxfId="9" text="" percent="0" bottom="0">
      <formula>MaliyetEsik</formula>
    </cfRule>
  </conditionalFormatting>
  <conditionalFormatting sqref="D379">
    <cfRule type="cellIs" rank="0" priority="1108" equalAverage="0" operator="lessThan" aboveAverage="0" dxfId="10" text="" percent="0" bottom="0">
      <formula>18</formula>
    </cfRule>
  </conditionalFormatting>
  <conditionalFormatting sqref="B380">
    <cfRule type="cellIs" rank="0" priority="1109" equalAverage="0" operator="greaterThan" aboveAverage="0" dxfId="8" text="" percent="0" bottom="0">
      <formula>0</formula>
    </cfRule>
    <cfRule type="cellIs" rank="0" priority="1110" equalAverage="0" operator="lessThan" aboveAverage="0" dxfId="9" text="" percent="0" bottom="0">
      <formula>MaliyetEsik</formula>
    </cfRule>
  </conditionalFormatting>
  <conditionalFormatting sqref="D380">
    <cfRule type="cellIs" rank="0" priority="1111" equalAverage="0" operator="lessThan" aboveAverage="0" dxfId="10" text="" percent="0" bottom="0">
      <formula>18</formula>
    </cfRule>
  </conditionalFormatting>
  <conditionalFormatting sqref="B381">
    <cfRule type="cellIs" rank="0" priority="1112" equalAverage="0" operator="greaterThan" aboveAverage="0" dxfId="8" text="" percent="0" bottom="0">
      <formula>0</formula>
    </cfRule>
    <cfRule type="cellIs" rank="0" priority="1113" equalAverage="0" operator="lessThan" aboveAverage="0" dxfId="9" text="" percent="0" bottom="0">
      <formula>MaliyetEsik</formula>
    </cfRule>
  </conditionalFormatting>
  <conditionalFormatting sqref="D381">
    <cfRule type="cellIs" rank="0" priority="1114" equalAverage="0" operator="lessThan" aboveAverage="0" dxfId="10" text="" percent="0" bottom="0">
      <formula>18</formula>
    </cfRule>
  </conditionalFormatting>
  <conditionalFormatting sqref="B382">
    <cfRule type="cellIs" rank="0" priority="1115" equalAverage="0" operator="greaterThan" aboveAverage="0" dxfId="8" text="" percent="0" bottom="0">
      <formula>0</formula>
    </cfRule>
    <cfRule type="cellIs" rank="0" priority="1116" equalAverage="0" operator="lessThan" aboveAverage="0" dxfId="9" text="" percent="0" bottom="0">
      <formula>MaliyetEsik</formula>
    </cfRule>
  </conditionalFormatting>
  <conditionalFormatting sqref="D382">
    <cfRule type="cellIs" rank="0" priority="1117" equalAverage="0" operator="lessThan" aboveAverage="0" dxfId="10" text="" percent="0" bottom="0">
      <formula>18</formula>
    </cfRule>
  </conditionalFormatting>
  <conditionalFormatting sqref="B383">
    <cfRule type="cellIs" rank="0" priority="1118" equalAverage="0" operator="greaterThan" aboveAverage="0" dxfId="8" text="" percent="0" bottom="0">
      <formula>0</formula>
    </cfRule>
    <cfRule type="cellIs" rank="0" priority="1119" equalAverage="0" operator="lessThan" aboveAverage="0" dxfId="9" text="" percent="0" bottom="0">
      <formula>MaliyetEsik</formula>
    </cfRule>
  </conditionalFormatting>
  <conditionalFormatting sqref="D383">
    <cfRule type="cellIs" rank="0" priority="1120" equalAverage="0" operator="lessThan" aboveAverage="0" dxfId="10" text="" percent="0" bottom="0">
      <formula>18</formula>
    </cfRule>
  </conditionalFormatting>
  <conditionalFormatting sqref="B384">
    <cfRule type="cellIs" rank="0" priority="1121" equalAverage="0" operator="greaterThan" aboveAverage="0" dxfId="8" text="" percent="0" bottom="0">
      <formula>0</formula>
    </cfRule>
    <cfRule type="cellIs" rank="0" priority="1122" equalAverage="0" operator="lessThan" aboveAverage="0" dxfId="9" text="" percent="0" bottom="0">
      <formula>MaliyetEsik</formula>
    </cfRule>
  </conditionalFormatting>
  <conditionalFormatting sqref="D384">
    <cfRule type="cellIs" rank="0" priority="1123" equalAverage="0" operator="lessThan" aboveAverage="0" dxfId="10" text="" percent="0" bottom="0">
      <formula>18</formula>
    </cfRule>
  </conditionalFormatting>
  <conditionalFormatting sqref="B385">
    <cfRule type="cellIs" rank="0" priority="1124" equalAverage="0" operator="greaterThan" aboveAverage="0" dxfId="8" text="" percent="0" bottom="0">
      <formula>0</formula>
    </cfRule>
    <cfRule type="cellIs" rank="0" priority="1125" equalAverage="0" operator="lessThan" aboveAverage="0" dxfId="9" text="" percent="0" bottom="0">
      <formula>MaliyetEsik</formula>
    </cfRule>
  </conditionalFormatting>
  <conditionalFormatting sqref="D385">
    <cfRule type="cellIs" rank="0" priority="1126" equalAverage="0" operator="lessThan" aboveAverage="0" dxfId="10" text="" percent="0" bottom="0">
      <formula>18</formula>
    </cfRule>
  </conditionalFormatting>
  <conditionalFormatting sqref="B386">
    <cfRule type="cellIs" rank="0" priority="1127" equalAverage="0" operator="greaterThan" aboveAverage="0" dxfId="8" text="" percent="0" bottom="0">
      <formula>0</formula>
    </cfRule>
    <cfRule type="cellIs" rank="0" priority="1128" equalAverage="0" operator="lessThan" aboveAverage="0" dxfId="9" text="" percent="0" bottom="0">
      <formula>MaliyetEsik</formula>
    </cfRule>
  </conditionalFormatting>
  <conditionalFormatting sqref="D386">
    <cfRule type="cellIs" rank="0" priority="1129" equalAverage="0" operator="lessThan" aboveAverage="0" dxfId="10" text="" percent="0" bottom="0">
      <formula>18</formula>
    </cfRule>
  </conditionalFormatting>
  <conditionalFormatting sqref="B387">
    <cfRule type="cellIs" rank="0" priority="1130" equalAverage="0" operator="greaterThan" aboveAverage="0" dxfId="8" text="" percent="0" bottom="0">
      <formula>0</formula>
    </cfRule>
    <cfRule type="cellIs" rank="0" priority="1131" equalAverage="0" operator="lessThan" aboveAverage="0" dxfId="9" text="" percent="0" bottom="0">
      <formula>MaliyetEsik</formula>
    </cfRule>
  </conditionalFormatting>
  <conditionalFormatting sqref="D387">
    <cfRule type="cellIs" rank="0" priority="1132" equalAverage="0" operator="lessThan" aboveAverage="0" dxfId="10" text="" percent="0" bottom="0">
      <formula>18</formula>
    </cfRule>
  </conditionalFormatting>
  <conditionalFormatting sqref="B388">
    <cfRule type="cellIs" rank="0" priority="1133" equalAverage="0" operator="greaterThan" aboveAverage="0" dxfId="8" text="" percent="0" bottom="0">
      <formula>0</formula>
    </cfRule>
    <cfRule type="cellIs" rank="0" priority="1134" equalAverage="0" operator="lessThan" aboveAverage="0" dxfId="9" text="" percent="0" bottom="0">
      <formula>MaliyetEsik</formula>
    </cfRule>
  </conditionalFormatting>
  <conditionalFormatting sqref="D388">
    <cfRule type="cellIs" rank="0" priority="1135" equalAverage="0" operator="lessThan" aboveAverage="0" dxfId="10" text="" percent="0" bottom="0">
      <formula>18</formula>
    </cfRule>
  </conditionalFormatting>
  <conditionalFormatting sqref="B389">
    <cfRule type="cellIs" rank="0" priority="1136" equalAverage="0" operator="greaterThan" aboveAverage="0" dxfId="8" text="" percent="0" bottom="0">
      <formula>0</formula>
    </cfRule>
    <cfRule type="cellIs" rank="0" priority="1137" equalAverage="0" operator="lessThan" aboveAverage="0" dxfId="9" text="" percent="0" bottom="0">
      <formula>MaliyetEsik</formula>
    </cfRule>
  </conditionalFormatting>
  <conditionalFormatting sqref="D389">
    <cfRule type="cellIs" rank="0" priority="1138" equalAverage="0" operator="lessThan" aboveAverage="0" dxfId="10" text="" percent="0" bottom="0">
      <formula>18</formula>
    </cfRule>
  </conditionalFormatting>
  <conditionalFormatting sqref="B390">
    <cfRule type="cellIs" rank="0" priority="1139" equalAverage="0" operator="greaterThan" aboveAverage="0" dxfId="8" text="" percent="0" bottom="0">
      <formula>0</formula>
    </cfRule>
    <cfRule type="cellIs" rank="0" priority="1140" equalAverage="0" operator="lessThan" aboveAverage="0" dxfId="9" text="" percent="0" bottom="0">
      <formula>MaliyetEsik</formula>
    </cfRule>
  </conditionalFormatting>
  <conditionalFormatting sqref="D390">
    <cfRule type="cellIs" rank="0" priority="1141" equalAverage="0" operator="lessThan" aboveAverage="0" dxfId="10" text="" percent="0" bottom="0">
      <formula>18</formula>
    </cfRule>
  </conditionalFormatting>
  <conditionalFormatting sqref="B391">
    <cfRule type="cellIs" rank="0" priority="1142" equalAverage="0" operator="greaterThan" aboveAverage="0" dxfId="8" text="" percent="0" bottom="0">
      <formula>0</formula>
    </cfRule>
    <cfRule type="cellIs" rank="0" priority="1143" equalAverage="0" operator="lessThan" aboveAverage="0" dxfId="9" text="" percent="0" bottom="0">
      <formula>MaliyetEsik</formula>
    </cfRule>
  </conditionalFormatting>
  <conditionalFormatting sqref="D391">
    <cfRule type="cellIs" rank="0" priority="1144" equalAverage="0" operator="lessThan" aboveAverage="0" dxfId="10" text="" percent="0" bottom="0">
      <formula>18</formula>
    </cfRule>
  </conditionalFormatting>
  <conditionalFormatting sqref="B392">
    <cfRule type="cellIs" rank="0" priority="1145" equalAverage="0" operator="greaterThan" aboveAverage="0" dxfId="8" text="" percent="0" bottom="0">
      <formula>0</formula>
    </cfRule>
    <cfRule type="cellIs" rank="0" priority="1146" equalAverage="0" operator="lessThan" aboveAverage="0" dxfId="9" text="" percent="0" bottom="0">
      <formula>MaliyetEsik</formula>
    </cfRule>
  </conditionalFormatting>
  <conditionalFormatting sqref="D392">
    <cfRule type="cellIs" rank="0" priority="1147" equalAverage="0" operator="lessThan" aboveAverage="0" dxfId="10" text="" percent="0" bottom="0">
      <formula>18</formula>
    </cfRule>
  </conditionalFormatting>
  <conditionalFormatting sqref="B393">
    <cfRule type="cellIs" rank="0" priority="1148" equalAverage="0" operator="greaterThan" aboveAverage="0" dxfId="8" text="" percent="0" bottom="0">
      <formula>0</formula>
    </cfRule>
    <cfRule type="cellIs" rank="0" priority="1149" equalAverage="0" operator="lessThan" aboveAverage="0" dxfId="9" text="" percent="0" bottom="0">
      <formula>MaliyetEsik</formula>
    </cfRule>
  </conditionalFormatting>
  <conditionalFormatting sqref="D393">
    <cfRule type="cellIs" rank="0" priority="1150" equalAverage="0" operator="lessThan" aboveAverage="0" dxfId="10" text="" percent="0" bottom="0">
      <formula>18</formula>
    </cfRule>
  </conditionalFormatting>
  <conditionalFormatting sqref="B394">
    <cfRule type="cellIs" rank="0" priority="1151" equalAverage="0" operator="greaterThan" aboveAverage="0" dxfId="8" text="" percent="0" bottom="0">
      <formula>0</formula>
    </cfRule>
    <cfRule type="cellIs" rank="0" priority="1152" equalAverage="0" operator="lessThan" aboveAverage="0" dxfId="9" text="" percent="0" bottom="0">
      <formula>MaliyetEsik</formula>
    </cfRule>
  </conditionalFormatting>
  <conditionalFormatting sqref="D394">
    <cfRule type="cellIs" rank="0" priority="1153" equalAverage="0" operator="lessThan" aboveAverage="0" dxfId="10" text="" percent="0" bottom="0">
      <formula>18</formula>
    </cfRule>
  </conditionalFormatting>
  <conditionalFormatting sqref="B395">
    <cfRule type="cellIs" rank="0" priority="1154" equalAverage="0" operator="greaterThan" aboveAverage="0" dxfId="8" text="" percent="0" bottom="0">
      <formula>0</formula>
    </cfRule>
    <cfRule type="cellIs" rank="0" priority="1155" equalAverage="0" operator="lessThan" aboveAverage="0" dxfId="9" text="" percent="0" bottom="0">
      <formula>MaliyetEsik</formula>
    </cfRule>
  </conditionalFormatting>
  <conditionalFormatting sqref="D395">
    <cfRule type="cellIs" rank="0" priority="1156" equalAverage="0" operator="lessThan" aboveAverage="0" dxfId="10" text="" percent="0" bottom="0">
      <formula>18</formula>
    </cfRule>
  </conditionalFormatting>
  <conditionalFormatting sqref="B396">
    <cfRule type="cellIs" rank="0" priority="1157" equalAverage="0" operator="greaterThan" aboveAverage="0" dxfId="8" text="" percent="0" bottom="0">
      <formula>0</formula>
    </cfRule>
    <cfRule type="cellIs" rank="0" priority="1158" equalAverage="0" operator="lessThan" aboveAverage="0" dxfId="9" text="" percent="0" bottom="0">
      <formula>MaliyetEsik</formula>
    </cfRule>
  </conditionalFormatting>
  <conditionalFormatting sqref="D396">
    <cfRule type="cellIs" rank="0" priority="1159" equalAverage="0" operator="lessThan" aboveAverage="0" dxfId="10" text="" percent="0" bottom="0">
      <formula>18</formula>
    </cfRule>
  </conditionalFormatting>
  <conditionalFormatting sqref="B397">
    <cfRule type="cellIs" rank="0" priority="1160" equalAverage="0" operator="greaterThan" aboveAverage="0" dxfId="8" text="" percent="0" bottom="0">
      <formula>0</formula>
    </cfRule>
    <cfRule type="cellIs" rank="0" priority="1161" equalAverage="0" operator="lessThan" aboveAverage="0" dxfId="9" text="" percent="0" bottom="0">
      <formula>MaliyetEsik</formula>
    </cfRule>
  </conditionalFormatting>
  <conditionalFormatting sqref="D397">
    <cfRule type="cellIs" rank="0" priority="1162" equalAverage="0" operator="lessThan" aboveAverage="0" dxfId="10" text="" percent="0" bottom="0">
      <formula>18</formula>
    </cfRule>
  </conditionalFormatting>
  <conditionalFormatting sqref="B398">
    <cfRule type="cellIs" rank="0" priority="1163" equalAverage="0" operator="greaterThan" aboveAverage="0" dxfId="8" text="" percent="0" bottom="0">
      <formula>0</formula>
    </cfRule>
    <cfRule type="cellIs" rank="0" priority="1164" equalAverage="0" operator="lessThan" aboveAverage="0" dxfId="9" text="" percent="0" bottom="0">
      <formula>MaliyetEsik</formula>
    </cfRule>
  </conditionalFormatting>
  <conditionalFormatting sqref="D398">
    <cfRule type="cellIs" rank="0" priority="1165" equalAverage="0" operator="lessThan" aboveAverage="0" dxfId="10" text="" percent="0" bottom="0">
      <formula>18</formula>
    </cfRule>
  </conditionalFormatting>
  <conditionalFormatting sqref="B399">
    <cfRule type="cellIs" rank="0" priority="1166" equalAverage="0" operator="greaterThan" aboveAverage="0" dxfId="8" text="" percent="0" bottom="0">
      <formula>0</formula>
    </cfRule>
    <cfRule type="cellIs" rank="0" priority="1167" equalAverage="0" operator="lessThan" aboveAverage="0" dxfId="9" text="" percent="0" bottom="0">
      <formula>MaliyetEsik</formula>
    </cfRule>
  </conditionalFormatting>
  <conditionalFormatting sqref="D399">
    <cfRule type="cellIs" rank="0" priority="1168" equalAverage="0" operator="lessThan" aboveAverage="0" dxfId="10" text="" percent="0" bottom="0">
      <formula>18</formula>
    </cfRule>
  </conditionalFormatting>
  <conditionalFormatting sqref="B400">
    <cfRule type="cellIs" rank="0" priority="1169" equalAverage="0" operator="greaterThan" aboveAverage="0" dxfId="8" text="" percent="0" bottom="0">
      <formula>0</formula>
    </cfRule>
    <cfRule type="cellIs" rank="0" priority="1170" equalAverage="0" operator="lessThan" aboveAverage="0" dxfId="9" text="" percent="0" bottom="0">
      <formula>MaliyetEsik</formula>
    </cfRule>
  </conditionalFormatting>
  <conditionalFormatting sqref="D400">
    <cfRule type="cellIs" rank="0" priority="1171" equalAverage="0" operator="lessThan" aboveAverage="0" dxfId="10" text="" percent="0" bottom="0">
      <formula>18</formula>
    </cfRule>
  </conditionalFormatting>
  <conditionalFormatting sqref="B401">
    <cfRule type="cellIs" rank="0" priority="1172" equalAverage="0" operator="greaterThan" aboveAverage="0" dxfId="8" text="" percent="0" bottom="0">
      <formula>0</formula>
    </cfRule>
    <cfRule type="cellIs" rank="0" priority="1173" equalAverage="0" operator="lessThan" aboveAverage="0" dxfId="9" text="" percent="0" bottom="0">
      <formula>MaliyetEsik</formula>
    </cfRule>
  </conditionalFormatting>
  <conditionalFormatting sqref="D401">
    <cfRule type="cellIs" rank="0" priority="1174" equalAverage="0" operator="lessThan" aboveAverage="0" dxfId="10" text="" percent="0" bottom="0">
      <formula>18</formula>
    </cfRule>
  </conditionalFormatting>
  <conditionalFormatting sqref="B402">
    <cfRule type="cellIs" rank="0" priority="1175" equalAverage="0" operator="greaterThan" aboveAverage="0" dxfId="8" text="" percent="0" bottom="0">
      <formula>0</formula>
    </cfRule>
    <cfRule type="cellIs" rank="0" priority="1176" equalAverage="0" operator="lessThan" aboveAverage="0" dxfId="9" text="" percent="0" bottom="0">
      <formula>MaliyetEsik</formula>
    </cfRule>
  </conditionalFormatting>
  <conditionalFormatting sqref="D402">
    <cfRule type="cellIs" rank="0" priority="1177" equalAverage="0" operator="lessThan" aboveAverage="0" dxfId="10" text="" percent="0" bottom="0">
      <formula>18</formula>
    </cfRule>
  </conditionalFormatting>
  <conditionalFormatting sqref="B403">
    <cfRule type="cellIs" rank="0" priority="1178" equalAverage="0" operator="greaterThan" aboveAverage="0" dxfId="8" text="" percent="0" bottom="0">
      <formula>0</formula>
    </cfRule>
    <cfRule type="cellIs" rank="0" priority="1179" equalAverage="0" operator="lessThan" aboveAverage="0" dxfId="9" text="" percent="0" bottom="0">
      <formula>MaliyetEsik</formula>
    </cfRule>
  </conditionalFormatting>
  <conditionalFormatting sqref="D403">
    <cfRule type="cellIs" rank="0" priority="1180" equalAverage="0" operator="lessThan" aboveAverage="0" dxfId="10" text="" percent="0" bottom="0">
      <formula>18</formula>
    </cfRule>
  </conditionalFormatting>
  <conditionalFormatting sqref="B404">
    <cfRule type="cellIs" rank="0" priority="1181" equalAverage="0" operator="greaterThan" aboveAverage="0" dxfId="8" text="" percent="0" bottom="0">
      <formula>0</formula>
    </cfRule>
    <cfRule type="cellIs" rank="0" priority="1182" equalAverage="0" operator="lessThan" aboveAverage="0" dxfId="9" text="" percent="0" bottom="0">
      <formula>MaliyetEsik</formula>
    </cfRule>
  </conditionalFormatting>
  <conditionalFormatting sqref="D404">
    <cfRule type="cellIs" rank="0" priority="1183" equalAverage="0" operator="lessThan" aboveAverage="0" dxfId="10" text="" percent="0" bottom="0">
      <formula>18</formula>
    </cfRule>
  </conditionalFormatting>
  <conditionalFormatting sqref="B405">
    <cfRule type="cellIs" rank="0" priority="1184" equalAverage="0" operator="greaterThan" aboveAverage="0" dxfId="8" text="" percent="0" bottom="0">
      <formula>0</formula>
    </cfRule>
    <cfRule type="cellIs" rank="0" priority="1185" equalAverage="0" operator="lessThan" aboveAverage="0" dxfId="9" text="" percent="0" bottom="0">
      <formula>MaliyetEsik</formula>
    </cfRule>
  </conditionalFormatting>
  <conditionalFormatting sqref="D405">
    <cfRule type="cellIs" rank="0" priority="1186" equalAverage="0" operator="lessThan" aboveAverage="0" dxfId="10" text="" percent="0" bottom="0">
      <formula>18</formula>
    </cfRule>
  </conditionalFormatting>
  <conditionalFormatting sqref="B406">
    <cfRule type="cellIs" rank="0" priority="1187" equalAverage="0" operator="greaterThan" aboveAverage="0" dxfId="8" text="" percent="0" bottom="0">
      <formula>0</formula>
    </cfRule>
    <cfRule type="cellIs" rank="0" priority="1188" equalAverage="0" operator="lessThan" aboveAverage="0" dxfId="9" text="" percent="0" bottom="0">
      <formula>MaliyetEsik</formula>
    </cfRule>
  </conditionalFormatting>
  <conditionalFormatting sqref="D406">
    <cfRule type="cellIs" rank="0" priority="1189" equalAverage="0" operator="lessThan" aboveAverage="0" dxfId="10" text="" percent="0" bottom="0">
      <formula>18</formula>
    </cfRule>
  </conditionalFormatting>
  <conditionalFormatting sqref="B407">
    <cfRule type="cellIs" rank="0" priority="1190" equalAverage="0" operator="greaterThan" aboveAverage="0" dxfId="8" text="" percent="0" bottom="0">
      <formula>0</formula>
    </cfRule>
    <cfRule type="cellIs" rank="0" priority="1191" equalAverage="0" operator="lessThan" aboveAverage="0" dxfId="9" text="" percent="0" bottom="0">
      <formula>MaliyetEsik</formula>
    </cfRule>
  </conditionalFormatting>
  <conditionalFormatting sqref="D407">
    <cfRule type="cellIs" rank="0" priority="1192" equalAverage="0" operator="lessThan" aboveAverage="0" dxfId="10" text="" percent="0" bottom="0">
      <formula>18</formula>
    </cfRule>
  </conditionalFormatting>
  <conditionalFormatting sqref="B408">
    <cfRule type="cellIs" rank="0" priority="1193" equalAverage="0" operator="greaterThan" aboveAverage="0" dxfId="8" text="" percent="0" bottom="0">
      <formula>0</formula>
    </cfRule>
    <cfRule type="cellIs" rank="0" priority="1194" equalAverage="0" operator="lessThan" aboveAverage="0" dxfId="9" text="" percent="0" bottom="0">
      <formula>MaliyetEsik</formula>
    </cfRule>
  </conditionalFormatting>
  <conditionalFormatting sqref="D408">
    <cfRule type="cellIs" rank="0" priority="1195" equalAverage="0" operator="lessThan" aboveAverage="0" dxfId="10" text="" percent="0" bottom="0">
      <formula>18</formula>
    </cfRule>
  </conditionalFormatting>
  <conditionalFormatting sqref="B409">
    <cfRule type="cellIs" rank="0" priority="1196" equalAverage="0" operator="greaterThan" aboveAverage="0" dxfId="8" text="" percent="0" bottom="0">
      <formula>0</formula>
    </cfRule>
    <cfRule type="cellIs" rank="0" priority="1197" equalAverage="0" operator="lessThan" aboveAverage="0" dxfId="9" text="" percent="0" bottom="0">
      <formula>MaliyetEsik</formula>
    </cfRule>
  </conditionalFormatting>
  <conditionalFormatting sqref="D409">
    <cfRule type="cellIs" rank="0" priority="1198" equalAverage="0" operator="lessThan" aboveAverage="0" dxfId="10" text="" percent="0" bottom="0">
      <formula>18</formula>
    </cfRule>
  </conditionalFormatting>
  <conditionalFormatting sqref="B410">
    <cfRule type="cellIs" rank="0" priority="1199" equalAverage="0" operator="greaterThan" aboveAverage="0" dxfId="8" text="" percent="0" bottom="0">
      <formula>0</formula>
    </cfRule>
    <cfRule type="cellIs" rank="0" priority="1200" equalAverage="0" operator="lessThan" aboveAverage="0" dxfId="9" text="" percent="0" bottom="0">
      <formula>MaliyetEsik</formula>
    </cfRule>
  </conditionalFormatting>
  <conditionalFormatting sqref="D410">
    <cfRule type="cellIs" rank="0" priority="1201" equalAverage="0" operator="lessThan" aboveAverage="0" dxfId="10" text="" percent="0" bottom="0">
      <formula>18</formula>
    </cfRule>
  </conditionalFormatting>
  <conditionalFormatting sqref="B411">
    <cfRule type="cellIs" rank="0" priority="1202" equalAverage="0" operator="greaterThan" aboveAverage="0" dxfId="8" text="" percent="0" bottom="0">
      <formula>0</formula>
    </cfRule>
    <cfRule type="cellIs" rank="0" priority="1203" equalAverage="0" operator="lessThan" aboveAverage="0" dxfId="9" text="" percent="0" bottom="0">
      <formula>MaliyetEsik</formula>
    </cfRule>
  </conditionalFormatting>
  <conditionalFormatting sqref="D411">
    <cfRule type="cellIs" rank="0" priority="1204" equalAverage="0" operator="lessThan" aboveAverage="0" dxfId="10" text="" percent="0" bottom="0">
      <formula>18</formula>
    </cfRule>
  </conditionalFormatting>
  <conditionalFormatting sqref="B412">
    <cfRule type="cellIs" rank="0" priority="1205" equalAverage="0" operator="greaterThan" aboveAverage="0" dxfId="8" text="" percent="0" bottom="0">
      <formula>0</formula>
    </cfRule>
    <cfRule type="cellIs" rank="0" priority="1206" equalAverage="0" operator="lessThan" aboveAverage="0" dxfId="9" text="" percent="0" bottom="0">
      <formula>MaliyetEsik</formula>
    </cfRule>
  </conditionalFormatting>
  <conditionalFormatting sqref="D412">
    <cfRule type="cellIs" rank="0" priority="1207" equalAverage="0" operator="lessThan" aboveAverage="0" dxfId="10" text="" percent="0" bottom="0">
      <formula>18</formula>
    </cfRule>
  </conditionalFormatting>
  <conditionalFormatting sqref="B413">
    <cfRule type="cellIs" rank="0" priority="1208" equalAverage="0" operator="greaterThan" aboveAverage="0" dxfId="8" text="" percent="0" bottom="0">
      <formula>0</formula>
    </cfRule>
    <cfRule type="cellIs" rank="0" priority="1209" equalAverage="0" operator="lessThan" aboveAverage="0" dxfId="9" text="" percent="0" bottom="0">
      <formula>MaliyetEsik</formula>
    </cfRule>
  </conditionalFormatting>
  <conditionalFormatting sqref="D413">
    <cfRule type="cellIs" rank="0" priority="1210" equalAverage="0" operator="lessThan" aboveAverage="0" dxfId="10" text="" percent="0" bottom="0">
      <formula>18</formula>
    </cfRule>
  </conditionalFormatting>
  <conditionalFormatting sqref="B414">
    <cfRule type="cellIs" rank="0" priority="1211" equalAverage="0" operator="greaterThan" aboveAverage="0" dxfId="8" text="" percent="0" bottom="0">
      <formula>0</formula>
    </cfRule>
    <cfRule type="cellIs" rank="0" priority="1212" equalAverage="0" operator="lessThan" aboveAverage="0" dxfId="9" text="" percent="0" bottom="0">
      <formula>MaliyetEsik</formula>
    </cfRule>
  </conditionalFormatting>
  <conditionalFormatting sqref="D414">
    <cfRule type="cellIs" rank="0" priority="1213" equalAverage="0" operator="lessThan" aboveAverage="0" dxfId="10" text="" percent="0" bottom="0">
      <formula>18</formula>
    </cfRule>
  </conditionalFormatting>
  <conditionalFormatting sqref="B415">
    <cfRule type="cellIs" rank="0" priority="1214" equalAverage="0" operator="greaterThan" aboveAverage="0" dxfId="8" text="" percent="0" bottom="0">
      <formula>0</formula>
    </cfRule>
    <cfRule type="cellIs" rank="0" priority="1215" equalAverage="0" operator="lessThan" aboveAverage="0" dxfId="9" text="" percent="0" bottom="0">
      <formula>MaliyetEsik</formula>
    </cfRule>
  </conditionalFormatting>
  <conditionalFormatting sqref="D415">
    <cfRule type="cellIs" rank="0" priority="1216" equalAverage="0" operator="lessThan" aboveAverage="0" dxfId="10" text="" percent="0" bottom="0">
      <formula>18</formula>
    </cfRule>
  </conditionalFormatting>
  <conditionalFormatting sqref="B416">
    <cfRule type="cellIs" rank="0" priority="1217" equalAverage="0" operator="greaterThan" aboveAverage="0" dxfId="8" text="" percent="0" bottom="0">
      <formula>0</formula>
    </cfRule>
    <cfRule type="cellIs" rank="0" priority="1218" equalAverage="0" operator="lessThan" aboveAverage="0" dxfId="9" text="" percent="0" bottom="0">
      <formula>MaliyetEsik</formula>
    </cfRule>
  </conditionalFormatting>
  <conditionalFormatting sqref="D416">
    <cfRule type="cellIs" rank="0" priority="1219" equalAverage="0" operator="lessThan" aboveAverage="0" dxfId="10" text="" percent="0" bottom="0">
      <formula>18</formula>
    </cfRule>
  </conditionalFormatting>
  <conditionalFormatting sqref="B417">
    <cfRule type="cellIs" rank="0" priority="1220" equalAverage="0" operator="greaterThan" aboveAverage="0" dxfId="8" text="" percent="0" bottom="0">
      <formula>0</formula>
    </cfRule>
    <cfRule type="cellIs" rank="0" priority="1221" equalAverage="0" operator="lessThan" aboveAverage="0" dxfId="9" text="" percent="0" bottom="0">
      <formula>MaliyetEsik</formula>
    </cfRule>
  </conditionalFormatting>
  <conditionalFormatting sqref="D417">
    <cfRule type="cellIs" rank="0" priority="1222" equalAverage="0" operator="lessThan" aboveAverage="0" dxfId="10" text="" percent="0" bottom="0">
      <formula>18</formula>
    </cfRule>
  </conditionalFormatting>
  <conditionalFormatting sqref="B418">
    <cfRule type="cellIs" rank="0" priority="1223" equalAverage="0" operator="greaterThan" aboveAverage="0" dxfId="8" text="" percent="0" bottom="0">
      <formula>0</formula>
    </cfRule>
    <cfRule type="cellIs" rank="0" priority="1224" equalAverage="0" operator="lessThan" aboveAverage="0" dxfId="9" text="" percent="0" bottom="0">
      <formula>MaliyetEsik</formula>
    </cfRule>
  </conditionalFormatting>
  <conditionalFormatting sqref="D418">
    <cfRule type="cellIs" rank="0" priority="1225" equalAverage="0" operator="lessThan" aboveAverage="0" dxfId="10" text="" percent="0" bottom="0">
      <formula>18</formula>
    </cfRule>
  </conditionalFormatting>
  <conditionalFormatting sqref="B419">
    <cfRule type="cellIs" rank="0" priority="1226" equalAverage="0" operator="greaterThan" aboveAverage="0" dxfId="8" text="" percent="0" bottom="0">
      <formula>0</formula>
    </cfRule>
    <cfRule type="cellIs" rank="0" priority="1227" equalAverage="0" operator="lessThan" aboveAverage="0" dxfId="9" text="" percent="0" bottom="0">
      <formula>MaliyetEsik</formula>
    </cfRule>
  </conditionalFormatting>
  <conditionalFormatting sqref="D419">
    <cfRule type="cellIs" rank="0" priority="1228" equalAverage="0" operator="lessThan" aboveAverage="0" dxfId="10" text="" percent="0" bottom="0">
      <formula>18</formula>
    </cfRule>
  </conditionalFormatting>
  <conditionalFormatting sqref="B420">
    <cfRule type="cellIs" rank="0" priority="1229" equalAverage="0" operator="greaterThan" aboveAverage="0" dxfId="8" text="" percent="0" bottom="0">
      <formula>0</formula>
    </cfRule>
    <cfRule type="cellIs" rank="0" priority="1230" equalAverage="0" operator="lessThan" aboveAverage="0" dxfId="9" text="" percent="0" bottom="0">
      <formula>MaliyetEsik</formula>
    </cfRule>
  </conditionalFormatting>
  <conditionalFormatting sqref="D420">
    <cfRule type="cellIs" rank="0" priority="1231" equalAverage="0" operator="lessThan" aboveAverage="0" dxfId="10" text="" percent="0" bottom="0">
      <formula>18</formula>
    </cfRule>
  </conditionalFormatting>
  <conditionalFormatting sqref="B421">
    <cfRule type="cellIs" rank="0" priority="1232" equalAverage="0" operator="greaterThan" aboveAverage="0" dxfId="8" text="" percent="0" bottom="0">
      <formula>0</formula>
    </cfRule>
    <cfRule type="cellIs" rank="0" priority="1233" equalAverage="0" operator="lessThan" aboveAverage="0" dxfId="9" text="" percent="0" bottom="0">
      <formula>MaliyetEsik</formula>
    </cfRule>
  </conditionalFormatting>
  <conditionalFormatting sqref="D421">
    <cfRule type="cellIs" rank="0" priority="1234" equalAverage="0" operator="lessThan" aboveAverage="0" dxfId="10" text="" percent="0" bottom="0">
      <formula>18</formula>
    </cfRule>
  </conditionalFormatting>
  <conditionalFormatting sqref="B422">
    <cfRule type="cellIs" rank="0" priority="1235" equalAverage="0" operator="greaterThan" aboveAverage="0" dxfId="8" text="" percent="0" bottom="0">
      <formula>0</formula>
    </cfRule>
    <cfRule type="cellIs" rank="0" priority="1236" equalAverage="0" operator="lessThan" aboveAverage="0" dxfId="9" text="" percent="0" bottom="0">
      <formula>MaliyetEsik</formula>
    </cfRule>
  </conditionalFormatting>
  <conditionalFormatting sqref="D422">
    <cfRule type="cellIs" rank="0" priority="1237" equalAverage="0" operator="lessThan" aboveAverage="0" dxfId="10" text="" percent="0" bottom="0">
      <formula>18</formula>
    </cfRule>
  </conditionalFormatting>
  <conditionalFormatting sqref="B423">
    <cfRule type="cellIs" rank="0" priority="1238" equalAverage="0" operator="greaterThan" aboveAverage="0" dxfId="8" text="" percent="0" bottom="0">
      <formula>0</formula>
    </cfRule>
    <cfRule type="cellIs" rank="0" priority="1239" equalAverage="0" operator="lessThan" aboveAverage="0" dxfId="9" text="" percent="0" bottom="0">
      <formula>MaliyetEsik</formula>
    </cfRule>
  </conditionalFormatting>
  <conditionalFormatting sqref="D423">
    <cfRule type="cellIs" rank="0" priority="1240" equalAverage="0" operator="lessThan" aboveAverage="0" dxfId="10" text="" percent="0" bottom="0">
      <formula>18</formula>
    </cfRule>
  </conditionalFormatting>
  <conditionalFormatting sqref="B424">
    <cfRule type="cellIs" rank="0" priority="1241" equalAverage="0" operator="greaterThan" aboveAverage="0" dxfId="8" text="" percent="0" bottom="0">
      <formula>0</formula>
    </cfRule>
    <cfRule type="cellIs" rank="0" priority="1242" equalAverage="0" operator="lessThan" aboveAverage="0" dxfId="9" text="" percent="0" bottom="0">
      <formula>MaliyetEsik</formula>
    </cfRule>
  </conditionalFormatting>
  <conditionalFormatting sqref="D424">
    <cfRule type="cellIs" rank="0" priority="1243" equalAverage="0" operator="lessThan" aboveAverage="0" dxfId="10" text="" percent="0" bottom="0">
      <formula>18</formula>
    </cfRule>
  </conditionalFormatting>
  <conditionalFormatting sqref="B425">
    <cfRule type="cellIs" rank="0" priority="1244" equalAverage="0" operator="greaterThan" aboveAverage="0" dxfId="8" text="" percent="0" bottom="0">
      <formula>0</formula>
    </cfRule>
    <cfRule type="cellIs" rank="0" priority="1245" equalAverage="0" operator="lessThan" aboveAverage="0" dxfId="9" text="" percent="0" bottom="0">
      <formula>MaliyetEsik</formula>
    </cfRule>
  </conditionalFormatting>
  <conditionalFormatting sqref="D425">
    <cfRule type="cellIs" rank="0" priority="1246" equalAverage="0" operator="lessThan" aboveAverage="0" dxfId="10" text="" percent="0" bottom="0">
      <formula>18</formula>
    </cfRule>
  </conditionalFormatting>
  <conditionalFormatting sqref="B426">
    <cfRule type="cellIs" rank="0" priority="1247" equalAverage="0" operator="greaterThan" aboveAverage="0" dxfId="8" text="" percent="0" bottom="0">
      <formula>0</formula>
    </cfRule>
    <cfRule type="cellIs" rank="0" priority="1248" equalAverage="0" operator="lessThan" aboveAverage="0" dxfId="9" text="" percent="0" bottom="0">
      <formula>MaliyetEsik</formula>
    </cfRule>
  </conditionalFormatting>
  <conditionalFormatting sqref="D426">
    <cfRule type="cellIs" rank="0" priority="1249" equalAverage="0" operator="lessThan" aboveAverage="0" dxfId="10" text="" percent="0" bottom="0">
      <formula>18</formula>
    </cfRule>
  </conditionalFormatting>
  <conditionalFormatting sqref="B427">
    <cfRule type="cellIs" rank="0" priority="1250" equalAverage="0" operator="greaterThan" aboveAverage="0" dxfId="8" text="" percent="0" bottom="0">
      <formula>0</formula>
    </cfRule>
    <cfRule type="cellIs" rank="0" priority="1251" equalAverage="0" operator="lessThan" aboveAverage="0" dxfId="9" text="" percent="0" bottom="0">
      <formula>MaliyetEsik</formula>
    </cfRule>
  </conditionalFormatting>
  <conditionalFormatting sqref="D427">
    <cfRule type="cellIs" rank="0" priority="1252" equalAverage="0" operator="lessThan" aboveAverage="0" dxfId="10" text="" percent="0" bottom="0">
      <formula>18</formula>
    </cfRule>
  </conditionalFormatting>
  <conditionalFormatting sqref="B428">
    <cfRule type="cellIs" rank="0" priority="1253" equalAverage="0" operator="greaterThan" aboveAverage="0" dxfId="8" text="" percent="0" bottom="0">
      <formula>0</formula>
    </cfRule>
    <cfRule type="cellIs" rank="0" priority="1254" equalAverage="0" operator="lessThan" aboveAverage="0" dxfId="9" text="" percent="0" bottom="0">
      <formula>MaliyetEsik</formula>
    </cfRule>
  </conditionalFormatting>
  <conditionalFormatting sqref="D428">
    <cfRule type="cellIs" rank="0" priority="1255" equalAverage="0" operator="lessThan" aboveAverage="0" dxfId="10" text="" percent="0" bottom="0">
      <formula>18</formula>
    </cfRule>
  </conditionalFormatting>
  <conditionalFormatting sqref="B429">
    <cfRule type="cellIs" rank="0" priority="1256" equalAverage="0" operator="greaterThan" aboveAverage="0" dxfId="8" text="" percent="0" bottom="0">
      <formula>0</formula>
    </cfRule>
    <cfRule type="cellIs" rank="0" priority="1257" equalAverage="0" operator="lessThan" aboveAverage="0" dxfId="9" text="" percent="0" bottom="0">
      <formula>MaliyetEsik</formula>
    </cfRule>
  </conditionalFormatting>
  <conditionalFormatting sqref="D429">
    <cfRule type="cellIs" rank="0" priority="1258" equalAverage="0" operator="lessThan" aboveAverage="0" dxfId="10" text="" percent="0" bottom="0">
      <formula>18</formula>
    </cfRule>
  </conditionalFormatting>
  <conditionalFormatting sqref="B430">
    <cfRule type="cellIs" rank="0" priority="1259" equalAverage="0" operator="greaterThan" aboveAverage="0" dxfId="8" text="" percent="0" bottom="0">
      <formula>0</formula>
    </cfRule>
    <cfRule type="cellIs" rank="0" priority="1260" equalAverage="0" operator="lessThan" aboveAverage="0" dxfId="9" text="" percent="0" bottom="0">
      <formula>MaliyetEsik</formula>
    </cfRule>
  </conditionalFormatting>
  <conditionalFormatting sqref="D430">
    <cfRule type="cellIs" rank="0" priority="1261" equalAverage="0" operator="lessThan" aboveAverage="0" dxfId="10" text="" percent="0" bottom="0">
      <formula>18</formula>
    </cfRule>
  </conditionalFormatting>
  <conditionalFormatting sqref="B431">
    <cfRule type="cellIs" rank="0" priority="1262" equalAverage="0" operator="greaterThan" aboveAverage="0" dxfId="8" text="" percent="0" bottom="0">
      <formula>0</formula>
    </cfRule>
    <cfRule type="cellIs" rank="0" priority="1263" equalAverage="0" operator="lessThan" aboveAverage="0" dxfId="9" text="" percent="0" bottom="0">
      <formula>MaliyetEsik</formula>
    </cfRule>
  </conditionalFormatting>
  <conditionalFormatting sqref="D431">
    <cfRule type="cellIs" rank="0" priority="1264" equalAverage="0" operator="lessThan" aboveAverage="0" dxfId="10" text="" percent="0" bottom="0">
      <formula>18</formula>
    </cfRule>
  </conditionalFormatting>
  <conditionalFormatting sqref="B432">
    <cfRule type="cellIs" rank="0" priority="1265" equalAverage="0" operator="greaterThan" aboveAverage="0" dxfId="8" text="" percent="0" bottom="0">
      <formula>0</formula>
    </cfRule>
    <cfRule type="cellIs" rank="0" priority="1266" equalAverage="0" operator="lessThan" aboveAverage="0" dxfId="9" text="" percent="0" bottom="0">
      <formula>MaliyetEsik</formula>
    </cfRule>
  </conditionalFormatting>
  <conditionalFormatting sqref="D432">
    <cfRule type="cellIs" rank="0" priority="1267" equalAverage="0" operator="lessThan" aboveAverage="0" dxfId="10" text="" percent="0" bottom="0">
      <formula>18</formula>
    </cfRule>
  </conditionalFormatting>
  <conditionalFormatting sqref="B433">
    <cfRule type="cellIs" rank="0" priority="1268" equalAverage="0" operator="greaterThan" aboveAverage="0" dxfId="8" text="" percent="0" bottom="0">
      <formula>0</formula>
    </cfRule>
    <cfRule type="cellIs" rank="0" priority="1269" equalAverage="0" operator="lessThan" aboveAverage="0" dxfId="9" text="" percent="0" bottom="0">
      <formula>MaliyetEsik</formula>
    </cfRule>
  </conditionalFormatting>
  <conditionalFormatting sqref="D433">
    <cfRule type="cellIs" rank="0" priority="1270" equalAverage="0" operator="lessThan" aboveAverage="0" dxfId="10" text="" percent="0" bottom="0">
      <formula>18</formula>
    </cfRule>
  </conditionalFormatting>
  <conditionalFormatting sqref="B434">
    <cfRule type="cellIs" rank="0" priority="1271" equalAverage="0" operator="greaterThan" aboveAverage="0" dxfId="8" text="" percent="0" bottom="0">
      <formula>0</formula>
    </cfRule>
    <cfRule type="cellIs" rank="0" priority="1272" equalAverage="0" operator="lessThan" aboveAverage="0" dxfId="9" text="" percent="0" bottom="0">
      <formula>MaliyetEsik</formula>
    </cfRule>
  </conditionalFormatting>
  <conditionalFormatting sqref="D434">
    <cfRule type="cellIs" rank="0" priority="1273" equalAverage="0" operator="lessThan" aboveAverage="0" dxfId="10" text="" percent="0" bottom="0">
      <formula>18</formula>
    </cfRule>
  </conditionalFormatting>
  <conditionalFormatting sqref="B435">
    <cfRule type="cellIs" rank="0" priority="1274" equalAverage="0" operator="greaterThan" aboveAverage="0" dxfId="8" text="" percent="0" bottom="0">
      <formula>0</formula>
    </cfRule>
    <cfRule type="cellIs" rank="0" priority="1275" equalAverage="0" operator="lessThan" aboveAverage="0" dxfId="9" text="" percent="0" bottom="0">
      <formula>MaliyetEsik</formula>
    </cfRule>
  </conditionalFormatting>
  <conditionalFormatting sqref="D435">
    <cfRule type="cellIs" rank="0" priority="1276" equalAverage="0" operator="lessThan" aboveAverage="0" dxfId="10" text="" percent="0" bottom="0">
      <formula>18</formula>
    </cfRule>
  </conditionalFormatting>
  <conditionalFormatting sqref="B436">
    <cfRule type="cellIs" rank="0" priority="1277" equalAverage="0" operator="greaterThan" aboveAverage="0" dxfId="8" text="" percent="0" bottom="0">
      <formula>0</formula>
    </cfRule>
    <cfRule type="cellIs" rank="0" priority="1278" equalAverage="0" operator="lessThan" aboveAverage="0" dxfId="9" text="" percent="0" bottom="0">
      <formula>MaliyetEsik</formula>
    </cfRule>
  </conditionalFormatting>
  <conditionalFormatting sqref="D436">
    <cfRule type="cellIs" rank="0" priority="1279" equalAverage="0" operator="lessThan" aboveAverage="0" dxfId="10" text="" percent="0" bottom="0">
      <formula>18</formula>
    </cfRule>
  </conditionalFormatting>
  <conditionalFormatting sqref="B437">
    <cfRule type="cellIs" rank="0" priority="1280" equalAverage="0" operator="greaterThan" aboveAverage="0" dxfId="8" text="" percent="0" bottom="0">
      <formula>0</formula>
    </cfRule>
    <cfRule type="cellIs" rank="0" priority="1281" equalAverage="0" operator="lessThan" aboveAverage="0" dxfId="9" text="" percent="0" bottom="0">
      <formula>MaliyetEsik</formula>
    </cfRule>
  </conditionalFormatting>
  <conditionalFormatting sqref="D437">
    <cfRule type="cellIs" rank="0" priority="1282" equalAverage="0" operator="lessThan" aboveAverage="0" dxfId="10" text="" percent="0" bottom="0">
      <formula>18</formula>
    </cfRule>
  </conditionalFormatting>
  <conditionalFormatting sqref="B438">
    <cfRule type="cellIs" rank="0" priority="1283" equalAverage="0" operator="greaterThan" aboveAverage="0" dxfId="8" text="" percent="0" bottom="0">
      <formula>0</formula>
    </cfRule>
    <cfRule type="cellIs" rank="0" priority="1284" equalAverage="0" operator="lessThan" aboveAverage="0" dxfId="9" text="" percent="0" bottom="0">
      <formula>MaliyetEsik</formula>
    </cfRule>
  </conditionalFormatting>
  <conditionalFormatting sqref="D438">
    <cfRule type="cellIs" rank="0" priority="1285" equalAverage="0" operator="lessThan" aboveAverage="0" dxfId="10" text="" percent="0" bottom="0">
      <formula>18</formula>
    </cfRule>
  </conditionalFormatting>
  <conditionalFormatting sqref="B439">
    <cfRule type="cellIs" rank="0" priority="1286" equalAverage="0" operator="greaterThan" aboveAverage="0" dxfId="8" text="" percent="0" bottom="0">
      <formula>0</formula>
    </cfRule>
    <cfRule type="cellIs" rank="0" priority="1287" equalAverage="0" operator="lessThan" aboveAverage="0" dxfId="9" text="" percent="0" bottom="0">
      <formula>MaliyetEsik</formula>
    </cfRule>
  </conditionalFormatting>
  <conditionalFormatting sqref="D439">
    <cfRule type="cellIs" rank="0" priority="1288" equalAverage="0" operator="lessThan" aboveAverage="0" dxfId="10" text="" percent="0" bottom="0">
      <formula>18</formula>
    </cfRule>
  </conditionalFormatting>
  <conditionalFormatting sqref="B440">
    <cfRule type="cellIs" rank="0" priority="1289" equalAverage="0" operator="greaterThan" aboveAverage="0" dxfId="8" text="" percent="0" bottom="0">
      <formula>0</formula>
    </cfRule>
    <cfRule type="cellIs" rank="0" priority="1290" equalAverage="0" operator="lessThan" aboveAverage="0" dxfId="9" text="" percent="0" bottom="0">
      <formula>MaliyetEsik</formula>
    </cfRule>
  </conditionalFormatting>
  <conditionalFormatting sqref="D440">
    <cfRule type="cellIs" rank="0" priority="1291" equalAverage="0" operator="lessThan" aboveAverage="0" dxfId="10" text="" percent="0" bottom="0">
      <formula>18</formula>
    </cfRule>
  </conditionalFormatting>
  <conditionalFormatting sqref="B441">
    <cfRule type="cellIs" rank="0" priority="1292" equalAverage="0" operator="greaterThan" aboveAverage="0" dxfId="8" text="" percent="0" bottom="0">
      <formula>0</formula>
    </cfRule>
    <cfRule type="cellIs" rank="0" priority="1293" equalAverage="0" operator="lessThan" aboveAverage="0" dxfId="9" text="" percent="0" bottom="0">
      <formula>MaliyetEsik</formula>
    </cfRule>
  </conditionalFormatting>
  <conditionalFormatting sqref="D441">
    <cfRule type="cellIs" rank="0" priority="1294" equalAverage="0" operator="lessThan" aboveAverage="0" dxfId="10" text="" percent="0" bottom="0">
      <formula>18</formula>
    </cfRule>
  </conditionalFormatting>
  <conditionalFormatting sqref="B442">
    <cfRule type="cellIs" rank="0" priority="1295" equalAverage="0" operator="greaterThan" aboveAverage="0" dxfId="8" text="" percent="0" bottom="0">
      <formula>0</formula>
    </cfRule>
    <cfRule type="cellIs" rank="0" priority="1296" equalAverage="0" operator="lessThan" aboveAverage="0" dxfId="9" text="" percent="0" bottom="0">
      <formula>MaliyetEsik</formula>
    </cfRule>
  </conditionalFormatting>
  <conditionalFormatting sqref="D442">
    <cfRule type="cellIs" rank="0" priority="1297" equalAverage="0" operator="lessThan" aboveAverage="0" dxfId="10" text="" percent="0" bottom="0">
      <formula>18</formula>
    </cfRule>
  </conditionalFormatting>
  <conditionalFormatting sqref="B443">
    <cfRule type="cellIs" rank="0" priority="1298" equalAverage="0" operator="greaterThan" aboveAverage="0" dxfId="8" text="" percent="0" bottom="0">
      <formula>0</formula>
    </cfRule>
    <cfRule type="cellIs" rank="0" priority="1299" equalAverage="0" operator="lessThan" aboveAverage="0" dxfId="9" text="" percent="0" bottom="0">
      <formula>MaliyetEsik</formula>
    </cfRule>
  </conditionalFormatting>
  <conditionalFormatting sqref="D443">
    <cfRule type="cellIs" rank="0" priority="1300" equalAverage="0" operator="lessThan" aboveAverage="0" dxfId="10" text="" percent="0" bottom="0">
      <formula>18</formula>
    </cfRule>
  </conditionalFormatting>
  <conditionalFormatting sqref="B444">
    <cfRule type="cellIs" rank="0" priority="1301" equalAverage="0" operator="greaterThan" aboveAverage="0" dxfId="8" text="" percent="0" bottom="0">
      <formula>0</formula>
    </cfRule>
    <cfRule type="cellIs" rank="0" priority="1302" equalAverage="0" operator="lessThan" aboveAverage="0" dxfId="9" text="" percent="0" bottom="0">
      <formula>MaliyetEsik</formula>
    </cfRule>
  </conditionalFormatting>
  <conditionalFormatting sqref="D444">
    <cfRule type="cellIs" rank="0" priority="1303" equalAverage="0" operator="lessThan" aboveAverage="0" dxfId="10" text="" percent="0" bottom="0">
      <formula>18</formula>
    </cfRule>
  </conditionalFormatting>
  <conditionalFormatting sqref="B445">
    <cfRule type="cellIs" rank="0" priority="1304" equalAverage="0" operator="greaterThan" aboveAverage="0" dxfId="8" text="" percent="0" bottom="0">
      <formula>0</formula>
    </cfRule>
    <cfRule type="cellIs" rank="0" priority="1305" equalAverage="0" operator="lessThan" aboveAverage="0" dxfId="9" text="" percent="0" bottom="0">
      <formula>MaliyetEsik</formula>
    </cfRule>
  </conditionalFormatting>
  <conditionalFormatting sqref="D445">
    <cfRule type="cellIs" rank="0" priority="1306" equalAverage="0" operator="lessThan" aboveAverage="0" dxfId="10" text="" percent="0" bottom="0">
      <formula>18</formula>
    </cfRule>
  </conditionalFormatting>
  <conditionalFormatting sqref="B446">
    <cfRule type="cellIs" rank="0" priority="1307" equalAverage="0" operator="greaterThan" aboveAverage="0" dxfId="8" text="" percent="0" bottom="0">
      <formula>0</formula>
    </cfRule>
    <cfRule type="cellIs" rank="0" priority="1308" equalAverage="0" operator="lessThan" aboveAverage="0" dxfId="9" text="" percent="0" bottom="0">
      <formula>MaliyetEsik</formula>
    </cfRule>
  </conditionalFormatting>
  <conditionalFormatting sqref="D446">
    <cfRule type="cellIs" rank="0" priority="1309" equalAverage="0" operator="lessThan" aboveAverage="0" dxfId="10" text="" percent="0" bottom="0">
      <formula>18</formula>
    </cfRule>
  </conditionalFormatting>
  <conditionalFormatting sqref="B447">
    <cfRule type="cellIs" rank="0" priority="1310" equalAverage="0" operator="greaterThan" aboveAverage="0" dxfId="8" text="" percent="0" bottom="0">
      <formula>0</formula>
    </cfRule>
    <cfRule type="cellIs" rank="0" priority="1311" equalAverage="0" operator="lessThan" aboveAverage="0" dxfId="9" text="" percent="0" bottom="0">
      <formula>MaliyetEsik</formula>
    </cfRule>
  </conditionalFormatting>
  <conditionalFormatting sqref="D447">
    <cfRule type="cellIs" rank="0" priority="1312" equalAverage="0" operator="lessThan" aboveAverage="0" dxfId="10" text="" percent="0" bottom="0">
      <formula>18</formula>
    </cfRule>
  </conditionalFormatting>
  <conditionalFormatting sqref="B448">
    <cfRule type="cellIs" rank="0" priority="1313" equalAverage="0" operator="greaterThan" aboveAverage="0" dxfId="8" text="" percent="0" bottom="0">
      <formula>0</formula>
    </cfRule>
    <cfRule type="cellIs" rank="0" priority="1314" equalAverage="0" operator="lessThan" aboveAverage="0" dxfId="9" text="" percent="0" bottom="0">
      <formula>MaliyetEsik</formula>
    </cfRule>
  </conditionalFormatting>
  <conditionalFormatting sqref="D448">
    <cfRule type="cellIs" rank="0" priority="1315" equalAverage="0" operator="lessThan" aboveAverage="0" dxfId="10" text="" percent="0" bottom="0">
      <formula>18</formula>
    </cfRule>
  </conditionalFormatting>
  <conditionalFormatting sqref="B449">
    <cfRule type="cellIs" rank="0" priority="1316" equalAverage="0" operator="greaterThan" aboveAverage="0" dxfId="8" text="" percent="0" bottom="0">
      <formula>0</formula>
    </cfRule>
    <cfRule type="cellIs" rank="0" priority="1317" equalAverage="0" operator="lessThan" aboveAverage="0" dxfId="9" text="" percent="0" bottom="0">
      <formula>MaliyetEsik</formula>
    </cfRule>
  </conditionalFormatting>
  <conditionalFormatting sqref="D449">
    <cfRule type="cellIs" rank="0" priority="1318" equalAverage="0" operator="lessThan" aboveAverage="0" dxfId="10" text="" percent="0" bottom="0">
      <formula>18</formula>
    </cfRule>
  </conditionalFormatting>
  <conditionalFormatting sqref="B450">
    <cfRule type="cellIs" rank="0" priority="1319" equalAverage="0" operator="greaterThan" aboveAverage="0" dxfId="8" text="" percent="0" bottom="0">
      <formula>0</formula>
    </cfRule>
    <cfRule type="cellIs" rank="0" priority="1320" equalAverage="0" operator="lessThan" aboveAverage="0" dxfId="9" text="" percent="0" bottom="0">
      <formula>MaliyetEsik</formula>
    </cfRule>
  </conditionalFormatting>
  <conditionalFormatting sqref="D450">
    <cfRule type="cellIs" rank="0" priority="1321" equalAverage="0" operator="lessThan" aboveAverage="0" dxfId="10" text="" percent="0" bottom="0">
      <formula>18</formula>
    </cfRule>
  </conditionalFormatting>
  <conditionalFormatting sqref="B451">
    <cfRule type="cellIs" rank="0" priority="1322" equalAverage="0" operator="greaterThan" aboveAverage="0" dxfId="8" text="" percent="0" bottom="0">
      <formula>0</formula>
    </cfRule>
    <cfRule type="cellIs" rank="0" priority="1323" equalAverage="0" operator="lessThan" aboveAverage="0" dxfId="9" text="" percent="0" bottom="0">
      <formula>MaliyetEsik</formula>
    </cfRule>
  </conditionalFormatting>
  <conditionalFormatting sqref="D451">
    <cfRule type="cellIs" rank="0" priority="1324" equalAverage="0" operator="lessThan" aboveAverage="0" dxfId="10" text="" percent="0" bottom="0">
      <formula>18</formula>
    </cfRule>
  </conditionalFormatting>
  <conditionalFormatting sqref="B452">
    <cfRule type="cellIs" rank="0" priority="1325" equalAverage="0" operator="greaterThan" aboveAverage="0" dxfId="8" text="" percent="0" bottom="0">
      <formula>0</formula>
    </cfRule>
    <cfRule type="cellIs" rank="0" priority="1326" equalAverage="0" operator="lessThan" aboveAverage="0" dxfId="9" text="" percent="0" bottom="0">
      <formula>MaliyetEsik</formula>
    </cfRule>
  </conditionalFormatting>
  <conditionalFormatting sqref="D452">
    <cfRule type="cellIs" rank="0" priority="1327" equalAverage="0" operator="lessThan" aboveAverage="0" dxfId="10" text="" percent="0" bottom="0">
      <formula>18</formula>
    </cfRule>
  </conditionalFormatting>
  <conditionalFormatting sqref="B453">
    <cfRule type="cellIs" rank="0" priority="1328" equalAverage="0" operator="greaterThan" aboveAverage="0" dxfId="8" text="" percent="0" bottom="0">
      <formula>0</formula>
    </cfRule>
    <cfRule type="cellIs" rank="0" priority="1329" equalAverage="0" operator="lessThan" aboveAverage="0" dxfId="9" text="" percent="0" bottom="0">
      <formula>MaliyetEsik</formula>
    </cfRule>
  </conditionalFormatting>
  <conditionalFormatting sqref="D453">
    <cfRule type="cellIs" rank="0" priority="1330" equalAverage="0" operator="lessThan" aboveAverage="0" dxfId="10" text="" percent="0" bottom="0">
      <formula>18</formula>
    </cfRule>
  </conditionalFormatting>
  <conditionalFormatting sqref="B454">
    <cfRule type="cellIs" rank="0" priority="1331" equalAverage="0" operator="greaterThan" aboveAverage="0" dxfId="8" text="" percent="0" bottom="0">
      <formula>0</formula>
    </cfRule>
    <cfRule type="cellIs" rank="0" priority="1332" equalAverage="0" operator="lessThan" aboveAverage="0" dxfId="9" text="" percent="0" bottom="0">
      <formula>MaliyetEsik</formula>
    </cfRule>
  </conditionalFormatting>
  <conditionalFormatting sqref="D454">
    <cfRule type="cellIs" rank="0" priority="1333" equalAverage="0" operator="lessThan" aboveAverage="0" dxfId="10" text="" percent="0" bottom="0">
      <formula>18</formula>
    </cfRule>
  </conditionalFormatting>
  <conditionalFormatting sqref="B455">
    <cfRule type="cellIs" rank="0" priority="1334" equalAverage="0" operator="greaterThan" aboveAverage="0" dxfId="8" text="" percent="0" bottom="0">
      <formula>0</formula>
    </cfRule>
    <cfRule type="cellIs" rank="0" priority="1335" equalAverage="0" operator="lessThan" aboveAverage="0" dxfId="9" text="" percent="0" bottom="0">
      <formula>MaliyetEsik</formula>
    </cfRule>
  </conditionalFormatting>
  <conditionalFormatting sqref="D455">
    <cfRule type="cellIs" rank="0" priority="1336" equalAverage="0" operator="lessThan" aboveAverage="0" dxfId="10" text="" percent="0" bottom="0">
      <formula>18</formula>
    </cfRule>
  </conditionalFormatting>
  <conditionalFormatting sqref="B456">
    <cfRule type="cellIs" rank="0" priority="1337" equalAverage="0" operator="greaterThan" aboveAverage="0" dxfId="8" text="" percent="0" bottom="0">
      <formula>0</formula>
    </cfRule>
    <cfRule type="cellIs" rank="0" priority="1338" equalAverage="0" operator="lessThan" aboveAverage="0" dxfId="9" text="" percent="0" bottom="0">
      <formula>MaliyetEsik</formula>
    </cfRule>
  </conditionalFormatting>
  <conditionalFormatting sqref="D456">
    <cfRule type="cellIs" rank="0" priority="1339" equalAverage="0" operator="lessThan" aboveAverage="0" dxfId="10" text="" percent="0" bottom="0">
      <formula>18</formula>
    </cfRule>
  </conditionalFormatting>
  <conditionalFormatting sqref="B457">
    <cfRule type="cellIs" rank="0" priority="1340" equalAverage="0" operator="greaterThan" aboveAverage="0" dxfId="8" text="" percent="0" bottom="0">
      <formula>0</formula>
    </cfRule>
    <cfRule type="cellIs" rank="0" priority="1341" equalAverage="0" operator="lessThan" aboveAverage="0" dxfId="9" text="" percent="0" bottom="0">
      <formula>MaliyetEsik</formula>
    </cfRule>
  </conditionalFormatting>
  <conditionalFormatting sqref="D457">
    <cfRule type="cellIs" rank="0" priority="1342" equalAverage="0" operator="lessThan" aboveAverage="0" dxfId="10" text="" percent="0" bottom="0">
      <formula>18</formula>
    </cfRule>
  </conditionalFormatting>
  <conditionalFormatting sqref="B458">
    <cfRule type="cellIs" rank="0" priority="1343" equalAverage="0" operator="greaterThan" aboveAverage="0" dxfId="8" text="" percent="0" bottom="0">
      <formula>0</formula>
    </cfRule>
    <cfRule type="cellIs" rank="0" priority="1344" equalAverage="0" operator="lessThan" aboveAverage="0" dxfId="9" text="" percent="0" bottom="0">
      <formula>MaliyetEsik</formula>
    </cfRule>
  </conditionalFormatting>
  <conditionalFormatting sqref="D458">
    <cfRule type="cellIs" rank="0" priority="1345" equalAverage="0" operator="lessThan" aboveAverage="0" dxfId="10" text="" percent="0" bottom="0">
      <formula>18</formula>
    </cfRule>
  </conditionalFormatting>
  <conditionalFormatting sqref="B459">
    <cfRule type="cellIs" rank="0" priority="1346" equalAverage="0" operator="greaterThan" aboveAverage="0" dxfId="8" text="" percent="0" bottom="0">
      <formula>0</formula>
    </cfRule>
    <cfRule type="cellIs" rank="0" priority="1347" equalAverage="0" operator="lessThan" aboveAverage="0" dxfId="9" text="" percent="0" bottom="0">
      <formula>MaliyetEsik</formula>
    </cfRule>
  </conditionalFormatting>
  <conditionalFormatting sqref="D459">
    <cfRule type="cellIs" rank="0" priority="1348" equalAverage="0" operator="lessThan" aboveAverage="0" dxfId="10" text="" percent="0" bottom="0">
      <formula>18</formula>
    </cfRule>
  </conditionalFormatting>
  <conditionalFormatting sqref="B460">
    <cfRule type="cellIs" rank="0" priority="1349" equalAverage="0" operator="greaterThan" aboveAverage="0" dxfId="8" text="" percent="0" bottom="0">
      <formula>0</formula>
    </cfRule>
    <cfRule type="cellIs" rank="0" priority="1350" equalAverage="0" operator="lessThan" aboveAverage="0" dxfId="9" text="" percent="0" bottom="0">
      <formula>MaliyetEsik</formula>
    </cfRule>
  </conditionalFormatting>
  <conditionalFormatting sqref="D460">
    <cfRule type="cellIs" rank="0" priority="1351" equalAverage="0" operator="lessThan" aboveAverage="0" dxfId="10" text="" percent="0" bottom="0">
      <formula>18</formula>
    </cfRule>
  </conditionalFormatting>
  <conditionalFormatting sqref="B461">
    <cfRule type="cellIs" rank="0" priority="1352" equalAverage="0" operator="greaterThan" aboveAverage="0" dxfId="8" text="" percent="0" bottom="0">
      <formula>0</formula>
    </cfRule>
    <cfRule type="cellIs" rank="0" priority="1353" equalAverage="0" operator="lessThan" aboveAverage="0" dxfId="9" text="" percent="0" bottom="0">
      <formula>MaliyetEsik</formula>
    </cfRule>
  </conditionalFormatting>
  <conditionalFormatting sqref="D461">
    <cfRule type="cellIs" rank="0" priority="1354" equalAverage="0" operator="lessThan" aboveAverage="0" dxfId="10" text="" percent="0" bottom="0">
      <formula>18</formula>
    </cfRule>
  </conditionalFormatting>
  <conditionalFormatting sqref="B462">
    <cfRule type="cellIs" rank="0" priority="1355" equalAverage="0" operator="greaterThan" aboveAverage="0" dxfId="8" text="" percent="0" bottom="0">
      <formula>0</formula>
    </cfRule>
    <cfRule type="cellIs" rank="0" priority="1356" equalAverage="0" operator="lessThan" aboveAverage="0" dxfId="9" text="" percent="0" bottom="0">
      <formula>MaliyetEsik</formula>
    </cfRule>
  </conditionalFormatting>
  <conditionalFormatting sqref="D462">
    <cfRule type="cellIs" rank="0" priority="1357" equalAverage="0" operator="lessThan" aboveAverage="0" dxfId="10" text="" percent="0" bottom="0">
      <formula>18</formula>
    </cfRule>
  </conditionalFormatting>
  <conditionalFormatting sqref="B463">
    <cfRule type="cellIs" rank="0" priority="1358" equalAverage="0" operator="greaterThan" aboveAverage="0" dxfId="8" text="" percent="0" bottom="0">
      <formula>0</formula>
    </cfRule>
    <cfRule type="cellIs" rank="0" priority="1359" equalAverage="0" operator="lessThan" aboveAverage="0" dxfId="9" text="" percent="0" bottom="0">
      <formula>MaliyetEsik</formula>
    </cfRule>
  </conditionalFormatting>
  <conditionalFormatting sqref="D463">
    <cfRule type="cellIs" rank="0" priority="1360" equalAverage="0" operator="lessThan" aboveAverage="0" dxfId="10" text="" percent="0" bottom="0">
      <formula>18</formula>
    </cfRule>
  </conditionalFormatting>
  <conditionalFormatting sqref="B464">
    <cfRule type="cellIs" rank="0" priority="1361" equalAverage="0" operator="greaterThan" aboveAverage="0" dxfId="8" text="" percent="0" bottom="0">
      <formula>0</formula>
    </cfRule>
    <cfRule type="cellIs" rank="0" priority="1362" equalAverage="0" operator="lessThan" aboveAverage="0" dxfId="9" text="" percent="0" bottom="0">
      <formula>MaliyetEsik</formula>
    </cfRule>
  </conditionalFormatting>
  <conditionalFormatting sqref="D464">
    <cfRule type="cellIs" rank="0" priority="1363" equalAverage="0" operator="lessThan" aboveAverage="0" dxfId="10" text="" percent="0" bottom="0">
      <formula>18</formula>
    </cfRule>
  </conditionalFormatting>
  <conditionalFormatting sqref="B465">
    <cfRule type="cellIs" rank="0" priority="1364" equalAverage="0" operator="greaterThan" aboveAverage="0" dxfId="8" text="" percent="0" bottom="0">
      <formula>0</formula>
    </cfRule>
    <cfRule type="cellIs" rank="0" priority="1365" equalAverage="0" operator="lessThan" aboveAverage="0" dxfId="9" text="" percent="0" bottom="0">
      <formula>MaliyetEsik</formula>
    </cfRule>
  </conditionalFormatting>
  <conditionalFormatting sqref="D465">
    <cfRule type="cellIs" rank="0" priority="1366" equalAverage="0" operator="lessThan" aboveAverage="0" dxfId="10" text="" percent="0" bottom="0">
      <formula>18</formula>
    </cfRule>
  </conditionalFormatting>
  <conditionalFormatting sqref="B466">
    <cfRule type="cellIs" rank="0" priority="1367" equalAverage="0" operator="greaterThan" aboveAverage="0" dxfId="8" text="" percent="0" bottom="0">
      <formula>0</formula>
    </cfRule>
    <cfRule type="cellIs" rank="0" priority="1368" equalAverage="0" operator="lessThan" aboveAverage="0" dxfId="9" text="" percent="0" bottom="0">
      <formula>MaliyetEsik</formula>
    </cfRule>
  </conditionalFormatting>
  <conditionalFormatting sqref="D466">
    <cfRule type="cellIs" rank="0" priority="1369" equalAverage="0" operator="lessThan" aboveAverage="0" dxfId="10" text="" percent="0" bottom="0">
      <formula>18</formula>
    </cfRule>
  </conditionalFormatting>
  <conditionalFormatting sqref="B467">
    <cfRule type="cellIs" rank="0" priority="1370" equalAverage="0" operator="greaterThan" aboveAverage="0" dxfId="8" text="" percent="0" bottom="0">
      <formula>0</formula>
    </cfRule>
    <cfRule type="cellIs" rank="0" priority="1371" equalAverage="0" operator="lessThan" aboveAverage="0" dxfId="9" text="" percent="0" bottom="0">
      <formula>MaliyetEsik</formula>
    </cfRule>
  </conditionalFormatting>
  <conditionalFormatting sqref="D467">
    <cfRule type="cellIs" rank="0" priority="1372" equalAverage="0" operator="lessThan" aboveAverage="0" dxfId="10" text="" percent="0" bottom="0">
      <formula>18</formula>
    </cfRule>
  </conditionalFormatting>
  <conditionalFormatting sqref="B468">
    <cfRule type="cellIs" rank="0" priority="1373" equalAverage="0" operator="greaterThan" aboveAverage="0" dxfId="8" text="" percent="0" bottom="0">
      <formula>0</formula>
    </cfRule>
    <cfRule type="cellIs" rank="0" priority="1374" equalAverage="0" operator="lessThan" aboveAverage="0" dxfId="9" text="" percent="0" bottom="0">
      <formula>MaliyetEsik</formula>
    </cfRule>
  </conditionalFormatting>
  <conditionalFormatting sqref="D468">
    <cfRule type="cellIs" rank="0" priority="1375" equalAverage="0" operator="lessThan" aboveAverage="0" dxfId="10" text="" percent="0" bottom="0">
      <formula>18</formula>
    </cfRule>
  </conditionalFormatting>
  <conditionalFormatting sqref="B469">
    <cfRule type="cellIs" rank="0" priority="1376" equalAverage="0" operator="greaterThan" aboveAverage="0" dxfId="8" text="" percent="0" bottom="0">
      <formula>0</formula>
    </cfRule>
    <cfRule type="cellIs" rank="0" priority="1377" equalAverage="0" operator="lessThan" aboveAverage="0" dxfId="9" text="" percent="0" bottom="0">
      <formula>MaliyetEsik</formula>
    </cfRule>
  </conditionalFormatting>
  <conditionalFormatting sqref="D469">
    <cfRule type="cellIs" rank="0" priority="1378" equalAverage="0" operator="lessThan" aboveAverage="0" dxfId="10" text="" percent="0" bottom="0">
      <formula>18</formula>
    </cfRule>
  </conditionalFormatting>
  <conditionalFormatting sqref="B470">
    <cfRule type="cellIs" rank="0" priority="1379" equalAverage="0" operator="greaterThan" aboveAverage="0" dxfId="8" text="" percent="0" bottom="0">
      <formula>0</formula>
    </cfRule>
    <cfRule type="cellIs" rank="0" priority="1380" equalAverage="0" operator="lessThan" aboveAverage="0" dxfId="9" text="" percent="0" bottom="0">
      <formula>MaliyetEsik</formula>
    </cfRule>
  </conditionalFormatting>
  <conditionalFormatting sqref="D470">
    <cfRule type="cellIs" rank="0" priority="1381" equalAverage="0" operator="lessThan" aboveAverage="0" dxfId="10" text="" percent="0" bottom="0">
      <formula>18</formula>
    </cfRule>
  </conditionalFormatting>
  <conditionalFormatting sqref="B471">
    <cfRule type="cellIs" rank="0" priority="1382" equalAverage="0" operator="greaterThan" aboveAverage="0" dxfId="8" text="" percent="0" bottom="0">
      <formula>0</formula>
    </cfRule>
    <cfRule type="cellIs" rank="0" priority="1383" equalAverage="0" operator="lessThan" aboveAverage="0" dxfId="9" text="" percent="0" bottom="0">
      <formula>MaliyetEsik</formula>
    </cfRule>
  </conditionalFormatting>
  <conditionalFormatting sqref="D471">
    <cfRule type="cellIs" rank="0" priority="1384" equalAverage="0" operator="lessThan" aboveAverage="0" dxfId="10" text="" percent="0" bottom="0">
      <formula>18</formula>
    </cfRule>
  </conditionalFormatting>
  <conditionalFormatting sqref="B472">
    <cfRule type="cellIs" rank="0" priority="1385" equalAverage="0" operator="greaterThan" aboveAverage="0" dxfId="8" text="" percent="0" bottom="0">
      <formula>0</formula>
    </cfRule>
    <cfRule type="cellIs" rank="0" priority="1386" equalAverage="0" operator="lessThan" aboveAverage="0" dxfId="9" text="" percent="0" bottom="0">
      <formula>MaliyetEsik</formula>
    </cfRule>
  </conditionalFormatting>
  <conditionalFormatting sqref="D472">
    <cfRule type="cellIs" rank="0" priority="1387" equalAverage="0" operator="lessThan" aboveAverage="0" dxfId="10" text="" percent="0" bottom="0">
      <formula>18</formula>
    </cfRule>
  </conditionalFormatting>
  <conditionalFormatting sqref="B473">
    <cfRule type="cellIs" rank="0" priority="1388" equalAverage="0" operator="greaterThan" aboveAverage="0" dxfId="8" text="" percent="0" bottom="0">
      <formula>0</formula>
    </cfRule>
    <cfRule type="cellIs" rank="0" priority="1389" equalAverage="0" operator="lessThan" aboveAverage="0" dxfId="9" text="" percent="0" bottom="0">
      <formula>MaliyetEsik</formula>
    </cfRule>
  </conditionalFormatting>
  <conditionalFormatting sqref="D473">
    <cfRule type="cellIs" rank="0" priority="1390" equalAverage="0" operator="lessThan" aboveAverage="0" dxfId="10" text="" percent="0" bottom="0">
      <formula>18</formula>
    </cfRule>
  </conditionalFormatting>
  <conditionalFormatting sqref="B474">
    <cfRule type="cellIs" rank="0" priority="1391" equalAverage="0" operator="greaterThan" aboveAverage="0" dxfId="8" text="" percent="0" bottom="0">
      <formula>0</formula>
    </cfRule>
    <cfRule type="cellIs" rank="0" priority="1392" equalAverage="0" operator="lessThan" aboveAverage="0" dxfId="9" text="" percent="0" bottom="0">
      <formula>MaliyetEsik</formula>
    </cfRule>
  </conditionalFormatting>
  <conditionalFormatting sqref="D474">
    <cfRule type="cellIs" rank="0" priority="1393" equalAverage="0" operator="lessThan" aboveAverage="0" dxfId="10" text="" percent="0" bottom="0">
      <formula>18</formula>
    </cfRule>
  </conditionalFormatting>
  <conditionalFormatting sqref="B475">
    <cfRule type="cellIs" rank="0" priority="1394" equalAverage="0" operator="greaterThan" aboveAverage="0" dxfId="8" text="" percent="0" bottom="0">
      <formula>0</formula>
    </cfRule>
    <cfRule type="cellIs" rank="0" priority="1395" equalAverage="0" operator="lessThan" aboveAverage="0" dxfId="9" text="" percent="0" bottom="0">
      <formula>MaliyetEsik</formula>
    </cfRule>
  </conditionalFormatting>
  <conditionalFormatting sqref="D475">
    <cfRule type="cellIs" rank="0" priority="1396" equalAverage="0" operator="lessThan" aboveAverage="0" dxfId="10" text="" percent="0" bottom="0">
      <formula>18</formula>
    </cfRule>
  </conditionalFormatting>
  <conditionalFormatting sqref="B476">
    <cfRule type="cellIs" rank="0" priority="1397" equalAverage="0" operator="greaterThan" aboveAverage="0" dxfId="8" text="" percent="0" bottom="0">
      <formula>0</formula>
    </cfRule>
    <cfRule type="cellIs" rank="0" priority="1398" equalAverage="0" operator="lessThan" aboveAverage="0" dxfId="9" text="" percent="0" bottom="0">
      <formula>MaliyetEsik</formula>
    </cfRule>
  </conditionalFormatting>
  <conditionalFormatting sqref="D476">
    <cfRule type="cellIs" rank="0" priority="1399" equalAverage="0" operator="lessThan" aboveAverage="0" dxfId="10" text="" percent="0" bottom="0">
      <formula>18</formula>
    </cfRule>
  </conditionalFormatting>
  <conditionalFormatting sqref="B477">
    <cfRule type="cellIs" rank="0" priority="1400" equalAverage="0" operator="greaterThan" aboveAverage="0" dxfId="8" text="" percent="0" bottom="0">
      <formula>0</formula>
    </cfRule>
    <cfRule type="cellIs" rank="0" priority="1401" equalAverage="0" operator="lessThan" aboveAverage="0" dxfId="9" text="" percent="0" bottom="0">
      <formula>MaliyetEsik</formula>
    </cfRule>
  </conditionalFormatting>
  <conditionalFormatting sqref="D477">
    <cfRule type="cellIs" rank="0" priority="1402" equalAverage="0" operator="lessThan" aboveAverage="0" dxfId="10" text="" percent="0" bottom="0">
      <formula>18</formula>
    </cfRule>
  </conditionalFormatting>
  <conditionalFormatting sqref="B478">
    <cfRule type="cellIs" rank="0" priority="1403" equalAverage="0" operator="greaterThan" aboveAverage="0" dxfId="8" text="" percent="0" bottom="0">
      <formula>0</formula>
    </cfRule>
    <cfRule type="cellIs" rank="0" priority="1404" equalAverage="0" operator="lessThan" aboveAverage="0" dxfId="9" text="" percent="0" bottom="0">
      <formula>MaliyetEsik</formula>
    </cfRule>
  </conditionalFormatting>
  <conditionalFormatting sqref="D478">
    <cfRule type="cellIs" rank="0" priority="1405" equalAverage="0" operator="lessThan" aboveAverage="0" dxfId="10" text="" percent="0" bottom="0">
      <formula>18</formula>
    </cfRule>
  </conditionalFormatting>
  <conditionalFormatting sqref="B479">
    <cfRule type="cellIs" rank="0" priority="1406" equalAverage="0" operator="greaterThan" aboveAverage="0" dxfId="8" text="" percent="0" bottom="0">
      <formula>0</formula>
    </cfRule>
    <cfRule type="cellIs" rank="0" priority="1407" equalAverage="0" operator="lessThan" aboveAverage="0" dxfId="9" text="" percent="0" bottom="0">
      <formula>MaliyetEsik</formula>
    </cfRule>
  </conditionalFormatting>
  <conditionalFormatting sqref="D479">
    <cfRule type="cellIs" rank="0" priority="1408" equalAverage="0" operator="lessThan" aboveAverage="0" dxfId="10" text="" percent="0" bottom="0">
      <formula>18</formula>
    </cfRule>
  </conditionalFormatting>
  <conditionalFormatting sqref="B480">
    <cfRule type="cellIs" rank="0" priority="1409" equalAverage="0" operator="greaterThan" aboveAverage="0" dxfId="8" text="" percent="0" bottom="0">
      <formula>0</formula>
    </cfRule>
    <cfRule type="cellIs" rank="0" priority="1410" equalAverage="0" operator="lessThan" aboveAverage="0" dxfId="9" text="" percent="0" bottom="0">
      <formula>MaliyetEsik</formula>
    </cfRule>
  </conditionalFormatting>
  <conditionalFormatting sqref="D480">
    <cfRule type="cellIs" rank="0" priority="1411" equalAverage="0" operator="lessThan" aboveAverage="0" dxfId="10" text="" percent="0" bottom="0">
      <formula>18</formula>
    </cfRule>
  </conditionalFormatting>
  <conditionalFormatting sqref="B481">
    <cfRule type="cellIs" rank="0" priority="1412" equalAverage="0" operator="greaterThan" aboveAverage="0" dxfId="8" text="" percent="0" bottom="0">
      <formula>0</formula>
    </cfRule>
    <cfRule type="cellIs" rank="0" priority="1413" equalAverage="0" operator="lessThan" aboveAverage="0" dxfId="9" text="" percent="0" bottom="0">
      <formula>MaliyetEsik</formula>
    </cfRule>
  </conditionalFormatting>
  <conditionalFormatting sqref="D481">
    <cfRule type="cellIs" rank="0" priority="1414" equalAverage="0" operator="lessThan" aboveAverage="0" dxfId="10" text="" percent="0" bottom="0">
      <formula>18</formula>
    </cfRule>
  </conditionalFormatting>
  <conditionalFormatting sqref="B482">
    <cfRule type="cellIs" rank="0" priority="1415" equalAverage="0" operator="greaterThan" aboveAverage="0" dxfId="8" text="" percent="0" bottom="0">
      <formula>0</formula>
    </cfRule>
    <cfRule type="cellIs" rank="0" priority="1416" equalAverage="0" operator="lessThan" aboveAverage="0" dxfId="9" text="" percent="0" bottom="0">
      <formula>MaliyetEsik</formula>
    </cfRule>
  </conditionalFormatting>
  <conditionalFormatting sqref="D482">
    <cfRule type="cellIs" rank="0" priority="1417" equalAverage="0" operator="lessThan" aboveAverage="0" dxfId="10" text="" percent="0" bottom="0">
      <formula>18</formula>
    </cfRule>
  </conditionalFormatting>
  <conditionalFormatting sqref="B483">
    <cfRule type="cellIs" rank="0" priority="1418" equalAverage="0" operator="greaterThan" aboveAverage="0" dxfId="8" text="" percent="0" bottom="0">
      <formula>0</formula>
    </cfRule>
    <cfRule type="cellIs" rank="0" priority="1419" equalAverage="0" operator="lessThan" aboveAverage="0" dxfId="9" text="" percent="0" bottom="0">
      <formula>MaliyetEsik</formula>
    </cfRule>
  </conditionalFormatting>
  <conditionalFormatting sqref="D483">
    <cfRule type="cellIs" rank="0" priority="1420" equalAverage="0" operator="lessThan" aboveAverage="0" dxfId="10" text="" percent="0" bottom="0">
      <formula>18</formula>
    </cfRule>
  </conditionalFormatting>
  <conditionalFormatting sqref="B484">
    <cfRule type="cellIs" rank="0" priority="1421" equalAverage="0" operator="greaterThan" aboveAverage="0" dxfId="8" text="" percent="0" bottom="0">
      <formula>0</formula>
    </cfRule>
    <cfRule type="cellIs" rank="0" priority="1422" equalAverage="0" operator="lessThan" aboveAverage="0" dxfId="9" text="" percent="0" bottom="0">
      <formula>MaliyetEsik</formula>
    </cfRule>
  </conditionalFormatting>
  <conditionalFormatting sqref="D484">
    <cfRule type="cellIs" rank="0" priority="1423" equalAverage="0" operator="lessThan" aboveAverage="0" dxfId="10" text="" percent="0" bottom="0">
      <formula>18</formula>
    </cfRule>
  </conditionalFormatting>
  <conditionalFormatting sqref="B485">
    <cfRule type="cellIs" rank="0" priority="1424" equalAverage="0" operator="greaterThan" aboveAverage="0" dxfId="8" text="" percent="0" bottom="0">
      <formula>0</formula>
    </cfRule>
    <cfRule type="cellIs" rank="0" priority="1425" equalAverage="0" operator="lessThan" aboveAverage="0" dxfId="9" text="" percent="0" bottom="0">
      <formula>MaliyetEsik</formula>
    </cfRule>
  </conditionalFormatting>
  <conditionalFormatting sqref="D485">
    <cfRule type="cellIs" rank="0" priority="1426" equalAverage="0" operator="lessThan" aboveAverage="0" dxfId="10" text="" percent="0" bottom="0">
      <formula>18</formula>
    </cfRule>
  </conditionalFormatting>
  <conditionalFormatting sqref="B486">
    <cfRule type="cellIs" rank="0" priority="1427" equalAverage="0" operator="greaterThan" aboveAverage="0" dxfId="8" text="" percent="0" bottom="0">
      <formula>0</formula>
    </cfRule>
    <cfRule type="cellIs" rank="0" priority="1428" equalAverage="0" operator="lessThan" aboveAverage="0" dxfId="9" text="" percent="0" bottom="0">
      <formula>MaliyetEsik</formula>
    </cfRule>
  </conditionalFormatting>
  <conditionalFormatting sqref="D486">
    <cfRule type="cellIs" rank="0" priority="1429" equalAverage="0" operator="lessThan" aboveAverage="0" dxfId="10" text="" percent="0" bottom="0">
      <formula>18</formula>
    </cfRule>
  </conditionalFormatting>
  <conditionalFormatting sqref="B487">
    <cfRule type="cellIs" rank="0" priority="1430" equalAverage="0" operator="greaterThan" aboveAverage="0" dxfId="8" text="" percent="0" bottom="0">
      <formula>0</formula>
    </cfRule>
    <cfRule type="cellIs" rank="0" priority="1431" equalAverage="0" operator="lessThan" aboveAverage="0" dxfId="9" text="" percent="0" bottom="0">
      <formula>MaliyetEsik</formula>
    </cfRule>
  </conditionalFormatting>
  <conditionalFormatting sqref="D487">
    <cfRule type="cellIs" rank="0" priority="1432" equalAverage="0" operator="lessThan" aboveAverage="0" dxfId="10" text="" percent="0" bottom="0">
      <formula>18</formula>
    </cfRule>
  </conditionalFormatting>
  <conditionalFormatting sqref="B488">
    <cfRule type="cellIs" rank="0" priority="1433" equalAverage="0" operator="greaterThan" aboveAverage="0" dxfId="8" text="" percent="0" bottom="0">
      <formula>0</formula>
    </cfRule>
    <cfRule type="cellIs" rank="0" priority="1434" equalAverage="0" operator="lessThan" aboveAverage="0" dxfId="9" text="" percent="0" bottom="0">
      <formula>MaliyetEsik</formula>
    </cfRule>
  </conditionalFormatting>
  <conditionalFormatting sqref="D488">
    <cfRule type="cellIs" rank="0" priority="1435" equalAverage="0" operator="lessThan" aboveAverage="0" dxfId="10" text="" percent="0" bottom="0">
      <formula>18</formula>
    </cfRule>
  </conditionalFormatting>
  <conditionalFormatting sqref="B489">
    <cfRule type="cellIs" rank="0" priority="1436" equalAverage="0" operator="greaterThan" aboveAverage="0" dxfId="8" text="" percent="0" bottom="0">
      <formula>0</formula>
    </cfRule>
    <cfRule type="cellIs" rank="0" priority="1437" equalAverage="0" operator="lessThan" aboveAverage="0" dxfId="9" text="" percent="0" bottom="0">
      <formula>MaliyetEsik</formula>
    </cfRule>
  </conditionalFormatting>
  <conditionalFormatting sqref="D489">
    <cfRule type="cellIs" rank="0" priority="1438" equalAverage="0" operator="lessThan" aboveAverage="0" dxfId="10" text="" percent="0" bottom="0">
      <formula>18</formula>
    </cfRule>
  </conditionalFormatting>
  <conditionalFormatting sqref="B490">
    <cfRule type="cellIs" rank="0" priority="1439" equalAverage="0" operator="greaterThan" aboveAverage="0" dxfId="8" text="" percent="0" bottom="0">
      <formula>0</formula>
    </cfRule>
    <cfRule type="cellIs" rank="0" priority="1440" equalAverage="0" operator="lessThan" aboveAverage="0" dxfId="9" text="" percent="0" bottom="0">
      <formula>MaliyetEsik</formula>
    </cfRule>
  </conditionalFormatting>
  <conditionalFormatting sqref="D490">
    <cfRule type="cellIs" rank="0" priority="1441" equalAverage="0" operator="lessThan" aboveAverage="0" dxfId="10" text="" percent="0" bottom="0">
      <formula>18</formula>
    </cfRule>
  </conditionalFormatting>
  <conditionalFormatting sqref="B491">
    <cfRule type="cellIs" rank="0" priority="1442" equalAverage="0" operator="greaterThan" aboveAverage="0" dxfId="8" text="" percent="0" bottom="0">
      <formula>0</formula>
    </cfRule>
    <cfRule type="cellIs" rank="0" priority="1443" equalAverage="0" operator="lessThan" aboveAverage="0" dxfId="9" text="" percent="0" bottom="0">
      <formula>MaliyetEsik</formula>
    </cfRule>
  </conditionalFormatting>
  <conditionalFormatting sqref="D491">
    <cfRule type="cellIs" rank="0" priority="1444" equalAverage="0" operator="lessThan" aboveAverage="0" dxfId="10" text="" percent="0" bottom="0">
      <formula>18</formula>
    </cfRule>
  </conditionalFormatting>
  <conditionalFormatting sqref="B492">
    <cfRule type="cellIs" rank="0" priority="1445" equalAverage="0" operator="greaterThan" aboveAverage="0" dxfId="8" text="" percent="0" bottom="0">
      <formula>0</formula>
    </cfRule>
    <cfRule type="cellIs" rank="0" priority="1446" equalAverage="0" operator="lessThan" aboveAverage="0" dxfId="9" text="" percent="0" bottom="0">
      <formula>MaliyetEsik</formula>
    </cfRule>
  </conditionalFormatting>
  <conditionalFormatting sqref="D492">
    <cfRule type="cellIs" rank="0" priority="1447" equalAverage="0" operator="lessThan" aboveAverage="0" dxfId="10" text="" percent="0" bottom="0">
      <formula>18</formula>
    </cfRule>
  </conditionalFormatting>
  <conditionalFormatting sqref="B493">
    <cfRule type="cellIs" rank="0" priority="1448" equalAverage="0" operator="greaterThan" aboveAverage="0" dxfId="8" text="" percent="0" bottom="0">
      <formula>0</formula>
    </cfRule>
    <cfRule type="cellIs" rank="0" priority="1449" equalAverage="0" operator="lessThan" aboveAverage="0" dxfId="9" text="" percent="0" bottom="0">
      <formula>MaliyetEsik</formula>
    </cfRule>
  </conditionalFormatting>
  <conditionalFormatting sqref="D493">
    <cfRule type="cellIs" rank="0" priority="1450" equalAverage="0" operator="lessThan" aboveAverage="0" dxfId="10" text="" percent="0" bottom="0">
      <formula>18</formula>
    </cfRule>
  </conditionalFormatting>
  <conditionalFormatting sqref="B494">
    <cfRule type="cellIs" rank="0" priority="1451" equalAverage="0" operator="greaterThan" aboveAverage="0" dxfId="8" text="" percent="0" bottom="0">
      <formula>0</formula>
    </cfRule>
    <cfRule type="cellIs" rank="0" priority="1452" equalAverage="0" operator="lessThan" aboveAverage="0" dxfId="9" text="" percent="0" bottom="0">
      <formula>MaliyetEsik</formula>
    </cfRule>
  </conditionalFormatting>
  <conditionalFormatting sqref="D494">
    <cfRule type="cellIs" rank="0" priority="1453" equalAverage="0" operator="lessThan" aboveAverage="0" dxfId="10" text="" percent="0" bottom="0">
      <formula>18</formula>
    </cfRule>
  </conditionalFormatting>
  <conditionalFormatting sqref="B495">
    <cfRule type="cellIs" rank="0" priority="1454" equalAverage="0" operator="greaterThan" aboveAverage="0" dxfId="8" text="" percent="0" bottom="0">
      <formula>0</formula>
    </cfRule>
    <cfRule type="cellIs" rank="0" priority="1455" equalAverage="0" operator="lessThan" aboveAverage="0" dxfId="9" text="" percent="0" bottom="0">
      <formula>MaliyetEsik</formula>
    </cfRule>
  </conditionalFormatting>
  <conditionalFormatting sqref="D495">
    <cfRule type="cellIs" rank="0" priority="1456" equalAverage="0" operator="lessThan" aboveAverage="0" dxfId="10" text="" percent="0" bottom="0">
      <formula>18</formula>
    </cfRule>
  </conditionalFormatting>
  <conditionalFormatting sqref="B496">
    <cfRule type="cellIs" rank="0" priority="1457" equalAverage="0" operator="greaterThan" aboveAverage="0" dxfId="8" text="" percent="0" bottom="0">
      <formula>0</formula>
    </cfRule>
    <cfRule type="cellIs" rank="0" priority="1458" equalAverage="0" operator="lessThan" aboveAverage="0" dxfId="9" text="" percent="0" bottom="0">
      <formula>MaliyetEsik</formula>
    </cfRule>
  </conditionalFormatting>
  <conditionalFormatting sqref="D496">
    <cfRule type="cellIs" rank="0" priority="1459" equalAverage="0" operator="lessThan" aboveAverage="0" dxfId="10" text="" percent="0" bottom="0">
      <formula>18</formula>
    </cfRule>
  </conditionalFormatting>
  <conditionalFormatting sqref="B497">
    <cfRule type="cellIs" rank="0" priority="1460" equalAverage="0" operator="greaterThan" aboveAverage="0" dxfId="8" text="" percent="0" bottom="0">
      <formula>0</formula>
    </cfRule>
    <cfRule type="cellIs" rank="0" priority="1461" equalAverage="0" operator="lessThan" aboveAverage="0" dxfId="9" text="" percent="0" bottom="0">
      <formula>MaliyetEsik</formula>
    </cfRule>
  </conditionalFormatting>
  <conditionalFormatting sqref="D497">
    <cfRule type="cellIs" rank="0" priority="1462" equalAverage="0" operator="lessThan" aboveAverage="0" dxfId="10" text="" percent="0" bottom="0">
      <formula>18</formula>
    </cfRule>
  </conditionalFormatting>
  <conditionalFormatting sqref="B498">
    <cfRule type="cellIs" rank="0" priority="1463" equalAverage="0" operator="greaterThan" aboveAverage="0" dxfId="8" text="" percent="0" bottom="0">
      <formula>0</formula>
    </cfRule>
    <cfRule type="cellIs" rank="0" priority="1464" equalAverage="0" operator="lessThan" aboveAverage="0" dxfId="9" text="" percent="0" bottom="0">
      <formula>MaliyetEsik</formula>
    </cfRule>
  </conditionalFormatting>
  <conditionalFormatting sqref="D498">
    <cfRule type="cellIs" rank="0" priority="1465" equalAverage="0" operator="lessThan" aboveAverage="0" dxfId="10" text="" percent="0" bottom="0">
      <formula>18</formula>
    </cfRule>
  </conditionalFormatting>
  <conditionalFormatting sqref="B499">
    <cfRule type="cellIs" rank="0" priority="1466" equalAverage="0" operator="greaterThan" aboveAverage="0" dxfId="8" text="" percent="0" bottom="0">
      <formula>0</formula>
    </cfRule>
    <cfRule type="cellIs" rank="0" priority="1467" equalAverage="0" operator="lessThan" aboveAverage="0" dxfId="9" text="" percent="0" bottom="0">
      <formula>MaliyetEsik</formula>
    </cfRule>
  </conditionalFormatting>
  <conditionalFormatting sqref="D499">
    <cfRule type="cellIs" rank="0" priority="1468" equalAverage="0" operator="lessThan" aboveAverage="0" dxfId="10" text="" percent="0" bottom="0">
      <formula>18</formula>
    </cfRule>
  </conditionalFormatting>
  <conditionalFormatting sqref="B500">
    <cfRule type="cellIs" rank="0" priority="1469" equalAverage="0" operator="greaterThan" aboveAverage="0" dxfId="8" text="" percent="0" bottom="0">
      <formula>0</formula>
    </cfRule>
    <cfRule type="cellIs" rank="0" priority="1470" equalAverage="0" operator="lessThan" aboveAverage="0" dxfId="9" text="" percent="0" bottom="0">
      <formula>MaliyetEsik</formula>
    </cfRule>
  </conditionalFormatting>
  <conditionalFormatting sqref="D500">
    <cfRule type="cellIs" rank="0" priority="1471" equalAverage="0" operator="lessThan" aboveAverage="0" dxfId="10" text="" percent="0" bottom="0">
      <formula>18</formula>
    </cfRule>
  </conditionalFormatting>
  <conditionalFormatting sqref="B501">
    <cfRule type="cellIs" rank="0" priority="1472" equalAverage="0" operator="greaterThan" aboveAverage="0" dxfId="8" text="" percent="0" bottom="0">
      <formula>0</formula>
    </cfRule>
    <cfRule type="cellIs" rank="0" priority="1473" equalAverage="0" operator="lessThan" aboveAverage="0" dxfId="9" text="" percent="0" bottom="0">
      <formula>MaliyetEsik</formula>
    </cfRule>
  </conditionalFormatting>
  <conditionalFormatting sqref="D501">
    <cfRule type="cellIs" rank="0" priority="1474" equalAverage="0" operator="lessThan" aboveAverage="0" dxfId="10" text="" percent="0" bottom="0">
      <formula>18</formula>
    </cfRule>
  </conditionalFormatting>
  <conditionalFormatting sqref="B502">
    <cfRule type="cellIs" rank="0" priority="1475" equalAverage="0" operator="greaterThan" aboveAverage="0" dxfId="8" text="" percent="0" bottom="0">
      <formula>0</formula>
    </cfRule>
    <cfRule type="cellIs" rank="0" priority="1476" equalAverage="0" operator="lessThan" aboveAverage="0" dxfId="9" text="" percent="0" bottom="0">
      <formula>MaliyetEsik</formula>
    </cfRule>
  </conditionalFormatting>
  <conditionalFormatting sqref="D502">
    <cfRule type="cellIs" rank="0" priority="1477" equalAverage="0" operator="lessThan" aboveAverage="0" dxfId="10" text="" percent="0" bottom="0">
      <formula>18</formula>
    </cfRule>
  </conditionalFormatting>
  <conditionalFormatting sqref="B503">
    <cfRule type="cellIs" rank="0" priority="1478" equalAverage="0" operator="greaterThan" aboveAverage="0" dxfId="8" text="" percent="0" bottom="0">
      <formula>0</formula>
    </cfRule>
    <cfRule type="cellIs" rank="0" priority="1479" equalAverage="0" operator="lessThan" aboveAverage="0" dxfId="9" text="" percent="0" bottom="0">
      <formula>MaliyetEsik</formula>
    </cfRule>
  </conditionalFormatting>
  <conditionalFormatting sqref="D503">
    <cfRule type="cellIs" rank="0" priority="1480" equalAverage="0" operator="lessThan" aboveAverage="0" dxfId="10" text="" percent="0" bottom="0">
      <formula>18</formula>
    </cfRule>
  </conditionalFormatting>
  <conditionalFormatting sqref="B504">
    <cfRule type="cellIs" rank="0" priority="1481" equalAverage="0" operator="greaterThan" aboveAverage="0" dxfId="8" text="" percent="0" bottom="0">
      <formula>0</formula>
    </cfRule>
    <cfRule type="cellIs" rank="0" priority="1482" equalAverage="0" operator="lessThan" aboveAverage="0" dxfId="9" text="" percent="0" bottom="0">
      <formula>MaliyetEsik</formula>
    </cfRule>
  </conditionalFormatting>
  <conditionalFormatting sqref="D504">
    <cfRule type="cellIs" rank="0" priority="1483" equalAverage="0" operator="lessThan" aboveAverage="0" dxfId="10" text="" percent="0" bottom="0">
      <formula>18</formula>
    </cfRule>
  </conditionalFormatting>
  <conditionalFormatting sqref="B505">
    <cfRule type="cellIs" rank="0" priority="1484" equalAverage="0" operator="greaterThan" aboveAverage="0" dxfId="8" text="" percent="0" bottom="0">
      <formula>0</formula>
    </cfRule>
    <cfRule type="cellIs" rank="0" priority="1485" equalAverage="0" operator="lessThan" aboveAverage="0" dxfId="9" text="" percent="0" bottom="0">
      <formula>MaliyetEsik</formula>
    </cfRule>
  </conditionalFormatting>
  <conditionalFormatting sqref="D505">
    <cfRule type="cellIs" rank="0" priority="1486" equalAverage="0" operator="lessThan" aboveAverage="0" dxfId="10" text="" percent="0" bottom="0">
      <formula>18</formula>
    </cfRule>
  </conditionalFormatting>
  <conditionalFormatting sqref="B506">
    <cfRule type="cellIs" rank="0" priority="1487" equalAverage="0" operator="greaterThan" aboveAverage="0" dxfId="8" text="" percent="0" bottom="0">
      <formula>0</formula>
    </cfRule>
    <cfRule type="cellIs" rank="0" priority="1488" equalAverage="0" operator="lessThan" aboveAverage="0" dxfId="9" text="" percent="0" bottom="0">
      <formula>MaliyetEsik</formula>
    </cfRule>
  </conditionalFormatting>
  <conditionalFormatting sqref="D506">
    <cfRule type="cellIs" rank="0" priority="1489" equalAverage="0" operator="lessThan" aboveAverage="0" dxfId="10" text="" percent="0" bottom="0">
      <formula>18</formula>
    </cfRule>
  </conditionalFormatting>
  <conditionalFormatting sqref="B507">
    <cfRule type="cellIs" rank="0" priority="1490" equalAverage="0" operator="greaterThan" aboveAverage="0" dxfId="8" text="" percent="0" bottom="0">
      <formula>0</formula>
    </cfRule>
    <cfRule type="cellIs" rank="0" priority="1491" equalAverage="0" operator="lessThan" aboveAverage="0" dxfId="9" text="" percent="0" bottom="0">
      <formula>MaliyetEsik</formula>
    </cfRule>
  </conditionalFormatting>
  <conditionalFormatting sqref="D507">
    <cfRule type="cellIs" rank="0" priority="1492" equalAverage="0" operator="lessThan" aboveAverage="0" dxfId="10" text="" percent="0" bottom="0">
      <formula>18</formula>
    </cfRule>
  </conditionalFormatting>
  <conditionalFormatting sqref="B508">
    <cfRule type="cellIs" rank="0" priority="1493" equalAverage="0" operator="greaterThan" aboveAverage="0" dxfId="8" text="" percent="0" bottom="0">
      <formula>0</formula>
    </cfRule>
    <cfRule type="cellIs" rank="0" priority="1494" equalAverage="0" operator="lessThan" aboveAverage="0" dxfId="9" text="" percent="0" bottom="0">
      <formula>MaliyetEsik</formula>
    </cfRule>
  </conditionalFormatting>
  <conditionalFormatting sqref="D508">
    <cfRule type="cellIs" rank="0" priority="1495" equalAverage="0" operator="lessThan" aboveAverage="0" dxfId="10" text="" percent="0" bottom="0">
      <formula>18</formula>
    </cfRule>
  </conditionalFormatting>
  <conditionalFormatting sqref="B509">
    <cfRule type="cellIs" rank="0" priority="1496" equalAverage="0" operator="greaterThan" aboveAverage="0" dxfId="8" text="" percent="0" bottom="0">
      <formula>0</formula>
    </cfRule>
    <cfRule type="cellIs" rank="0" priority="1497" equalAverage="0" operator="lessThan" aboveAverage="0" dxfId="9" text="" percent="0" bottom="0">
      <formula>MaliyetEsik</formula>
    </cfRule>
  </conditionalFormatting>
  <conditionalFormatting sqref="D509">
    <cfRule type="cellIs" rank="0" priority="1498" equalAverage="0" operator="lessThan" aboveAverage="0" dxfId="10" text="" percent="0" bottom="0">
      <formula>18</formula>
    </cfRule>
  </conditionalFormatting>
  <conditionalFormatting sqref="B510">
    <cfRule type="cellIs" rank="0" priority="1499" equalAverage="0" operator="greaterThan" aboveAverage="0" dxfId="8" text="" percent="0" bottom="0">
      <formula>0</formula>
    </cfRule>
    <cfRule type="cellIs" rank="0" priority="1500" equalAverage="0" operator="lessThan" aboveAverage="0" dxfId="9" text="" percent="0" bottom="0">
      <formula>MaliyetEsik</formula>
    </cfRule>
  </conditionalFormatting>
  <conditionalFormatting sqref="D510">
    <cfRule type="cellIs" rank="0" priority="1501" equalAverage="0" operator="lessThan" aboveAverage="0" dxfId="10" text="" percent="0" bottom="0">
      <formula>18</formula>
    </cfRule>
  </conditionalFormatting>
  <conditionalFormatting sqref="B511">
    <cfRule type="cellIs" rank="0" priority="1502" equalAverage="0" operator="greaterThan" aboveAverage="0" dxfId="8" text="" percent="0" bottom="0">
      <formula>0</formula>
    </cfRule>
    <cfRule type="cellIs" rank="0" priority="1503" equalAverage="0" operator="lessThan" aboveAverage="0" dxfId="9" text="" percent="0" bottom="0">
      <formula>MaliyetEsik</formula>
    </cfRule>
  </conditionalFormatting>
  <conditionalFormatting sqref="D511">
    <cfRule type="cellIs" rank="0" priority="1504" equalAverage="0" operator="lessThan" aboveAverage="0" dxfId="10" text="" percent="0" bottom="0">
      <formula>18</formula>
    </cfRule>
  </conditionalFormatting>
  <conditionalFormatting sqref="B512">
    <cfRule type="cellIs" rank="0" priority="1505" equalAverage="0" operator="greaterThan" aboveAverage="0" dxfId="8" text="" percent="0" bottom="0">
      <formula>0</formula>
    </cfRule>
    <cfRule type="cellIs" rank="0" priority="1506" equalAverage="0" operator="lessThan" aboveAverage="0" dxfId="9" text="" percent="0" bottom="0">
      <formula>MaliyetEsik</formula>
    </cfRule>
  </conditionalFormatting>
  <conditionalFormatting sqref="D512">
    <cfRule type="cellIs" rank="0" priority="1507" equalAverage="0" operator="lessThan" aboveAverage="0" dxfId="10" text="" percent="0" bottom="0">
      <formula>18</formula>
    </cfRule>
  </conditionalFormatting>
  <conditionalFormatting sqref="B513">
    <cfRule type="cellIs" rank="0" priority="1508" equalAverage="0" operator="greaterThan" aboveAverage="0" dxfId="8" text="" percent="0" bottom="0">
      <formula>0</formula>
    </cfRule>
    <cfRule type="cellIs" rank="0" priority="1509" equalAverage="0" operator="lessThan" aboveAverage="0" dxfId="9" text="" percent="0" bottom="0">
      <formula>MaliyetEsik</formula>
    </cfRule>
  </conditionalFormatting>
  <conditionalFormatting sqref="D513">
    <cfRule type="cellIs" rank="0" priority="1510" equalAverage="0" operator="lessThan" aboveAverage="0" dxfId="10" text="" percent="0" bottom="0">
      <formula>18</formula>
    </cfRule>
  </conditionalFormatting>
  <conditionalFormatting sqref="B514">
    <cfRule type="cellIs" rank="0" priority="1511" equalAverage="0" operator="greaterThan" aboveAverage="0" dxfId="8" text="" percent="0" bottom="0">
      <formula>0</formula>
    </cfRule>
    <cfRule type="cellIs" rank="0" priority="1512" equalAverage="0" operator="lessThan" aboveAverage="0" dxfId="9" text="" percent="0" bottom="0">
      <formula>MaliyetEsik</formula>
    </cfRule>
  </conditionalFormatting>
  <conditionalFormatting sqref="D514">
    <cfRule type="cellIs" rank="0" priority="1513" equalAverage="0" operator="lessThan" aboveAverage="0" dxfId="10" text="" percent="0" bottom="0">
      <formula>18</formula>
    </cfRule>
  </conditionalFormatting>
  <conditionalFormatting sqref="B515">
    <cfRule type="cellIs" rank="0" priority="1514" equalAverage="0" operator="greaterThan" aboveAverage="0" dxfId="8" text="" percent="0" bottom="0">
      <formula>0</formula>
    </cfRule>
    <cfRule type="cellIs" rank="0" priority="1515" equalAverage="0" operator="lessThan" aboveAverage="0" dxfId="9" text="" percent="0" bottom="0">
      <formula>MaliyetEsik</formula>
    </cfRule>
  </conditionalFormatting>
  <conditionalFormatting sqref="D515">
    <cfRule type="cellIs" rank="0" priority="1516" equalAverage="0" operator="lessThan" aboveAverage="0" dxfId="10" text="" percent="0" bottom="0">
      <formula>18</formula>
    </cfRule>
  </conditionalFormatting>
  <conditionalFormatting sqref="B516">
    <cfRule type="cellIs" rank="0" priority="1517" equalAverage="0" operator="greaterThan" aboveAverage="0" dxfId="8" text="" percent="0" bottom="0">
      <formula>0</formula>
    </cfRule>
    <cfRule type="cellIs" rank="0" priority="1518" equalAverage="0" operator="lessThan" aboveAverage="0" dxfId="9" text="" percent="0" bottom="0">
      <formula>MaliyetEsik</formula>
    </cfRule>
  </conditionalFormatting>
  <conditionalFormatting sqref="D516">
    <cfRule type="cellIs" rank="0" priority="1519" equalAverage="0" operator="lessThan" aboveAverage="0" dxfId="10" text="" percent="0" bottom="0">
      <formula>18</formula>
    </cfRule>
  </conditionalFormatting>
  <conditionalFormatting sqref="B517">
    <cfRule type="cellIs" rank="0" priority="1520" equalAverage="0" operator="greaterThan" aboveAverage="0" dxfId="8" text="" percent="0" bottom="0">
      <formula>0</formula>
    </cfRule>
    <cfRule type="cellIs" rank="0" priority="1521" equalAverage="0" operator="lessThan" aboveAverage="0" dxfId="9" text="" percent="0" bottom="0">
      <formula>MaliyetEsik</formula>
    </cfRule>
  </conditionalFormatting>
  <conditionalFormatting sqref="D517">
    <cfRule type="cellIs" rank="0" priority="1522" equalAverage="0" operator="lessThan" aboveAverage="0" dxfId="10" text="" percent="0" bottom="0">
      <formula>18</formula>
    </cfRule>
  </conditionalFormatting>
  <conditionalFormatting sqref="B518">
    <cfRule type="cellIs" rank="0" priority="1523" equalAverage="0" operator="greaterThan" aboveAverage="0" dxfId="8" text="" percent="0" bottom="0">
      <formula>0</formula>
    </cfRule>
    <cfRule type="cellIs" rank="0" priority="1524" equalAverage="0" operator="lessThan" aboveAverage="0" dxfId="9" text="" percent="0" bottom="0">
      <formula>MaliyetEsik</formula>
    </cfRule>
  </conditionalFormatting>
  <conditionalFormatting sqref="D518">
    <cfRule type="cellIs" rank="0" priority="1525" equalAverage="0" operator="lessThan" aboveAverage="0" dxfId="10" text="" percent="0" bottom="0">
      <formula>18</formula>
    </cfRule>
  </conditionalFormatting>
  <conditionalFormatting sqref="B519">
    <cfRule type="cellIs" rank="0" priority="1526" equalAverage="0" operator="greaterThan" aboveAverage="0" dxfId="8" text="" percent="0" bottom="0">
      <formula>0</formula>
    </cfRule>
    <cfRule type="cellIs" rank="0" priority="1527" equalAverage="0" operator="lessThan" aboveAverage="0" dxfId="9" text="" percent="0" bottom="0">
      <formula>MaliyetEsik</formula>
    </cfRule>
  </conditionalFormatting>
  <conditionalFormatting sqref="D519">
    <cfRule type="cellIs" rank="0" priority="1528" equalAverage="0" operator="lessThan" aboveAverage="0" dxfId="10" text="" percent="0" bottom="0">
      <formula>18</formula>
    </cfRule>
  </conditionalFormatting>
  <conditionalFormatting sqref="B520">
    <cfRule type="cellIs" rank="0" priority="1529" equalAverage="0" operator="greaterThan" aboveAverage="0" dxfId="8" text="" percent="0" bottom="0">
      <formula>0</formula>
    </cfRule>
    <cfRule type="cellIs" rank="0" priority="1530" equalAverage="0" operator="lessThan" aboveAverage="0" dxfId="9" text="" percent="0" bottom="0">
      <formula>MaliyetEsik</formula>
    </cfRule>
  </conditionalFormatting>
  <conditionalFormatting sqref="D520">
    <cfRule type="cellIs" rank="0" priority="1531" equalAverage="0" operator="lessThan" aboveAverage="0" dxfId="10" text="" percent="0" bottom="0">
      <formula>18</formula>
    </cfRule>
  </conditionalFormatting>
  <conditionalFormatting sqref="B521">
    <cfRule type="cellIs" rank="0" priority="1532" equalAverage="0" operator="greaterThan" aboveAverage="0" dxfId="8" text="" percent="0" bottom="0">
      <formula>0</formula>
    </cfRule>
    <cfRule type="cellIs" rank="0" priority="1533" equalAverage="0" operator="lessThan" aboveAverage="0" dxfId="9" text="" percent="0" bottom="0">
      <formula>MaliyetEsik</formula>
    </cfRule>
  </conditionalFormatting>
  <conditionalFormatting sqref="D521">
    <cfRule type="cellIs" rank="0" priority="1534" equalAverage="0" operator="lessThan" aboveAverage="0" dxfId="10" text="" percent="0" bottom="0">
      <formula>18</formula>
    </cfRule>
  </conditionalFormatting>
  <conditionalFormatting sqref="B522">
    <cfRule type="cellIs" rank="0" priority="1535" equalAverage="0" operator="greaterThan" aboveAverage="0" dxfId="8" text="" percent="0" bottom="0">
      <formula>0</formula>
    </cfRule>
    <cfRule type="cellIs" rank="0" priority="1536" equalAverage="0" operator="lessThan" aboveAverage="0" dxfId="9" text="" percent="0" bottom="0">
      <formula>MaliyetEsik</formula>
    </cfRule>
  </conditionalFormatting>
  <conditionalFormatting sqref="D522">
    <cfRule type="cellIs" rank="0" priority="1537" equalAverage="0" operator="lessThan" aboveAverage="0" dxfId="10" text="" percent="0" bottom="0">
      <formula>18</formula>
    </cfRule>
  </conditionalFormatting>
  <conditionalFormatting sqref="B523">
    <cfRule type="cellIs" rank="0" priority="1538" equalAverage="0" operator="greaterThan" aboveAverage="0" dxfId="8" text="" percent="0" bottom="0">
      <formula>0</formula>
    </cfRule>
    <cfRule type="cellIs" rank="0" priority="1539" equalAverage="0" operator="lessThan" aboveAverage="0" dxfId="9" text="" percent="0" bottom="0">
      <formula>MaliyetEsik</formula>
    </cfRule>
  </conditionalFormatting>
  <conditionalFormatting sqref="D523">
    <cfRule type="cellIs" rank="0" priority="1540" equalAverage="0" operator="lessThan" aboveAverage="0" dxfId="10" text="" percent="0" bottom="0">
      <formula>18</formula>
    </cfRule>
  </conditionalFormatting>
  <conditionalFormatting sqref="B524">
    <cfRule type="cellIs" rank="0" priority="1541" equalAverage="0" operator="greaterThan" aboveAverage="0" dxfId="8" text="" percent="0" bottom="0">
      <formula>0</formula>
    </cfRule>
    <cfRule type="cellIs" rank="0" priority="1542" equalAverage="0" operator="lessThan" aboveAverage="0" dxfId="9" text="" percent="0" bottom="0">
      <formula>MaliyetEsik</formula>
    </cfRule>
  </conditionalFormatting>
  <conditionalFormatting sqref="D524">
    <cfRule type="cellIs" rank="0" priority="1543" equalAverage="0" operator="lessThan" aboveAverage="0" dxfId="10" text="" percent="0" bottom="0">
      <formula>18</formula>
    </cfRule>
  </conditionalFormatting>
  <conditionalFormatting sqref="B525">
    <cfRule type="cellIs" rank="0" priority="1544" equalAverage="0" operator="greaterThan" aboveAverage="0" dxfId="8" text="" percent="0" bottom="0">
      <formula>0</formula>
    </cfRule>
    <cfRule type="cellIs" rank="0" priority="1545" equalAverage="0" operator="lessThan" aboveAverage="0" dxfId="9" text="" percent="0" bottom="0">
      <formula>MaliyetEsik</formula>
    </cfRule>
  </conditionalFormatting>
  <conditionalFormatting sqref="D525">
    <cfRule type="cellIs" rank="0" priority="1546" equalAverage="0" operator="lessThan" aboveAverage="0" dxfId="10" text="" percent="0" bottom="0">
      <formula>18</formula>
    </cfRule>
  </conditionalFormatting>
  <conditionalFormatting sqref="B526">
    <cfRule type="cellIs" rank="0" priority="1547" equalAverage="0" operator="greaterThan" aboveAverage="0" dxfId="8" text="" percent="0" bottom="0">
      <formula>0</formula>
    </cfRule>
    <cfRule type="cellIs" rank="0" priority="1548" equalAverage="0" operator="lessThan" aboveAverage="0" dxfId="9" text="" percent="0" bottom="0">
      <formula>MaliyetEsik</formula>
    </cfRule>
  </conditionalFormatting>
  <conditionalFormatting sqref="D526">
    <cfRule type="cellIs" rank="0" priority="1549" equalAverage="0" operator="lessThan" aboveAverage="0" dxfId="10" text="" percent="0" bottom="0">
      <formula>18</formula>
    </cfRule>
  </conditionalFormatting>
  <conditionalFormatting sqref="B527">
    <cfRule type="cellIs" rank="0" priority="1550" equalAverage="0" operator="greaterThan" aboveAverage="0" dxfId="8" text="" percent="0" bottom="0">
      <formula>0</formula>
    </cfRule>
    <cfRule type="cellIs" rank="0" priority="1551" equalAverage="0" operator="lessThan" aboveAverage="0" dxfId="9" text="" percent="0" bottom="0">
      <formula>MaliyetEsik</formula>
    </cfRule>
  </conditionalFormatting>
  <conditionalFormatting sqref="D527">
    <cfRule type="cellIs" rank="0" priority="1552" equalAverage="0" operator="lessThan" aboveAverage="0" dxfId="10" text="" percent="0" bottom="0">
      <formula>18</formula>
    </cfRule>
  </conditionalFormatting>
  <conditionalFormatting sqref="B528">
    <cfRule type="cellIs" rank="0" priority="1553" equalAverage="0" operator="greaterThan" aboveAverage="0" dxfId="8" text="" percent="0" bottom="0">
      <formula>0</formula>
    </cfRule>
    <cfRule type="cellIs" rank="0" priority="1554" equalAverage="0" operator="lessThan" aboveAverage="0" dxfId="9" text="" percent="0" bottom="0">
      <formula>MaliyetEsik</formula>
    </cfRule>
  </conditionalFormatting>
  <conditionalFormatting sqref="D528">
    <cfRule type="cellIs" rank="0" priority="1555" equalAverage="0" operator="lessThan" aboveAverage="0" dxfId="10" text="" percent="0" bottom="0">
      <formula>18</formula>
    </cfRule>
  </conditionalFormatting>
  <conditionalFormatting sqref="B529">
    <cfRule type="cellIs" rank="0" priority="1556" equalAverage="0" operator="greaterThan" aboveAverage="0" dxfId="8" text="" percent="0" bottom="0">
      <formula>0</formula>
    </cfRule>
    <cfRule type="cellIs" rank="0" priority="1557" equalAverage="0" operator="lessThan" aboveAverage="0" dxfId="9" text="" percent="0" bottom="0">
      <formula>MaliyetEsik</formula>
    </cfRule>
  </conditionalFormatting>
  <conditionalFormatting sqref="D529">
    <cfRule type="cellIs" rank="0" priority="1558" equalAverage="0" operator="lessThan" aboveAverage="0" dxfId="10" text="" percent="0" bottom="0">
      <formula>18</formula>
    </cfRule>
  </conditionalFormatting>
  <conditionalFormatting sqref="B530">
    <cfRule type="cellIs" rank="0" priority="1559" equalAverage="0" operator="greaterThan" aboveAverage="0" dxfId="8" text="" percent="0" bottom="0">
      <formula>0</formula>
    </cfRule>
    <cfRule type="cellIs" rank="0" priority="1560" equalAverage="0" operator="lessThan" aboveAverage="0" dxfId="9" text="" percent="0" bottom="0">
      <formula>MaliyetEsik</formula>
    </cfRule>
  </conditionalFormatting>
  <conditionalFormatting sqref="D530">
    <cfRule type="cellIs" rank="0" priority="1561" equalAverage="0" operator="lessThan" aboveAverage="0" dxfId="10" text="" percent="0" bottom="0">
      <formula>18</formula>
    </cfRule>
  </conditionalFormatting>
  <conditionalFormatting sqref="B531">
    <cfRule type="cellIs" rank="0" priority="1562" equalAverage="0" operator="greaterThan" aboveAverage="0" dxfId="8" text="" percent="0" bottom="0">
      <formula>0</formula>
    </cfRule>
    <cfRule type="cellIs" rank="0" priority="1563" equalAverage="0" operator="lessThan" aboveAverage="0" dxfId="9" text="" percent="0" bottom="0">
      <formula>MaliyetEsik</formula>
    </cfRule>
  </conditionalFormatting>
  <conditionalFormatting sqref="D531">
    <cfRule type="cellIs" rank="0" priority="1564" equalAverage="0" operator="lessThan" aboveAverage="0" dxfId="10" text="" percent="0" bottom="0">
      <formula>18</formula>
    </cfRule>
  </conditionalFormatting>
  <conditionalFormatting sqref="B532">
    <cfRule type="cellIs" rank="0" priority="1565" equalAverage="0" operator="greaterThan" aboveAverage="0" dxfId="8" text="" percent="0" bottom="0">
      <formula>0</formula>
    </cfRule>
    <cfRule type="cellIs" rank="0" priority="1566" equalAverage="0" operator="lessThan" aboveAverage="0" dxfId="9" text="" percent="0" bottom="0">
      <formula>MaliyetEsik</formula>
    </cfRule>
  </conditionalFormatting>
  <conditionalFormatting sqref="D532">
    <cfRule type="cellIs" rank="0" priority="1567" equalAverage="0" operator="lessThan" aboveAverage="0" dxfId="10" text="" percent="0" bottom="0">
      <formula>18</formula>
    </cfRule>
  </conditionalFormatting>
  <conditionalFormatting sqref="B533">
    <cfRule type="cellIs" rank="0" priority="1568" equalAverage="0" operator="greaterThan" aboveAverage="0" dxfId="8" text="" percent="0" bottom="0">
      <formula>0</formula>
    </cfRule>
    <cfRule type="cellIs" rank="0" priority="1569" equalAverage="0" operator="lessThan" aboveAverage="0" dxfId="9" text="" percent="0" bottom="0">
      <formula>MaliyetEsik</formula>
    </cfRule>
  </conditionalFormatting>
  <conditionalFormatting sqref="D533">
    <cfRule type="cellIs" rank="0" priority="1570" equalAverage="0" operator="lessThan" aboveAverage="0" dxfId="10" text="" percent="0" bottom="0">
      <formula>18</formula>
    </cfRule>
  </conditionalFormatting>
  <conditionalFormatting sqref="B534">
    <cfRule type="cellIs" rank="0" priority="1571" equalAverage="0" operator="greaterThan" aboveAverage="0" dxfId="8" text="" percent="0" bottom="0">
      <formula>0</formula>
    </cfRule>
    <cfRule type="cellIs" rank="0" priority="1572" equalAverage="0" operator="lessThan" aboveAverage="0" dxfId="9" text="" percent="0" bottom="0">
      <formula>MaliyetEsik</formula>
    </cfRule>
  </conditionalFormatting>
  <conditionalFormatting sqref="D534">
    <cfRule type="cellIs" rank="0" priority="1573" equalAverage="0" operator="lessThan" aboveAverage="0" dxfId="10" text="" percent="0" bottom="0">
      <formula>18</formula>
    </cfRule>
  </conditionalFormatting>
  <conditionalFormatting sqref="B535">
    <cfRule type="cellIs" rank="0" priority="1574" equalAverage="0" operator="greaterThan" aboveAverage="0" dxfId="8" text="" percent="0" bottom="0">
      <formula>0</formula>
    </cfRule>
    <cfRule type="cellIs" rank="0" priority="1575" equalAverage="0" operator="lessThan" aboveAverage="0" dxfId="9" text="" percent="0" bottom="0">
      <formula>MaliyetEsik</formula>
    </cfRule>
  </conditionalFormatting>
  <conditionalFormatting sqref="D535">
    <cfRule type="cellIs" rank="0" priority="1576" equalAverage="0" operator="lessThan" aboveAverage="0" dxfId="10" text="" percent="0" bottom="0">
      <formula>18</formula>
    </cfRule>
  </conditionalFormatting>
  <conditionalFormatting sqref="B536">
    <cfRule type="cellIs" rank="0" priority="1577" equalAverage="0" operator="greaterThan" aboveAverage="0" dxfId="8" text="" percent="0" bottom="0">
      <formula>0</formula>
    </cfRule>
    <cfRule type="cellIs" rank="0" priority="1578" equalAverage="0" operator="lessThan" aboveAverage="0" dxfId="9" text="" percent="0" bottom="0">
      <formula>MaliyetEsik</formula>
    </cfRule>
  </conditionalFormatting>
  <conditionalFormatting sqref="D536">
    <cfRule type="cellIs" rank="0" priority="1579" equalAverage="0" operator="lessThan" aboveAverage="0" dxfId="10" text="" percent="0" bottom="0">
      <formula>18</formula>
    </cfRule>
  </conditionalFormatting>
  <conditionalFormatting sqref="B537">
    <cfRule type="cellIs" rank="0" priority="1580" equalAverage="0" operator="greaterThan" aboveAverage="0" dxfId="8" text="" percent="0" bottom="0">
      <formula>0</formula>
    </cfRule>
    <cfRule type="cellIs" rank="0" priority="1581" equalAverage="0" operator="lessThan" aboveAverage="0" dxfId="9" text="" percent="0" bottom="0">
      <formula>MaliyetEsik</formula>
    </cfRule>
  </conditionalFormatting>
  <conditionalFormatting sqref="D537">
    <cfRule type="cellIs" rank="0" priority="1582" equalAverage="0" operator="lessThan" aboveAverage="0" dxfId="10" text="" percent="0" bottom="0">
      <formula>18</formula>
    </cfRule>
  </conditionalFormatting>
  <conditionalFormatting sqref="B538">
    <cfRule type="cellIs" rank="0" priority="1583" equalAverage="0" operator="greaterThan" aboveAverage="0" dxfId="8" text="" percent="0" bottom="0">
      <formula>0</formula>
    </cfRule>
    <cfRule type="cellIs" rank="0" priority="1584" equalAverage="0" operator="lessThan" aboveAverage="0" dxfId="9" text="" percent="0" bottom="0">
      <formula>MaliyetEsik</formula>
    </cfRule>
  </conditionalFormatting>
  <conditionalFormatting sqref="D538">
    <cfRule type="cellIs" rank="0" priority="1585" equalAverage="0" operator="lessThan" aboveAverage="0" dxfId="10" text="" percent="0" bottom="0">
      <formula>18</formula>
    </cfRule>
  </conditionalFormatting>
  <conditionalFormatting sqref="B539">
    <cfRule type="cellIs" rank="0" priority="1586" equalAverage="0" operator="greaterThan" aboveAverage="0" dxfId="8" text="" percent="0" bottom="0">
      <formula>0</formula>
    </cfRule>
    <cfRule type="cellIs" rank="0" priority="1587" equalAverage="0" operator="lessThan" aboveAverage="0" dxfId="9" text="" percent="0" bottom="0">
      <formula>MaliyetEsik</formula>
    </cfRule>
  </conditionalFormatting>
  <conditionalFormatting sqref="D539">
    <cfRule type="cellIs" rank="0" priority="1588" equalAverage="0" operator="lessThan" aboveAverage="0" dxfId="10" text="" percent="0" bottom="0">
      <formula>18</formula>
    </cfRule>
  </conditionalFormatting>
  <conditionalFormatting sqref="B540">
    <cfRule type="cellIs" rank="0" priority="1589" equalAverage="0" operator="greaterThan" aboveAverage="0" dxfId="8" text="" percent="0" bottom="0">
      <formula>0</formula>
    </cfRule>
    <cfRule type="cellIs" rank="0" priority="1590" equalAverage="0" operator="lessThan" aboveAverage="0" dxfId="9" text="" percent="0" bottom="0">
      <formula>MaliyetEsik</formula>
    </cfRule>
  </conditionalFormatting>
  <conditionalFormatting sqref="D540">
    <cfRule type="cellIs" rank="0" priority="1591" equalAverage="0" operator="lessThan" aboveAverage="0" dxfId="10" text="" percent="0" bottom="0">
      <formula>18</formula>
    </cfRule>
  </conditionalFormatting>
  <conditionalFormatting sqref="B541">
    <cfRule type="cellIs" rank="0" priority="1592" equalAverage="0" operator="greaterThan" aboveAverage="0" dxfId="8" text="" percent="0" bottom="0">
      <formula>0</formula>
    </cfRule>
    <cfRule type="cellIs" rank="0" priority="1593" equalAverage="0" operator="lessThan" aboveAverage="0" dxfId="9" text="" percent="0" bottom="0">
      <formula>MaliyetEsik</formula>
    </cfRule>
  </conditionalFormatting>
  <conditionalFormatting sqref="D541">
    <cfRule type="cellIs" rank="0" priority="1594" equalAverage="0" operator="lessThan" aboveAverage="0" dxfId="10" text="" percent="0" bottom="0">
      <formula>18</formula>
    </cfRule>
  </conditionalFormatting>
  <conditionalFormatting sqref="B542">
    <cfRule type="cellIs" rank="0" priority="1595" equalAverage="0" operator="greaterThan" aboveAverage="0" dxfId="8" text="" percent="0" bottom="0">
      <formula>0</formula>
    </cfRule>
    <cfRule type="cellIs" rank="0" priority="1596" equalAverage="0" operator="lessThan" aboveAverage="0" dxfId="9" text="" percent="0" bottom="0">
      <formula>MaliyetEsik</formula>
    </cfRule>
  </conditionalFormatting>
  <conditionalFormatting sqref="D542">
    <cfRule type="cellIs" rank="0" priority="1597" equalAverage="0" operator="lessThan" aboveAverage="0" dxfId="10" text="" percent="0" bottom="0">
      <formula>18</formula>
    </cfRule>
  </conditionalFormatting>
  <conditionalFormatting sqref="B543">
    <cfRule type="cellIs" rank="0" priority="1598" equalAverage="0" operator="greaterThan" aboveAverage="0" dxfId="8" text="" percent="0" bottom="0">
      <formula>0</formula>
    </cfRule>
    <cfRule type="cellIs" rank="0" priority="1599" equalAverage="0" operator="lessThan" aboveAverage="0" dxfId="9" text="" percent="0" bottom="0">
      <formula>MaliyetEsik</formula>
    </cfRule>
  </conditionalFormatting>
  <conditionalFormatting sqref="D543">
    <cfRule type="cellIs" rank="0" priority="1600" equalAverage="0" operator="lessThan" aboveAverage="0" dxfId="10" text="" percent="0" bottom="0">
      <formula>18</formula>
    </cfRule>
  </conditionalFormatting>
  <conditionalFormatting sqref="B544">
    <cfRule type="cellIs" rank="0" priority="1601" equalAverage="0" operator="greaterThan" aboveAverage="0" dxfId="8" text="" percent="0" bottom="0">
      <formula>0</formula>
    </cfRule>
    <cfRule type="cellIs" rank="0" priority="1602" equalAverage="0" operator="lessThan" aboveAverage="0" dxfId="9" text="" percent="0" bottom="0">
      <formula>MaliyetEsik</formula>
    </cfRule>
  </conditionalFormatting>
  <conditionalFormatting sqref="D544">
    <cfRule type="cellIs" rank="0" priority="1603" equalAverage="0" operator="lessThan" aboveAverage="0" dxfId="10" text="" percent="0" bottom="0">
      <formula>18</formula>
    </cfRule>
  </conditionalFormatting>
  <conditionalFormatting sqref="B545">
    <cfRule type="cellIs" rank="0" priority="1604" equalAverage="0" operator="greaterThan" aboveAverage="0" dxfId="8" text="" percent="0" bottom="0">
      <formula>0</formula>
    </cfRule>
    <cfRule type="cellIs" rank="0" priority="1605" equalAverage="0" operator="lessThan" aboveAverage="0" dxfId="9" text="" percent="0" bottom="0">
      <formula>MaliyetEsik</formula>
    </cfRule>
  </conditionalFormatting>
  <conditionalFormatting sqref="D545">
    <cfRule type="cellIs" rank="0" priority="1606" equalAverage="0" operator="lessThan" aboveAverage="0" dxfId="10" text="" percent="0" bottom="0">
      <formula>18</formula>
    </cfRule>
  </conditionalFormatting>
  <conditionalFormatting sqref="B546">
    <cfRule type="cellIs" rank="0" priority="1607" equalAverage="0" operator="greaterThan" aboveAverage="0" dxfId="8" text="" percent="0" bottom="0">
      <formula>0</formula>
    </cfRule>
    <cfRule type="cellIs" rank="0" priority="1608" equalAverage="0" operator="lessThan" aboveAverage="0" dxfId="9" text="" percent="0" bottom="0">
      <formula>MaliyetEsik</formula>
    </cfRule>
  </conditionalFormatting>
  <conditionalFormatting sqref="D546">
    <cfRule type="cellIs" rank="0" priority="1609" equalAverage="0" operator="lessThan" aboveAverage="0" dxfId="10" text="" percent="0" bottom="0">
      <formula>18</formula>
    </cfRule>
  </conditionalFormatting>
  <conditionalFormatting sqref="B547">
    <cfRule type="cellIs" rank="0" priority="1610" equalAverage="0" operator="greaterThan" aboveAverage="0" dxfId="8" text="" percent="0" bottom="0">
      <formula>0</formula>
    </cfRule>
    <cfRule type="cellIs" rank="0" priority="1611" equalAverage="0" operator="lessThan" aboveAverage="0" dxfId="9" text="" percent="0" bottom="0">
      <formula>MaliyetEsik</formula>
    </cfRule>
  </conditionalFormatting>
  <conditionalFormatting sqref="D547">
    <cfRule type="cellIs" rank="0" priority="1612" equalAverage="0" operator="lessThan" aboveAverage="0" dxfId="10" text="" percent="0" bottom="0">
      <formula>18</formula>
    </cfRule>
  </conditionalFormatting>
  <conditionalFormatting sqref="B548">
    <cfRule type="cellIs" rank="0" priority="1613" equalAverage="0" operator="greaterThan" aboveAverage="0" dxfId="8" text="" percent="0" bottom="0">
      <formula>0</formula>
    </cfRule>
    <cfRule type="cellIs" rank="0" priority="1614" equalAverage="0" operator="lessThan" aboveAverage="0" dxfId="9" text="" percent="0" bottom="0">
      <formula>MaliyetEsik</formula>
    </cfRule>
  </conditionalFormatting>
  <conditionalFormatting sqref="D548">
    <cfRule type="cellIs" rank="0" priority="1615" equalAverage="0" operator="lessThan" aboveAverage="0" dxfId="10" text="" percent="0" bottom="0">
      <formula>18</formula>
    </cfRule>
  </conditionalFormatting>
  <conditionalFormatting sqref="B549">
    <cfRule type="cellIs" rank="0" priority="1616" equalAverage="0" operator="greaterThan" aboveAverage="0" dxfId="8" text="" percent="0" bottom="0">
      <formula>0</formula>
    </cfRule>
    <cfRule type="cellIs" rank="0" priority="1617" equalAverage="0" operator="lessThan" aboveAverage="0" dxfId="9" text="" percent="0" bottom="0">
      <formula>MaliyetEsik</formula>
    </cfRule>
  </conditionalFormatting>
  <conditionalFormatting sqref="D549">
    <cfRule type="cellIs" rank="0" priority="1618" equalAverage="0" operator="lessThan" aboveAverage="0" dxfId="10" text="" percent="0" bottom="0">
      <formula>18</formula>
    </cfRule>
  </conditionalFormatting>
  <conditionalFormatting sqref="B550">
    <cfRule type="cellIs" rank="0" priority="1619" equalAverage="0" operator="greaterThan" aboveAverage="0" dxfId="8" text="" percent="0" bottom="0">
      <formula>0</formula>
    </cfRule>
    <cfRule type="cellIs" rank="0" priority="1620" equalAverage="0" operator="lessThan" aboveAverage="0" dxfId="9" text="" percent="0" bottom="0">
      <formula>MaliyetEsik</formula>
    </cfRule>
  </conditionalFormatting>
  <conditionalFormatting sqref="D550">
    <cfRule type="cellIs" rank="0" priority="1621" equalAverage="0" operator="lessThan" aboveAverage="0" dxfId="10" text="" percent="0" bottom="0">
      <formula>18</formula>
    </cfRule>
  </conditionalFormatting>
  <conditionalFormatting sqref="B551">
    <cfRule type="cellIs" rank="0" priority="1622" equalAverage="0" operator="greaterThan" aboveAverage="0" dxfId="8" text="" percent="0" bottom="0">
      <formula>0</formula>
    </cfRule>
    <cfRule type="cellIs" rank="0" priority="1623" equalAverage="0" operator="lessThan" aboveAverage="0" dxfId="9" text="" percent="0" bottom="0">
      <formula>MaliyetEsik</formula>
    </cfRule>
  </conditionalFormatting>
  <conditionalFormatting sqref="D551">
    <cfRule type="cellIs" rank="0" priority="1624" equalAverage="0" operator="lessThan" aboveAverage="0" dxfId="10" text="" percent="0" bottom="0">
      <formula>18</formula>
    </cfRule>
  </conditionalFormatting>
  <conditionalFormatting sqref="B552">
    <cfRule type="cellIs" rank="0" priority="1625" equalAverage="0" operator="greaterThan" aboveAverage="0" dxfId="8" text="" percent="0" bottom="0">
      <formula>0</formula>
    </cfRule>
    <cfRule type="cellIs" rank="0" priority="1626" equalAverage="0" operator="lessThan" aboveAverage="0" dxfId="9" text="" percent="0" bottom="0">
      <formula>MaliyetEsik</formula>
    </cfRule>
  </conditionalFormatting>
  <conditionalFormatting sqref="D552">
    <cfRule type="cellIs" rank="0" priority="1627" equalAverage="0" operator="lessThan" aboveAverage="0" dxfId="10" text="" percent="0" bottom="0">
      <formula>18</formula>
    </cfRule>
  </conditionalFormatting>
  <conditionalFormatting sqref="B553">
    <cfRule type="cellIs" rank="0" priority="1628" equalAverage="0" operator="greaterThan" aboveAverage="0" dxfId="8" text="" percent="0" bottom="0">
      <formula>0</formula>
    </cfRule>
    <cfRule type="cellIs" rank="0" priority="1629" equalAverage="0" operator="lessThan" aboveAverage="0" dxfId="9" text="" percent="0" bottom="0">
      <formula>MaliyetEsik</formula>
    </cfRule>
  </conditionalFormatting>
  <conditionalFormatting sqref="D553">
    <cfRule type="cellIs" rank="0" priority="1630" equalAverage="0" operator="lessThan" aboveAverage="0" dxfId="10" text="" percent="0" bottom="0">
      <formula>18</formula>
    </cfRule>
  </conditionalFormatting>
  <conditionalFormatting sqref="B554">
    <cfRule type="cellIs" rank="0" priority="1631" equalAverage="0" operator="greaterThan" aboveAverage="0" dxfId="8" text="" percent="0" bottom="0">
      <formula>0</formula>
    </cfRule>
    <cfRule type="cellIs" rank="0" priority="1632" equalAverage="0" operator="lessThan" aboveAverage="0" dxfId="9" text="" percent="0" bottom="0">
      <formula>MaliyetEsik</formula>
    </cfRule>
  </conditionalFormatting>
  <conditionalFormatting sqref="D554">
    <cfRule type="cellIs" rank="0" priority="1633" equalAverage="0" operator="lessThan" aboveAverage="0" dxfId="10" text="" percent="0" bottom="0">
      <formula>18</formula>
    </cfRule>
  </conditionalFormatting>
  <conditionalFormatting sqref="B555">
    <cfRule type="cellIs" rank="0" priority="1634" equalAverage="0" operator="greaterThan" aboveAverage="0" dxfId="8" text="" percent="0" bottom="0">
      <formula>0</formula>
    </cfRule>
    <cfRule type="cellIs" rank="0" priority="1635" equalAverage="0" operator="lessThan" aboveAverage="0" dxfId="9" text="" percent="0" bottom="0">
      <formula>MaliyetEsik</formula>
    </cfRule>
  </conditionalFormatting>
  <conditionalFormatting sqref="D555">
    <cfRule type="cellIs" rank="0" priority="1636" equalAverage="0" operator="lessThan" aboveAverage="0" dxfId="10" text="" percent="0" bottom="0">
      <formula>18</formula>
    </cfRule>
  </conditionalFormatting>
  <conditionalFormatting sqref="B556">
    <cfRule type="cellIs" rank="0" priority="1637" equalAverage="0" operator="greaterThan" aboveAverage="0" dxfId="8" text="" percent="0" bottom="0">
      <formula>0</formula>
    </cfRule>
    <cfRule type="cellIs" rank="0" priority="1638" equalAverage="0" operator="lessThan" aboveAverage="0" dxfId="9" text="" percent="0" bottom="0">
      <formula>MaliyetEsik</formula>
    </cfRule>
  </conditionalFormatting>
  <conditionalFormatting sqref="D556">
    <cfRule type="cellIs" rank="0" priority="1639" equalAverage="0" operator="lessThan" aboveAverage="0" dxfId="10" text="" percent="0" bottom="0">
      <formula>18</formula>
    </cfRule>
  </conditionalFormatting>
  <conditionalFormatting sqref="B557">
    <cfRule type="cellIs" rank="0" priority="1640" equalAverage="0" operator="greaterThan" aboveAverage="0" dxfId="8" text="" percent="0" bottom="0">
      <formula>0</formula>
    </cfRule>
    <cfRule type="cellIs" rank="0" priority="1641" equalAverage="0" operator="lessThan" aboveAverage="0" dxfId="9" text="" percent="0" bottom="0">
      <formula>MaliyetEsik</formula>
    </cfRule>
  </conditionalFormatting>
  <conditionalFormatting sqref="D557">
    <cfRule type="cellIs" rank="0" priority="1642" equalAverage="0" operator="lessThan" aboveAverage="0" dxfId="10" text="" percent="0" bottom="0">
      <formula>18</formula>
    </cfRule>
  </conditionalFormatting>
  <conditionalFormatting sqref="B558">
    <cfRule type="cellIs" rank="0" priority="1643" equalAverage="0" operator="greaterThan" aboveAverage="0" dxfId="8" text="" percent="0" bottom="0">
      <formula>0</formula>
    </cfRule>
    <cfRule type="cellIs" rank="0" priority="1644" equalAverage="0" operator="lessThan" aboveAverage="0" dxfId="9" text="" percent="0" bottom="0">
      <formula>MaliyetEsik</formula>
    </cfRule>
  </conditionalFormatting>
  <conditionalFormatting sqref="D558">
    <cfRule type="cellIs" rank="0" priority="1645" equalAverage="0" operator="lessThan" aboveAverage="0" dxfId="10" text="" percent="0" bottom="0">
      <formula>18</formula>
    </cfRule>
  </conditionalFormatting>
  <conditionalFormatting sqref="B559">
    <cfRule type="cellIs" rank="0" priority="1646" equalAverage="0" operator="greaterThan" aboveAverage="0" dxfId="8" text="" percent="0" bottom="0">
      <formula>0</formula>
    </cfRule>
    <cfRule type="cellIs" rank="0" priority="1647" equalAverage="0" operator="lessThan" aboveAverage="0" dxfId="9" text="" percent="0" bottom="0">
      <formula>MaliyetEsik</formula>
    </cfRule>
  </conditionalFormatting>
  <conditionalFormatting sqref="D559">
    <cfRule type="cellIs" rank="0" priority="1648" equalAverage="0" operator="lessThan" aboveAverage="0" dxfId="10" text="" percent="0" bottom="0">
      <formula>18</formula>
    </cfRule>
  </conditionalFormatting>
  <conditionalFormatting sqref="B560">
    <cfRule type="cellIs" rank="0" priority="1649" equalAverage="0" operator="greaterThan" aboveAverage="0" dxfId="8" text="" percent="0" bottom="0">
      <formula>0</formula>
    </cfRule>
    <cfRule type="cellIs" rank="0" priority="1650" equalAverage="0" operator="lessThan" aboveAverage="0" dxfId="9" text="" percent="0" bottom="0">
      <formula>MaliyetEsik</formula>
    </cfRule>
  </conditionalFormatting>
  <conditionalFormatting sqref="D560">
    <cfRule type="cellIs" rank="0" priority="1651" equalAverage="0" operator="lessThan" aboveAverage="0" dxfId="10" text="" percent="0" bottom="0">
      <formula>18</formula>
    </cfRule>
  </conditionalFormatting>
  <conditionalFormatting sqref="B561">
    <cfRule type="cellIs" rank="0" priority="1652" equalAverage="0" operator="greaterThan" aboveAverage="0" dxfId="8" text="" percent="0" bottom="0">
      <formula>0</formula>
    </cfRule>
    <cfRule type="cellIs" rank="0" priority="1653" equalAverage="0" operator="lessThan" aboveAverage="0" dxfId="9" text="" percent="0" bottom="0">
      <formula>MaliyetEsik</formula>
    </cfRule>
  </conditionalFormatting>
  <conditionalFormatting sqref="D561">
    <cfRule type="cellIs" rank="0" priority="1654" equalAverage="0" operator="lessThan" aboveAverage="0" dxfId="10" text="" percent="0" bottom="0">
      <formula>18</formula>
    </cfRule>
  </conditionalFormatting>
  <conditionalFormatting sqref="B562">
    <cfRule type="cellIs" rank="0" priority="1655" equalAverage="0" operator="greaterThan" aboveAverage="0" dxfId="8" text="" percent="0" bottom="0">
      <formula>0</formula>
    </cfRule>
    <cfRule type="cellIs" rank="0" priority="1656" equalAverage="0" operator="lessThan" aboveAverage="0" dxfId="9" text="" percent="0" bottom="0">
      <formula>MaliyetEsik</formula>
    </cfRule>
  </conditionalFormatting>
  <conditionalFormatting sqref="D562">
    <cfRule type="cellIs" rank="0" priority="1657" equalAverage="0" operator="lessThan" aboveAverage="0" dxfId="10" text="" percent="0" bottom="0">
      <formula>18</formula>
    </cfRule>
  </conditionalFormatting>
  <conditionalFormatting sqref="B563">
    <cfRule type="cellIs" rank="0" priority="1658" equalAverage="0" operator="greaterThan" aboveAverage="0" dxfId="8" text="" percent="0" bottom="0">
      <formula>0</formula>
    </cfRule>
    <cfRule type="cellIs" rank="0" priority="1659" equalAverage="0" operator="lessThan" aboveAverage="0" dxfId="9" text="" percent="0" bottom="0">
      <formula>MaliyetEsik</formula>
    </cfRule>
  </conditionalFormatting>
  <conditionalFormatting sqref="D563">
    <cfRule type="cellIs" rank="0" priority="1660" equalAverage="0" operator="lessThan" aboveAverage="0" dxfId="10" text="" percent="0" bottom="0">
      <formula>18</formula>
    </cfRule>
  </conditionalFormatting>
  <conditionalFormatting sqref="B564">
    <cfRule type="cellIs" rank="0" priority="1661" equalAverage="0" operator="greaterThan" aboveAverage="0" dxfId="8" text="" percent="0" bottom="0">
      <formula>0</formula>
    </cfRule>
    <cfRule type="cellIs" rank="0" priority="1662" equalAverage="0" operator="lessThan" aboveAverage="0" dxfId="9" text="" percent="0" bottom="0">
      <formula>MaliyetEsik</formula>
    </cfRule>
  </conditionalFormatting>
  <conditionalFormatting sqref="D564">
    <cfRule type="cellIs" rank="0" priority="1663" equalAverage="0" operator="lessThan" aboveAverage="0" dxfId="10" text="" percent="0" bottom="0">
      <formula>18</formula>
    </cfRule>
  </conditionalFormatting>
  <conditionalFormatting sqref="B565">
    <cfRule type="cellIs" rank="0" priority="1664" equalAverage="0" operator="greaterThan" aboveAverage="0" dxfId="8" text="" percent="0" bottom="0">
      <formula>0</formula>
    </cfRule>
    <cfRule type="cellIs" rank="0" priority="1665" equalAverage="0" operator="lessThan" aboveAverage="0" dxfId="9" text="" percent="0" bottom="0">
      <formula>MaliyetEsik</formula>
    </cfRule>
  </conditionalFormatting>
  <conditionalFormatting sqref="D565">
    <cfRule type="cellIs" rank="0" priority="1666" equalAverage="0" operator="lessThan" aboveAverage="0" dxfId="10" text="" percent="0" bottom="0">
      <formula>18</formula>
    </cfRule>
  </conditionalFormatting>
  <conditionalFormatting sqref="B566">
    <cfRule type="cellIs" rank="0" priority="1667" equalAverage="0" operator="greaterThan" aboveAverage="0" dxfId="8" text="" percent="0" bottom="0">
      <formula>0</formula>
    </cfRule>
    <cfRule type="cellIs" rank="0" priority="1668" equalAverage="0" operator="lessThan" aboveAverage="0" dxfId="9" text="" percent="0" bottom="0">
      <formula>MaliyetEsik</formula>
    </cfRule>
  </conditionalFormatting>
  <conditionalFormatting sqref="D566">
    <cfRule type="cellIs" rank="0" priority="1669" equalAverage="0" operator="lessThan" aboveAverage="0" dxfId="10" text="" percent="0" bottom="0">
      <formula>18</formula>
    </cfRule>
  </conditionalFormatting>
  <conditionalFormatting sqref="B567">
    <cfRule type="cellIs" rank="0" priority="1670" equalAverage="0" operator="greaterThan" aboveAverage="0" dxfId="8" text="" percent="0" bottom="0">
      <formula>0</formula>
    </cfRule>
    <cfRule type="cellIs" rank="0" priority="1671" equalAverage="0" operator="lessThan" aboveAverage="0" dxfId="9" text="" percent="0" bottom="0">
      <formula>MaliyetEsik</formula>
    </cfRule>
  </conditionalFormatting>
  <conditionalFormatting sqref="D567">
    <cfRule type="cellIs" rank="0" priority="1672" equalAverage="0" operator="lessThan" aboveAverage="0" dxfId="10" text="" percent="0" bottom="0">
      <formula>18</formula>
    </cfRule>
  </conditionalFormatting>
  <conditionalFormatting sqref="B568">
    <cfRule type="cellIs" rank="0" priority="1673" equalAverage="0" operator="greaterThan" aboveAverage="0" dxfId="8" text="" percent="0" bottom="0">
      <formula>0</formula>
    </cfRule>
    <cfRule type="cellIs" rank="0" priority="1674" equalAverage="0" operator="lessThan" aboveAverage="0" dxfId="9" text="" percent="0" bottom="0">
      <formula>MaliyetEsik</formula>
    </cfRule>
  </conditionalFormatting>
  <conditionalFormatting sqref="D568">
    <cfRule type="cellIs" rank="0" priority="1675" equalAverage="0" operator="lessThan" aboveAverage="0" dxfId="10" text="" percent="0" bottom="0">
      <formula>18</formula>
    </cfRule>
  </conditionalFormatting>
  <conditionalFormatting sqref="B569">
    <cfRule type="cellIs" rank="0" priority="1676" equalAverage="0" operator="greaterThan" aboveAverage="0" dxfId="8" text="" percent="0" bottom="0">
      <formula>0</formula>
    </cfRule>
    <cfRule type="cellIs" rank="0" priority="1677" equalAverage="0" operator="lessThan" aboveAverage="0" dxfId="9" text="" percent="0" bottom="0">
      <formula>MaliyetEsik</formula>
    </cfRule>
  </conditionalFormatting>
  <conditionalFormatting sqref="D569">
    <cfRule type="cellIs" rank="0" priority="1678" equalAverage="0" operator="lessThan" aboveAverage="0" dxfId="10" text="" percent="0" bottom="0">
      <formula>18</formula>
    </cfRule>
  </conditionalFormatting>
  <conditionalFormatting sqref="B570">
    <cfRule type="cellIs" rank="0" priority="1679" equalAverage="0" operator="greaterThan" aboveAverage="0" dxfId="8" text="" percent="0" bottom="0">
      <formula>0</formula>
    </cfRule>
    <cfRule type="cellIs" rank="0" priority="1680" equalAverage="0" operator="lessThan" aboveAverage="0" dxfId="9" text="" percent="0" bottom="0">
      <formula>MaliyetEsik</formula>
    </cfRule>
  </conditionalFormatting>
  <conditionalFormatting sqref="D570">
    <cfRule type="cellIs" rank="0" priority="1681" equalAverage="0" operator="lessThan" aboveAverage="0" dxfId="10" text="" percent="0" bottom="0">
      <formula>18</formula>
    </cfRule>
  </conditionalFormatting>
  <conditionalFormatting sqref="B571">
    <cfRule type="cellIs" rank="0" priority="1682" equalAverage="0" operator="greaterThan" aboveAverage="0" dxfId="8" text="" percent="0" bottom="0">
      <formula>0</formula>
    </cfRule>
    <cfRule type="cellIs" rank="0" priority="1683" equalAverage="0" operator="lessThan" aboveAverage="0" dxfId="9" text="" percent="0" bottom="0">
      <formula>MaliyetEsik</formula>
    </cfRule>
  </conditionalFormatting>
  <conditionalFormatting sqref="D571">
    <cfRule type="cellIs" rank="0" priority="1684" equalAverage="0" operator="lessThan" aboveAverage="0" dxfId="10" text="" percent="0" bottom="0">
      <formula>18</formula>
    </cfRule>
  </conditionalFormatting>
  <conditionalFormatting sqref="B572">
    <cfRule type="cellIs" rank="0" priority="1685" equalAverage="0" operator="greaterThan" aboveAverage="0" dxfId="8" text="" percent="0" bottom="0">
      <formula>0</formula>
    </cfRule>
    <cfRule type="cellIs" rank="0" priority="1686" equalAverage="0" operator="lessThan" aboveAverage="0" dxfId="9" text="" percent="0" bottom="0">
      <formula>MaliyetEsik</formula>
    </cfRule>
  </conditionalFormatting>
  <conditionalFormatting sqref="D572">
    <cfRule type="cellIs" rank="0" priority="1687" equalAverage="0" operator="lessThan" aboveAverage="0" dxfId="10" text="" percent="0" bottom="0">
      <formula>18</formula>
    </cfRule>
  </conditionalFormatting>
  <conditionalFormatting sqref="B573">
    <cfRule type="cellIs" rank="0" priority="1688" equalAverage="0" operator="greaterThan" aboveAverage="0" dxfId="8" text="" percent="0" bottom="0">
      <formula>0</formula>
    </cfRule>
    <cfRule type="cellIs" rank="0" priority="1689" equalAverage="0" operator="lessThan" aboveAverage="0" dxfId="9" text="" percent="0" bottom="0">
      <formula>MaliyetEsik</formula>
    </cfRule>
  </conditionalFormatting>
  <conditionalFormatting sqref="D573">
    <cfRule type="cellIs" rank="0" priority="1690" equalAverage="0" operator="lessThan" aboveAverage="0" dxfId="10" text="" percent="0" bottom="0">
      <formula>18</formula>
    </cfRule>
  </conditionalFormatting>
  <conditionalFormatting sqref="B574">
    <cfRule type="cellIs" rank="0" priority="1691" equalAverage="0" operator="greaterThan" aboveAverage="0" dxfId="8" text="" percent="0" bottom="0">
      <formula>0</formula>
    </cfRule>
    <cfRule type="cellIs" rank="0" priority="1692" equalAverage="0" operator="lessThan" aboveAverage="0" dxfId="9" text="" percent="0" bottom="0">
      <formula>MaliyetEsik</formula>
    </cfRule>
  </conditionalFormatting>
  <conditionalFormatting sqref="D574">
    <cfRule type="cellIs" rank="0" priority="1693" equalAverage="0" operator="lessThan" aboveAverage="0" dxfId="10" text="" percent="0" bottom="0">
      <formula>18</formula>
    </cfRule>
  </conditionalFormatting>
  <conditionalFormatting sqref="B575">
    <cfRule type="cellIs" rank="0" priority="1694" equalAverage="0" operator="greaterThan" aboveAverage="0" dxfId="8" text="" percent="0" bottom="0">
      <formula>0</formula>
    </cfRule>
    <cfRule type="cellIs" rank="0" priority="1695" equalAverage="0" operator="lessThan" aboveAverage="0" dxfId="9" text="" percent="0" bottom="0">
      <formula>MaliyetEsik</formula>
    </cfRule>
  </conditionalFormatting>
  <conditionalFormatting sqref="D575">
    <cfRule type="cellIs" rank="0" priority="1696" equalAverage="0" operator="lessThan" aboveAverage="0" dxfId="10" text="" percent="0" bottom="0">
      <formula>18</formula>
    </cfRule>
  </conditionalFormatting>
  <conditionalFormatting sqref="B576">
    <cfRule type="cellIs" rank="0" priority="1697" equalAverage="0" operator="greaterThan" aboveAverage="0" dxfId="8" text="" percent="0" bottom="0">
      <formula>0</formula>
    </cfRule>
    <cfRule type="cellIs" rank="0" priority="1698" equalAverage="0" operator="lessThan" aboveAverage="0" dxfId="9" text="" percent="0" bottom="0">
      <formula>MaliyetEsik</formula>
    </cfRule>
  </conditionalFormatting>
  <conditionalFormatting sqref="D576">
    <cfRule type="cellIs" rank="0" priority="1699" equalAverage="0" operator="lessThan" aboveAverage="0" dxfId="10" text="" percent="0" bottom="0">
      <formula>18</formula>
    </cfRule>
  </conditionalFormatting>
  <conditionalFormatting sqref="B577">
    <cfRule type="cellIs" rank="0" priority="1700" equalAverage="0" operator="greaterThan" aboveAverage="0" dxfId="8" text="" percent="0" bottom="0">
      <formula>0</formula>
    </cfRule>
    <cfRule type="cellIs" rank="0" priority="1701" equalAverage="0" operator="lessThan" aboveAverage="0" dxfId="9" text="" percent="0" bottom="0">
      <formula>MaliyetEsik</formula>
    </cfRule>
  </conditionalFormatting>
  <conditionalFormatting sqref="D577">
    <cfRule type="cellIs" rank="0" priority="1702" equalAverage="0" operator="lessThan" aboveAverage="0" dxfId="10" text="" percent="0" bottom="0">
      <formula>18</formula>
    </cfRule>
  </conditionalFormatting>
  <conditionalFormatting sqref="B578">
    <cfRule type="cellIs" rank="0" priority="1703" equalAverage="0" operator="greaterThan" aboveAverage="0" dxfId="8" text="" percent="0" bottom="0">
      <formula>0</formula>
    </cfRule>
    <cfRule type="cellIs" rank="0" priority="1704" equalAverage="0" operator="lessThan" aboveAverage="0" dxfId="9" text="" percent="0" bottom="0">
      <formula>MaliyetEsik</formula>
    </cfRule>
  </conditionalFormatting>
  <conditionalFormatting sqref="D578">
    <cfRule type="cellIs" rank="0" priority="1705" equalAverage="0" operator="lessThan" aboveAverage="0" dxfId="10" text="" percent="0" bottom="0">
      <formula>18</formula>
    </cfRule>
  </conditionalFormatting>
  <conditionalFormatting sqref="B579">
    <cfRule type="cellIs" rank="0" priority="1706" equalAverage="0" operator="greaterThan" aboveAverage="0" dxfId="8" text="" percent="0" bottom="0">
      <formula>0</formula>
    </cfRule>
    <cfRule type="cellIs" rank="0" priority="1707" equalAverage="0" operator="lessThan" aboveAverage="0" dxfId="9" text="" percent="0" bottom="0">
      <formula>MaliyetEsik</formula>
    </cfRule>
  </conditionalFormatting>
  <conditionalFormatting sqref="D579">
    <cfRule type="cellIs" rank="0" priority="1708" equalAverage="0" operator="lessThan" aboveAverage="0" dxfId="10" text="" percent="0" bottom="0">
      <formula>18</formula>
    </cfRule>
  </conditionalFormatting>
  <conditionalFormatting sqref="B580">
    <cfRule type="cellIs" rank="0" priority="1709" equalAverage="0" operator="greaterThan" aboveAverage="0" dxfId="8" text="" percent="0" bottom="0">
      <formula>0</formula>
    </cfRule>
    <cfRule type="cellIs" rank="0" priority="1710" equalAverage="0" operator="lessThan" aboveAverage="0" dxfId="9" text="" percent="0" bottom="0">
      <formula>MaliyetEsik</formula>
    </cfRule>
  </conditionalFormatting>
  <conditionalFormatting sqref="D580">
    <cfRule type="cellIs" rank="0" priority="1711" equalAverage="0" operator="lessThan" aboveAverage="0" dxfId="10" text="" percent="0" bottom="0">
      <formula>18</formula>
    </cfRule>
  </conditionalFormatting>
  <conditionalFormatting sqref="B581">
    <cfRule type="cellIs" rank="0" priority="1712" equalAverage="0" operator="greaterThan" aboveAverage="0" dxfId="8" text="" percent="0" bottom="0">
      <formula>0</formula>
    </cfRule>
    <cfRule type="cellIs" rank="0" priority="1713" equalAverage="0" operator="lessThan" aboveAverage="0" dxfId="9" text="" percent="0" bottom="0">
      <formula>MaliyetEsik</formula>
    </cfRule>
  </conditionalFormatting>
  <conditionalFormatting sqref="D581">
    <cfRule type="cellIs" rank="0" priority="1714" equalAverage="0" operator="lessThan" aboveAverage="0" dxfId="10" text="" percent="0" bottom="0">
      <formula>18</formula>
    </cfRule>
  </conditionalFormatting>
  <conditionalFormatting sqref="B582">
    <cfRule type="cellIs" rank="0" priority="1715" equalAverage="0" operator="greaterThan" aboveAverage="0" dxfId="8" text="" percent="0" bottom="0">
      <formula>0</formula>
    </cfRule>
    <cfRule type="cellIs" rank="0" priority="1716" equalAverage="0" operator="lessThan" aboveAverage="0" dxfId="9" text="" percent="0" bottom="0">
      <formula>MaliyetEsik</formula>
    </cfRule>
  </conditionalFormatting>
  <conditionalFormatting sqref="D582">
    <cfRule type="cellIs" rank="0" priority="1717" equalAverage="0" operator="lessThan" aboveAverage="0" dxfId="10" text="" percent="0" bottom="0">
      <formula>18</formula>
    </cfRule>
  </conditionalFormatting>
  <conditionalFormatting sqref="B583">
    <cfRule type="cellIs" rank="0" priority="1718" equalAverage="0" operator="greaterThan" aboveAverage="0" dxfId="8" text="" percent="0" bottom="0">
      <formula>0</formula>
    </cfRule>
    <cfRule type="cellIs" rank="0" priority="1719" equalAverage="0" operator="lessThan" aboveAverage="0" dxfId="9" text="" percent="0" bottom="0">
      <formula>MaliyetEsik</formula>
    </cfRule>
  </conditionalFormatting>
  <conditionalFormatting sqref="D583">
    <cfRule type="cellIs" rank="0" priority="1720" equalAverage="0" operator="lessThan" aboveAverage="0" dxfId="10" text="" percent="0" bottom="0">
      <formula>18</formula>
    </cfRule>
  </conditionalFormatting>
  <conditionalFormatting sqref="B584">
    <cfRule type="cellIs" rank="0" priority="1721" equalAverage="0" operator="greaterThan" aboveAverage="0" dxfId="8" text="" percent="0" bottom="0">
      <formula>0</formula>
    </cfRule>
    <cfRule type="cellIs" rank="0" priority="1722" equalAverage="0" operator="lessThan" aboveAverage="0" dxfId="9" text="" percent="0" bottom="0">
      <formula>MaliyetEsik</formula>
    </cfRule>
  </conditionalFormatting>
  <conditionalFormatting sqref="D584">
    <cfRule type="cellIs" rank="0" priority="1723" equalAverage="0" operator="lessThan" aboveAverage="0" dxfId="10" text="" percent="0" bottom="0">
      <formula>18</formula>
    </cfRule>
  </conditionalFormatting>
  <conditionalFormatting sqref="B585">
    <cfRule type="cellIs" rank="0" priority="1724" equalAverage="0" operator="greaterThan" aboveAverage="0" dxfId="8" text="" percent="0" bottom="0">
      <formula>0</formula>
    </cfRule>
    <cfRule type="cellIs" rank="0" priority="1725" equalAverage="0" operator="lessThan" aboveAverage="0" dxfId="9" text="" percent="0" bottom="0">
      <formula>MaliyetEsik</formula>
    </cfRule>
  </conditionalFormatting>
  <conditionalFormatting sqref="D585">
    <cfRule type="cellIs" rank="0" priority="1726" equalAverage="0" operator="lessThan" aboveAverage="0" dxfId="10" text="" percent="0" bottom="0">
      <formula>18</formula>
    </cfRule>
  </conditionalFormatting>
  <conditionalFormatting sqref="B586">
    <cfRule type="cellIs" rank="0" priority="1727" equalAverage="0" operator="greaterThan" aboveAverage="0" dxfId="8" text="" percent="0" bottom="0">
      <formula>0</formula>
    </cfRule>
    <cfRule type="cellIs" rank="0" priority="1728" equalAverage="0" operator="lessThan" aboveAverage="0" dxfId="9" text="" percent="0" bottom="0">
      <formula>MaliyetEsik</formula>
    </cfRule>
  </conditionalFormatting>
  <conditionalFormatting sqref="D586">
    <cfRule type="cellIs" rank="0" priority="1729" equalAverage="0" operator="lessThan" aboveAverage="0" dxfId="10" text="" percent="0" bottom="0">
      <formula>18</formula>
    </cfRule>
  </conditionalFormatting>
  <conditionalFormatting sqref="B587">
    <cfRule type="cellIs" rank="0" priority="1730" equalAverage="0" operator="greaterThan" aboveAverage="0" dxfId="8" text="" percent="0" bottom="0">
      <formula>0</formula>
    </cfRule>
    <cfRule type="cellIs" rank="0" priority="1731" equalAverage="0" operator="lessThan" aboveAverage="0" dxfId="9" text="" percent="0" bottom="0">
      <formula>MaliyetEsik</formula>
    </cfRule>
  </conditionalFormatting>
  <conditionalFormatting sqref="D587">
    <cfRule type="cellIs" rank="0" priority="1732" equalAverage="0" operator="lessThan" aboveAverage="0" dxfId="10" text="" percent="0" bottom="0">
      <formula>18</formula>
    </cfRule>
  </conditionalFormatting>
  <conditionalFormatting sqref="B588">
    <cfRule type="cellIs" rank="0" priority="1733" equalAverage="0" operator="greaterThan" aboveAverage="0" dxfId="8" text="" percent="0" bottom="0">
      <formula>0</formula>
    </cfRule>
    <cfRule type="cellIs" rank="0" priority="1734" equalAverage="0" operator="lessThan" aboveAverage="0" dxfId="9" text="" percent="0" bottom="0">
      <formula>MaliyetEsik</formula>
    </cfRule>
  </conditionalFormatting>
  <conditionalFormatting sqref="D588">
    <cfRule type="cellIs" rank="0" priority="1735" equalAverage="0" operator="lessThan" aboveAverage="0" dxfId="10" text="" percent="0" bottom="0">
      <formula>18</formula>
    </cfRule>
  </conditionalFormatting>
  <conditionalFormatting sqref="B589">
    <cfRule type="cellIs" rank="0" priority="1736" equalAverage="0" operator="greaterThan" aboveAverage="0" dxfId="8" text="" percent="0" bottom="0">
      <formula>0</formula>
    </cfRule>
    <cfRule type="cellIs" rank="0" priority="1737" equalAverage="0" operator="lessThan" aboveAverage="0" dxfId="9" text="" percent="0" bottom="0">
      <formula>MaliyetEsik</formula>
    </cfRule>
  </conditionalFormatting>
  <conditionalFormatting sqref="D589">
    <cfRule type="cellIs" rank="0" priority="1738" equalAverage="0" operator="lessThan" aboveAverage="0" dxfId="10" text="" percent="0" bottom="0">
      <formula>18</formula>
    </cfRule>
  </conditionalFormatting>
  <conditionalFormatting sqref="B590">
    <cfRule type="cellIs" rank="0" priority="1739" equalAverage="0" operator="greaterThan" aboveAverage="0" dxfId="8" text="" percent="0" bottom="0">
      <formula>0</formula>
    </cfRule>
    <cfRule type="cellIs" rank="0" priority="1740" equalAverage="0" operator="lessThan" aboveAverage="0" dxfId="9" text="" percent="0" bottom="0">
      <formula>MaliyetEsik</formula>
    </cfRule>
  </conditionalFormatting>
  <conditionalFormatting sqref="D590">
    <cfRule type="cellIs" rank="0" priority="1741" equalAverage="0" operator="lessThan" aboveAverage="0" dxfId="10" text="" percent="0" bottom="0">
      <formula>18</formula>
    </cfRule>
  </conditionalFormatting>
  <conditionalFormatting sqref="B591">
    <cfRule type="cellIs" rank="0" priority="1742" equalAverage="0" operator="greaterThan" aboveAverage="0" dxfId="8" text="" percent="0" bottom="0">
      <formula>0</formula>
    </cfRule>
    <cfRule type="cellIs" rank="0" priority="1743" equalAverage="0" operator="lessThan" aboveAverage="0" dxfId="9" text="" percent="0" bottom="0">
      <formula>MaliyetEsik</formula>
    </cfRule>
  </conditionalFormatting>
  <conditionalFormatting sqref="D591">
    <cfRule type="cellIs" rank="0" priority="1744" equalAverage="0" operator="lessThan" aboveAverage="0" dxfId="10" text="" percent="0" bottom="0">
      <formula>18</formula>
    </cfRule>
  </conditionalFormatting>
  <conditionalFormatting sqref="B592">
    <cfRule type="cellIs" rank="0" priority="1745" equalAverage="0" operator="greaterThan" aboveAverage="0" dxfId="8" text="" percent="0" bottom="0">
      <formula>0</formula>
    </cfRule>
    <cfRule type="cellIs" rank="0" priority="1746" equalAverage="0" operator="lessThan" aboveAverage="0" dxfId="9" text="" percent="0" bottom="0">
      <formula>MaliyetEsik</formula>
    </cfRule>
  </conditionalFormatting>
  <conditionalFormatting sqref="D592">
    <cfRule type="cellIs" rank="0" priority="1747" equalAverage="0" operator="lessThan" aboveAverage="0" dxfId="10" text="" percent="0" bottom="0">
      <formula>18</formula>
    </cfRule>
  </conditionalFormatting>
  <conditionalFormatting sqref="B593">
    <cfRule type="cellIs" rank="0" priority="1748" equalAverage="0" operator="greaterThan" aboveAverage="0" dxfId="8" text="" percent="0" bottom="0">
      <formula>0</formula>
    </cfRule>
    <cfRule type="cellIs" rank="0" priority="1749" equalAverage="0" operator="lessThan" aboveAverage="0" dxfId="9" text="" percent="0" bottom="0">
      <formula>MaliyetEsik</formula>
    </cfRule>
  </conditionalFormatting>
  <conditionalFormatting sqref="D593">
    <cfRule type="cellIs" rank="0" priority="1750" equalAverage="0" operator="lessThan" aboveAverage="0" dxfId="10" text="" percent="0" bottom="0">
      <formula>18</formula>
    </cfRule>
  </conditionalFormatting>
  <conditionalFormatting sqref="B594">
    <cfRule type="cellIs" rank="0" priority="1751" equalAverage="0" operator="greaterThan" aboveAverage="0" dxfId="8" text="" percent="0" bottom="0">
      <formula>0</formula>
    </cfRule>
    <cfRule type="cellIs" rank="0" priority="1752" equalAverage="0" operator="lessThan" aboveAverage="0" dxfId="9" text="" percent="0" bottom="0">
      <formula>MaliyetEsik</formula>
    </cfRule>
  </conditionalFormatting>
  <conditionalFormatting sqref="D594">
    <cfRule type="cellIs" rank="0" priority="1753" equalAverage="0" operator="lessThan" aboveAverage="0" dxfId="10" text="" percent="0" bottom="0">
      <formula>18</formula>
    </cfRule>
  </conditionalFormatting>
  <conditionalFormatting sqref="B595">
    <cfRule type="cellIs" rank="0" priority="1754" equalAverage="0" operator="greaterThan" aboveAverage="0" dxfId="8" text="" percent="0" bottom="0">
      <formula>0</formula>
    </cfRule>
    <cfRule type="cellIs" rank="0" priority="1755" equalAverage="0" operator="lessThan" aboveAverage="0" dxfId="9" text="" percent="0" bottom="0">
      <formula>MaliyetEsik</formula>
    </cfRule>
  </conditionalFormatting>
  <conditionalFormatting sqref="D595">
    <cfRule type="cellIs" rank="0" priority="1756" equalAverage="0" operator="lessThan" aboveAverage="0" dxfId="10" text="" percent="0" bottom="0">
      <formula>18</formula>
    </cfRule>
  </conditionalFormatting>
  <conditionalFormatting sqref="B596">
    <cfRule type="cellIs" rank="0" priority="1757" equalAverage="0" operator="greaterThan" aboveAverage="0" dxfId="8" text="" percent="0" bottom="0">
      <formula>0</formula>
    </cfRule>
    <cfRule type="cellIs" rank="0" priority="1758" equalAverage="0" operator="lessThan" aboveAverage="0" dxfId="9" text="" percent="0" bottom="0">
      <formula>MaliyetEsik</formula>
    </cfRule>
  </conditionalFormatting>
  <conditionalFormatting sqref="D596">
    <cfRule type="cellIs" rank="0" priority="1759" equalAverage="0" operator="lessThan" aboveAverage="0" dxfId="10" text="" percent="0" bottom="0">
      <formula>18</formula>
    </cfRule>
  </conditionalFormatting>
  <conditionalFormatting sqref="B597">
    <cfRule type="cellIs" rank="0" priority="1760" equalAverage="0" operator="greaterThan" aboveAverage="0" dxfId="8" text="" percent="0" bottom="0">
      <formula>0</formula>
    </cfRule>
    <cfRule type="cellIs" rank="0" priority="1761" equalAverage="0" operator="lessThan" aboveAverage="0" dxfId="9" text="" percent="0" bottom="0">
      <formula>MaliyetEsik</formula>
    </cfRule>
  </conditionalFormatting>
  <conditionalFormatting sqref="D597">
    <cfRule type="cellIs" rank="0" priority="1762" equalAverage="0" operator="lessThan" aboveAverage="0" dxfId="10" text="" percent="0" bottom="0">
      <formula>18</formula>
    </cfRule>
  </conditionalFormatting>
  <conditionalFormatting sqref="B598">
    <cfRule type="cellIs" rank="0" priority="1763" equalAverage="0" operator="greaterThan" aboveAverage="0" dxfId="8" text="" percent="0" bottom="0">
      <formula>0</formula>
    </cfRule>
    <cfRule type="cellIs" rank="0" priority="1764" equalAverage="0" operator="lessThan" aboveAverage="0" dxfId="9" text="" percent="0" bottom="0">
      <formula>MaliyetEsik</formula>
    </cfRule>
  </conditionalFormatting>
  <conditionalFormatting sqref="D598">
    <cfRule type="cellIs" rank="0" priority="1765" equalAverage="0" operator="lessThan" aboveAverage="0" dxfId="10" text="" percent="0" bottom="0">
      <formula>18</formula>
    </cfRule>
  </conditionalFormatting>
  <conditionalFormatting sqref="B599">
    <cfRule type="cellIs" rank="0" priority="1766" equalAverage="0" operator="greaterThan" aboveAverage="0" dxfId="8" text="" percent="0" bottom="0">
      <formula>0</formula>
    </cfRule>
    <cfRule type="cellIs" rank="0" priority="1767" equalAverage="0" operator="lessThan" aboveAverage="0" dxfId="9" text="" percent="0" bottom="0">
      <formula>MaliyetEsik</formula>
    </cfRule>
  </conditionalFormatting>
  <conditionalFormatting sqref="D599">
    <cfRule type="cellIs" rank="0" priority="1768" equalAverage="0" operator="lessThan" aboveAverage="0" dxfId="10" text="" percent="0" bottom="0">
      <formula>18</formula>
    </cfRule>
  </conditionalFormatting>
  <conditionalFormatting sqref="B600">
    <cfRule type="cellIs" rank="0" priority="1769" equalAverage="0" operator="greaterThan" aboveAverage="0" dxfId="8" text="" percent="0" bottom="0">
      <formula>0</formula>
    </cfRule>
    <cfRule type="cellIs" rank="0" priority="1770" equalAverage="0" operator="lessThan" aboveAverage="0" dxfId="9" text="" percent="0" bottom="0">
      <formula>MaliyetEsik</formula>
    </cfRule>
  </conditionalFormatting>
  <conditionalFormatting sqref="D600">
    <cfRule type="cellIs" rank="0" priority="1771" equalAverage="0" operator="lessThan" aboveAverage="0" dxfId="10" text="" percent="0" bottom="0">
      <formula>18</formula>
    </cfRule>
  </conditionalFormatting>
  <conditionalFormatting sqref="B601">
    <cfRule type="cellIs" rank="0" priority="1772" equalAverage="0" operator="greaterThan" aboveAverage="0" dxfId="8" text="" percent="0" bottom="0">
      <formula>0</formula>
    </cfRule>
    <cfRule type="cellIs" rank="0" priority="1773" equalAverage="0" operator="lessThan" aboveAverage="0" dxfId="9" text="" percent="0" bottom="0">
      <formula>MaliyetEsik</formula>
    </cfRule>
  </conditionalFormatting>
  <conditionalFormatting sqref="D601">
    <cfRule type="cellIs" rank="0" priority="1774" equalAverage="0" operator="lessThan" aboveAverage="0" dxfId="10" text="" percent="0" bottom="0">
      <formula>18</formula>
    </cfRule>
  </conditionalFormatting>
  <conditionalFormatting sqref="B602">
    <cfRule type="cellIs" rank="0" priority="1775" equalAverage="0" operator="greaterThan" aboveAverage="0" dxfId="8" text="" percent="0" bottom="0">
      <formula>0</formula>
    </cfRule>
    <cfRule type="cellIs" rank="0" priority="1776" equalAverage="0" operator="lessThan" aboveAverage="0" dxfId="9" text="" percent="0" bottom="0">
      <formula>MaliyetEsik</formula>
    </cfRule>
  </conditionalFormatting>
  <conditionalFormatting sqref="D602">
    <cfRule type="cellIs" rank="0" priority="1777" equalAverage="0" operator="lessThan" aboveAverage="0" dxfId="10" text="" percent="0" bottom="0">
      <formula>18</formula>
    </cfRule>
  </conditionalFormatting>
  <conditionalFormatting sqref="B603">
    <cfRule type="cellIs" rank="0" priority="1778" equalAverage="0" operator="greaterThan" aboveAverage="0" dxfId="8" text="" percent="0" bottom="0">
      <formula>0</formula>
    </cfRule>
    <cfRule type="cellIs" rank="0" priority="1779" equalAverage="0" operator="lessThan" aboveAverage="0" dxfId="9" text="" percent="0" bottom="0">
      <formula>MaliyetEsik</formula>
    </cfRule>
  </conditionalFormatting>
  <conditionalFormatting sqref="D603">
    <cfRule type="cellIs" rank="0" priority="1780" equalAverage="0" operator="lessThan" aboveAverage="0" dxfId="10" text="" percent="0" bottom="0">
      <formula>18</formula>
    </cfRule>
  </conditionalFormatting>
  <conditionalFormatting sqref="B604">
    <cfRule type="cellIs" rank="0" priority="1781" equalAverage="0" operator="greaterThan" aboveAverage="0" dxfId="8" text="" percent="0" bottom="0">
      <formula>0</formula>
    </cfRule>
    <cfRule type="cellIs" rank="0" priority="1782" equalAverage="0" operator="lessThan" aboveAverage="0" dxfId="9" text="" percent="0" bottom="0">
      <formula>MaliyetEsik</formula>
    </cfRule>
  </conditionalFormatting>
  <conditionalFormatting sqref="D604">
    <cfRule type="cellIs" rank="0" priority="1783" equalAverage="0" operator="lessThan" aboveAverage="0" dxfId="10" text="" percent="0" bottom="0">
      <formula>18</formula>
    </cfRule>
  </conditionalFormatting>
  <conditionalFormatting sqref="B605">
    <cfRule type="cellIs" rank="0" priority="1784" equalAverage="0" operator="greaterThan" aboveAverage="0" dxfId="8" text="" percent="0" bottom="0">
      <formula>0</formula>
    </cfRule>
    <cfRule type="cellIs" rank="0" priority="1785" equalAverage="0" operator="lessThan" aboveAverage="0" dxfId="9" text="" percent="0" bottom="0">
      <formula>MaliyetEsik</formula>
    </cfRule>
  </conditionalFormatting>
  <conditionalFormatting sqref="D605">
    <cfRule type="cellIs" rank="0" priority="1786" equalAverage="0" operator="lessThan" aboveAverage="0" dxfId="10" text="" percent="0" bottom="0">
      <formula>18</formula>
    </cfRule>
  </conditionalFormatting>
  <conditionalFormatting sqref="B606">
    <cfRule type="cellIs" rank="0" priority="1787" equalAverage="0" operator="greaterThan" aboveAverage="0" dxfId="8" text="" percent="0" bottom="0">
      <formula>0</formula>
    </cfRule>
    <cfRule type="cellIs" rank="0" priority="1788" equalAverage="0" operator="lessThan" aboveAverage="0" dxfId="9" text="" percent="0" bottom="0">
      <formula>MaliyetEsik</formula>
    </cfRule>
  </conditionalFormatting>
  <conditionalFormatting sqref="D606">
    <cfRule type="cellIs" rank="0" priority="1789" equalAverage="0" operator="lessThan" aboveAverage="0" dxfId="10" text="" percent="0" bottom="0">
      <formula>18</formula>
    </cfRule>
  </conditionalFormatting>
  <conditionalFormatting sqref="B607">
    <cfRule type="cellIs" rank="0" priority="1790" equalAverage="0" operator="greaterThan" aboveAverage="0" dxfId="8" text="" percent="0" bottom="0">
      <formula>0</formula>
    </cfRule>
    <cfRule type="cellIs" rank="0" priority="1791" equalAverage="0" operator="lessThan" aboveAverage="0" dxfId="9" text="" percent="0" bottom="0">
      <formula>MaliyetEsik</formula>
    </cfRule>
  </conditionalFormatting>
  <conditionalFormatting sqref="D607">
    <cfRule type="cellIs" rank="0" priority="1792" equalAverage="0" operator="lessThan" aboveAverage="0" dxfId="10" text="" percent="0" bottom="0">
      <formula>18</formula>
    </cfRule>
  </conditionalFormatting>
  <conditionalFormatting sqref="B608">
    <cfRule type="cellIs" rank="0" priority="1793" equalAverage="0" operator="greaterThan" aboveAverage="0" dxfId="8" text="" percent="0" bottom="0">
      <formula>0</formula>
    </cfRule>
    <cfRule type="cellIs" rank="0" priority="1794" equalAverage="0" operator="lessThan" aboveAverage="0" dxfId="9" text="" percent="0" bottom="0">
      <formula>MaliyetEsik</formula>
    </cfRule>
  </conditionalFormatting>
  <conditionalFormatting sqref="D608">
    <cfRule type="cellIs" rank="0" priority="1795" equalAverage="0" operator="lessThan" aboveAverage="0" dxfId="10" text="" percent="0" bottom="0">
      <formula>18</formula>
    </cfRule>
  </conditionalFormatting>
  <conditionalFormatting sqref="B609">
    <cfRule type="cellIs" rank="0" priority="1796" equalAverage="0" operator="greaterThan" aboveAverage="0" dxfId="8" text="" percent="0" bottom="0">
      <formula>0</formula>
    </cfRule>
    <cfRule type="cellIs" rank="0" priority="1797" equalAverage="0" operator="lessThan" aboveAverage="0" dxfId="9" text="" percent="0" bottom="0">
      <formula>MaliyetEsik</formula>
    </cfRule>
  </conditionalFormatting>
  <conditionalFormatting sqref="D609">
    <cfRule type="cellIs" rank="0" priority="1798" equalAverage="0" operator="lessThan" aboveAverage="0" dxfId="10" text="" percent="0" bottom="0">
      <formula>18</formula>
    </cfRule>
  </conditionalFormatting>
  <conditionalFormatting sqref="B610">
    <cfRule type="cellIs" rank="0" priority="1799" equalAverage="0" operator="greaterThan" aboveAverage="0" dxfId="8" text="" percent="0" bottom="0">
      <formula>0</formula>
    </cfRule>
    <cfRule type="cellIs" rank="0" priority="1800" equalAverage="0" operator="lessThan" aboveAverage="0" dxfId="9" text="" percent="0" bottom="0">
      <formula>MaliyetEsik</formula>
    </cfRule>
  </conditionalFormatting>
  <conditionalFormatting sqref="D610">
    <cfRule type="cellIs" rank="0" priority="1801" equalAverage="0" operator="lessThan" aboveAverage="0" dxfId="10" text="" percent="0" bottom="0">
      <formula>18</formula>
    </cfRule>
  </conditionalFormatting>
  <conditionalFormatting sqref="B611">
    <cfRule type="cellIs" rank="0" priority="1802" equalAverage="0" operator="greaterThan" aboveAverage="0" dxfId="8" text="" percent="0" bottom="0">
      <formula>0</formula>
    </cfRule>
    <cfRule type="cellIs" rank="0" priority="1803" equalAverage="0" operator="lessThan" aboveAverage="0" dxfId="9" text="" percent="0" bottom="0">
      <formula>MaliyetEsik</formula>
    </cfRule>
  </conditionalFormatting>
  <conditionalFormatting sqref="D611">
    <cfRule type="cellIs" rank="0" priority="1804" equalAverage="0" operator="lessThan" aboveAverage="0" dxfId="10" text="" percent="0" bottom="0">
      <formula>18</formula>
    </cfRule>
  </conditionalFormatting>
  <conditionalFormatting sqref="B612">
    <cfRule type="cellIs" rank="0" priority="1805" equalAverage="0" operator="greaterThan" aboveAverage="0" dxfId="8" text="" percent="0" bottom="0">
      <formula>0</formula>
    </cfRule>
    <cfRule type="cellIs" rank="0" priority="1806" equalAverage="0" operator="lessThan" aboveAverage="0" dxfId="9" text="" percent="0" bottom="0">
      <formula>MaliyetEsik</formula>
    </cfRule>
  </conditionalFormatting>
  <conditionalFormatting sqref="D612">
    <cfRule type="cellIs" rank="0" priority="1807" equalAverage="0" operator="lessThan" aboveAverage="0" dxfId="10" text="" percent="0" bottom="0">
      <formula>18</formula>
    </cfRule>
  </conditionalFormatting>
  <conditionalFormatting sqref="B613">
    <cfRule type="cellIs" rank="0" priority="1808" equalAverage="0" operator="greaterThan" aboveAverage="0" dxfId="8" text="" percent="0" bottom="0">
      <formula>0</formula>
    </cfRule>
    <cfRule type="cellIs" rank="0" priority="1809" equalAverage="0" operator="lessThan" aboveAverage="0" dxfId="9" text="" percent="0" bottom="0">
      <formula>MaliyetEsik</formula>
    </cfRule>
  </conditionalFormatting>
  <conditionalFormatting sqref="D613">
    <cfRule type="cellIs" rank="0" priority="1810" equalAverage="0" operator="lessThan" aboveAverage="0" dxfId="10" text="" percent="0" bottom="0">
      <formula>18</formula>
    </cfRule>
  </conditionalFormatting>
  <conditionalFormatting sqref="B614">
    <cfRule type="cellIs" rank="0" priority="1811" equalAverage="0" operator="greaterThan" aboveAverage="0" dxfId="8" text="" percent="0" bottom="0">
      <formula>0</formula>
    </cfRule>
    <cfRule type="cellIs" rank="0" priority="1812" equalAverage="0" operator="lessThan" aboveAverage="0" dxfId="9" text="" percent="0" bottom="0">
      <formula>MaliyetEsik</formula>
    </cfRule>
  </conditionalFormatting>
  <conditionalFormatting sqref="D614">
    <cfRule type="cellIs" rank="0" priority="1813" equalAverage="0" operator="lessThan" aboveAverage="0" dxfId="10" text="" percent="0" bottom="0">
      <formula>18</formula>
    </cfRule>
  </conditionalFormatting>
  <conditionalFormatting sqref="B615">
    <cfRule type="cellIs" rank="0" priority="1814" equalAverage="0" operator="greaterThan" aboveAverage="0" dxfId="8" text="" percent="0" bottom="0">
      <formula>0</formula>
    </cfRule>
    <cfRule type="cellIs" rank="0" priority="1815" equalAverage="0" operator="lessThan" aboveAverage="0" dxfId="9" text="" percent="0" bottom="0">
      <formula>MaliyetEsik</formula>
    </cfRule>
  </conditionalFormatting>
  <conditionalFormatting sqref="D615">
    <cfRule type="cellIs" rank="0" priority="1816" equalAverage="0" operator="lessThan" aboveAverage="0" dxfId="10" text="" percent="0" bottom="0">
      <formula>18</formula>
    </cfRule>
  </conditionalFormatting>
  <conditionalFormatting sqref="B616">
    <cfRule type="cellIs" rank="0" priority="1817" equalAverage="0" operator="greaterThan" aboveAverage="0" dxfId="8" text="" percent="0" bottom="0">
      <formula>0</formula>
    </cfRule>
    <cfRule type="cellIs" rank="0" priority="1818" equalAverage="0" operator="lessThan" aboveAverage="0" dxfId="9" text="" percent="0" bottom="0">
      <formula>MaliyetEsik</formula>
    </cfRule>
  </conditionalFormatting>
  <conditionalFormatting sqref="D616">
    <cfRule type="cellIs" rank="0" priority="1819" equalAverage="0" operator="lessThan" aboveAverage="0" dxfId="10" text="" percent="0" bottom="0">
      <formula>18</formula>
    </cfRule>
  </conditionalFormatting>
  <conditionalFormatting sqref="B617">
    <cfRule type="cellIs" rank="0" priority="1820" equalAverage="0" operator="greaterThan" aboveAverage="0" dxfId="8" text="" percent="0" bottom="0">
      <formula>0</formula>
    </cfRule>
    <cfRule type="cellIs" rank="0" priority="1821" equalAverage="0" operator="lessThan" aboveAverage="0" dxfId="9" text="" percent="0" bottom="0">
      <formula>MaliyetEsik</formula>
    </cfRule>
  </conditionalFormatting>
  <conditionalFormatting sqref="D617">
    <cfRule type="cellIs" rank="0" priority="1822" equalAverage="0" operator="lessThan" aboveAverage="0" dxfId="10" text="" percent="0" bottom="0">
      <formula>18</formula>
    </cfRule>
  </conditionalFormatting>
  <conditionalFormatting sqref="B618">
    <cfRule type="cellIs" rank="0" priority="1823" equalAverage="0" operator="greaterThan" aboveAverage="0" dxfId="8" text="" percent="0" bottom="0">
      <formula>0</formula>
    </cfRule>
    <cfRule type="cellIs" rank="0" priority="1824" equalAverage="0" operator="lessThan" aboveAverage="0" dxfId="9" text="" percent="0" bottom="0">
      <formula>MaliyetEsik</formula>
    </cfRule>
  </conditionalFormatting>
  <conditionalFormatting sqref="D618">
    <cfRule type="cellIs" rank="0" priority="1825" equalAverage="0" operator="lessThan" aboveAverage="0" dxfId="10" text="" percent="0" bottom="0">
      <formula>18</formula>
    </cfRule>
  </conditionalFormatting>
  <conditionalFormatting sqref="B619">
    <cfRule type="cellIs" rank="0" priority="1826" equalAverage="0" operator="greaterThan" aboveAverage="0" dxfId="8" text="" percent="0" bottom="0">
      <formula>0</formula>
    </cfRule>
    <cfRule type="cellIs" rank="0" priority="1827" equalAverage="0" operator="lessThan" aboveAverage="0" dxfId="9" text="" percent="0" bottom="0">
      <formula>MaliyetEsik</formula>
    </cfRule>
  </conditionalFormatting>
  <conditionalFormatting sqref="D619">
    <cfRule type="cellIs" rank="0" priority="1828" equalAverage="0" operator="lessThan" aboveAverage="0" dxfId="10" text="" percent="0" bottom="0">
      <formula>18</formula>
    </cfRule>
  </conditionalFormatting>
  <conditionalFormatting sqref="B620">
    <cfRule type="cellIs" rank="0" priority="1829" equalAverage="0" operator="greaterThan" aboveAverage="0" dxfId="8" text="" percent="0" bottom="0">
      <formula>0</formula>
    </cfRule>
    <cfRule type="cellIs" rank="0" priority="1830" equalAverage="0" operator="lessThan" aboveAverage="0" dxfId="9" text="" percent="0" bottom="0">
      <formula>MaliyetEsik</formula>
    </cfRule>
  </conditionalFormatting>
  <conditionalFormatting sqref="D620">
    <cfRule type="cellIs" rank="0" priority="1831" equalAverage="0" operator="lessThan" aboveAverage="0" dxfId="10" text="" percent="0" bottom="0">
      <formula>18</formula>
    </cfRule>
  </conditionalFormatting>
  <conditionalFormatting sqref="B621">
    <cfRule type="cellIs" rank="0" priority="1832" equalAverage="0" operator="greaterThan" aboveAverage="0" dxfId="8" text="" percent="0" bottom="0">
      <formula>0</formula>
    </cfRule>
    <cfRule type="cellIs" rank="0" priority="1833" equalAverage="0" operator="lessThan" aboveAverage="0" dxfId="9" text="" percent="0" bottom="0">
      <formula>MaliyetEsik</formula>
    </cfRule>
  </conditionalFormatting>
  <conditionalFormatting sqref="D621">
    <cfRule type="cellIs" rank="0" priority="1834" equalAverage="0" operator="lessThan" aboveAverage="0" dxfId="10" text="" percent="0" bottom="0">
      <formula>18</formula>
    </cfRule>
  </conditionalFormatting>
  <conditionalFormatting sqref="B622">
    <cfRule type="cellIs" rank="0" priority="1835" equalAverage="0" operator="greaterThan" aboveAverage="0" dxfId="8" text="" percent="0" bottom="0">
      <formula>0</formula>
    </cfRule>
    <cfRule type="cellIs" rank="0" priority="1836" equalAverage="0" operator="lessThan" aboveAverage="0" dxfId="9" text="" percent="0" bottom="0">
      <formula>MaliyetEsik</formula>
    </cfRule>
  </conditionalFormatting>
  <conditionalFormatting sqref="D622">
    <cfRule type="cellIs" rank="0" priority="1837" equalAverage="0" operator="lessThan" aboveAverage="0" dxfId="10" text="" percent="0" bottom="0">
      <formula>18</formula>
    </cfRule>
  </conditionalFormatting>
  <conditionalFormatting sqref="B623">
    <cfRule type="cellIs" rank="0" priority="1838" equalAverage="0" operator="greaterThan" aboveAverage="0" dxfId="8" text="" percent="0" bottom="0">
      <formula>0</formula>
    </cfRule>
    <cfRule type="cellIs" rank="0" priority="1839" equalAverage="0" operator="lessThan" aboveAverage="0" dxfId="9" text="" percent="0" bottom="0">
      <formula>MaliyetEsik</formula>
    </cfRule>
  </conditionalFormatting>
  <conditionalFormatting sqref="D623">
    <cfRule type="cellIs" rank="0" priority="1840" equalAverage="0" operator="lessThan" aboveAverage="0" dxfId="10" text="" percent="0" bottom="0">
      <formula>18</formula>
    </cfRule>
  </conditionalFormatting>
  <conditionalFormatting sqref="B624">
    <cfRule type="cellIs" rank="0" priority="1841" equalAverage="0" operator="greaterThan" aboveAverage="0" dxfId="8" text="" percent="0" bottom="0">
      <formula>0</formula>
    </cfRule>
    <cfRule type="cellIs" rank="0" priority="1842" equalAverage="0" operator="lessThan" aboveAverage="0" dxfId="9" text="" percent="0" bottom="0">
      <formula>MaliyetEsik</formula>
    </cfRule>
  </conditionalFormatting>
  <conditionalFormatting sqref="D624">
    <cfRule type="cellIs" rank="0" priority="1843" equalAverage="0" operator="lessThan" aboveAverage="0" dxfId="10" text="" percent="0" bottom="0">
      <formula>18</formula>
    </cfRule>
  </conditionalFormatting>
  <conditionalFormatting sqref="B625">
    <cfRule type="cellIs" rank="0" priority="1844" equalAverage="0" operator="greaterThan" aboveAverage="0" dxfId="8" text="" percent="0" bottom="0">
      <formula>0</formula>
    </cfRule>
    <cfRule type="cellIs" rank="0" priority="1845" equalAverage="0" operator="lessThan" aboveAverage="0" dxfId="9" text="" percent="0" bottom="0">
      <formula>MaliyetEsik</formula>
    </cfRule>
  </conditionalFormatting>
  <conditionalFormatting sqref="D625">
    <cfRule type="cellIs" rank="0" priority="1846" equalAverage="0" operator="lessThan" aboveAverage="0" dxfId="10" text="" percent="0" bottom="0">
      <formula>18</formula>
    </cfRule>
  </conditionalFormatting>
  <conditionalFormatting sqref="B626">
    <cfRule type="cellIs" rank="0" priority="1847" equalAverage="0" operator="greaterThan" aboveAverage="0" dxfId="8" text="" percent="0" bottom="0">
      <formula>0</formula>
    </cfRule>
    <cfRule type="cellIs" rank="0" priority="1848" equalAverage="0" operator="lessThan" aboveAverage="0" dxfId="9" text="" percent="0" bottom="0">
      <formula>MaliyetEsik</formula>
    </cfRule>
  </conditionalFormatting>
  <conditionalFormatting sqref="D626">
    <cfRule type="cellIs" rank="0" priority="1849" equalAverage="0" operator="lessThan" aboveAverage="0" dxfId="10" text="" percent="0" bottom="0">
      <formula>18</formula>
    </cfRule>
  </conditionalFormatting>
  <conditionalFormatting sqref="B627">
    <cfRule type="cellIs" rank="0" priority="1850" equalAverage="0" operator="greaterThan" aboveAverage="0" dxfId="8" text="" percent="0" bottom="0">
      <formula>0</formula>
    </cfRule>
    <cfRule type="cellIs" rank="0" priority="1851" equalAverage="0" operator="lessThan" aboveAverage="0" dxfId="9" text="" percent="0" bottom="0">
      <formula>MaliyetEsik</formula>
    </cfRule>
  </conditionalFormatting>
  <conditionalFormatting sqref="D627">
    <cfRule type="cellIs" rank="0" priority="1852" equalAverage="0" operator="lessThan" aboveAverage="0" dxfId="10" text="" percent="0" bottom="0">
      <formula>18</formula>
    </cfRule>
  </conditionalFormatting>
  <conditionalFormatting sqref="B628">
    <cfRule type="cellIs" rank="0" priority="1853" equalAverage="0" operator="greaterThan" aboveAverage="0" dxfId="8" text="" percent="0" bottom="0">
      <formula>0</formula>
    </cfRule>
    <cfRule type="cellIs" rank="0" priority="1854" equalAverage="0" operator="lessThan" aboveAverage="0" dxfId="9" text="" percent="0" bottom="0">
      <formula>MaliyetEsik</formula>
    </cfRule>
  </conditionalFormatting>
  <conditionalFormatting sqref="D628">
    <cfRule type="cellIs" rank="0" priority="1855" equalAverage="0" operator="lessThan" aboveAverage="0" dxfId="10" text="" percent="0" bottom="0">
      <formula>18</formula>
    </cfRule>
  </conditionalFormatting>
  <conditionalFormatting sqref="B629">
    <cfRule type="cellIs" rank="0" priority="1856" equalAverage="0" operator="greaterThan" aboveAverage="0" dxfId="8" text="" percent="0" bottom="0">
      <formula>0</formula>
    </cfRule>
    <cfRule type="cellIs" rank="0" priority="1857" equalAverage="0" operator="lessThan" aboveAverage="0" dxfId="9" text="" percent="0" bottom="0">
      <formula>MaliyetEsik</formula>
    </cfRule>
  </conditionalFormatting>
  <conditionalFormatting sqref="D629">
    <cfRule type="cellIs" rank="0" priority="1858" equalAverage="0" operator="lessThan" aboveAverage="0" dxfId="10" text="" percent="0" bottom="0">
      <formula>18</formula>
    </cfRule>
  </conditionalFormatting>
  <conditionalFormatting sqref="B630">
    <cfRule type="cellIs" rank="0" priority="1859" equalAverage="0" operator="greaterThan" aboveAverage="0" dxfId="8" text="" percent="0" bottom="0">
      <formula>0</formula>
    </cfRule>
    <cfRule type="cellIs" rank="0" priority="1860" equalAverage="0" operator="lessThan" aboveAverage="0" dxfId="9" text="" percent="0" bottom="0">
      <formula>MaliyetEsik</formula>
    </cfRule>
  </conditionalFormatting>
  <conditionalFormatting sqref="D630">
    <cfRule type="cellIs" rank="0" priority="1861" equalAverage="0" operator="lessThan" aboveAverage="0" dxfId="10" text="" percent="0" bottom="0">
      <formula>18</formula>
    </cfRule>
  </conditionalFormatting>
  <conditionalFormatting sqref="B631">
    <cfRule type="cellIs" rank="0" priority="1862" equalAverage="0" operator="greaterThan" aboveAverage="0" dxfId="8" text="" percent="0" bottom="0">
      <formula>0</formula>
    </cfRule>
    <cfRule type="cellIs" rank="0" priority="1863" equalAverage="0" operator="lessThan" aboveAverage="0" dxfId="9" text="" percent="0" bottom="0">
      <formula>MaliyetEsik</formula>
    </cfRule>
  </conditionalFormatting>
  <conditionalFormatting sqref="D631">
    <cfRule type="cellIs" rank="0" priority="1864" equalAverage="0" operator="lessThan" aboveAverage="0" dxfId="10" text="" percent="0" bottom="0">
      <formula>18</formula>
    </cfRule>
  </conditionalFormatting>
  <conditionalFormatting sqref="B632">
    <cfRule type="cellIs" rank="0" priority="1865" equalAverage="0" operator="greaterThan" aboveAverage="0" dxfId="8" text="" percent="0" bottom="0">
      <formula>0</formula>
    </cfRule>
    <cfRule type="cellIs" rank="0" priority="1866" equalAverage="0" operator="lessThan" aboveAverage="0" dxfId="9" text="" percent="0" bottom="0">
      <formula>MaliyetEsik</formula>
    </cfRule>
  </conditionalFormatting>
  <conditionalFormatting sqref="D632">
    <cfRule type="cellIs" rank="0" priority="1867" equalAverage="0" operator="lessThan" aboveAverage="0" dxfId="10" text="" percent="0" bottom="0">
      <formula>18</formula>
    </cfRule>
  </conditionalFormatting>
  <conditionalFormatting sqref="B633">
    <cfRule type="cellIs" rank="0" priority="1868" equalAverage="0" operator="greaterThan" aboveAverage="0" dxfId="8" text="" percent="0" bottom="0">
      <formula>0</formula>
    </cfRule>
    <cfRule type="cellIs" rank="0" priority="1869" equalAverage="0" operator="lessThan" aboveAverage="0" dxfId="9" text="" percent="0" bottom="0">
      <formula>MaliyetEsik</formula>
    </cfRule>
  </conditionalFormatting>
  <conditionalFormatting sqref="D633">
    <cfRule type="cellIs" rank="0" priority="1870" equalAverage="0" operator="lessThan" aboveAverage="0" dxfId="10" text="" percent="0" bottom="0">
      <formula>18</formula>
    </cfRule>
  </conditionalFormatting>
  <conditionalFormatting sqref="B634">
    <cfRule type="cellIs" rank="0" priority="1871" equalAverage="0" operator="greaterThan" aboveAverage="0" dxfId="8" text="" percent="0" bottom="0">
      <formula>0</formula>
    </cfRule>
    <cfRule type="cellIs" rank="0" priority="1872" equalAverage="0" operator="lessThan" aboveAverage="0" dxfId="9" text="" percent="0" bottom="0">
      <formula>MaliyetEsik</formula>
    </cfRule>
  </conditionalFormatting>
  <conditionalFormatting sqref="D634">
    <cfRule type="cellIs" rank="0" priority="1873" equalAverage="0" operator="lessThan" aboveAverage="0" dxfId="10" text="" percent="0" bottom="0">
      <formula>18</formula>
    </cfRule>
  </conditionalFormatting>
  <conditionalFormatting sqref="B635">
    <cfRule type="cellIs" rank="0" priority="1874" equalAverage="0" operator="greaterThan" aboveAverage="0" dxfId="8" text="" percent="0" bottom="0">
      <formula>0</formula>
    </cfRule>
    <cfRule type="cellIs" rank="0" priority="1875" equalAverage="0" operator="lessThan" aboveAverage="0" dxfId="9" text="" percent="0" bottom="0">
      <formula>MaliyetEsik</formula>
    </cfRule>
  </conditionalFormatting>
  <conditionalFormatting sqref="D635">
    <cfRule type="cellIs" rank="0" priority="1876" equalAverage="0" operator="lessThan" aboveAverage="0" dxfId="10" text="" percent="0" bottom="0">
      <formula>18</formula>
    </cfRule>
  </conditionalFormatting>
  <conditionalFormatting sqref="B636">
    <cfRule type="cellIs" rank="0" priority="1877" equalAverage="0" operator="greaterThan" aboveAverage="0" dxfId="8" text="" percent="0" bottom="0">
      <formula>0</formula>
    </cfRule>
    <cfRule type="cellIs" rank="0" priority="1878" equalAverage="0" operator="lessThan" aboveAverage="0" dxfId="9" text="" percent="0" bottom="0">
      <formula>MaliyetEsik</formula>
    </cfRule>
  </conditionalFormatting>
  <conditionalFormatting sqref="D636">
    <cfRule type="cellIs" rank="0" priority="1879" equalAverage="0" operator="lessThan" aboveAverage="0" dxfId="10" text="" percent="0" bottom="0">
      <formula>18</formula>
    </cfRule>
  </conditionalFormatting>
  <conditionalFormatting sqref="B637">
    <cfRule type="cellIs" rank="0" priority="1880" equalAverage="0" operator="greaterThan" aboveAverage="0" dxfId="8" text="" percent="0" bottom="0">
      <formula>0</formula>
    </cfRule>
    <cfRule type="cellIs" rank="0" priority="1881" equalAverage="0" operator="lessThan" aboveAverage="0" dxfId="9" text="" percent="0" bottom="0">
      <formula>MaliyetEsik</formula>
    </cfRule>
  </conditionalFormatting>
  <conditionalFormatting sqref="D637">
    <cfRule type="cellIs" rank="0" priority="1882" equalAverage="0" operator="lessThan" aboveAverage="0" dxfId="10" text="" percent="0" bottom="0">
      <formula>18</formula>
    </cfRule>
  </conditionalFormatting>
  <conditionalFormatting sqref="B638">
    <cfRule type="cellIs" rank="0" priority="1883" equalAverage="0" operator="greaterThan" aboveAverage="0" dxfId="8" text="" percent="0" bottom="0">
      <formula>0</formula>
    </cfRule>
    <cfRule type="cellIs" rank="0" priority="1884" equalAverage="0" operator="lessThan" aboveAverage="0" dxfId="9" text="" percent="0" bottom="0">
      <formula>MaliyetEsik</formula>
    </cfRule>
  </conditionalFormatting>
  <conditionalFormatting sqref="D638">
    <cfRule type="cellIs" rank="0" priority="1885" equalAverage="0" operator="lessThan" aboveAverage="0" dxfId="10" text="" percent="0" bottom="0">
      <formula>18</formula>
    </cfRule>
  </conditionalFormatting>
  <conditionalFormatting sqref="B639">
    <cfRule type="cellIs" rank="0" priority="1886" equalAverage="0" operator="greaterThan" aboveAverage="0" dxfId="8" text="" percent="0" bottom="0">
      <formula>0</formula>
    </cfRule>
    <cfRule type="cellIs" rank="0" priority="1887" equalAverage="0" operator="lessThan" aboveAverage="0" dxfId="9" text="" percent="0" bottom="0">
      <formula>MaliyetEsik</formula>
    </cfRule>
  </conditionalFormatting>
  <conditionalFormatting sqref="D639">
    <cfRule type="cellIs" rank="0" priority="1888" equalAverage="0" operator="lessThan" aboveAverage="0" dxfId="10" text="" percent="0" bottom="0">
      <formula>18</formula>
    </cfRule>
  </conditionalFormatting>
  <conditionalFormatting sqref="B640">
    <cfRule type="cellIs" rank="0" priority="1889" equalAverage="0" operator="greaterThan" aboveAverage="0" dxfId="8" text="" percent="0" bottom="0">
      <formula>0</formula>
    </cfRule>
    <cfRule type="cellIs" rank="0" priority="1890" equalAverage="0" operator="lessThan" aboveAverage="0" dxfId="9" text="" percent="0" bottom="0">
      <formula>MaliyetEsik</formula>
    </cfRule>
  </conditionalFormatting>
  <conditionalFormatting sqref="D640">
    <cfRule type="cellIs" rank="0" priority="1891" equalAverage="0" operator="lessThan" aboveAverage="0" dxfId="10" text="" percent="0" bottom="0">
      <formula>18</formula>
    </cfRule>
  </conditionalFormatting>
  <conditionalFormatting sqref="B641">
    <cfRule type="cellIs" rank="0" priority="1892" equalAverage="0" operator="greaterThan" aboveAverage="0" dxfId="8" text="" percent="0" bottom="0">
      <formula>0</formula>
    </cfRule>
    <cfRule type="cellIs" rank="0" priority="1893" equalAverage="0" operator="lessThan" aboveAverage="0" dxfId="9" text="" percent="0" bottom="0">
      <formula>MaliyetEsik</formula>
    </cfRule>
  </conditionalFormatting>
  <conditionalFormatting sqref="D641">
    <cfRule type="cellIs" rank="0" priority="1894" equalAverage="0" operator="lessThan" aboveAverage="0" dxfId="10" text="" percent="0" bottom="0">
      <formula>18</formula>
    </cfRule>
  </conditionalFormatting>
  <conditionalFormatting sqref="B642">
    <cfRule type="cellIs" rank="0" priority="1895" equalAverage="0" operator="greaterThan" aboveAverage="0" dxfId="8" text="" percent="0" bottom="0">
      <formula>0</formula>
    </cfRule>
    <cfRule type="cellIs" rank="0" priority="1896" equalAverage="0" operator="lessThan" aboveAverage="0" dxfId="9" text="" percent="0" bottom="0">
      <formula>MaliyetEsik</formula>
    </cfRule>
  </conditionalFormatting>
  <conditionalFormatting sqref="D642">
    <cfRule type="cellIs" rank="0" priority="1897" equalAverage="0" operator="lessThan" aboveAverage="0" dxfId="10" text="" percent="0" bottom="0">
      <formula>18</formula>
    </cfRule>
  </conditionalFormatting>
  <conditionalFormatting sqref="B643">
    <cfRule type="cellIs" rank="0" priority="1898" equalAverage="0" operator="greaterThan" aboveAverage="0" dxfId="8" text="" percent="0" bottom="0">
      <formula>0</formula>
    </cfRule>
    <cfRule type="cellIs" rank="0" priority="1899" equalAverage="0" operator="lessThan" aboveAverage="0" dxfId="9" text="" percent="0" bottom="0">
      <formula>MaliyetEsik</formula>
    </cfRule>
  </conditionalFormatting>
  <conditionalFormatting sqref="D643">
    <cfRule type="cellIs" rank="0" priority="1900" equalAverage="0" operator="lessThan" aboveAverage="0" dxfId="10" text="" percent="0" bottom="0">
      <formula>18</formula>
    </cfRule>
  </conditionalFormatting>
  <conditionalFormatting sqref="B644">
    <cfRule type="cellIs" rank="0" priority="1901" equalAverage="0" operator="greaterThan" aboveAverage="0" dxfId="8" text="" percent="0" bottom="0">
      <formula>0</formula>
    </cfRule>
    <cfRule type="cellIs" rank="0" priority="1902" equalAverage="0" operator="lessThan" aboveAverage="0" dxfId="9" text="" percent="0" bottom="0">
      <formula>MaliyetEsik</formula>
    </cfRule>
  </conditionalFormatting>
  <conditionalFormatting sqref="D644">
    <cfRule type="cellIs" rank="0" priority="1903" equalAverage="0" operator="lessThan" aboveAverage="0" dxfId="10" text="" percent="0" bottom="0">
      <formula>18</formula>
    </cfRule>
  </conditionalFormatting>
  <conditionalFormatting sqref="B645">
    <cfRule type="cellIs" rank="0" priority="1904" equalAverage="0" operator="greaterThan" aboveAverage="0" dxfId="8" text="" percent="0" bottom="0">
      <formula>0</formula>
    </cfRule>
    <cfRule type="cellIs" rank="0" priority="1905" equalAverage="0" operator="lessThan" aboveAverage="0" dxfId="9" text="" percent="0" bottom="0">
      <formula>MaliyetEsik</formula>
    </cfRule>
  </conditionalFormatting>
  <conditionalFormatting sqref="D645">
    <cfRule type="cellIs" rank="0" priority="1906" equalAverage="0" operator="lessThan" aboveAverage="0" dxfId="10" text="" percent="0" bottom="0">
      <formula>18</formula>
    </cfRule>
  </conditionalFormatting>
  <conditionalFormatting sqref="B646">
    <cfRule type="cellIs" rank="0" priority="1907" equalAverage="0" operator="greaterThan" aboveAverage="0" dxfId="8" text="" percent="0" bottom="0">
      <formula>0</formula>
    </cfRule>
    <cfRule type="cellIs" rank="0" priority="1908" equalAverage="0" operator="lessThan" aboveAverage="0" dxfId="9" text="" percent="0" bottom="0">
      <formula>MaliyetEsik</formula>
    </cfRule>
  </conditionalFormatting>
  <conditionalFormatting sqref="D646">
    <cfRule type="cellIs" rank="0" priority="1909" equalAverage="0" operator="lessThan" aboveAverage="0" dxfId="10" text="" percent="0" bottom="0">
      <formula>18</formula>
    </cfRule>
  </conditionalFormatting>
  <conditionalFormatting sqref="B647">
    <cfRule type="cellIs" rank="0" priority="1910" equalAverage="0" operator="greaterThan" aboveAverage="0" dxfId="8" text="" percent="0" bottom="0">
      <formula>0</formula>
    </cfRule>
    <cfRule type="cellIs" rank="0" priority="1911" equalAverage="0" operator="lessThan" aboveAverage="0" dxfId="9" text="" percent="0" bottom="0">
      <formula>MaliyetEsik</formula>
    </cfRule>
  </conditionalFormatting>
  <conditionalFormatting sqref="D647">
    <cfRule type="cellIs" rank="0" priority="1912" equalAverage="0" operator="lessThan" aboveAverage="0" dxfId="10" text="" percent="0" bottom="0">
      <formula>18</formula>
    </cfRule>
  </conditionalFormatting>
  <conditionalFormatting sqref="B648">
    <cfRule type="cellIs" rank="0" priority="1913" equalAverage="0" operator="greaterThan" aboveAverage="0" dxfId="8" text="" percent="0" bottom="0">
      <formula>0</formula>
    </cfRule>
    <cfRule type="cellIs" rank="0" priority="1914" equalAverage="0" operator="lessThan" aboveAverage="0" dxfId="9" text="" percent="0" bottom="0">
      <formula>MaliyetEsik</formula>
    </cfRule>
  </conditionalFormatting>
  <conditionalFormatting sqref="D648">
    <cfRule type="cellIs" rank="0" priority="1915" equalAverage="0" operator="lessThan" aboveAverage="0" dxfId="10" text="" percent="0" bottom="0">
      <formula>18</formula>
    </cfRule>
  </conditionalFormatting>
  <conditionalFormatting sqref="B649">
    <cfRule type="cellIs" rank="0" priority="1916" equalAverage="0" operator="greaterThan" aboveAverage="0" dxfId="8" text="" percent="0" bottom="0">
      <formula>0</formula>
    </cfRule>
    <cfRule type="cellIs" rank="0" priority="1917" equalAverage="0" operator="lessThan" aboveAverage="0" dxfId="9" text="" percent="0" bottom="0">
      <formula>MaliyetEsik</formula>
    </cfRule>
  </conditionalFormatting>
  <conditionalFormatting sqref="D649">
    <cfRule type="cellIs" rank="0" priority="1918" equalAverage="0" operator="lessThan" aboveAverage="0" dxfId="10" text="" percent="0" bottom="0">
      <formula>18</formula>
    </cfRule>
  </conditionalFormatting>
  <conditionalFormatting sqref="B650">
    <cfRule type="cellIs" rank="0" priority="1919" equalAverage="0" operator="greaterThan" aboveAverage="0" dxfId="8" text="" percent="0" bottom="0">
      <formula>0</formula>
    </cfRule>
    <cfRule type="cellIs" rank="0" priority="1920" equalAverage="0" operator="lessThan" aboveAverage="0" dxfId="9" text="" percent="0" bottom="0">
      <formula>MaliyetEsik</formula>
    </cfRule>
  </conditionalFormatting>
  <conditionalFormatting sqref="D650">
    <cfRule type="cellIs" rank="0" priority="1921" equalAverage="0" operator="lessThan" aboveAverage="0" dxfId="10" text="" percent="0" bottom="0">
      <formula>18</formula>
    </cfRule>
  </conditionalFormatting>
  <conditionalFormatting sqref="B651">
    <cfRule type="cellIs" rank="0" priority="1922" equalAverage="0" operator="greaterThan" aboveAverage="0" dxfId="8" text="" percent="0" bottom="0">
      <formula>0</formula>
    </cfRule>
    <cfRule type="cellIs" rank="0" priority="1923" equalAverage="0" operator="lessThan" aboveAverage="0" dxfId="9" text="" percent="0" bottom="0">
      <formula>MaliyetEsik</formula>
    </cfRule>
  </conditionalFormatting>
  <conditionalFormatting sqref="D651">
    <cfRule type="cellIs" rank="0" priority="1924" equalAverage="0" operator="lessThan" aboveAverage="0" dxfId="10" text="" percent="0" bottom="0">
      <formula>18</formula>
    </cfRule>
  </conditionalFormatting>
  <conditionalFormatting sqref="B652">
    <cfRule type="cellIs" rank="0" priority="1925" equalAverage="0" operator="greaterThan" aboveAverage="0" dxfId="8" text="" percent="0" bottom="0">
      <formula>0</formula>
    </cfRule>
    <cfRule type="cellIs" rank="0" priority="1926" equalAverage="0" operator="lessThan" aboveAverage="0" dxfId="9" text="" percent="0" bottom="0">
      <formula>MaliyetEsik</formula>
    </cfRule>
  </conditionalFormatting>
  <conditionalFormatting sqref="D652">
    <cfRule type="cellIs" rank="0" priority="1927" equalAverage="0" operator="lessThan" aboveAverage="0" dxfId="10" text="" percent="0" bottom="0">
      <formula>18</formula>
    </cfRule>
  </conditionalFormatting>
  <conditionalFormatting sqref="B653">
    <cfRule type="cellIs" rank="0" priority="1928" equalAverage="0" operator="greaterThan" aboveAverage="0" dxfId="8" text="" percent="0" bottom="0">
      <formula>0</formula>
    </cfRule>
    <cfRule type="cellIs" rank="0" priority="1929" equalAverage="0" operator="lessThan" aboveAverage="0" dxfId="9" text="" percent="0" bottom="0">
      <formula>MaliyetEsik</formula>
    </cfRule>
  </conditionalFormatting>
  <conditionalFormatting sqref="D653">
    <cfRule type="cellIs" rank="0" priority="1930" equalAverage="0" operator="lessThan" aboveAverage="0" dxfId="10" text="" percent="0" bottom="0">
      <formula>18</formula>
    </cfRule>
  </conditionalFormatting>
  <conditionalFormatting sqref="B654">
    <cfRule type="cellIs" rank="0" priority="1931" equalAverage="0" operator="greaterThan" aboveAverage="0" dxfId="8" text="" percent="0" bottom="0">
      <formula>0</formula>
    </cfRule>
    <cfRule type="cellIs" rank="0" priority="1932" equalAverage="0" operator="lessThan" aboveAverage="0" dxfId="9" text="" percent="0" bottom="0">
      <formula>MaliyetEsik</formula>
    </cfRule>
  </conditionalFormatting>
  <conditionalFormatting sqref="D654">
    <cfRule type="cellIs" rank="0" priority="1933" equalAverage="0" operator="lessThan" aboveAverage="0" dxfId="10" text="" percent="0" bottom="0">
      <formula>18</formula>
    </cfRule>
  </conditionalFormatting>
  <conditionalFormatting sqref="B655">
    <cfRule type="cellIs" rank="0" priority="1934" equalAverage="0" operator="greaterThan" aboveAverage="0" dxfId="8" text="" percent="0" bottom="0">
      <formula>0</formula>
    </cfRule>
    <cfRule type="cellIs" rank="0" priority="1935" equalAverage="0" operator="lessThan" aboveAverage="0" dxfId="9" text="" percent="0" bottom="0">
      <formula>MaliyetEsik</formula>
    </cfRule>
  </conditionalFormatting>
  <conditionalFormatting sqref="D655">
    <cfRule type="cellIs" rank="0" priority="1936" equalAverage="0" operator="lessThan" aboveAverage="0" dxfId="10" text="" percent="0" bottom="0">
      <formula>18</formula>
    </cfRule>
  </conditionalFormatting>
  <conditionalFormatting sqref="B656">
    <cfRule type="cellIs" rank="0" priority="1937" equalAverage="0" operator="greaterThan" aboveAverage="0" dxfId="8" text="" percent="0" bottom="0">
      <formula>0</formula>
    </cfRule>
    <cfRule type="cellIs" rank="0" priority="1938" equalAverage="0" operator="lessThan" aboveAverage="0" dxfId="9" text="" percent="0" bottom="0">
      <formula>MaliyetEsik</formula>
    </cfRule>
  </conditionalFormatting>
  <conditionalFormatting sqref="D656">
    <cfRule type="cellIs" rank="0" priority="1939" equalAverage="0" operator="lessThan" aboveAverage="0" dxfId="10" text="" percent="0" bottom="0">
      <formula>18</formula>
    </cfRule>
  </conditionalFormatting>
  <conditionalFormatting sqref="B657">
    <cfRule type="cellIs" rank="0" priority="1940" equalAverage="0" operator="greaterThan" aboveAverage="0" dxfId="8" text="" percent="0" bottom="0">
      <formula>0</formula>
    </cfRule>
    <cfRule type="cellIs" rank="0" priority="1941" equalAverage="0" operator="lessThan" aboveAverage="0" dxfId="9" text="" percent="0" bottom="0">
      <formula>MaliyetEsik</formula>
    </cfRule>
  </conditionalFormatting>
  <conditionalFormatting sqref="D657">
    <cfRule type="cellIs" rank="0" priority="1942" equalAverage="0" operator="lessThan" aboveAverage="0" dxfId="10" text="" percent="0" bottom="0">
      <formula>18</formula>
    </cfRule>
  </conditionalFormatting>
  <conditionalFormatting sqref="B658">
    <cfRule type="cellIs" rank="0" priority="1943" equalAverage="0" operator="greaterThan" aboveAverage="0" dxfId="8" text="" percent="0" bottom="0">
      <formula>0</formula>
    </cfRule>
    <cfRule type="cellIs" rank="0" priority="1944" equalAverage="0" operator="lessThan" aboveAverage="0" dxfId="9" text="" percent="0" bottom="0">
      <formula>MaliyetEsik</formula>
    </cfRule>
  </conditionalFormatting>
  <conditionalFormatting sqref="D658">
    <cfRule type="cellIs" rank="0" priority="1945" equalAverage="0" operator="lessThan" aboveAverage="0" dxfId="10" text="" percent="0" bottom="0">
      <formula>18</formula>
    </cfRule>
  </conditionalFormatting>
  <conditionalFormatting sqref="B659">
    <cfRule type="cellIs" rank="0" priority="1946" equalAverage="0" operator="greaterThan" aboveAverage="0" dxfId="8" text="" percent="0" bottom="0">
      <formula>0</formula>
    </cfRule>
    <cfRule type="cellIs" rank="0" priority="1947" equalAverage="0" operator="lessThan" aboveAverage="0" dxfId="9" text="" percent="0" bottom="0">
      <formula>MaliyetEsik</formula>
    </cfRule>
  </conditionalFormatting>
  <conditionalFormatting sqref="D659">
    <cfRule type="cellIs" rank="0" priority="1948" equalAverage="0" operator="lessThan" aboveAverage="0" dxfId="10" text="" percent="0" bottom="0">
      <formula>18</formula>
    </cfRule>
  </conditionalFormatting>
  <conditionalFormatting sqref="B660">
    <cfRule type="cellIs" rank="0" priority="1949" equalAverage="0" operator="greaterThan" aboveAverage="0" dxfId="8" text="" percent="0" bottom="0">
      <formula>0</formula>
    </cfRule>
    <cfRule type="cellIs" rank="0" priority="1950" equalAverage="0" operator="lessThan" aboveAverage="0" dxfId="9" text="" percent="0" bottom="0">
      <formula>MaliyetEsik</formula>
    </cfRule>
  </conditionalFormatting>
  <conditionalFormatting sqref="D660">
    <cfRule type="cellIs" rank="0" priority="1951" equalAverage="0" operator="lessThan" aboveAverage="0" dxfId="10" text="" percent="0" bottom="0">
      <formula>18</formula>
    </cfRule>
  </conditionalFormatting>
  <conditionalFormatting sqref="B661">
    <cfRule type="cellIs" rank="0" priority="1952" equalAverage="0" operator="greaterThan" aboveAverage="0" dxfId="8" text="" percent="0" bottom="0">
      <formula>0</formula>
    </cfRule>
    <cfRule type="cellIs" rank="0" priority="1953" equalAverage="0" operator="lessThan" aboveAverage="0" dxfId="9" text="" percent="0" bottom="0">
      <formula>MaliyetEsik</formula>
    </cfRule>
  </conditionalFormatting>
  <conditionalFormatting sqref="D661">
    <cfRule type="cellIs" rank="0" priority="1954" equalAverage="0" operator="lessThan" aboveAverage="0" dxfId="10" text="" percent="0" bottom="0">
      <formula>18</formula>
    </cfRule>
  </conditionalFormatting>
  <conditionalFormatting sqref="B662">
    <cfRule type="cellIs" rank="0" priority="1955" equalAverage="0" operator="greaterThan" aboveAverage="0" dxfId="8" text="" percent="0" bottom="0">
      <formula>0</formula>
    </cfRule>
    <cfRule type="cellIs" rank="0" priority="1956" equalAverage="0" operator="lessThan" aboveAverage="0" dxfId="9" text="" percent="0" bottom="0">
      <formula>MaliyetEsik</formula>
    </cfRule>
  </conditionalFormatting>
  <conditionalFormatting sqref="D662">
    <cfRule type="cellIs" rank="0" priority="1957" equalAverage="0" operator="lessThan" aboveAverage="0" dxfId="10" text="" percent="0" bottom="0">
      <formula>18</formula>
    </cfRule>
  </conditionalFormatting>
  <conditionalFormatting sqref="B663">
    <cfRule type="cellIs" rank="0" priority="1958" equalAverage="0" operator="greaterThan" aboveAverage="0" dxfId="8" text="" percent="0" bottom="0">
      <formula>0</formula>
    </cfRule>
    <cfRule type="cellIs" rank="0" priority="1959" equalAverage="0" operator="lessThan" aboveAverage="0" dxfId="9" text="" percent="0" bottom="0">
      <formula>MaliyetEsik</formula>
    </cfRule>
  </conditionalFormatting>
  <conditionalFormatting sqref="D663">
    <cfRule type="cellIs" rank="0" priority="1960" equalAverage="0" operator="lessThan" aboveAverage="0" dxfId="10" text="" percent="0" bottom="0">
      <formula>18</formula>
    </cfRule>
  </conditionalFormatting>
  <conditionalFormatting sqref="B664">
    <cfRule type="cellIs" rank="0" priority="1961" equalAverage="0" operator="greaterThan" aboveAverage="0" dxfId="8" text="" percent="0" bottom="0">
      <formula>0</formula>
    </cfRule>
    <cfRule type="cellIs" rank="0" priority="1962" equalAverage="0" operator="lessThan" aboveAverage="0" dxfId="9" text="" percent="0" bottom="0">
      <formula>MaliyetEsik</formula>
    </cfRule>
  </conditionalFormatting>
  <conditionalFormatting sqref="D664">
    <cfRule type="cellIs" rank="0" priority="1963" equalAverage="0" operator="lessThan" aboveAverage="0" dxfId="10" text="" percent="0" bottom="0">
      <formula>18</formula>
    </cfRule>
  </conditionalFormatting>
  <conditionalFormatting sqref="B665">
    <cfRule type="cellIs" rank="0" priority="1964" equalAverage="0" operator="greaterThan" aboveAverage="0" dxfId="8" text="" percent="0" bottom="0">
      <formula>0</formula>
    </cfRule>
    <cfRule type="cellIs" rank="0" priority="1965" equalAverage="0" operator="lessThan" aboveAverage="0" dxfId="9" text="" percent="0" bottom="0">
      <formula>MaliyetEsik</formula>
    </cfRule>
  </conditionalFormatting>
  <conditionalFormatting sqref="D665">
    <cfRule type="cellIs" rank="0" priority="1966" equalAverage="0" operator="lessThan" aboveAverage="0" dxfId="10" text="" percent="0" bottom="0">
      <formula>18</formula>
    </cfRule>
  </conditionalFormatting>
  <conditionalFormatting sqref="B666">
    <cfRule type="cellIs" rank="0" priority="1967" equalAverage="0" operator="greaterThan" aboveAverage="0" dxfId="8" text="" percent="0" bottom="0">
      <formula>0</formula>
    </cfRule>
    <cfRule type="cellIs" rank="0" priority="1968" equalAverage="0" operator="lessThan" aboveAverage="0" dxfId="9" text="" percent="0" bottom="0">
      <formula>MaliyetEsik</formula>
    </cfRule>
  </conditionalFormatting>
  <conditionalFormatting sqref="D666">
    <cfRule type="cellIs" rank="0" priority="1969" equalAverage="0" operator="lessThan" aboveAverage="0" dxfId="10" text="" percent="0" bottom="0">
      <formula>18</formula>
    </cfRule>
  </conditionalFormatting>
  <conditionalFormatting sqref="B667">
    <cfRule type="cellIs" rank="0" priority="1970" equalAverage="0" operator="greaterThan" aboveAverage="0" dxfId="8" text="" percent="0" bottom="0">
      <formula>0</formula>
    </cfRule>
    <cfRule type="cellIs" rank="0" priority="1971" equalAverage="0" operator="lessThan" aboveAverage="0" dxfId="9" text="" percent="0" bottom="0">
      <formula>MaliyetEsik</formula>
    </cfRule>
  </conditionalFormatting>
  <conditionalFormatting sqref="D667">
    <cfRule type="cellIs" rank="0" priority="1972" equalAverage="0" operator="lessThan" aboveAverage="0" dxfId="10" text="" percent="0" bottom="0">
      <formula>18</formula>
    </cfRule>
  </conditionalFormatting>
  <conditionalFormatting sqref="B668">
    <cfRule type="cellIs" rank="0" priority="1973" equalAverage="0" operator="greaterThan" aboveAverage="0" dxfId="8" text="" percent="0" bottom="0">
      <formula>0</formula>
    </cfRule>
    <cfRule type="cellIs" rank="0" priority="1974" equalAverage="0" operator="lessThan" aboveAverage="0" dxfId="9" text="" percent="0" bottom="0">
      <formula>MaliyetEsik</formula>
    </cfRule>
  </conditionalFormatting>
  <conditionalFormatting sqref="D668">
    <cfRule type="cellIs" rank="0" priority="1975" equalAverage="0" operator="lessThan" aboveAverage="0" dxfId="10" text="" percent="0" bottom="0">
      <formula>18</formula>
    </cfRule>
  </conditionalFormatting>
  <conditionalFormatting sqref="B669">
    <cfRule type="cellIs" rank="0" priority="1976" equalAverage="0" operator="greaterThan" aboveAverage="0" dxfId="8" text="" percent="0" bottom="0">
      <formula>0</formula>
    </cfRule>
    <cfRule type="cellIs" rank="0" priority="1977" equalAverage="0" operator="lessThan" aboveAverage="0" dxfId="9" text="" percent="0" bottom="0">
      <formula>MaliyetEsik</formula>
    </cfRule>
  </conditionalFormatting>
  <conditionalFormatting sqref="D669">
    <cfRule type="cellIs" rank="0" priority="1978" equalAverage="0" operator="lessThan" aboveAverage="0" dxfId="10" text="" percent="0" bottom="0">
      <formula>18</formula>
    </cfRule>
  </conditionalFormatting>
  <conditionalFormatting sqref="B670">
    <cfRule type="cellIs" rank="0" priority="1979" equalAverage="0" operator="greaterThan" aboveAverage="0" dxfId="8" text="" percent="0" bottom="0">
      <formula>0</formula>
    </cfRule>
    <cfRule type="cellIs" rank="0" priority="1980" equalAverage="0" operator="lessThan" aboveAverage="0" dxfId="9" text="" percent="0" bottom="0">
      <formula>MaliyetEsik</formula>
    </cfRule>
  </conditionalFormatting>
  <conditionalFormatting sqref="D670">
    <cfRule type="cellIs" rank="0" priority="1981" equalAverage="0" operator="lessThan" aboveAverage="0" dxfId="10" text="" percent="0" bottom="0">
      <formula>18</formula>
    </cfRule>
  </conditionalFormatting>
  <conditionalFormatting sqref="B671">
    <cfRule type="cellIs" rank="0" priority="1982" equalAverage="0" operator="greaterThan" aboveAverage="0" dxfId="8" text="" percent="0" bottom="0">
      <formula>0</formula>
    </cfRule>
    <cfRule type="cellIs" rank="0" priority="1983" equalAverage="0" operator="lessThan" aboveAverage="0" dxfId="9" text="" percent="0" bottom="0">
      <formula>MaliyetEsik</formula>
    </cfRule>
  </conditionalFormatting>
  <conditionalFormatting sqref="D671">
    <cfRule type="cellIs" rank="0" priority="1984" equalAverage="0" operator="lessThan" aboveAverage="0" dxfId="10" text="" percent="0" bottom="0">
      <formula>18</formula>
    </cfRule>
  </conditionalFormatting>
  <conditionalFormatting sqref="B672">
    <cfRule type="cellIs" rank="0" priority="1985" equalAverage="0" operator="greaterThan" aboveAverage="0" dxfId="8" text="" percent="0" bottom="0">
      <formula>0</formula>
    </cfRule>
    <cfRule type="cellIs" rank="0" priority="1986" equalAverage="0" operator="lessThan" aboveAverage="0" dxfId="9" text="" percent="0" bottom="0">
      <formula>MaliyetEsik</formula>
    </cfRule>
  </conditionalFormatting>
  <conditionalFormatting sqref="D672">
    <cfRule type="cellIs" rank="0" priority="1987" equalAverage="0" operator="lessThan" aboveAverage="0" dxfId="10" text="" percent="0" bottom="0">
      <formula>18</formula>
    </cfRule>
  </conditionalFormatting>
  <conditionalFormatting sqref="B673">
    <cfRule type="cellIs" rank="0" priority="1988" equalAverage="0" operator="greaterThan" aboveAverage="0" dxfId="8" text="" percent="0" bottom="0">
      <formula>0</formula>
    </cfRule>
    <cfRule type="cellIs" rank="0" priority="1989" equalAverage="0" operator="lessThan" aboveAverage="0" dxfId="9" text="" percent="0" bottom="0">
      <formula>MaliyetEsik</formula>
    </cfRule>
  </conditionalFormatting>
  <conditionalFormatting sqref="D673">
    <cfRule type="cellIs" rank="0" priority="1990" equalAverage="0" operator="lessThan" aboveAverage="0" dxfId="10" text="" percent="0" bottom="0">
      <formula>18</formula>
    </cfRule>
  </conditionalFormatting>
  <conditionalFormatting sqref="B674">
    <cfRule type="cellIs" rank="0" priority="1991" equalAverage="0" operator="greaterThan" aboveAverage="0" dxfId="8" text="" percent="0" bottom="0">
      <formula>0</formula>
    </cfRule>
    <cfRule type="cellIs" rank="0" priority="1992" equalAverage="0" operator="lessThan" aboveAverage="0" dxfId="9" text="" percent="0" bottom="0">
      <formula>MaliyetEsik</formula>
    </cfRule>
  </conditionalFormatting>
  <conditionalFormatting sqref="D674">
    <cfRule type="cellIs" rank="0" priority="1993" equalAverage="0" operator="lessThan" aboveAverage="0" dxfId="10" text="" percent="0" bottom="0">
      <formula>18</formula>
    </cfRule>
  </conditionalFormatting>
  <conditionalFormatting sqref="B675">
    <cfRule type="cellIs" rank="0" priority="1994" equalAverage="0" operator="greaterThan" aboveAverage="0" dxfId="8" text="" percent="0" bottom="0">
      <formula>0</formula>
    </cfRule>
    <cfRule type="cellIs" rank="0" priority="1995" equalAverage="0" operator="lessThan" aboveAverage="0" dxfId="9" text="" percent="0" bottom="0">
      <formula>MaliyetEsik</formula>
    </cfRule>
  </conditionalFormatting>
  <conditionalFormatting sqref="D675">
    <cfRule type="cellIs" rank="0" priority="1996" equalAverage="0" operator="lessThan" aboveAverage="0" dxfId="10" text="" percent="0" bottom="0">
      <formula>18</formula>
    </cfRule>
  </conditionalFormatting>
  <conditionalFormatting sqref="B676">
    <cfRule type="cellIs" rank="0" priority="1997" equalAverage="0" operator="greaterThan" aboveAverage="0" dxfId="8" text="" percent="0" bottom="0">
      <formula>0</formula>
    </cfRule>
    <cfRule type="cellIs" rank="0" priority="1998" equalAverage="0" operator="lessThan" aboveAverage="0" dxfId="9" text="" percent="0" bottom="0">
      <formula>MaliyetEsik</formula>
    </cfRule>
  </conditionalFormatting>
  <conditionalFormatting sqref="D676">
    <cfRule type="cellIs" rank="0" priority="1999" equalAverage="0" operator="lessThan" aboveAverage="0" dxfId="10" text="" percent="0" bottom="0">
      <formula>18</formula>
    </cfRule>
  </conditionalFormatting>
  <conditionalFormatting sqref="B677">
    <cfRule type="cellIs" rank="0" priority="2000" equalAverage="0" operator="greaterThan" aboveAverage="0" dxfId="8" text="" percent="0" bottom="0">
      <formula>0</formula>
    </cfRule>
    <cfRule type="cellIs" rank="0" priority="2001" equalAverage="0" operator="lessThan" aboveAverage="0" dxfId="9" text="" percent="0" bottom="0">
      <formula>MaliyetEsik</formula>
    </cfRule>
  </conditionalFormatting>
  <conditionalFormatting sqref="D677">
    <cfRule type="cellIs" rank="0" priority="2002" equalAverage="0" operator="lessThan" aboveAverage="0" dxfId="10" text="" percent="0" bottom="0">
      <formula>18</formula>
    </cfRule>
  </conditionalFormatting>
  <conditionalFormatting sqref="B678">
    <cfRule type="cellIs" rank="0" priority="2003" equalAverage="0" operator="greaterThan" aboveAverage="0" dxfId="8" text="" percent="0" bottom="0">
      <formula>0</formula>
    </cfRule>
    <cfRule type="cellIs" rank="0" priority="2004" equalAverage="0" operator="lessThan" aboveAverage="0" dxfId="9" text="" percent="0" bottom="0">
      <formula>MaliyetEsik</formula>
    </cfRule>
  </conditionalFormatting>
  <conditionalFormatting sqref="D678">
    <cfRule type="cellIs" rank="0" priority="2005" equalAverage="0" operator="lessThan" aboveAverage="0" dxfId="10" text="" percent="0" bottom="0">
      <formula>18</formula>
    </cfRule>
  </conditionalFormatting>
  <conditionalFormatting sqref="B679">
    <cfRule type="cellIs" rank="0" priority="2006" equalAverage="0" operator="greaterThan" aboveAverage="0" dxfId="8" text="" percent="0" bottom="0">
      <formula>0</formula>
    </cfRule>
    <cfRule type="cellIs" rank="0" priority="2007" equalAverage="0" operator="lessThan" aboveAverage="0" dxfId="9" text="" percent="0" bottom="0">
      <formula>MaliyetEsik</formula>
    </cfRule>
  </conditionalFormatting>
  <conditionalFormatting sqref="D679">
    <cfRule type="cellIs" rank="0" priority="2008" equalAverage="0" operator="lessThan" aboveAverage="0" dxfId="10" text="" percent="0" bottom="0">
      <formula>18</formula>
    </cfRule>
  </conditionalFormatting>
  <conditionalFormatting sqref="B680">
    <cfRule type="cellIs" rank="0" priority="2009" equalAverage="0" operator="greaterThan" aboveAverage="0" dxfId="8" text="" percent="0" bottom="0">
      <formula>0</formula>
    </cfRule>
    <cfRule type="cellIs" rank="0" priority="2010" equalAverage="0" operator="lessThan" aboveAverage="0" dxfId="9" text="" percent="0" bottom="0">
      <formula>MaliyetEsik</formula>
    </cfRule>
  </conditionalFormatting>
  <conditionalFormatting sqref="D680">
    <cfRule type="cellIs" rank="0" priority="2011" equalAverage="0" operator="lessThan" aboveAverage="0" dxfId="10" text="" percent="0" bottom="0">
      <formula>18</formula>
    </cfRule>
  </conditionalFormatting>
  <conditionalFormatting sqref="B681">
    <cfRule type="cellIs" rank="0" priority="2012" equalAverage="0" operator="greaterThan" aboveAverage="0" dxfId="8" text="" percent="0" bottom="0">
      <formula>0</formula>
    </cfRule>
    <cfRule type="cellIs" rank="0" priority="2013" equalAverage="0" operator="lessThan" aboveAverage="0" dxfId="9" text="" percent="0" bottom="0">
      <formula>MaliyetEsik</formula>
    </cfRule>
  </conditionalFormatting>
  <conditionalFormatting sqref="D681">
    <cfRule type="cellIs" rank="0" priority="2014" equalAverage="0" operator="lessThan" aboveAverage="0" dxfId="10" text="" percent="0" bottom="0">
      <formula>18</formula>
    </cfRule>
  </conditionalFormatting>
  <conditionalFormatting sqref="B682">
    <cfRule type="cellIs" rank="0" priority="2015" equalAverage="0" operator="greaterThan" aboveAverage="0" dxfId="8" text="" percent="0" bottom="0">
      <formula>0</formula>
    </cfRule>
    <cfRule type="cellIs" rank="0" priority="2016" equalAverage="0" operator="lessThan" aboveAverage="0" dxfId="9" text="" percent="0" bottom="0">
      <formula>MaliyetEsik</formula>
    </cfRule>
  </conditionalFormatting>
  <conditionalFormatting sqref="D682">
    <cfRule type="cellIs" rank="0" priority="2017" equalAverage="0" operator="lessThan" aboveAverage="0" dxfId="10" text="" percent="0" bottom="0">
      <formula>18</formula>
    </cfRule>
  </conditionalFormatting>
  <conditionalFormatting sqref="B683">
    <cfRule type="cellIs" rank="0" priority="2018" equalAverage="0" operator="greaterThan" aboveAverage="0" dxfId="8" text="" percent="0" bottom="0">
      <formula>0</formula>
    </cfRule>
    <cfRule type="cellIs" rank="0" priority="2019" equalAverage="0" operator="lessThan" aboveAverage="0" dxfId="9" text="" percent="0" bottom="0">
      <formula>MaliyetEsik</formula>
    </cfRule>
  </conditionalFormatting>
  <conditionalFormatting sqref="D683">
    <cfRule type="cellIs" rank="0" priority="2020" equalAverage="0" operator="lessThan" aboveAverage="0" dxfId="10" text="" percent="0" bottom="0">
      <formula>18</formula>
    </cfRule>
  </conditionalFormatting>
  <conditionalFormatting sqref="B684">
    <cfRule type="cellIs" rank="0" priority="2021" equalAverage="0" operator="greaterThan" aboveAverage="0" dxfId="8" text="" percent="0" bottom="0">
      <formula>0</formula>
    </cfRule>
    <cfRule type="cellIs" rank="0" priority="2022" equalAverage="0" operator="lessThan" aboveAverage="0" dxfId="9" text="" percent="0" bottom="0">
      <formula>MaliyetEsik</formula>
    </cfRule>
  </conditionalFormatting>
  <conditionalFormatting sqref="D684">
    <cfRule type="cellIs" rank="0" priority="2023" equalAverage="0" operator="lessThan" aboveAverage="0" dxfId="10" text="" percent="0" bottom="0">
      <formula>18</formula>
    </cfRule>
  </conditionalFormatting>
  <conditionalFormatting sqref="B685">
    <cfRule type="cellIs" rank="0" priority="2024" equalAverage="0" operator="greaterThan" aboveAverage="0" dxfId="8" text="" percent="0" bottom="0">
      <formula>0</formula>
    </cfRule>
    <cfRule type="cellIs" rank="0" priority="2025" equalAverage="0" operator="lessThan" aboveAverage="0" dxfId="9" text="" percent="0" bottom="0">
      <formula>MaliyetEsik</formula>
    </cfRule>
  </conditionalFormatting>
  <conditionalFormatting sqref="D685">
    <cfRule type="cellIs" rank="0" priority="2026" equalAverage="0" operator="lessThan" aboveAverage="0" dxfId="10" text="" percent="0" bottom="0">
      <formula>18</formula>
    </cfRule>
  </conditionalFormatting>
  <conditionalFormatting sqref="B686">
    <cfRule type="cellIs" rank="0" priority="2027" equalAverage="0" operator="greaterThan" aboveAverage="0" dxfId="8" text="" percent="0" bottom="0">
      <formula>0</formula>
    </cfRule>
    <cfRule type="cellIs" rank="0" priority="2028" equalAverage="0" operator="lessThan" aboveAverage="0" dxfId="9" text="" percent="0" bottom="0">
      <formula>MaliyetEsik</formula>
    </cfRule>
  </conditionalFormatting>
  <conditionalFormatting sqref="D686">
    <cfRule type="cellIs" rank="0" priority="2029" equalAverage="0" operator="lessThan" aboveAverage="0" dxfId="10" text="" percent="0" bottom="0">
      <formula>18</formula>
    </cfRule>
  </conditionalFormatting>
  <conditionalFormatting sqref="B687">
    <cfRule type="cellIs" rank="0" priority="2030" equalAverage="0" operator="greaterThan" aboveAverage="0" dxfId="8" text="" percent="0" bottom="0">
      <formula>0</formula>
    </cfRule>
    <cfRule type="cellIs" rank="0" priority="2031" equalAverage="0" operator="lessThan" aboveAverage="0" dxfId="9" text="" percent="0" bottom="0">
      <formula>MaliyetEsik</formula>
    </cfRule>
  </conditionalFormatting>
  <conditionalFormatting sqref="D687">
    <cfRule type="cellIs" rank="0" priority="2032" equalAverage="0" operator="lessThan" aboveAverage="0" dxfId="10" text="" percent="0" bottom="0">
      <formula>18</formula>
    </cfRule>
  </conditionalFormatting>
  <conditionalFormatting sqref="B688">
    <cfRule type="cellIs" rank="0" priority="2033" equalAverage="0" operator="greaterThan" aboveAverage="0" dxfId="8" text="" percent="0" bottom="0">
      <formula>0</formula>
    </cfRule>
    <cfRule type="cellIs" rank="0" priority="2034" equalAverage="0" operator="lessThan" aboveAverage="0" dxfId="9" text="" percent="0" bottom="0">
      <formula>MaliyetEsik</formula>
    </cfRule>
  </conditionalFormatting>
  <conditionalFormatting sqref="D688">
    <cfRule type="cellIs" rank="0" priority="2035" equalAverage="0" operator="lessThan" aboveAverage="0" dxfId="10" text="" percent="0" bottom="0">
      <formula>18</formula>
    </cfRule>
  </conditionalFormatting>
  <conditionalFormatting sqref="B689">
    <cfRule type="cellIs" rank="0" priority="2036" equalAverage="0" operator="greaterThan" aboveAverage="0" dxfId="8" text="" percent="0" bottom="0">
      <formula>0</formula>
    </cfRule>
    <cfRule type="cellIs" rank="0" priority="2037" equalAverage="0" operator="lessThan" aboveAverage="0" dxfId="9" text="" percent="0" bottom="0">
      <formula>MaliyetEsik</formula>
    </cfRule>
  </conditionalFormatting>
  <conditionalFormatting sqref="D689">
    <cfRule type="cellIs" rank="0" priority="2038" equalAverage="0" operator="lessThan" aboveAverage="0" dxfId="10" text="" percent="0" bottom="0">
      <formula>18</formula>
    </cfRule>
  </conditionalFormatting>
  <conditionalFormatting sqref="B690">
    <cfRule type="cellIs" rank="0" priority="2039" equalAverage="0" operator="greaterThan" aboveAverage="0" dxfId="8" text="" percent="0" bottom="0">
      <formula>0</formula>
    </cfRule>
    <cfRule type="cellIs" rank="0" priority="2040" equalAverage="0" operator="lessThan" aboveAverage="0" dxfId="9" text="" percent="0" bottom="0">
      <formula>MaliyetEsik</formula>
    </cfRule>
  </conditionalFormatting>
  <conditionalFormatting sqref="D690">
    <cfRule type="cellIs" rank="0" priority="2041" equalAverage="0" operator="lessThan" aboveAverage="0" dxfId="10" text="" percent="0" bottom="0">
      <formula>18</formula>
    </cfRule>
  </conditionalFormatting>
  <conditionalFormatting sqref="B691">
    <cfRule type="cellIs" rank="0" priority="2042" equalAverage="0" operator="greaterThan" aboveAverage="0" dxfId="8" text="" percent="0" bottom="0">
      <formula>0</formula>
    </cfRule>
    <cfRule type="cellIs" rank="0" priority="2043" equalAverage="0" operator="lessThan" aboveAverage="0" dxfId="9" text="" percent="0" bottom="0">
      <formula>MaliyetEsik</formula>
    </cfRule>
  </conditionalFormatting>
  <conditionalFormatting sqref="D691">
    <cfRule type="cellIs" rank="0" priority="2044" equalAverage="0" operator="lessThan" aboveAverage="0" dxfId="10" text="" percent="0" bottom="0">
      <formula>18</formula>
    </cfRule>
  </conditionalFormatting>
  <conditionalFormatting sqref="B692">
    <cfRule type="cellIs" rank="0" priority="2045" equalAverage="0" operator="greaterThan" aboveAverage="0" dxfId="8" text="" percent="0" bottom="0">
      <formula>0</formula>
    </cfRule>
    <cfRule type="cellIs" rank="0" priority="2046" equalAverage="0" operator="lessThan" aboveAverage="0" dxfId="9" text="" percent="0" bottom="0">
      <formula>MaliyetEsik</formula>
    </cfRule>
  </conditionalFormatting>
  <conditionalFormatting sqref="D692">
    <cfRule type="cellIs" rank="0" priority="2047" equalAverage="0" operator="lessThan" aboveAverage="0" dxfId="10" text="" percent="0" bottom="0">
      <formula>18</formula>
    </cfRule>
  </conditionalFormatting>
  <conditionalFormatting sqref="B693">
    <cfRule type="cellIs" rank="0" priority="2048" equalAverage="0" operator="greaterThan" aboveAverage="0" dxfId="8" text="" percent="0" bottom="0">
      <formula>0</formula>
    </cfRule>
    <cfRule type="cellIs" rank="0" priority="2049" equalAverage="0" operator="lessThan" aboveAverage="0" dxfId="9" text="" percent="0" bottom="0">
      <formula>MaliyetEsik</formula>
    </cfRule>
  </conditionalFormatting>
  <conditionalFormatting sqref="D693">
    <cfRule type="cellIs" rank="0" priority="2050" equalAverage="0" operator="lessThan" aboveAverage="0" dxfId="10" text="" percent="0" bottom="0">
      <formula>18</formula>
    </cfRule>
  </conditionalFormatting>
  <conditionalFormatting sqref="B694">
    <cfRule type="cellIs" rank="0" priority="2051" equalAverage="0" operator="greaterThan" aboveAverage="0" dxfId="8" text="" percent="0" bottom="0">
      <formula>0</formula>
    </cfRule>
    <cfRule type="cellIs" rank="0" priority="2052" equalAverage="0" operator="lessThan" aboveAverage="0" dxfId="9" text="" percent="0" bottom="0">
      <formula>MaliyetEsik</formula>
    </cfRule>
  </conditionalFormatting>
  <conditionalFormatting sqref="D694">
    <cfRule type="cellIs" rank="0" priority="2053" equalAverage="0" operator="lessThan" aboveAverage="0" dxfId="10" text="" percent="0" bottom="0">
      <formula>18</formula>
    </cfRule>
  </conditionalFormatting>
  <conditionalFormatting sqref="B695">
    <cfRule type="cellIs" rank="0" priority="2054" equalAverage="0" operator="greaterThan" aboveAverage="0" dxfId="8" text="" percent="0" bottom="0">
      <formula>0</formula>
    </cfRule>
    <cfRule type="cellIs" rank="0" priority="2055" equalAverage="0" operator="lessThan" aboveAverage="0" dxfId="9" text="" percent="0" bottom="0">
      <formula>MaliyetEsik</formula>
    </cfRule>
  </conditionalFormatting>
  <conditionalFormatting sqref="D695">
    <cfRule type="cellIs" rank="0" priority="2056" equalAverage="0" operator="lessThan" aboveAverage="0" dxfId="10" text="" percent="0" bottom="0">
      <formula>18</formula>
    </cfRule>
  </conditionalFormatting>
  <conditionalFormatting sqref="B696">
    <cfRule type="cellIs" rank="0" priority="2057" equalAverage="0" operator="greaterThan" aboveAverage="0" dxfId="8" text="" percent="0" bottom="0">
      <formula>0</formula>
    </cfRule>
    <cfRule type="cellIs" rank="0" priority="2058" equalAverage="0" operator="lessThan" aboveAverage="0" dxfId="9" text="" percent="0" bottom="0">
      <formula>MaliyetEsik</formula>
    </cfRule>
  </conditionalFormatting>
  <conditionalFormatting sqref="D696">
    <cfRule type="cellIs" rank="0" priority="2059" equalAverage="0" operator="lessThan" aboveAverage="0" dxfId="10" text="" percent="0" bottom="0">
      <formula>18</formula>
    </cfRule>
  </conditionalFormatting>
  <conditionalFormatting sqref="B697">
    <cfRule type="cellIs" rank="0" priority="2060" equalAverage="0" operator="greaterThan" aboveAverage="0" dxfId="8" text="" percent="0" bottom="0">
      <formula>0</formula>
    </cfRule>
    <cfRule type="cellIs" rank="0" priority="2061" equalAverage="0" operator="lessThan" aboveAverage="0" dxfId="9" text="" percent="0" bottom="0">
      <formula>MaliyetEsik</formula>
    </cfRule>
  </conditionalFormatting>
  <conditionalFormatting sqref="D697">
    <cfRule type="cellIs" rank="0" priority="2062" equalAverage="0" operator="lessThan" aboveAverage="0" dxfId="10" text="" percent="0" bottom="0">
      <formula>18</formula>
    </cfRule>
  </conditionalFormatting>
  <conditionalFormatting sqref="B698">
    <cfRule type="cellIs" rank="0" priority="2063" equalAverage="0" operator="greaterThan" aboveAverage="0" dxfId="8" text="" percent="0" bottom="0">
      <formula>0</formula>
    </cfRule>
    <cfRule type="cellIs" rank="0" priority="2064" equalAverage="0" operator="lessThan" aboveAverage="0" dxfId="9" text="" percent="0" bottom="0">
      <formula>MaliyetEsik</formula>
    </cfRule>
  </conditionalFormatting>
  <conditionalFormatting sqref="D698">
    <cfRule type="cellIs" rank="0" priority="2065" equalAverage="0" operator="lessThan" aboveAverage="0" dxfId="10" text="" percent="0" bottom="0">
      <formula>18</formula>
    </cfRule>
  </conditionalFormatting>
  <conditionalFormatting sqref="B699">
    <cfRule type="cellIs" rank="0" priority="2066" equalAverage="0" operator="greaterThan" aboveAverage="0" dxfId="8" text="" percent="0" bottom="0">
      <formula>0</formula>
    </cfRule>
    <cfRule type="cellIs" rank="0" priority="2067" equalAverage="0" operator="lessThan" aboveAverage="0" dxfId="9" text="" percent="0" bottom="0">
      <formula>MaliyetEsik</formula>
    </cfRule>
  </conditionalFormatting>
  <conditionalFormatting sqref="D699">
    <cfRule type="cellIs" rank="0" priority="2068" equalAverage="0" operator="lessThan" aboveAverage="0" dxfId="10" text="" percent="0" bottom="0">
      <formula>18</formula>
    </cfRule>
  </conditionalFormatting>
  <conditionalFormatting sqref="B700">
    <cfRule type="cellIs" rank="0" priority="2069" equalAverage="0" operator="greaterThan" aboveAverage="0" dxfId="8" text="" percent="0" bottom="0">
      <formula>0</formula>
    </cfRule>
    <cfRule type="cellIs" rank="0" priority="2070" equalAverage="0" operator="lessThan" aboveAverage="0" dxfId="9" text="" percent="0" bottom="0">
      <formula>MaliyetEsik</formula>
    </cfRule>
  </conditionalFormatting>
  <conditionalFormatting sqref="D700">
    <cfRule type="cellIs" rank="0" priority="2071" equalAverage="0" operator="lessThan" aboveAverage="0" dxfId="10" text="" percent="0" bottom="0">
      <formula>18</formula>
    </cfRule>
  </conditionalFormatting>
  <conditionalFormatting sqref="B701">
    <cfRule type="cellIs" rank="0" priority="2072" equalAverage="0" operator="greaterThan" aboveAverage="0" dxfId="8" text="" percent="0" bottom="0">
      <formula>0</formula>
    </cfRule>
    <cfRule type="cellIs" rank="0" priority="2073" equalAverage="0" operator="lessThan" aboveAverage="0" dxfId="9" text="" percent="0" bottom="0">
      <formula>MaliyetEsik</formula>
    </cfRule>
  </conditionalFormatting>
  <conditionalFormatting sqref="D701">
    <cfRule type="cellIs" rank="0" priority="2074" equalAverage="0" operator="lessThan" aboveAverage="0" dxfId="10" text="" percent="0" bottom="0">
      <formula>18</formula>
    </cfRule>
  </conditionalFormatting>
  <conditionalFormatting sqref="B702">
    <cfRule type="cellIs" rank="0" priority="2075" equalAverage="0" operator="greaterThan" aboveAverage="0" dxfId="8" text="" percent="0" bottom="0">
      <formula>0</formula>
    </cfRule>
    <cfRule type="cellIs" rank="0" priority="2076" equalAverage="0" operator="lessThan" aboveAverage="0" dxfId="9" text="" percent="0" bottom="0">
      <formula>MaliyetEsik</formula>
    </cfRule>
  </conditionalFormatting>
  <conditionalFormatting sqref="D702">
    <cfRule type="cellIs" rank="0" priority="2077" equalAverage="0" operator="lessThan" aboveAverage="0" dxfId="10" text="" percent="0" bottom="0">
      <formula>18</formula>
    </cfRule>
  </conditionalFormatting>
  <conditionalFormatting sqref="B703">
    <cfRule type="cellIs" rank="0" priority="2078" equalAverage="0" operator="greaterThan" aboveAverage="0" dxfId="8" text="" percent="0" bottom="0">
      <formula>0</formula>
    </cfRule>
    <cfRule type="cellIs" rank="0" priority="2079" equalAverage="0" operator="lessThan" aboveAverage="0" dxfId="9" text="" percent="0" bottom="0">
      <formula>MaliyetEsik</formula>
    </cfRule>
  </conditionalFormatting>
  <conditionalFormatting sqref="D703">
    <cfRule type="cellIs" rank="0" priority="2080" equalAverage="0" operator="lessThan" aboveAverage="0" dxfId="10" text="" percent="0" bottom="0">
      <formula>18</formula>
    </cfRule>
  </conditionalFormatting>
  <conditionalFormatting sqref="B704">
    <cfRule type="cellIs" rank="0" priority="2081" equalAverage="0" operator="greaterThan" aboveAverage="0" dxfId="8" text="" percent="0" bottom="0">
      <formula>0</formula>
    </cfRule>
    <cfRule type="cellIs" rank="0" priority="2082" equalAverage="0" operator="lessThan" aboveAverage="0" dxfId="9" text="" percent="0" bottom="0">
      <formula>MaliyetEsik</formula>
    </cfRule>
  </conditionalFormatting>
  <conditionalFormatting sqref="D704">
    <cfRule type="cellIs" rank="0" priority="2083" equalAverage="0" operator="lessThan" aboveAverage="0" dxfId="10" text="" percent="0" bottom="0">
      <formula>18</formula>
    </cfRule>
  </conditionalFormatting>
  <conditionalFormatting sqref="B705">
    <cfRule type="cellIs" rank="0" priority="2084" equalAverage="0" operator="greaterThan" aboveAverage="0" dxfId="8" text="" percent="0" bottom="0">
      <formula>0</formula>
    </cfRule>
    <cfRule type="cellIs" rank="0" priority="2085" equalAverage="0" operator="lessThan" aboveAverage="0" dxfId="9" text="" percent="0" bottom="0">
      <formula>MaliyetEsik</formula>
    </cfRule>
  </conditionalFormatting>
  <conditionalFormatting sqref="D705">
    <cfRule type="cellIs" rank="0" priority="2086" equalAverage="0" operator="lessThan" aboveAverage="0" dxfId="10" text="" percent="0" bottom="0">
      <formula>18</formula>
    </cfRule>
  </conditionalFormatting>
  <conditionalFormatting sqref="B706">
    <cfRule type="cellIs" rank="0" priority="2087" equalAverage="0" operator="greaterThan" aboveAverage="0" dxfId="8" text="" percent="0" bottom="0">
      <formula>0</formula>
    </cfRule>
    <cfRule type="cellIs" rank="0" priority="2088" equalAverage="0" operator="lessThan" aboveAverage="0" dxfId="9" text="" percent="0" bottom="0">
      <formula>MaliyetEsik</formula>
    </cfRule>
  </conditionalFormatting>
  <conditionalFormatting sqref="D706">
    <cfRule type="cellIs" rank="0" priority="2089" equalAverage="0" operator="lessThan" aboveAverage="0" dxfId="10" text="" percent="0" bottom="0">
      <formula>18</formula>
    </cfRule>
  </conditionalFormatting>
  <conditionalFormatting sqref="B707">
    <cfRule type="cellIs" rank="0" priority="2090" equalAverage="0" operator="greaterThan" aboveAverage="0" dxfId="8" text="" percent="0" bottom="0">
      <formula>0</formula>
    </cfRule>
    <cfRule type="cellIs" rank="0" priority="2091" equalAverage="0" operator="lessThan" aboveAverage="0" dxfId="9" text="" percent="0" bottom="0">
      <formula>MaliyetEsik</formula>
    </cfRule>
  </conditionalFormatting>
  <conditionalFormatting sqref="D707">
    <cfRule type="cellIs" rank="0" priority="2092" equalAverage="0" operator="lessThan" aboveAverage="0" dxfId="10" text="" percent="0" bottom="0">
      <formula>18</formula>
    </cfRule>
  </conditionalFormatting>
  <conditionalFormatting sqref="B708">
    <cfRule type="cellIs" rank="0" priority="2093" equalAverage="0" operator="greaterThan" aboveAverage="0" dxfId="8" text="" percent="0" bottom="0">
      <formula>0</formula>
    </cfRule>
    <cfRule type="cellIs" rank="0" priority="2094" equalAverage="0" operator="lessThan" aboveAverage="0" dxfId="9" text="" percent="0" bottom="0">
      <formula>MaliyetEsik</formula>
    </cfRule>
  </conditionalFormatting>
  <conditionalFormatting sqref="D708">
    <cfRule type="cellIs" rank="0" priority="2095" equalAverage="0" operator="lessThan" aboveAverage="0" dxfId="10" text="" percent="0" bottom="0">
      <formula>18</formula>
    </cfRule>
  </conditionalFormatting>
  <conditionalFormatting sqref="B709">
    <cfRule type="cellIs" rank="0" priority="2096" equalAverage="0" operator="greaterThan" aboveAverage="0" dxfId="8" text="" percent="0" bottom="0">
      <formula>0</formula>
    </cfRule>
    <cfRule type="cellIs" rank="0" priority="2097" equalAverage="0" operator="lessThan" aboveAverage="0" dxfId="9" text="" percent="0" bottom="0">
      <formula>MaliyetEsik</formula>
    </cfRule>
  </conditionalFormatting>
  <conditionalFormatting sqref="D709">
    <cfRule type="cellIs" rank="0" priority="2098" equalAverage="0" operator="lessThan" aboveAverage="0" dxfId="10" text="" percent="0" bottom="0">
      <formula>18</formula>
    </cfRule>
  </conditionalFormatting>
  <conditionalFormatting sqref="B710">
    <cfRule type="cellIs" rank="0" priority="2099" equalAverage="0" operator="greaterThan" aboveAverage="0" dxfId="8" text="" percent="0" bottom="0">
      <formula>0</formula>
    </cfRule>
    <cfRule type="cellIs" rank="0" priority="2100" equalAverage="0" operator="lessThan" aboveAverage="0" dxfId="9" text="" percent="0" bottom="0">
      <formula>MaliyetEsik</formula>
    </cfRule>
  </conditionalFormatting>
  <conditionalFormatting sqref="D710">
    <cfRule type="cellIs" rank="0" priority="2101" equalAverage="0" operator="lessThan" aboveAverage="0" dxfId="10" text="" percent="0" bottom="0">
      <formula>18</formula>
    </cfRule>
  </conditionalFormatting>
  <conditionalFormatting sqref="B711">
    <cfRule type="cellIs" rank="0" priority="2102" equalAverage="0" operator="greaterThan" aboveAverage="0" dxfId="8" text="" percent="0" bottom="0">
      <formula>0</formula>
    </cfRule>
    <cfRule type="cellIs" rank="0" priority="2103" equalAverage="0" operator="lessThan" aboveAverage="0" dxfId="9" text="" percent="0" bottom="0">
      <formula>MaliyetEsik</formula>
    </cfRule>
  </conditionalFormatting>
  <conditionalFormatting sqref="D711">
    <cfRule type="cellIs" rank="0" priority="2104" equalAverage="0" operator="lessThan" aboveAverage="0" dxfId="10" text="" percent="0" bottom="0">
      <formula>18</formula>
    </cfRule>
  </conditionalFormatting>
  <conditionalFormatting sqref="B712">
    <cfRule type="cellIs" rank="0" priority="2105" equalAverage="0" operator="greaterThan" aboveAverage="0" dxfId="8" text="" percent="0" bottom="0">
      <formula>0</formula>
    </cfRule>
    <cfRule type="cellIs" rank="0" priority="2106" equalAverage="0" operator="lessThan" aboveAverage="0" dxfId="9" text="" percent="0" bottom="0">
      <formula>MaliyetEsik</formula>
    </cfRule>
  </conditionalFormatting>
  <conditionalFormatting sqref="D712">
    <cfRule type="cellIs" rank="0" priority="2107" equalAverage="0" operator="lessThan" aboveAverage="0" dxfId="10" text="" percent="0" bottom="0">
      <formula>18</formula>
    </cfRule>
  </conditionalFormatting>
  <conditionalFormatting sqref="B713">
    <cfRule type="cellIs" rank="0" priority="2108" equalAverage="0" operator="greaterThan" aboveAverage="0" dxfId="8" text="" percent="0" bottom="0">
      <formula>0</formula>
    </cfRule>
    <cfRule type="cellIs" rank="0" priority="2109" equalAverage="0" operator="lessThan" aboveAverage="0" dxfId="9" text="" percent="0" bottom="0">
      <formula>MaliyetEsik</formula>
    </cfRule>
  </conditionalFormatting>
  <conditionalFormatting sqref="D713">
    <cfRule type="cellIs" rank="0" priority="2110" equalAverage="0" operator="lessThan" aboveAverage="0" dxfId="10" text="" percent="0" bottom="0">
      <formula>18</formula>
    </cfRule>
  </conditionalFormatting>
  <conditionalFormatting sqref="B714">
    <cfRule type="cellIs" rank="0" priority="2111" equalAverage="0" operator="greaterThan" aboveAverage="0" dxfId="8" text="" percent="0" bottom="0">
      <formula>0</formula>
    </cfRule>
    <cfRule type="cellIs" rank="0" priority="2112" equalAverage="0" operator="lessThan" aboveAverage="0" dxfId="9" text="" percent="0" bottom="0">
      <formula>MaliyetEsik</formula>
    </cfRule>
  </conditionalFormatting>
  <conditionalFormatting sqref="D714">
    <cfRule type="cellIs" rank="0" priority="2113" equalAverage="0" operator="lessThan" aboveAverage="0" dxfId="10" text="" percent="0" bottom="0">
      <formula>18</formula>
    </cfRule>
  </conditionalFormatting>
  <conditionalFormatting sqref="B715">
    <cfRule type="cellIs" rank="0" priority="2114" equalAverage="0" operator="greaterThan" aboveAverage="0" dxfId="8" text="" percent="0" bottom="0">
      <formula>0</formula>
    </cfRule>
    <cfRule type="cellIs" rank="0" priority="2115" equalAverage="0" operator="lessThan" aboveAverage="0" dxfId="9" text="" percent="0" bottom="0">
      <formula>MaliyetEsik</formula>
    </cfRule>
  </conditionalFormatting>
  <conditionalFormatting sqref="D715">
    <cfRule type="cellIs" rank="0" priority="2116" equalAverage="0" operator="lessThan" aboveAverage="0" dxfId="10" text="" percent="0" bottom="0">
      <formula>18</formula>
    </cfRule>
  </conditionalFormatting>
  <conditionalFormatting sqref="B716">
    <cfRule type="cellIs" rank="0" priority="2117" equalAverage="0" operator="greaterThan" aboveAverage="0" dxfId="8" text="" percent="0" bottom="0">
      <formula>0</formula>
    </cfRule>
    <cfRule type="cellIs" rank="0" priority="2118" equalAverage="0" operator="lessThan" aboveAverage="0" dxfId="9" text="" percent="0" bottom="0">
      <formula>MaliyetEsik</formula>
    </cfRule>
  </conditionalFormatting>
  <conditionalFormatting sqref="D716">
    <cfRule type="cellIs" rank="0" priority="2119" equalAverage="0" operator="lessThan" aboveAverage="0" dxfId="10" text="" percent="0" bottom="0">
      <formula>18</formula>
    </cfRule>
  </conditionalFormatting>
  <conditionalFormatting sqref="B717">
    <cfRule type="cellIs" rank="0" priority="2120" equalAverage="0" operator="greaterThan" aboveAverage="0" dxfId="8" text="" percent="0" bottom="0">
      <formula>0</formula>
    </cfRule>
    <cfRule type="cellIs" rank="0" priority="2121" equalAverage="0" operator="lessThan" aboveAverage="0" dxfId="9" text="" percent="0" bottom="0">
      <formula>MaliyetEsik</formula>
    </cfRule>
  </conditionalFormatting>
  <conditionalFormatting sqref="D717">
    <cfRule type="cellIs" rank="0" priority="2122" equalAverage="0" operator="lessThan" aboveAverage="0" dxfId="10" text="" percent="0" bottom="0">
      <formula>18</formula>
    </cfRule>
  </conditionalFormatting>
  <conditionalFormatting sqref="B718">
    <cfRule type="cellIs" rank="0" priority="2123" equalAverage="0" operator="greaterThan" aboveAverage="0" dxfId="8" text="" percent="0" bottom="0">
      <formula>0</formula>
    </cfRule>
    <cfRule type="cellIs" rank="0" priority="2124" equalAverage="0" operator="lessThan" aboveAverage="0" dxfId="9" text="" percent="0" bottom="0">
      <formula>MaliyetEsik</formula>
    </cfRule>
  </conditionalFormatting>
  <conditionalFormatting sqref="D718">
    <cfRule type="cellIs" rank="0" priority="2125" equalAverage="0" operator="lessThan" aboveAverage="0" dxfId="10" text="" percent="0" bottom="0">
      <formula>18</formula>
    </cfRule>
  </conditionalFormatting>
  <conditionalFormatting sqref="B719">
    <cfRule type="cellIs" rank="0" priority="2126" equalAverage="0" operator="greaterThan" aboveAverage="0" dxfId="8" text="" percent="0" bottom="0">
      <formula>0</formula>
    </cfRule>
    <cfRule type="cellIs" rank="0" priority="2127" equalAverage="0" operator="lessThan" aboveAverage="0" dxfId="9" text="" percent="0" bottom="0">
      <formula>MaliyetEsik</formula>
    </cfRule>
  </conditionalFormatting>
  <conditionalFormatting sqref="D719">
    <cfRule type="cellIs" rank="0" priority="2128" equalAverage="0" operator="lessThan" aboveAverage="0" dxfId="10" text="" percent="0" bottom="0">
      <formula>18</formula>
    </cfRule>
  </conditionalFormatting>
  <conditionalFormatting sqref="B720">
    <cfRule type="cellIs" rank="0" priority="2129" equalAverage="0" operator="greaterThan" aboveAverage="0" dxfId="8" text="" percent="0" bottom="0">
      <formula>0</formula>
    </cfRule>
    <cfRule type="cellIs" rank="0" priority="2130" equalAverage="0" operator="lessThan" aboveAverage="0" dxfId="9" text="" percent="0" bottom="0">
      <formula>MaliyetEsik</formula>
    </cfRule>
  </conditionalFormatting>
  <conditionalFormatting sqref="D720">
    <cfRule type="cellIs" rank="0" priority="2131" equalAverage="0" operator="lessThan" aboveAverage="0" dxfId="10" text="" percent="0" bottom="0">
      <formula>18</formula>
    </cfRule>
  </conditionalFormatting>
  <conditionalFormatting sqref="B721">
    <cfRule type="cellIs" rank="0" priority="2132" equalAverage="0" operator="greaterThan" aboveAverage="0" dxfId="8" text="" percent="0" bottom="0">
      <formula>0</formula>
    </cfRule>
    <cfRule type="cellIs" rank="0" priority="2133" equalAverage="0" operator="lessThan" aboveAverage="0" dxfId="9" text="" percent="0" bottom="0">
      <formula>MaliyetEsik</formula>
    </cfRule>
  </conditionalFormatting>
  <conditionalFormatting sqref="D721">
    <cfRule type="cellIs" rank="0" priority="2134" equalAverage="0" operator="lessThan" aboveAverage="0" dxfId="10" text="" percent="0" bottom="0">
      <formula>18</formula>
    </cfRule>
  </conditionalFormatting>
  <conditionalFormatting sqref="B722">
    <cfRule type="cellIs" rank="0" priority="2135" equalAverage="0" operator="greaterThan" aboveAverage="0" dxfId="8" text="" percent="0" bottom="0">
      <formula>0</formula>
    </cfRule>
    <cfRule type="cellIs" rank="0" priority="2136" equalAverage="0" operator="lessThan" aboveAverage="0" dxfId="9" text="" percent="0" bottom="0">
      <formula>MaliyetEsik</formula>
    </cfRule>
  </conditionalFormatting>
  <conditionalFormatting sqref="D722">
    <cfRule type="cellIs" rank="0" priority="2137" equalAverage="0" operator="lessThan" aboveAverage="0" dxfId="10" text="" percent="0" bottom="0">
      <formula>18</formula>
    </cfRule>
  </conditionalFormatting>
  <conditionalFormatting sqref="B723">
    <cfRule type="cellIs" rank="0" priority="2138" equalAverage="0" operator="greaterThan" aboveAverage="0" dxfId="8" text="" percent="0" bottom="0">
      <formula>0</formula>
    </cfRule>
    <cfRule type="cellIs" rank="0" priority="2139" equalAverage="0" operator="lessThan" aboveAverage="0" dxfId="9" text="" percent="0" bottom="0">
      <formula>MaliyetEsik</formula>
    </cfRule>
  </conditionalFormatting>
  <conditionalFormatting sqref="D723">
    <cfRule type="cellIs" rank="0" priority="2140" equalAverage="0" operator="lessThan" aboveAverage="0" dxfId="10" text="" percent="0" bottom="0">
      <formula>18</formula>
    </cfRule>
  </conditionalFormatting>
  <conditionalFormatting sqref="B724">
    <cfRule type="cellIs" rank="0" priority="2141" equalAverage="0" operator="greaterThan" aboveAverage="0" dxfId="8" text="" percent="0" bottom="0">
      <formula>0</formula>
    </cfRule>
    <cfRule type="cellIs" rank="0" priority="2142" equalAverage="0" operator="lessThan" aboveAverage="0" dxfId="9" text="" percent="0" bottom="0">
      <formula>MaliyetEsik</formula>
    </cfRule>
  </conditionalFormatting>
  <conditionalFormatting sqref="D724">
    <cfRule type="cellIs" rank="0" priority="2143" equalAverage="0" operator="lessThan" aboveAverage="0" dxfId="10" text="" percent="0" bottom="0">
      <formula>18</formula>
    </cfRule>
  </conditionalFormatting>
  <conditionalFormatting sqref="B725">
    <cfRule type="cellIs" rank="0" priority="2144" equalAverage="0" operator="greaterThan" aboveAverage="0" dxfId="8" text="" percent="0" bottom="0">
      <formula>0</formula>
    </cfRule>
    <cfRule type="cellIs" rank="0" priority="2145" equalAverage="0" operator="lessThan" aboveAverage="0" dxfId="9" text="" percent="0" bottom="0">
      <formula>MaliyetEsik</formula>
    </cfRule>
  </conditionalFormatting>
  <conditionalFormatting sqref="D725">
    <cfRule type="cellIs" rank="0" priority="2146" equalAverage="0" operator="lessThan" aboveAverage="0" dxfId="10" text="" percent="0" bottom="0">
      <formula>18</formula>
    </cfRule>
  </conditionalFormatting>
  <conditionalFormatting sqref="B726">
    <cfRule type="cellIs" rank="0" priority="2147" equalAverage="0" operator="greaterThan" aboveAverage="0" dxfId="8" text="" percent="0" bottom="0">
      <formula>0</formula>
    </cfRule>
    <cfRule type="cellIs" rank="0" priority="2148" equalAverage="0" operator="lessThan" aboveAverage="0" dxfId="9" text="" percent="0" bottom="0">
      <formula>MaliyetEsik</formula>
    </cfRule>
  </conditionalFormatting>
  <conditionalFormatting sqref="D726">
    <cfRule type="cellIs" rank="0" priority="2149" equalAverage="0" operator="lessThan" aboveAverage="0" dxfId="10" text="" percent="0" bottom="0">
      <formula>18</formula>
    </cfRule>
  </conditionalFormatting>
  <conditionalFormatting sqref="B727">
    <cfRule type="cellIs" rank="0" priority="2150" equalAverage="0" operator="greaterThan" aboveAverage="0" dxfId="8" text="" percent="0" bottom="0">
      <formula>0</formula>
    </cfRule>
    <cfRule type="cellIs" rank="0" priority="2151" equalAverage="0" operator="lessThan" aboveAverage="0" dxfId="9" text="" percent="0" bottom="0">
      <formula>MaliyetEsik</formula>
    </cfRule>
  </conditionalFormatting>
  <conditionalFormatting sqref="D727">
    <cfRule type="cellIs" rank="0" priority="2152" equalAverage="0" operator="lessThan" aboveAverage="0" dxfId="10" text="" percent="0" bottom="0">
      <formula>18</formula>
    </cfRule>
  </conditionalFormatting>
  <conditionalFormatting sqref="B728">
    <cfRule type="cellIs" rank="0" priority="2153" equalAverage="0" operator="greaterThan" aboveAverage="0" dxfId="8" text="" percent="0" bottom="0">
      <formula>0</formula>
    </cfRule>
    <cfRule type="cellIs" rank="0" priority="2154" equalAverage="0" operator="lessThan" aboveAverage="0" dxfId="9" text="" percent="0" bottom="0">
      <formula>MaliyetEsik</formula>
    </cfRule>
  </conditionalFormatting>
  <conditionalFormatting sqref="D728">
    <cfRule type="cellIs" rank="0" priority="2155" equalAverage="0" operator="lessThan" aboveAverage="0" dxfId="10" text="" percent="0" bottom="0">
      <formula>18</formula>
    </cfRule>
  </conditionalFormatting>
  <conditionalFormatting sqref="B729">
    <cfRule type="cellIs" rank="0" priority="2156" equalAverage="0" operator="greaterThan" aboveAverage="0" dxfId="8" text="" percent="0" bottom="0">
      <formula>0</formula>
    </cfRule>
    <cfRule type="cellIs" rank="0" priority="2157" equalAverage="0" operator="lessThan" aboveAverage="0" dxfId="9" text="" percent="0" bottom="0">
      <formula>MaliyetEsik</formula>
    </cfRule>
  </conditionalFormatting>
  <conditionalFormatting sqref="D729">
    <cfRule type="cellIs" rank="0" priority="2158" equalAverage="0" operator="lessThan" aboveAverage="0" dxfId="10" text="" percent="0" bottom="0">
      <formula>18</formula>
    </cfRule>
  </conditionalFormatting>
  <conditionalFormatting sqref="B730">
    <cfRule type="cellIs" rank="0" priority="2159" equalAverage="0" operator="greaterThan" aboveAverage="0" dxfId="8" text="" percent="0" bottom="0">
      <formula>0</formula>
    </cfRule>
    <cfRule type="cellIs" rank="0" priority="2160" equalAverage="0" operator="lessThan" aboveAverage="0" dxfId="9" text="" percent="0" bottom="0">
      <formula>MaliyetEsik</formula>
    </cfRule>
  </conditionalFormatting>
  <conditionalFormatting sqref="D730">
    <cfRule type="cellIs" rank="0" priority="2161" equalAverage="0" operator="lessThan" aboveAverage="0" dxfId="10" text="" percent="0" bottom="0">
      <formula>18</formula>
    </cfRule>
  </conditionalFormatting>
  <conditionalFormatting sqref="B731">
    <cfRule type="cellIs" rank="0" priority="2162" equalAverage="0" operator="greaterThan" aboveAverage="0" dxfId="8" text="" percent="0" bottom="0">
      <formula>0</formula>
    </cfRule>
    <cfRule type="cellIs" rank="0" priority="2163" equalAverage="0" operator="lessThan" aboveAverage="0" dxfId="9" text="" percent="0" bottom="0">
      <formula>MaliyetEsik</formula>
    </cfRule>
  </conditionalFormatting>
  <conditionalFormatting sqref="D731">
    <cfRule type="cellIs" rank="0" priority="2164" equalAverage="0" operator="lessThan" aboveAverage="0" dxfId="10" text="" percent="0" bottom="0">
      <formula>18</formula>
    </cfRule>
  </conditionalFormatting>
  <conditionalFormatting sqref="B732">
    <cfRule type="cellIs" rank="0" priority="2165" equalAverage="0" operator="greaterThan" aboveAverage="0" dxfId="8" text="" percent="0" bottom="0">
      <formula>0</formula>
    </cfRule>
    <cfRule type="cellIs" rank="0" priority="2166" equalAverage="0" operator="lessThan" aboveAverage="0" dxfId="9" text="" percent="0" bottom="0">
      <formula>MaliyetEsik</formula>
    </cfRule>
  </conditionalFormatting>
  <conditionalFormatting sqref="D732">
    <cfRule type="cellIs" rank="0" priority="2167" equalAverage="0" operator="lessThan" aboveAverage="0" dxfId="10" text="" percent="0" bottom="0">
      <formula>18</formula>
    </cfRule>
  </conditionalFormatting>
  <conditionalFormatting sqref="B733">
    <cfRule type="cellIs" rank="0" priority="2168" equalAverage="0" operator="greaterThan" aboveAverage="0" dxfId="8" text="" percent="0" bottom="0">
      <formula>0</formula>
    </cfRule>
    <cfRule type="cellIs" rank="0" priority="2169" equalAverage="0" operator="lessThan" aboveAverage="0" dxfId="9" text="" percent="0" bottom="0">
      <formula>MaliyetEsik</formula>
    </cfRule>
  </conditionalFormatting>
  <conditionalFormatting sqref="D733">
    <cfRule type="cellIs" rank="0" priority="2170" equalAverage="0" operator="lessThan" aboveAverage="0" dxfId="10" text="" percent="0" bottom="0">
      <formula>18</formula>
    </cfRule>
  </conditionalFormatting>
  <conditionalFormatting sqref="B734">
    <cfRule type="cellIs" rank="0" priority="2171" equalAverage="0" operator="greaterThan" aboveAverage="0" dxfId="8" text="" percent="0" bottom="0">
      <formula>0</formula>
    </cfRule>
    <cfRule type="cellIs" rank="0" priority="2172" equalAverage="0" operator="lessThan" aboveAverage="0" dxfId="9" text="" percent="0" bottom="0">
      <formula>MaliyetEsik</formula>
    </cfRule>
  </conditionalFormatting>
  <conditionalFormatting sqref="D734">
    <cfRule type="cellIs" rank="0" priority="2173" equalAverage="0" operator="lessThan" aboveAverage="0" dxfId="10" text="" percent="0" bottom="0">
      <formula>18</formula>
    </cfRule>
  </conditionalFormatting>
  <conditionalFormatting sqref="B735">
    <cfRule type="cellIs" rank="0" priority="2174" equalAverage="0" operator="greaterThan" aboveAverage="0" dxfId="8" text="" percent="0" bottom="0">
      <formula>0</formula>
    </cfRule>
    <cfRule type="cellIs" rank="0" priority="2175" equalAverage="0" operator="lessThan" aboveAverage="0" dxfId="9" text="" percent="0" bottom="0">
      <formula>MaliyetEsik</formula>
    </cfRule>
  </conditionalFormatting>
  <conditionalFormatting sqref="D735">
    <cfRule type="cellIs" rank="0" priority="2176" equalAverage="0" operator="lessThan" aboveAverage="0" dxfId="10" text="" percent="0" bottom="0">
      <formula>18</formula>
    </cfRule>
  </conditionalFormatting>
  <conditionalFormatting sqref="B736">
    <cfRule type="cellIs" rank="0" priority="2177" equalAverage="0" operator="greaterThan" aboveAverage="0" dxfId="8" text="" percent="0" bottom="0">
      <formula>0</formula>
    </cfRule>
    <cfRule type="cellIs" rank="0" priority="2178" equalAverage="0" operator="lessThan" aboveAverage="0" dxfId="9" text="" percent="0" bottom="0">
      <formula>MaliyetEsik</formula>
    </cfRule>
  </conditionalFormatting>
  <conditionalFormatting sqref="D736">
    <cfRule type="cellIs" rank="0" priority="2179" equalAverage="0" operator="lessThan" aboveAverage="0" dxfId="10" text="" percent="0" bottom="0">
      <formula>18</formula>
    </cfRule>
  </conditionalFormatting>
  <conditionalFormatting sqref="B737">
    <cfRule type="cellIs" rank="0" priority="2180" equalAverage="0" operator="greaterThan" aboveAverage="0" dxfId="8" text="" percent="0" bottom="0">
      <formula>0</formula>
    </cfRule>
    <cfRule type="cellIs" rank="0" priority="2181" equalAverage="0" operator="lessThan" aboveAverage="0" dxfId="9" text="" percent="0" bottom="0">
      <formula>MaliyetEsik</formula>
    </cfRule>
  </conditionalFormatting>
  <conditionalFormatting sqref="D737">
    <cfRule type="cellIs" rank="0" priority="2182" equalAverage="0" operator="lessThan" aboveAverage="0" dxfId="10" text="" percent="0" bottom="0">
      <formula>18</formula>
    </cfRule>
  </conditionalFormatting>
  <conditionalFormatting sqref="B738">
    <cfRule type="cellIs" rank="0" priority="2183" equalAverage="0" operator="greaterThan" aboveAverage="0" dxfId="8" text="" percent="0" bottom="0">
      <formula>0</formula>
    </cfRule>
    <cfRule type="cellIs" rank="0" priority="2184" equalAverage="0" operator="lessThan" aboveAverage="0" dxfId="9" text="" percent="0" bottom="0">
      <formula>MaliyetEsik</formula>
    </cfRule>
  </conditionalFormatting>
  <conditionalFormatting sqref="D738">
    <cfRule type="cellIs" rank="0" priority="2185" equalAverage="0" operator="lessThan" aboveAverage="0" dxfId="10" text="" percent="0" bottom="0">
      <formula>18</formula>
    </cfRule>
  </conditionalFormatting>
  <conditionalFormatting sqref="B739">
    <cfRule type="cellIs" rank="0" priority="2186" equalAverage="0" operator="greaterThan" aboveAverage="0" dxfId="8" text="" percent="0" bottom="0">
      <formula>0</formula>
    </cfRule>
    <cfRule type="cellIs" rank="0" priority="2187" equalAverage="0" operator="lessThan" aboveAverage="0" dxfId="9" text="" percent="0" bottom="0">
      <formula>MaliyetEsik</formula>
    </cfRule>
  </conditionalFormatting>
  <conditionalFormatting sqref="D739">
    <cfRule type="cellIs" rank="0" priority="2188" equalAverage="0" operator="lessThan" aboveAverage="0" dxfId="10" text="" percent="0" bottom="0">
      <formula>18</formula>
    </cfRule>
  </conditionalFormatting>
  <conditionalFormatting sqref="B740">
    <cfRule type="cellIs" rank="0" priority="2189" equalAverage="0" operator="greaterThan" aboveAverage="0" dxfId="8" text="" percent="0" bottom="0">
      <formula>0</formula>
    </cfRule>
    <cfRule type="cellIs" rank="0" priority="2190" equalAverage="0" operator="lessThan" aboveAverage="0" dxfId="9" text="" percent="0" bottom="0">
      <formula>MaliyetEsik</formula>
    </cfRule>
  </conditionalFormatting>
  <conditionalFormatting sqref="D740">
    <cfRule type="cellIs" rank="0" priority="2191" equalAverage="0" operator="lessThan" aboveAverage="0" dxfId="10" text="" percent="0" bottom="0">
      <formula>18</formula>
    </cfRule>
  </conditionalFormatting>
  <conditionalFormatting sqref="B741">
    <cfRule type="cellIs" rank="0" priority="2192" equalAverage="0" operator="greaterThan" aboveAverage="0" dxfId="8" text="" percent="0" bottom="0">
      <formula>0</formula>
    </cfRule>
    <cfRule type="cellIs" rank="0" priority="2193" equalAverage="0" operator="lessThan" aboveAverage="0" dxfId="9" text="" percent="0" bottom="0">
      <formula>MaliyetEsik</formula>
    </cfRule>
  </conditionalFormatting>
  <conditionalFormatting sqref="D741">
    <cfRule type="cellIs" rank="0" priority="2194" equalAverage="0" operator="lessThan" aboveAverage="0" dxfId="10" text="" percent="0" bottom="0">
      <formula>18</formula>
    </cfRule>
  </conditionalFormatting>
  <conditionalFormatting sqref="B742">
    <cfRule type="cellIs" rank="0" priority="2195" equalAverage="0" operator="greaterThan" aboveAverage="0" dxfId="8" text="" percent="0" bottom="0">
      <formula>0</formula>
    </cfRule>
    <cfRule type="cellIs" rank="0" priority="2196" equalAverage="0" operator="lessThan" aboveAverage="0" dxfId="9" text="" percent="0" bottom="0">
      <formula>MaliyetEsik</formula>
    </cfRule>
  </conditionalFormatting>
  <conditionalFormatting sqref="D742">
    <cfRule type="cellIs" rank="0" priority="2197" equalAverage="0" operator="lessThan" aboveAverage="0" dxfId="10" text="" percent="0" bottom="0">
      <formula>18</formula>
    </cfRule>
  </conditionalFormatting>
  <conditionalFormatting sqref="B743">
    <cfRule type="cellIs" rank="0" priority="2198" equalAverage="0" operator="greaterThan" aboveAverage="0" dxfId="8" text="" percent="0" bottom="0">
      <formula>0</formula>
    </cfRule>
    <cfRule type="cellIs" rank="0" priority="2199" equalAverage="0" operator="lessThan" aboveAverage="0" dxfId="9" text="" percent="0" bottom="0">
      <formula>MaliyetEsik</formula>
    </cfRule>
  </conditionalFormatting>
  <conditionalFormatting sqref="D743">
    <cfRule type="cellIs" rank="0" priority="2200" equalAverage="0" operator="lessThan" aboveAverage="0" dxfId="10" text="" percent="0" bottom="0">
      <formula>18</formula>
    </cfRule>
  </conditionalFormatting>
  <conditionalFormatting sqref="B744">
    <cfRule type="cellIs" rank="0" priority="2201" equalAverage="0" operator="greaterThan" aboveAverage="0" dxfId="8" text="" percent="0" bottom="0">
      <formula>0</formula>
    </cfRule>
    <cfRule type="cellIs" rank="0" priority="2202" equalAverage="0" operator="lessThan" aboveAverage="0" dxfId="9" text="" percent="0" bottom="0">
      <formula>MaliyetEsik</formula>
    </cfRule>
  </conditionalFormatting>
  <conditionalFormatting sqref="D744">
    <cfRule type="cellIs" rank="0" priority="2203" equalAverage="0" operator="lessThan" aboveAverage="0" dxfId="10" text="" percent="0" bottom="0">
      <formula>18</formula>
    </cfRule>
  </conditionalFormatting>
  <conditionalFormatting sqref="B745">
    <cfRule type="cellIs" rank="0" priority="2204" equalAverage="0" operator="greaterThan" aboveAverage="0" dxfId="8" text="" percent="0" bottom="0">
      <formula>0</formula>
    </cfRule>
    <cfRule type="cellIs" rank="0" priority="2205" equalAverage="0" operator="lessThan" aboveAverage="0" dxfId="9" text="" percent="0" bottom="0">
      <formula>MaliyetEsik</formula>
    </cfRule>
  </conditionalFormatting>
  <conditionalFormatting sqref="D745">
    <cfRule type="cellIs" rank="0" priority="2206" equalAverage="0" operator="lessThan" aboveAverage="0" dxfId="10" text="" percent="0" bottom="0">
      <formula>18</formula>
    </cfRule>
  </conditionalFormatting>
  <conditionalFormatting sqref="B746">
    <cfRule type="cellIs" rank="0" priority="2207" equalAverage="0" operator="greaterThan" aboveAverage="0" dxfId="8" text="" percent="0" bottom="0">
      <formula>0</formula>
    </cfRule>
    <cfRule type="cellIs" rank="0" priority="2208" equalAverage="0" operator="lessThan" aboveAverage="0" dxfId="9" text="" percent="0" bottom="0">
      <formula>MaliyetEsik</formula>
    </cfRule>
  </conditionalFormatting>
  <conditionalFormatting sqref="D746">
    <cfRule type="cellIs" rank="0" priority="2209" equalAverage="0" operator="lessThan" aboveAverage="0" dxfId="10" text="" percent="0" bottom="0">
      <formula>18</formula>
    </cfRule>
  </conditionalFormatting>
  <conditionalFormatting sqref="B747">
    <cfRule type="cellIs" rank="0" priority="2210" equalAverage="0" operator="greaterThan" aboveAverage="0" dxfId="8" text="" percent="0" bottom="0">
      <formula>0</formula>
    </cfRule>
    <cfRule type="cellIs" rank="0" priority="2211" equalAverage="0" operator="lessThan" aboveAverage="0" dxfId="9" text="" percent="0" bottom="0">
      <formula>MaliyetEsik</formula>
    </cfRule>
  </conditionalFormatting>
  <conditionalFormatting sqref="D747">
    <cfRule type="cellIs" rank="0" priority="2212" equalAverage="0" operator="lessThan" aboveAverage="0" dxfId="10" text="" percent="0" bottom="0">
      <formula>18</formula>
    </cfRule>
  </conditionalFormatting>
  <conditionalFormatting sqref="B748">
    <cfRule type="cellIs" rank="0" priority="2213" equalAverage="0" operator="greaterThan" aboveAverage="0" dxfId="8" text="" percent="0" bottom="0">
      <formula>0</formula>
    </cfRule>
    <cfRule type="cellIs" rank="0" priority="2214" equalAverage="0" operator="lessThan" aboveAverage="0" dxfId="9" text="" percent="0" bottom="0">
      <formula>MaliyetEsik</formula>
    </cfRule>
  </conditionalFormatting>
  <conditionalFormatting sqref="D748">
    <cfRule type="cellIs" rank="0" priority="2215" equalAverage="0" operator="lessThan" aboveAverage="0" dxfId="10" text="" percent="0" bottom="0">
      <formula>18</formula>
    </cfRule>
  </conditionalFormatting>
  <conditionalFormatting sqref="B749">
    <cfRule type="cellIs" rank="0" priority="2216" equalAverage="0" operator="greaterThan" aboveAverage="0" dxfId="8" text="" percent="0" bottom="0">
      <formula>0</formula>
    </cfRule>
    <cfRule type="cellIs" rank="0" priority="2217" equalAverage="0" operator="lessThan" aboveAverage="0" dxfId="9" text="" percent="0" bottom="0">
      <formula>MaliyetEsik</formula>
    </cfRule>
  </conditionalFormatting>
  <conditionalFormatting sqref="D749">
    <cfRule type="cellIs" rank="0" priority="2218" equalAverage="0" operator="lessThan" aboveAverage="0" dxfId="10" text="" percent="0" bottom="0">
      <formula>18</formula>
    </cfRule>
  </conditionalFormatting>
  <conditionalFormatting sqref="B750">
    <cfRule type="cellIs" rank="0" priority="2219" equalAverage="0" operator="greaterThan" aboveAverage="0" dxfId="8" text="" percent="0" bottom="0">
      <formula>0</formula>
    </cfRule>
    <cfRule type="cellIs" rank="0" priority="2220" equalAverage="0" operator="lessThan" aboveAverage="0" dxfId="9" text="" percent="0" bottom="0">
      <formula>MaliyetEsik</formula>
    </cfRule>
  </conditionalFormatting>
  <conditionalFormatting sqref="D750">
    <cfRule type="cellIs" rank="0" priority="2221" equalAverage="0" operator="lessThan" aboveAverage="0" dxfId="10" text="" percent="0" bottom="0">
      <formula>18</formula>
    </cfRule>
  </conditionalFormatting>
  <conditionalFormatting sqref="B751">
    <cfRule type="cellIs" rank="0" priority="2222" equalAverage="0" operator="greaterThan" aboveAverage="0" dxfId="8" text="" percent="0" bottom="0">
      <formula>0</formula>
    </cfRule>
    <cfRule type="cellIs" rank="0" priority="2223" equalAverage="0" operator="lessThan" aboveAverage="0" dxfId="9" text="" percent="0" bottom="0">
      <formula>MaliyetEsik</formula>
    </cfRule>
  </conditionalFormatting>
  <conditionalFormatting sqref="D751">
    <cfRule type="cellIs" rank="0" priority="2224" equalAverage="0" operator="lessThan" aboveAverage="0" dxfId="10" text="" percent="0" bottom="0">
      <formula>18</formula>
    </cfRule>
  </conditionalFormatting>
  <conditionalFormatting sqref="B752">
    <cfRule type="cellIs" rank="0" priority="2225" equalAverage="0" operator="greaterThan" aboveAverage="0" dxfId="8" text="" percent="0" bottom="0">
      <formula>0</formula>
    </cfRule>
    <cfRule type="cellIs" rank="0" priority="2226" equalAverage="0" operator="lessThan" aboveAverage="0" dxfId="9" text="" percent="0" bottom="0">
      <formula>MaliyetEsik</formula>
    </cfRule>
  </conditionalFormatting>
  <conditionalFormatting sqref="D752">
    <cfRule type="cellIs" rank="0" priority="2227" equalAverage="0" operator="lessThan" aboveAverage="0" dxfId="10" text="" percent="0" bottom="0">
      <formula>18</formula>
    </cfRule>
  </conditionalFormatting>
  <conditionalFormatting sqref="B753">
    <cfRule type="cellIs" rank="0" priority="2228" equalAverage="0" operator="greaterThan" aboveAverage="0" dxfId="8" text="" percent="0" bottom="0">
      <formula>0</formula>
    </cfRule>
    <cfRule type="cellIs" rank="0" priority="2229" equalAverage="0" operator="lessThan" aboveAverage="0" dxfId="9" text="" percent="0" bottom="0">
      <formula>MaliyetEsik</formula>
    </cfRule>
  </conditionalFormatting>
  <conditionalFormatting sqref="D753">
    <cfRule type="cellIs" rank="0" priority="2230" equalAverage="0" operator="lessThan" aboveAverage="0" dxfId="10" text="" percent="0" bottom="0">
      <formula>18</formula>
    </cfRule>
  </conditionalFormatting>
  <conditionalFormatting sqref="B754">
    <cfRule type="cellIs" rank="0" priority="2231" equalAverage="0" operator="greaterThan" aboveAverage="0" dxfId="8" text="" percent="0" bottom="0">
      <formula>0</formula>
    </cfRule>
    <cfRule type="cellIs" rank="0" priority="2232" equalAverage="0" operator="lessThan" aboveAverage="0" dxfId="9" text="" percent="0" bottom="0">
      <formula>MaliyetEsik</formula>
    </cfRule>
  </conditionalFormatting>
  <conditionalFormatting sqref="D754">
    <cfRule type="cellIs" rank="0" priority="2233" equalAverage="0" operator="lessThan" aboveAverage="0" dxfId="10" text="" percent="0" bottom="0">
      <formula>18</formula>
    </cfRule>
  </conditionalFormatting>
  <conditionalFormatting sqref="B755">
    <cfRule type="cellIs" rank="0" priority="2234" equalAverage="0" operator="greaterThan" aboveAverage="0" dxfId="8" text="" percent="0" bottom="0">
      <formula>0</formula>
    </cfRule>
    <cfRule type="cellIs" rank="0" priority="2235" equalAverage="0" operator="lessThan" aboveAverage="0" dxfId="9" text="" percent="0" bottom="0">
      <formula>MaliyetEsik</formula>
    </cfRule>
  </conditionalFormatting>
  <conditionalFormatting sqref="D755">
    <cfRule type="cellIs" rank="0" priority="2236" equalAverage="0" operator="lessThan" aboveAverage="0" dxfId="10" text="" percent="0" bottom="0">
      <formula>18</formula>
    </cfRule>
  </conditionalFormatting>
  <conditionalFormatting sqref="B756">
    <cfRule type="cellIs" rank="0" priority="2237" equalAverage="0" operator="greaterThan" aboveAverage="0" dxfId="8" text="" percent="0" bottom="0">
      <formula>0</formula>
    </cfRule>
    <cfRule type="cellIs" rank="0" priority="2238" equalAverage="0" operator="lessThan" aboveAverage="0" dxfId="9" text="" percent="0" bottom="0">
      <formula>MaliyetEsik</formula>
    </cfRule>
  </conditionalFormatting>
  <conditionalFormatting sqref="D756">
    <cfRule type="cellIs" rank="0" priority="2239" equalAverage="0" operator="lessThan" aboveAverage="0" dxfId="10" text="" percent="0" bottom="0">
      <formula>18</formula>
    </cfRule>
  </conditionalFormatting>
  <conditionalFormatting sqref="B757">
    <cfRule type="cellIs" rank="0" priority="2240" equalAverage="0" operator="greaterThan" aboveAverage="0" dxfId="8" text="" percent="0" bottom="0">
      <formula>0</formula>
    </cfRule>
    <cfRule type="cellIs" rank="0" priority="2241" equalAverage="0" operator="lessThan" aboveAverage="0" dxfId="9" text="" percent="0" bottom="0">
      <formula>MaliyetEsik</formula>
    </cfRule>
  </conditionalFormatting>
  <conditionalFormatting sqref="D757">
    <cfRule type="cellIs" rank="0" priority="2242" equalAverage="0" operator="lessThan" aboveAverage="0" dxfId="10" text="" percent="0" bottom="0">
      <formula>18</formula>
    </cfRule>
  </conditionalFormatting>
  <conditionalFormatting sqref="B758">
    <cfRule type="cellIs" rank="0" priority="2243" equalAverage="0" operator="greaterThan" aboveAverage="0" dxfId="8" text="" percent="0" bottom="0">
      <formula>0</formula>
    </cfRule>
    <cfRule type="cellIs" rank="0" priority="2244" equalAverage="0" operator="lessThan" aboveAverage="0" dxfId="9" text="" percent="0" bottom="0">
      <formula>MaliyetEsik</formula>
    </cfRule>
  </conditionalFormatting>
  <conditionalFormatting sqref="D758">
    <cfRule type="cellIs" rank="0" priority="2245" equalAverage="0" operator="lessThan" aboveAverage="0" dxfId="10" text="" percent="0" bottom="0">
      <formula>18</formula>
    </cfRule>
  </conditionalFormatting>
  <conditionalFormatting sqref="B759">
    <cfRule type="cellIs" rank="0" priority="2246" equalAverage="0" operator="greaterThan" aboveAverage="0" dxfId="8" text="" percent="0" bottom="0">
      <formula>0</formula>
    </cfRule>
    <cfRule type="cellIs" rank="0" priority="2247" equalAverage="0" operator="lessThan" aboveAverage="0" dxfId="9" text="" percent="0" bottom="0">
      <formula>MaliyetEsik</formula>
    </cfRule>
  </conditionalFormatting>
  <conditionalFormatting sqref="D759">
    <cfRule type="cellIs" rank="0" priority="2248" equalAverage="0" operator="lessThan" aboveAverage="0" dxfId="10" text="" percent="0" bottom="0">
      <formula>18</formula>
    </cfRule>
  </conditionalFormatting>
  <conditionalFormatting sqref="B760">
    <cfRule type="cellIs" rank="0" priority="2249" equalAverage="0" operator="greaterThan" aboveAverage="0" dxfId="8" text="" percent="0" bottom="0">
      <formula>0</formula>
    </cfRule>
    <cfRule type="cellIs" rank="0" priority="2250" equalAverage="0" operator="lessThan" aboveAverage="0" dxfId="9" text="" percent="0" bottom="0">
      <formula>MaliyetEsik</formula>
    </cfRule>
  </conditionalFormatting>
  <conditionalFormatting sqref="D760">
    <cfRule type="cellIs" rank="0" priority="2251" equalAverage="0" operator="lessThan" aboveAverage="0" dxfId="10" text="" percent="0" bottom="0">
      <formula>18</formula>
    </cfRule>
  </conditionalFormatting>
  <conditionalFormatting sqref="B761">
    <cfRule type="cellIs" rank="0" priority="2252" equalAverage="0" operator="greaterThan" aboveAverage="0" dxfId="8" text="" percent="0" bottom="0">
      <formula>0</formula>
    </cfRule>
    <cfRule type="cellIs" rank="0" priority="2253" equalAverage="0" operator="lessThan" aboveAverage="0" dxfId="9" text="" percent="0" bottom="0">
      <formula>MaliyetEsik</formula>
    </cfRule>
  </conditionalFormatting>
  <conditionalFormatting sqref="D761">
    <cfRule type="cellIs" rank="0" priority="2254" equalAverage="0" operator="lessThan" aboveAverage="0" dxfId="10" text="" percent="0" bottom="0">
      <formula>18</formula>
    </cfRule>
  </conditionalFormatting>
  <conditionalFormatting sqref="B762">
    <cfRule type="cellIs" rank="0" priority="2255" equalAverage="0" operator="greaterThan" aboveAverage="0" dxfId="8" text="" percent="0" bottom="0">
      <formula>0</formula>
    </cfRule>
    <cfRule type="cellIs" rank="0" priority="2256" equalAverage="0" operator="lessThan" aboveAverage="0" dxfId="9" text="" percent="0" bottom="0">
      <formula>MaliyetEsik</formula>
    </cfRule>
  </conditionalFormatting>
  <conditionalFormatting sqref="D762">
    <cfRule type="cellIs" rank="0" priority="2257" equalAverage="0" operator="lessThan" aboveAverage="0" dxfId="10" text="" percent="0" bottom="0">
      <formula>18</formula>
    </cfRule>
  </conditionalFormatting>
  <conditionalFormatting sqref="B763">
    <cfRule type="cellIs" rank="0" priority="2258" equalAverage="0" operator="greaterThan" aboveAverage="0" dxfId="8" text="" percent="0" bottom="0">
      <formula>0</formula>
    </cfRule>
    <cfRule type="cellIs" rank="0" priority="2259" equalAverage="0" operator="lessThan" aboveAverage="0" dxfId="9" text="" percent="0" bottom="0">
      <formula>MaliyetEsik</formula>
    </cfRule>
  </conditionalFormatting>
  <conditionalFormatting sqref="D763">
    <cfRule type="cellIs" rank="0" priority="2260" equalAverage="0" operator="lessThan" aboveAverage="0" dxfId="10" text="" percent="0" bottom="0">
      <formula>18</formula>
    </cfRule>
  </conditionalFormatting>
  <conditionalFormatting sqref="B764">
    <cfRule type="cellIs" rank="0" priority="2261" equalAverage="0" operator="greaterThan" aboveAverage="0" dxfId="8" text="" percent="0" bottom="0">
      <formula>0</formula>
    </cfRule>
    <cfRule type="cellIs" rank="0" priority="2262" equalAverage="0" operator="lessThan" aboveAverage="0" dxfId="9" text="" percent="0" bottom="0">
      <formula>MaliyetEsik</formula>
    </cfRule>
  </conditionalFormatting>
  <conditionalFormatting sqref="D764">
    <cfRule type="cellIs" rank="0" priority="2263" equalAverage="0" operator="lessThan" aboveAverage="0" dxfId="10" text="" percent="0" bottom="0">
      <formula>18</formula>
    </cfRule>
  </conditionalFormatting>
  <conditionalFormatting sqref="B765">
    <cfRule type="cellIs" rank="0" priority="2264" equalAverage="0" operator="greaterThan" aboveAverage="0" dxfId="8" text="" percent="0" bottom="0">
      <formula>0</formula>
    </cfRule>
    <cfRule type="cellIs" rank="0" priority="2265" equalAverage="0" operator="lessThan" aboveAverage="0" dxfId="9" text="" percent="0" bottom="0">
      <formula>MaliyetEsik</formula>
    </cfRule>
  </conditionalFormatting>
  <conditionalFormatting sqref="D765">
    <cfRule type="cellIs" rank="0" priority="2266" equalAverage="0" operator="lessThan" aboveAverage="0" dxfId="10" text="" percent="0" bottom="0">
      <formula>18</formula>
    </cfRule>
  </conditionalFormatting>
  <conditionalFormatting sqref="B766">
    <cfRule type="cellIs" rank="0" priority="2267" equalAverage="0" operator="greaterThan" aboveAverage="0" dxfId="8" text="" percent="0" bottom="0">
      <formula>0</formula>
    </cfRule>
    <cfRule type="cellIs" rank="0" priority="2268" equalAverage="0" operator="lessThan" aboveAverage="0" dxfId="9" text="" percent="0" bottom="0">
      <formula>MaliyetEsik</formula>
    </cfRule>
  </conditionalFormatting>
  <conditionalFormatting sqref="D766">
    <cfRule type="cellIs" rank="0" priority="2269" equalAverage="0" operator="lessThan" aboveAverage="0" dxfId="10" text="" percent="0" bottom="0">
      <formula>18</formula>
    </cfRule>
  </conditionalFormatting>
  <conditionalFormatting sqref="B767">
    <cfRule type="cellIs" rank="0" priority="2270" equalAverage="0" operator="greaterThan" aboveAverage="0" dxfId="8" text="" percent="0" bottom="0">
      <formula>0</formula>
    </cfRule>
    <cfRule type="cellIs" rank="0" priority="2271" equalAverage="0" operator="lessThan" aboveAverage="0" dxfId="9" text="" percent="0" bottom="0">
      <formula>MaliyetEsik</formula>
    </cfRule>
  </conditionalFormatting>
  <conditionalFormatting sqref="D767">
    <cfRule type="cellIs" rank="0" priority="2272" equalAverage="0" operator="lessThan" aboveAverage="0" dxfId="10" text="" percent="0" bottom="0">
      <formula>18</formula>
    </cfRule>
  </conditionalFormatting>
  <conditionalFormatting sqref="B768">
    <cfRule type="cellIs" rank="0" priority="2273" equalAverage="0" operator="greaterThan" aboveAverage="0" dxfId="8" text="" percent="0" bottom="0">
      <formula>0</formula>
    </cfRule>
    <cfRule type="cellIs" rank="0" priority="2274" equalAverage="0" operator="lessThan" aboveAverage="0" dxfId="9" text="" percent="0" bottom="0">
      <formula>MaliyetEsik</formula>
    </cfRule>
  </conditionalFormatting>
  <conditionalFormatting sqref="D768">
    <cfRule type="cellIs" rank="0" priority="2275" equalAverage="0" operator="lessThan" aboveAverage="0" dxfId="10" text="" percent="0" bottom="0">
      <formula>18</formula>
    </cfRule>
  </conditionalFormatting>
  <conditionalFormatting sqref="B769">
    <cfRule type="cellIs" rank="0" priority="2276" equalAverage="0" operator="greaterThan" aboveAverage="0" dxfId="8" text="" percent="0" bottom="0">
      <formula>0</formula>
    </cfRule>
    <cfRule type="cellIs" rank="0" priority="2277" equalAverage="0" operator="lessThan" aboveAverage="0" dxfId="9" text="" percent="0" bottom="0">
      <formula>MaliyetEsik</formula>
    </cfRule>
  </conditionalFormatting>
  <conditionalFormatting sqref="D769">
    <cfRule type="cellIs" rank="0" priority="2278" equalAverage="0" operator="lessThan" aboveAverage="0" dxfId="10" text="" percent="0" bottom="0">
      <formula>18</formula>
    </cfRule>
  </conditionalFormatting>
  <conditionalFormatting sqref="B770">
    <cfRule type="cellIs" rank="0" priority="2279" equalAverage="0" operator="greaterThan" aboveAverage="0" dxfId="8" text="" percent="0" bottom="0">
      <formula>0</formula>
    </cfRule>
    <cfRule type="cellIs" rank="0" priority="2280" equalAverage="0" operator="lessThan" aboveAverage="0" dxfId="9" text="" percent="0" bottom="0">
      <formula>MaliyetEsik</formula>
    </cfRule>
  </conditionalFormatting>
  <conditionalFormatting sqref="D770">
    <cfRule type="cellIs" rank="0" priority="2281" equalAverage="0" operator="lessThan" aboveAverage="0" dxfId="10" text="" percent="0" bottom="0">
      <formula>18</formula>
    </cfRule>
  </conditionalFormatting>
  <conditionalFormatting sqref="B771">
    <cfRule type="cellIs" rank="0" priority="2282" equalAverage="0" operator="greaterThan" aboveAverage="0" dxfId="8" text="" percent="0" bottom="0">
      <formula>0</formula>
    </cfRule>
    <cfRule type="cellIs" rank="0" priority="2283" equalAverage="0" operator="lessThan" aboveAverage="0" dxfId="9" text="" percent="0" bottom="0">
      <formula>MaliyetEsik</formula>
    </cfRule>
  </conditionalFormatting>
  <conditionalFormatting sqref="D771">
    <cfRule type="cellIs" rank="0" priority="2284" equalAverage="0" operator="lessThan" aboveAverage="0" dxfId="10" text="" percent="0" bottom="0">
      <formula>18</formula>
    </cfRule>
  </conditionalFormatting>
  <conditionalFormatting sqref="B772">
    <cfRule type="cellIs" rank="0" priority="2285" equalAverage="0" operator="greaterThan" aboveAverage="0" dxfId="8" text="" percent="0" bottom="0">
      <formula>0</formula>
    </cfRule>
    <cfRule type="cellIs" rank="0" priority="2286" equalAverage="0" operator="lessThan" aboveAverage="0" dxfId="9" text="" percent="0" bottom="0">
      <formula>MaliyetEsik</formula>
    </cfRule>
  </conditionalFormatting>
  <conditionalFormatting sqref="D772">
    <cfRule type="cellIs" rank="0" priority="2287" equalAverage="0" operator="lessThan" aboveAverage="0" dxfId="10" text="" percent="0" bottom="0">
      <formula>18</formula>
    </cfRule>
  </conditionalFormatting>
  <conditionalFormatting sqref="B773">
    <cfRule type="cellIs" rank="0" priority="2288" equalAverage="0" operator="greaterThan" aboveAverage="0" dxfId="8" text="" percent="0" bottom="0">
      <formula>0</formula>
    </cfRule>
    <cfRule type="cellIs" rank="0" priority="2289" equalAverage="0" operator="lessThan" aboveAverage="0" dxfId="9" text="" percent="0" bottom="0">
      <formula>MaliyetEsik</formula>
    </cfRule>
  </conditionalFormatting>
  <conditionalFormatting sqref="D773">
    <cfRule type="cellIs" rank="0" priority="2290" equalAverage="0" operator="lessThan" aboveAverage="0" dxfId="10" text="" percent="0" bottom="0">
      <formula>18</formula>
    </cfRule>
  </conditionalFormatting>
  <conditionalFormatting sqref="B774">
    <cfRule type="cellIs" rank="0" priority="2291" equalAverage="0" operator="greaterThan" aboveAverage="0" dxfId="8" text="" percent="0" bottom="0">
      <formula>0</formula>
    </cfRule>
    <cfRule type="cellIs" rank="0" priority="2292" equalAverage="0" operator="lessThan" aboveAverage="0" dxfId="9" text="" percent="0" bottom="0">
      <formula>MaliyetEsik</formula>
    </cfRule>
  </conditionalFormatting>
  <conditionalFormatting sqref="D774">
    <cfRule type="cellIs" rank="0" priority="2293" equalAverage="0" operator="lessThan" aboveAverage="0" dxfId="10" text="" percent="0" bottom="0">
      <formula>18</formula>
    </cfRule>
  </conditionalFormatting>
  <conditionalFormatting sqref="B775">
    <cfRule type="cellIs" rank="0" priority="2294" equalAverage="0" operator="greaterThan" aboveAverage="0" dxfId="8" text="" percent="0" bottom="0">
      <formula>0</formula>
    </cfRule>
    <cfRule type="cellIs" rank="0" priority="2295" equalAverage="0" operator="lessThan" aboveAverage="0" dxfId="9" text="" percent="0" bottom="0">
      <formula>MaliyetEsik</formula>
    </cfRule>
  </conditionalFormatting>
  <conditionalFormatting sqref="D775">
    <cfRule type="cellIs" rank="0" priority="2296" equalAverage="0" operator="lessThan" aboveAverage="0" dxfId="10" text="" percent="0" bottom="0">
      <formula>18</formula>
    </cfRule>
  </conditionalFormatting>
  <conditionalFormatting sqref="B776">
    <cfRule type="cellIs" rank="0" priority="2297" equalAverage="0" operator="greaterThan" aboveAverage="0" dxfId="8" text="" percent="0" bottom="0">
      <formula>0</formula>
    </cfRule>
    <cfRule type="cellIs" rank="0" priority="2298" equalAverage="0" operator="lessThan" aboveAverage="0" dxfId="9" text="" percent="0" bottom="0">
      <formula>MaliyetEsik</formula>
    </cfRule>
  </conditionalFormatting>
  <conditionalFormatting sqref="D776">
    <cfRule type="cellIs" rank="0" priority="2299" equalAverage="0" operator="lessThan" aboveAverage="0" dxfId="10" text="" percent="0" bottom="0">
      <formula>18</formula>
    </cfRule>
  </conditionalFormatting>
  <conditionalFormatting sqref="B777">
    <cfRule type="cellIs" rank="0" priority="2300" equalAverage="0" operator="greaterThan" aboveAverage="0" dxfId="8" text="" percent="0" bottom="0">
      <formula>0</formula>
    </cfRule>
    <cfRule type="cellIs" rank="0" priority="2301" equalAverage="0" operator="lessThan" aboveAverage="0" dxfId="9" text="" percent="0" bottom="0">
      <formula>MaliyetEsik</formula>
    </cfRule>
  </conditionalFormatting>
  <conditionalFormatting sqref="D777">
    <cfRule type="cellIs" rank="0" priority="2302" equalAverage="0" operator="lessThan" aboveAverage="0" dxfId="10" text="" percent="0" bottom="0">
      <formula>18</formula>
    </cfRule>
  </conditionalFormatting>
  <conditionalFormatting sqref="B778">
    <cfRule type="cellIs" rank="0" priority="2303" equalAverage="0" operator="greaterThan" aboveAverage="0" dxfId="8" text="" percent="0" bottom="0">
      <formula>0</formula>
    </cfRule>
    <cfRule type="cellIs" rank="0" priority="2304" equalAverage="0" operator="lessThan" aboveAverage="0" dxfId="9" text="" percent="0" bottom="0">
      <formula>MaliyetEsik</formula>
    </cfRule>
  </conditionalFormatting>
  <conditionalFormatting sqref="D778">
    <cfRule type="cellIs" rank="0" priority="2305" equalAverage="0" operator="lessThan" aboveAverage="0" dxfId="10" text="" percent="0" bottom="0">
      <formula>18</formula>
    </cfRule>
  </conditionalFormatting>
  <conditionalFormatting sqref="B779">
    <cfRule type="cellIs" rank="0" priority="2306" equalAverage="0" operator="greaterThan" aboveAverage="0" dxfId="8" text="" percent="0" bottom="0">
      <formula>0</formula>
    </cfRule>
    <cfRule type="cellIs" rank="0" priority="2307" equalAverage="0" operator="lessThan" aboveAverage="0" dxfId="9" text="" percent="0" bottom="0">
      <formula>MaliyetEsik</formula>
    </cfRule>
  </conditionalFormatting>
  <conditionalFormatting sqref="D779">
    <cfRule type="cellIs" rank="0" priority="2308" equalAverage="0" operator="lessThan" aboveAverage="0" dxfId="10" text="" percent="0" bottom="0">
      <formula>18</formula>
    </cfRule>
  </conditionalFormatting>
  <conditionalFormatting sqref="B780">
    <cfRule type="cellIs" rank="0" priority="2309" equalAverage="0" operator="greaterThan" aboveAverage="0" dxfId="8" text="" percent="0" bottom="0">
      <formula>0</formula>
    </cfRule>
    <cfRule type="cellIs" rank="0" priority="2310" equalAverage="0" operator="lessThan" aboveAverage="0" dxfId="9" text="" percent="0" bottom="0">
      <formula>MaliyetEsik</formula>
    </cfRule>
  </conditionalFormatting>
  <conditionalFormatting sqref="D780">
    <cfRule type="cellIs" rank="0" priority="2311" equalAverage="0" operator="lessThan" aboveAverage="0" dxfId="10" text="" percent="0" bottom="0">
      <formula>18</formula>
    </cfRule>
  </conditionalFormatting>
  <conditionalFormatting sqref="B781">
    <cfRule type="cellIs" rank="0" priority="2312" equalAverage="0" operator="greaterThan" aboveAverage="0" dxfId="8" text="" percent="0" bottom="0">
      <formula>0</formula>
    </cfRule>
    <cfRule type="cellIs" rank="0" priority="2313" equalAverage="0" operator="lessThan" aboveAverage="0" dxfId="9" text="" percent="0" bottom="0">
      <formula>MaliyetEsik</formula>
    </cfRule>
  </conditionalFormatting>
  <conditionalFormatting sqref="D781">
    <cfRule type="cellIs" rank="0" priority="2314" equalAverage="0" operator="lessThan" aboveAverage="0" dxfId="10" text="" percent="0" bottom="0">
      <formula>18</formula>
    </cfRule>
  </conditionalFormatting>
  <conditionalFormatting sqref="B782">
    <cfRule type="cellIs" rank="0" priority="2315" equalAverage="0" operator="greaterThan" aboveAverage="0" dxfId="8" text="" percent="0" bottom="0">
      <formula>0</formula>
    </cfRule>
    <cfRule type="cellIs" rank="0" priority="2316" equalAverage="0" operator="lessThan" aboveAverage="0" dxfId="9" text="" percent="0" bottom="0">
      <formula>MaliyetEsik</formula>
    </cfRule>
  </conditionalFormatting>
  <conditionalFormatting sqref="D782">
    <cfRule type="cellIs" rank="0" priority="2317" equalAverage="0" operator="lessThan" aboveAverage="0" dxfId="10" text="" percent="0" bottom="0">
      <formula>18</formula>
    </cfRule>
  </conditionalFormatting>
  <conditionalFormatting sqref="B783">
    <cfRule type="cellIs" rank="0" priority="2318" equalAverage="0" operator="greaterThan" aboveAverage="0" dxfId="8" text="" percent="0" bottom="0">
      <formula>0</formula>
    </cfRule>
    <cfRule type="cellIs" rank="0" priority="2319" equalAverage="0" operator="lessThan" aboveAverage="0" dxfId="9" text="" percent="0" bottom="0">
      <formula>MaliyetEsik</formula>
    </cfRule>
  </conditionalFormatting>
  <conditionalFormatting sqref="D783">
    <cfRule type="cellIs" rank="0" priority="2320" equalAverage="0" operator="lessThan" aboveAverage="0" dxfId="10" text="" percent="0" bottom="0">
      <formula>18</formula>
    </cfRule>
  </conditionalFormatting>
  <conditionalFormatting sqref="B784">
    <cfRule type="cellIs" rank="0" priority="2321" equalAverage="0" operator="greaterThan" aboveAverage="0" dxfId="8" text="" percent="0" bottom="0">
      <formula>0</formula>
    </cfRule>
    <cfRule type="cellIs" rank="0" priority="2322" equalAverage="0" operator="lessThan" aboveAverage="0" dxfId="9" text="" percent="0" bottom="0">
      <formula>MaliyetEsik</formula>
    </cfRule>
  </conditionalFormatting>
  <conditionalFormatting sqref="D784">
    <cfRule type="cellIs" rank="0" priority="2323" equalAverage="0" operator="lessThan" aboveAverage="0" dxfId="10" text="" percent="0" bottom="0">
      <formula>18</formula>
    </cfRule>
  </conditionalFormatting>
  <conditionalFormatting sqref="B785">
    <cfRule type="cellIs" rank="0" priority="2324" equalAverage="0" operator="greaterThan" aboveAverage="0" dxfId="8" text="" percent="0" bottom="0">
      <formula>0</formula>
    </cfRule>
    <cfRule type="cellIs" rank="0" priority="2325" equalAverage="0" operator="lessThan" aboveAverage="0" dxfId="9" text="" percent="0" bottom="0">
      <formula>MaliyetEsik</formula>
    </cfRule>
  </conditionalFormatting>
  <conditionalFormatting sqref="D785">
    <cfRule type="cellIs" rank="0" priority="2326" equalAverage="0" operator="lessThan" aboveAverage="0" dxfId="10" text="" percent="0" bottom="0">
      <formula>18</formula>
    </cfRule>
  </conditionalFormatting>
  <conditionalFormatting sqref="B786">
    <cfRule type="cellIs" rank="0" priority="2327" equalAverage="0" operator="greaterThan" aboveAverage="0" dxfId="8" text="" percent="0" bottom="0">
      <formula>0</formula>
    </cfRule>
    <cfRule type="cellIs" rank="0" priority="2328" equalAverage="0" operator="lessThan" aboveAverage="0" dxfId="9" text="" percent="0" bottom="0">
      <formula>MaliyetEsik</formula>
    </cfRule>
  </conditionalFormatting>
  <conditionalFormatting sqref="D786">
    <cfRule type="cellIs" rank="0" priority="2329" equalAverage="0" operator="lessThan" aboveAverage="0" dxfId="10" text="" percent="0" bottom="0">
      <formula>18</formula>
    </cfRule>
  </conditionalFormatting>
  <conditionalFormatting sqref="B787">
    <cfRule type="cellIs" rank="0" priority="2330" equalAverage="0" operator="greaterThan" aboveAverage="0" dxfId="8" text="" percent="0" bottom="0">
      <formula>0</formula>
    </cfRule>
    <cfRule type="cellIs" rank="0" priority="2331" equalAverage="0" operator="lessThan" aboveAverage="0" dxfId="9" text="" percent="0" bottom="0">
      <formula>MaliyetEsik</formula>
    </cfRule>
  </conditionalFormatting>
  <conditionalFormatting sqref="D787">
    <cfRule type="cellIs" rank="0" priority="2332" equalAverage="0" operator="lessThan" aboveAverage="0" dxfId="10" text="" percent="0" bottom="0">
      <formula>18</formula>
    </cfRule>
  </conditionalFormatting>
  <conditionalFormatting sqref="B788">
    <cfRule type="cellIs" rank="0" priority="2333" equalAverage="0" operator="greaterThan" aboveAverage="0" dxfId="8" text="" percent="0" bottom="0">
      <formula>0</formula>
    </cfRule>
    <cfRule type="cellIs" rank="0" priority="2334" equalAverage="0" operator="lessThan" aboveAverage="0" dxfId="9" text="" percent="0" bottom="0">
      <formula>MaliyetEsik</formula>
    </cfRule>
  </conditionalFormatting>
  <conditionalFormatting sqref="D788">
    <cfRule type="cellIs" rank="0" priority="2335" equalAverage="0" operator="lessThan" aboveAverage="0" dxfId="10" text="" percent="0" bottom="0">
      <formula>18</formula>
    </cfRule>
  </conditionalFormatting>
  <conditionalFormatting sqref="B789">
    <cfRule type="cellIs" rank="0" priority="2336" equalAverage="0" operator="greaterThan" aboveAverage="0" dxfId="8" text="" percent="0" bottom="0">
      <formula>0</formula>
    </cfRule>
    <cfRule type="cellIs" rank="0" priority="2337" equalAverage="0" operator="lessThan" aboveAverage="0" dxfId="9" text="" percent="0" bottom="0">
      <formula>MaliyetEsik</formula>
    </cfRule>
  </conditionalFormatting>
  <conditionalFormatting sqref="D789">
    <cfRule type="cellIs" rank="0" priority="2338" equalAverage="0" operator="lessThan" aboveAverage="0" dxfId="10" text="" percent="0" bottom="0">
      <formula>18</formula>
    </cfRule>
  </conditionalFormatting>
  <conditionalFormatting sqref="B790">
    <cfRule type="cellIs" rank="0" priority="2339" equalAverage="0" operator="greaterThan" aboveAverage="0" dxfId="8" text="" percent="0" bottom="0">
      <formula>0</formula>
    </cfRule>
    <cfRule type="cellIs" rank="0" priority="2340" equalAverage="0" operator="lessThan" aboveAverage="0" dxfId="9" text="" percent="0" bottom="0">
      <formula>MaliyetEsik</formula>
    </cfRule>
  </conditionalFormatting>
  <conditionalFormatting sqref="D790">
    <cfRule type="cellIs" rank="0" priority="2341" equalAverage="0" operator="lessThan" aboveAverage="0" dxfId="10" text="" percent="0" bottom="0">
      <formula>18</formula>
    </cfRule>
  </conditionalFormatting>
  <conditionalFormatting sqref="B791">
    <cfRule type="cellIs" rank="0" priority="2342" equalAverage="0" operator="greaterThan" aboveAverage="0" dxfId="8" text="" percent="0" bottom="0">
      <formula>0</formula>
    </cfRule>
    <cfRule type="cellIs" rank="0" priority="2343" equalAverage="0" operator="lessThan" aboveAverage="0" dxfId="9" text="" percent="0" bottom="0">
      <formula>MaliyetEsik</formula>
    </cfRule>
  </conditionalFormatting>
  <conditionalFormatting sqref="D791">
    <cfRule type="cellIs" rank="0" priority="2344" equalAverage="0" operator="lessThan" aboveAverage="0" dxfId="10" text="" percent="0" bottom="0">
      <formula>18</formula>
    </cfRule>
  </conditionalFormatting>
  <conditionalFormatting sqref="B792">
    <cfRule type="cellIs" rank="0" priority="2345" equalAverage="0" operator="greaterThan" aboveAverage="0" dxfId="8" text="" percent="0" bottom="0">
      <formula>0</formula>
    </cfRule>
    <cfRule type="cellIs" rank="0" priority="2346" equalAverage="0" operator="lessThan" aboveAverage="0" dxfId="9" text="" percent="0" bottom="0">
      <formula>MaliyetEsik</formula>
    </cfRule>
  </conditionalFormatting>
  <conditionalFormatting sqref="D792">
    <cfRule type="cellIs" rank="0" priority="2347" equalAverage="0" operator="lessThan" aboveAverage="0" dxfId="10" text="" percent="0" bottom="0">
      <formula>18</formula>
    </cfRule>
  </conditionalFormatting>
  <conditionalFormatting sqref="B793">
    <cfRule type="cellIs" rank="0" priority="2348" equalAverage="0" operator="greaterThan" aboveAverage="0" dxfId="8" text="" percent="0" bottom="0">
      <formula>0</formula>
    </cfRule>
    <cfRule type="cellIs" rank="0" priority="2349" equalAverage="0" operator="lessThan" aboveAverage="0" dxfId="9" text="" percent="0" bottom="0">
      <formula>MaliyetEsik</formula>
    </cfRule>
  </conditionalFormatting>
  <conditionalFormatting sqref="D793">
    <cfRule type="cellIs" rank="0" priority="2350" equalAverage="0" operator="lessThan" aboveAverage="0" dxfId="10" text="" percent="0" bottom="0">
      <formula>18</formula>
    </cfRule>
  </conditionalFormatting>
  <conditionalFormatting sqref="B794">
    <cfRule type="cellIs" rank="0" priority="2351" equalAverage="0" operator="greaterThan" aboveAverage="0" dxfId="8" text="" percent="0" bottom="0">
      <formula>0</formula>
    </cfRule>
    <cfRule type="cellIs" rank="0" priority="2352" equalAverage="0" operator="lessThan" aboveAverage="0" dxfId="9" text="" percent="0" bottom="0">
      <formula>MaliyetEsik</formula>
    </cfRule>
  </conditionalFormatting>
  <conditionalFormatting sqref="D794">
    <cfRule type="cellIs" rank="0" priority="2353" equalAverage="0" operator="lessThan" aboveAverage="0" dxfId="10" text="" percent="0" bottom="0">
      <formula>18</formula>
    </cfRule>
  </conditionalFormatting>
  <conditionalFormatting sqref="B795">
    <cfRule type="cellIs" rank="0" priority="2354" equalAverage="0" operator="greaterThan" aboveAverage="0" dxfId="8" text="" percent="0" bottom="0">
      <formula>0</formula>
    </cfRule>
    <cfRule type="cellIs" rank="0" priority="2355" equalAverage="0" operator="lessThan" aboveAverage="0" dxfId="9" text="" percent="0" bottom="0">
      <formula>MaliyetEsik</formula>
    </cfRule>
  </conditionalFormatting>
  <conditionalFormatting sqref="D795">
    <cfRule type="cellIs" rank="0" priority="2356" equalAverage="0" operator="lessThan" aboveAverage="0" dxfId="10" text="" percent="0" bottom="0">
      <formula>18</formula>
    </cfRule>
  </conditionalFormatting>
  <conditionalFormatting sqref="B796">
    <cfRule type="cellIs" rank="0" priority="2357" equalAverage="0" operator="greaterThan" aboveAverage="0" dxfId="8" text="" percent="0" bottom="0">
      <formula>0</formula>
    </cfRule>
    <cfRule type="cellIs" rank="0" priority="2358" equalAverage="0" operator="lessThan" aboveAverage="0" dxfId="9" text="" percent="0" bottom="0">
      <formula>MaliyetEsik</formula>
    </cfRule>
  </conditionalFormatting>
  <conditionalFormatting sqref="D796">
    <cfRule type="cellIs" rank="0" priority="2359" equalAverage="0" operator="lessThan" aboveAverage="0" dxfId="10" text="" percent="0" bottom="0">
      <formula>18</formula>
    </cfRule>
  </conditionalFormatting>
  <conditionalFormatting sqref="B797">
    <cfRule type="cellIs" rank="0" priority="2360" equalAverage="0" operator="greaterThan" aboveAverage="0" dxfId="8" text="" percent="0" bottom="0">
      <formula>0</formula>
    </cfRule>
    <cfRule type="cellIs" rank="0" priority="2361" equalAverage="0" operator="lessThan" aboveAverage="0" dxfId="9" text="" percent="0" bottom="0">
      <formula>MaliyetEsik</formula>
    </cfRule>
  </conditionalFormatting>
  <conditionalFormatting sqref="D797">
    <cfRule type="cellIs" rank="0" priority="2362" equalAverage="0" operator="lessThan" aboveAverage="0" dxfId="10" text="" percent="0" bottom="0">
      <formula>18</formula>
    </cfRule>
  </conditionalFormatting>
  <conditionalFormatting sqref="B798">
    <cfRule type="cellIs" rank="0" priority="2363" equalAverage="0" operator="greaterThan" aboveAverage="0" dxfId="8" text="" percent="0" bottom="0">
      <formula>0</formula>
    </cfRule>
    <cfRule type="cellIs" rank="0" priority="2364" equalAverage="0" operator="lessThan" aboveAverage="0" dxfId="9" text="" percent="0" bottom="0">
      <formula>MaliyetEsik</formula>
    </cfRule>
  </conditionalFormatting>
  <conditionalFormatting sqref="D798">
    <cfRule type="cellIs" rank="0" priority="2365" equalAverage="0" operator="lessThan" aboveAverage="0" dxfId="10" text="" percent="0" bottom="0">
      <formula>18</formula>
    </cfRule>
  </conditionalFormatting>
  <conditionalFormatting sqref="B799">
    <cfRule type="cellIs" rank="0" priority="2366" equalAverage="0" operator="greaterThan" aboveAverage="0" dxfId="8" text="" percent="0" bottom="0">
      <formula>0</formula>
    </cfRule>
    <cfRule type="cellIs" rank="0" priority="2367" equalAverage="0" operator="lessThan" aboveAverage="0" dxfId="9" text="" percent="0" bottom="0">
      <formula>MaliyetEsik</formula>
    </cfRule>
  </conditionalFormatting>
  <conditionalFormatting sqref="D799">
    <cfRule type="cellIs" rank="0" priority="2368" equalAverage="0" operator="lessThan" aboveAverage="0" dxfId="10" text="" percent="0" bottom="0">
      <formula>18</formula>
    </cfRule>
  </conditionalFormatting>
  <conditionalFormatting sqref="B800">
    <cfRule type="cellIs" rank="0" priority="2369" equalAverage="0" operator="greaterThan" aboveAverage="0" dxfId="8" text="" percent="0" bottom="0">
      <formula>0</formula>
    </cfRule>
    <cfRule type="cellIs" rank="0" priority="2370" equalAverage="0" operator="lessThan" aboveAverage="0" dxfId="9" text="" percent="0" bottom="0">
      <formula>MaliyetEsik</formula>
    </cfRule>
  </conditionalFormatting>
  <conditionalFormatting sqref="D800">
    <cfRule type="cellIs" rank="0" priority="2371" equalAverage="0" operator="lessThan" aboveAverage="0" dxfId="10" text="" percent="0" bottom="0">
      <formula>18</formula>
    </cfRule>
  </conditionalFormatting>
  <conditionalFormatting sqref="B801">
    <cfRule type="cellIs" rank="0" priority="2372" equalAverage="0" operator="greaterThan" aboveAverage="0" dxfId="8" text="" percent="0" bottom="0">
      <formula>0</formula>
    </cfRule>
    <cfRule type="cellIs" rank="0" priority="2373" equalAverage="0" operator="lessThan" aboveAverage="0" dxfId="9" text="" percent="0" bottom="0">
      <formula>MaliyetEsik</formula>
    </cfRule>
  </conditionalFormatting>
  <conditionalFormatting sqref="D801">
    <cfRule type="cellIs" rank="0" priority="2374" equalAverage="0" operator="lessThan" aboveAverage="0" dxfId="10" text="" percent="0" bottom="0">
      <formula>18</formula>
    </cfRule>
  </conditionalFormatting>
  <conditionalFormatting sqref="B802">
    <cfRule type="cellIs" rank="0" priority="2375" equalAverage="0" operator="greaterThan" aboveAverage="0" dxfId="8" text="" percent="0" bottom="0">
      <formula>0</formula>
    </cfRule>
    <cfRule type="cellIs" rank="0" priority="2376" equalAverage="0" operator="lessThan" aboveAverage="0" dxfId="9" text="" percent="0" bottom="0">
      <formula>MaliyetEsik</formula>
    </cfRule>
  </conditionalFormatting>
  <conditionalFormatting sqref="D802">
    <cfRule type="cellIs" rank="0" priority="2377" equalAverage="0" operator="lessThan" aboveAverage="0" dxfId="10" text="" percent="0" bottom="0">
      <formula>18</formula>
    </cfRule>
  </conditionalFormatting>
  <conditionalFormatting sqref="B803">
    <cfRule type="cellIs" rank="0" priority="2378" equalAverage="0" operator="greaterThan" aboveAverage="0" dxfId="8" text="" percent="0" bottom="0">
      <formula>0</formula>
    </cfRule>
    <cfRule type="cellIs" rank="0" priority="2379" equalAverage="0" operator="lessThan" aboveAverage="0" dxfId="9" text="" percent="0" bottom="0">
      <formula>MaliyetEsik</formula>
    </cfRule>
  </conditionalFormatting>
  <conditionalFormatting sqref="D803">
    <cfRule type="cellIs" rank="0" priority="2380" equalAverage="0" operator="lessThan" aboveAverage="0" dxfId="10" text="" percent="0" bottom="0">
      <formula>18</formula>
    </cfRule>
  </conditionalFormatting>
  <conditionalFormatting sqref="B804">
    <cfRule type="cellIs" rank="0" priority="2381" equalAverage="0" operator="greaterThan" aboveAverage="0" dxfId="8" text="" percent="0" bottom="0">
      <formula>0</formula>
    </cfRule>
    <cfRule type="cellIs" rank="0" priority="2382" equalAverage="0" operator="lessThan" aboveAverage="0" dxfId="9" text="" percent="0" bottom="0">
      <formula>MaliyetEsik</formula>
    </cfRule>
  </conditionalFormatting>
  <conditionalFormatting sqref="D804">
    <cfRule type="cellIs" rank="0" priority="2383" equalAverage="0" operator="lessThan" aboveAverage="0" dxfId="10" text="" percent="0" bottom="0">
      <formula>18</formula>
    </cfRule>
  </conditionalFormatting>
  <conditionalFormatting sqref="B805">
    <cfRule type="cellIs" rank="0" priority="2384" equalAverage="0" operator="greaterThan" aboveAverage="0" dxfId="8" text="" percent="0" bottom="0">
      <formula>0</formula>
    </cfRule>
    <cfRule type="cellIs" rank="0" priority="2385" equalAverage="0" operator="lessThan" aboveAverage="0" dxfId="9" text="" percent="0" bottom="0">
      <formula>MaliyetEsik</formula>
    </cfRule>
  </conditionalFormatting>
  <conditionalFormatting sqref="D805">
    <cfRule type="cellIs" rank="0" priority="2386" equalAverage="0" operator="lessThan" aboveAverage="0" dxfId="10" text="" percent="0" bottom="0">
      <formula>18</formula>
    </cfRule>
  </conditionalFormatting>
  <conditionalFormatting sqref="B806">
    <cfRule type="cellIs" rank="0" priority="2387" equalAverage="0" operator="greaterThan" aboveAverage="0" dxfId="8" text="" percent="0" bottom="0">
      <formula>0</formula>
    </cfRule>
    <cfRule type="cellIs" rank="0" priority="2388" equalAverage="0" operator="lessThan" aboveAverage="0" dxfId="9" text="" percent="0" bottom="0">
      <formula>MaliyetEsik</formula>
    </cfRule>
  </conditionalFormatting>
  <conditionalFormatting sqref="D806">
    <cfRule type="cellIs" rank="0" priority="2389" equalAverage="0" operator="lessThan" aboveAverage="0" dxfId="10" text="" percent="0" bottom="0">
      <formula>18</formula>
    </cfRule>
  </conditionalFormatting>
  <conditionalFormatting sqref="B807">
    <cfRule type="cellIs" rank="0" priority="2390" equalAverage="0" operator="greaterThan" aboveAverage="0" dxfId="8" text="" percent="0" bottom="0">
      <formula>0</formula>
    </cfRule>
    <cfRule type="cellIs" rank="0" priority="2391" equalAverage="0" operator="lessThan" aboveAverage="0" dxfId="9" text="" percent="0" bottom="0">
      <formula>MaliyetEsik</formula>
    </cfRule>
  </conditionalFormatting>
  <conditionalFormatting sqref="D807">
    <cfRule type="cellIs" rank="0" priority="2392" equalAverage="0" operator="lessThan" aboveAverage="0" dxfId="10" text="" percent="0" bottom="0">
      <formula>18</formula>
    </cfRule>
  </conditionalFormatting>
  <conditionalFormatting sqref="B808">
    <cfRule type="cellIs" rank="0" priority="2393" equalAverage="0" operator="greaterThan" aboveAverage="0" dxfId="8" text="" percent="0" bottom="0">
      <formula>0</formula>
    </cfRule>
    <cfRule type="cellIs" rank="0" priority="2394" equalAverage="0" operator="lessThan" aboveAverage="0" dxfId="9" text="" percent="0" bottom="0">
      <formula>MaliyetEsik</formula>
    </cfRule>
  </conditionalFormatting>
  <conditionalFormatting sqref="D808">
    <cfRule type="cellIs" rank="0" priority="2395" equalAverage="0" operator="lessThan" aboveAverage="0" dxfId="10" text="" percent="0" bottom="0">
      <formula>18</formula>
    </cfRule>
  </conditionalFormatting>
  <conditionalFormatting sqref="B809">
    <cfRule type="cellIs" rank="0" priority="2396" equalAverage="0" operator="greaterThan" aboveAverage="0" dxfId="8" text="" percent="0" bottom="0">
      <formula>0</formula>
    </cfRule>
    <cfRule type="cellIs" rank="0" priority="2397" equalAverage="0" operator="lessThan" aboveAverage="0" dxfId="9" text="" percent="0" bottom="0">
      <formula>MaliyetEsik</formula>
    </cfRule>
  </conditionalFormatting>
  <conditionalFormatting sqref="D809">
    <cfRule type="cellIs" rank="0" priority="2398" equalAverage="0" operator="lessThan" aboveAverage="0" dxfId="10" text="" percent="0" bottom="0">
      <formula>18</formula>
    </cfRule>
  </conditionalFormatting>
  <conditionalFormatting sqref="B810">
    <cfRule type="cellIs" rank="0" priority="2399" equalAverage="0" operator="greaterThan" aboveAverage="0" dxfId="8" text="" percent="0" bottom="0">
      <formula>0</formula>
    </cfRule>
    <cfRule type="cellIs" rank="0" priority="2400" equalAverage="0" operator="lessThan" aboveAverage="0" dxfId="9" text="" percent="0" bottom="0">
      <formula>MaliyetEsik</formula>
    </cfRule>
  </conditionalFormatting>
  <conditionalFormatting sqref="D810">
    <cfRule type="cellIs" rank="0" priority="2401" equalAverage="0" operator="lessThan" aboveAverage="0" dxfId="10" text="" percent="0" bottom="0">
      <formula>18</formula>
    </cfRule>
  </conditionalFormatting>
  <conditionalFormatting sqref="B811">
    <cfRule type="cellIs" rank="0" priority="2402" equalAverage="0" operator="greaterThan" aboveAverage="0" dxfId="8" text="" percent="0" bottom="0">
      <formula>0</formula>
    </cfRule>
    <cfRule type="cellIs" rank="0" priority="2403" equalAverage="0" operator="lessThan" aboveAverage="0" dxfId="9" text="" percent="0" bottom="0">
      <formula>MaliyetEsik</formula>
    </cfRule>
  </conditionalFormatting>
  <conditionalFormatting sqref="D811">
    <cfRule type="cellIs" rank="0" priority="2404" equalAverage="0" operator="lessThan" aboveAverage="0" dxfId="10" text="" percent="0" bottom="0">
      <formula>18</formula>
    </cfRule>
  </conditionalFormatting>
  <conditionalFormatting sqref="B812">
    <cfRule type="cellIs" rank="0" priority="2405" equalAverage="0" operator="greaterThan" aboveAverage="0" dxfId="8" text="" percent="0" bottom="0">
      <formula>0</formula>
    </cfRule>
    <cfRule type="cellIs" rank="0" priority="2406" equalAverage="0" operator="lessThan" aboveAverage="0" dxfId="9" text="" percent="0" bottom="0">
      <formula>MaliyetEsik</formula>
    </cfRule>
  </conditionalFormatting>
  <conditionalFormatting sqref="D812">
    <cfRule type="cellIs" rank="0" priority="2407" equalAverage="0" operator="lessThan" aboveAverage="0" dxfId="10" text="" percent="0" bottom="0">
      <formula>18</formula>
    </cfRule>
  </conditionalFormatting>
  <conditionalFormatting sqref="B813">
    <cfRule type="cellIs" rank="0" priority="2408" equalAverage="0" operator="greaterThan" aboveAverage="0" dxfId="8" text="" percent="0" bottom="0">
      <formula>0</formula>
    </cfRule>
    <cfRule type="cellIs" rank="0" priority="2409" equalAverage="0" operator="lessThan" aboveAverage="0" dxfId="9" text="" percent="0" bottom="0">
      <formula>MaliyetEsik</formula>
    </cfRule>
  </conditionalFormatting>
  <conditionalFormatting sqref="D813">
    <cfRule type="cellIs" rank="0" priority="2410" equalAverage="0" operator="lessThan" aboveAverage="0" dxfId="10" text="" percent="0" bottom="0">
      <formula>18</formula>
    </cfRule>
  </conditionalFormatting>
  <conditionalFormatting sqref="B814">
    <cfRule type="cellIs" rank="0" priority="2411" equalAverage="0" operator="greaterThan" aboveAverage="0" dxfId="8" text="" percent="0" bottom="0">
      <formula>0</formula>
    </cfRule>
    <cfRule type="cellIs" rank="0" priority="2412" equalAverage="0" operator="lessThan" aboveAverage="0" dxfId="9" text="" percent="0" bottom="0">
      <formula>MaliyetEsik</formula>
    </cfRule>
  </conditionalFormatting>
  <conditionalFormatting sqref="D814">
    <cfRule type="cellIs" rank="0" priority="2413" equalAverage="0" operator="lessThan" aboveAverage="0" dxfId="10" text="" percent="0" bottom="0">
      <formula>18</formula>
    </cfRule>
  </conditionalFormatting>
  <conditionalFormatting sqref="B815">
    <cfRule type="cellIs" rank="0" priority="2414" equalAverage="0" operator="greaterThan" aboveAverage="0" dxfId="8" text="" percent="0" bottom="0">
      <formula>0</formula>
    </cfRule>
    <cfRule type="cellIs" rank="0" priority="2415" equalAverage="0" operator="lessThan" aboveAverage="0" dxfId="9" text="" percent="0" bottom="0">
      <formula>MaliyetEsik</formula>
    </cfRule>
  </conditionalFormatting>
  <conditionalFormatting sqref="D815">
    <cfRule type="cellIs" rank="0" priority="2416" equalAverage="0" operator="lessThan" aboveAverage="0" dxfId="10" text="" percent="0" bottom="0">
      <formula>18</formula>
    </cfRule>
  </conditionalFormatting>
  <conditionalFormatting sqref="B816">
    <cfRule type="cellIs" rank="0" priority="2417" equalAverage="0" operator="greaterThan" aboveAverage="0" dxfId="8" text="" percent="0" bottom="0">
      <formula>0</formula>
    </cfRule>
    <cfRule type="cellIs" rank="0" priority="2418" equalAverage="0" operator="lessThan" aboveAverage="0" dxfId="9" text="" percent="0" bottom="0">
      <formula>MaliyetEsik</formula>
    </cfRule>
  </conditionalFormatting>
  <conditionalFormatting sqref="D816">
    <cfRule type="cellIs" rank="0" priority="2419" equalAverage="0" operator="lessThan" aboveAverage="0" dxfId="10" text="" percent="0" bottom="0">
      <formula>18</formula>
    </cfRule>
  </conditionalFormatting>
  <conditionalFormatting sqref="B817">
    <cfRule type="cellIs" rank="0" priority="2420" equalAverage="0" operator="greaterThan" aboveAverage="0" dxfId="8" text="" percent="0" bottom="0">
      <formula>0</formula>
    </cfRule>
    <cfRule type="cellIs" rank="0" priority="2421" equalAverage="0" operator="lessThan" aboveAverage="0" dxfId="9" text="" percent="0" bottom="0">
      <formula>MaliyetEsik</formula>
    </cfRule>
  </conditionalFormatting>
  <conditionalFormatting sqref="D817">
    <cfRule type="cellIs" rank="0" priority="2422" equalAverage="0" operator="lessThan" aboveAverage="0" dxfId="10" text="" percent="0" bottom="0">
      <formula>18</formula>
    </cfRule>
  </conditionalFormatting>
  <conditionalFormatting sqref="B818">
    <cfRule type="cellIs" rank="0" priority="2423" equalAverage="0" operator="greaterThan" aboveAverage="0" dxfId="8" text="" percent="0" bottom="0">
      <formula>0</formula>
    </cfRule>
    <cfRule type="cellIs" rank="0" priority="2424" equalAverage="0" operator="lessThan" aboveAverage="0" dxfId="9" text="" percent="0" bottom="0">
      <formula>MaliyetEsik</formula>
    </cfRule>
  </conditionalFormatting>
  <conditionalFormatting sqref="D818">
    <cfRule type="cellIs" rank="0" priority="2425" equalAverage="0" operator="lessThan" aboveAverage="0" dxfId="10" text="" percent="0" bottom="0">
      <formula>18</formula>
    </cfRule>
  </conditionalFormatting>
  <conditionalFormatting sqref="B819">
    <cfRule type="cellIs" rank="0" priority="2426" equalAverage="0" operator="greaterThan" aboveAverage="0" dxfId="8" text="" percent="0" bottom="0">
      <formula>0</formula>
    </cfRule>
    <cfRule type="cellIs" rank="0" priority="2427" equalAverage="0" operator="lessThan" aboveAverage="0" dxfId="9" text="" percent="0" bottom="0">
      <formula>MaliyetEsik</formula>
    </cfRule>
  </conditionalFormatting>
  <conditionalFormatting sqref="D819">
    <cfRule type="cellIs" rank="0" priority="2428" equalAverage="0" operator="lessThan" aboveAverage="0" dxfId="10" text="" percent="0" bottom="0">
      <formula>18</formula>
    </cfRule>
  </conditionalFormatting>
  <conditionalFormatting sqref="B820">
    <cfRule type="cellIs" rank="0" priority="2429" equalAverage="0" operator="greaterThan" aboveAverage="0" dxfId="8" text="" percent="0" bottom="0">
      <formula>0</formula>
    </cfRule>
    <cfRule type="cellIs" rank="0" priority="2430" equalAverage="0" operator="lessThan" aboveAverage="0" dxfId="9" text="" percent="0" bottom="0">
      <formula>MaliyetEsik</formula>
    </cfRule>
  </conditionalFormatting>
  <conditionalFormatting sqref="D820">
    <cfRule type="cellIs" rank="0" priority="2431" equalAverage="0" operator="lessThan" aboveAverage="0" dxfId="10" text="" percent="0" bottom="0">
      <formula>18</formula>
    </cfRule>
  </conditionalFormatting>
  <conditionalFormatting sqref="B821">
    <cfRule type="cellIs" rank="0" priority="2432" equalAverage="0" operator="greaterThan" aboveAverage="0" dxfId="8" text="" percent="0" bottom="0">
      <formula>0</formula>
    </cfRule>
    <cfRule type="cellIs" rank="0" priority="2433" equalAverage="0" operator="lessThan" aboveAverage="0" dxfId="9" text="" percent="0" bottom="0">
      <formula>MaliyetEsik</formula>
    </cfRule>
  </conditionalFormatting>
  <conditionalFormatting sqref="D821">
    <cfRule type="cellIs" rank="0" priority="2434" equalAverage="0" operator="lessThan" aboveAverage="0" dxfId="10" text="" percent="0" bottom="0">
      <formula>18</formula>
    </cfRule>
  </conditionalFormatting>
  <conditionalFormatting sqref="B822">
    <cfRule type="cellIs" rank="0" priority="2435" equalAverage="0" operator="greaterThan" aboveAverage="0" dxfId="8" text="" percent="0" bottom="0">
      <formula>0</formula>
    </cfRule>
    <cfRule type="cellIs" rank="0" priority="2436" equalAverage="0" operator="lessThan" aboveAverage="0" dxfId="9" text="" percent="0" bottom="0">
      <formula>MaliyetEsik</formula>
    </cfRule>
  </conditionalFormatting>
  <conditionalFormatting sqref="D822">
    <cfRule type="cellIs" rank="0" priority="2437" equalAverage="0" operator="lessThan" aboveAverage="0" dxfId="10" text="" percent="0" bottom="0">
      <formula>18</formula>
    </cfRule>
  </conditionalFormatting>
  <conditionalFormatting sqref="B823">
    <cfRule type="cellIs" rank="0" priority="2438" equalAverage="0" operator="greaterThan" aboveAverage="0" dxfId="8" text="" percent="0" bottom="0">
      <formula>0</formula>
    </cfRule>
    <cfRule type="cellIs" rank="0" priority="2439" equalAverage="0" operator="lessThan" aboveAverage="0" dxfId="9" text="" percent="0" bottom="0">
      <formula>MaliyetEsik</formula>
    </cfRule>
  </conditionalFormatting>
  <conditionalFormatting sqref="D823">
    <cfRule type="cellIs" rank="0" priority="2440" equalAverage="0" operator="lessThan" aboveAverage="0" dxfId="10" text="" percent="0" bottom="0">
      <formula>18</formula>
    </cfRule>
  </conditionalFormatting>
  <conditionalFormatting sqref="B824">
    <cfRule type="cellIs" rank="0" priority="2441" equalAverage="0" operator="greaterThan" aboveAverage="0" dxfId="8" text="" percent="0" bottom="0">
      <formula>0</formula>
    </cfRule>
    <cfRule type="cellIs" rank="0" priority="2442" equalAverage="0" operator="lessThan" aboveAverage="0" dxfId="9" text="" percent="0" bottom="0">
      <formula>MaliyetEsik</formula>
    </cfRule>
  </conditionalFormatting>
  <conditionalFormatting sqref="D824">
    <cfRule type="cellIs" rank="0" priority="2443" equalAverage="0" operator="lessThan" aboveAverage="0" dxfId="10" text="" percent="0" bottom="0">
      <formula>18</formula>
    </cfRule>
  </conditionalFormatting>
  <conditionalFormatting sqref="B825">
    <cfRule type="cellIs" rank="0" priority="2444" equalAverage="0" operator="greaterThan" aboveAverage="0" dxfId="8" text="" percent="0" bottom="0">
      <formula>0</formula>
    </cfRule>
    <cfRule type="cellIs" rank="0" priority="2445" equalAverage="0" operator="lessThan" aboveAverage="0" dxfId="9" text="" percent="0" bottom="0">
      <formula>MaliyetEsik</formula>
    </cfRule>
  </conditionalFormatting>
  <conditionalFormatting sqref="D825">
    <cfRule type="cellIs" rank="0" priority="2446" equalAverage="0" operator="lessThan" aboveAverage="0" dxfId="10" text="" percent="0" bottom="0">
      <formula>18</formula>
    </cfRule>
  </conditionalFormatting>
  <conditionalFormatting sqref="B826">
    <cfRule type="cellIs" rank="0" priority="2447" equalAverage="0" operator="greaterThan" aboveAverage="0" dxfId="8" text="" percent="0" bottom="0">
      <formula>0</formula>
    </cfRule>
    <cfRule type="cellIs" rank="0" priority="2448" equalAverage="0" operator="lessThan" aboveAverage="0" dxfId="9" text="" percent="0" bottom="0">
      <formula>MaliyetEsik</formula>
    </cfRule>
  </conditionalFormatting>
  <conditionalFormatting sqref="D826">
    <cfRule type="cellIs" rank="0" priority="2449" equalAverage="0" operator="lessThan" aboveAverage="0" dxfId="10" text="" percent="0" bottom="0">
      <formula>18</formula>
    </cfRule>
  </conditionalFormatting>
  <conditionalFormatting sqref="B827">
    <cfRule type="cellIs" rank="0" priority="2450" equalAverage="0" operator="greaterThan" aboveAverage="0" dxfId="8" text="" percent="0" bottom="0">
      <formula>0</formula>
    </cfRule>
    <cfRule type="cellIs" rank="0" priority="2451" equalAverage="0" operator="lessThan" aboveAverage="0" dxfId="9" text="" percent="0" bottom="0">
      <formula>MaliyetEsik</formula>
    </cfRule>
  </conditionalFormatting>
  <conditionalFormatting sqref="D827">
    <cfRule type="cellIs" rank="0" priority="2452" equalAverage="0" operator="lessThan" aboveAverage="0" dxfId="10" text="" percent="0" bottom="0">
      <formula>18</formula>
    </cfRule>
  </conditionalFormatting>
  <conditionalFormatting sqref="B828">
    <cfRule type="cellIs" rank="0" priority="2453" equalAverage="0" operator="greaterThan" aboveAverage="0" dxfId="8" text="" percent="0" bottom="0">
      <formula>0</formula>
    </cfRule>
    <cfRule type="cellIs" rank="0" priority="2454" equalAverage="0" operator="lessThan" aboveAverage="0" dxfId="9" text="" percent="0" bottom="0">
      <formula>MaliyetEsik</formula>
    </cfRule>
  </conditionalFormatting>
  <conditionalFormatting sqref="D828">
    <cfRule type="cellIs" rank="0" priority="2455" equalAverage="0" operator="lessThan" aboveAverage="0" dxfId="10" text="" percent="0" bottom="0">
      <formula>18</formula>
    </cfRule>
  </conditionalFormatting>
  <conditionalFormatting sqref="B829">
    <cfRule type="cellIs" rank="0" priority="2456" equalAverage="0" operator="greaterThan" aboveAverage="0" dxfId="8" text="" percent="0" bottom="0">
      <formula>0</formula>
    </cfRule>
    <cfRule type="cellIs" rank="0" priority="2457" equalAverage="0" operator="lessThan" aboveAverage="0" dxfId="9" text="" percent="0" bottom="0">
      <formula>MaliyetEsik</formula>
    </cfRule>
  </conditionalFormatting>
  <conditionalFormatting sqref="D829">
    <cfRule type="cellIs" rank="0" priority="2458" equalAverage="0" operator="lessThan" aboveAverage="0" dxfId="10" text="" percent="0" bottom="0">
      <formula>18</formula>
    </cfRule>
  </conditionalFormatting>
  <conditionalFormatting sqref="B830">
    <cfRule type="cellIs" rank="0" priority="2459" equalAverage="0" operator="greaterThan" aboveAverage="0" dxfId="8" text="" percent="0" bottom="0">
      <formula>0</formula>
    </cfRule>
    <cfRule type="cellIs" rank="0" priority="2460" equalAverage="0" operator="lessThan" aboveAverage="0" dxfId="9" text="" percent="0" bottom="0">
      <formula>MaliyetEsik</formula>
    </cfRule>
  </conditionalFormatting>
  <conditionalFormatting sqref="D830">
    <cfRule type="cellIs" rank="0" priority="2461" equalAverage="0" operator="lessThan" aboveAverage="0" dxfId="10" text="" percent="0" bottom="0">
      <formula>18</formula>
    </cfRule>
  </conditionalFormatting>
  <conditionalFormatting sqref="B831">
    <cfRule type="cellIs" rank="0" priority="2462" equalAverage="0" operator="greaterThan" aboveAverage="0" dxfId="8" text="" percent="0" bottom="0">
      <formula>0</formula>
    </cfRule>
    <cfRule type="cellIs" rank="0" priority="2463" equalAverage="0" operator="lessThan" aboveAverage="0" dxfId="9" text="" percent="0" bottom="0">
      <formula>MaliyetEsik</formula>
    </cfRule>
  </conditionalFormatting>
  <conditionalFormatting sqref="D831">
    <cfRule type="cellIs" rank="0" priority="2464" equalAverage="0" operator="lessThan" aboveAverage="0" dxfId="10" text="" percent="0" bottom="0">
      <formula>18</formula>
    </cfRule>
  </conditionalFormatting>
  <conditionalFormatting sqref="B832">
    <cfRule type="cellIs" rank="0" priority="2465" equalAverage="0" operator="greaterThan" aboveAverage="0" dxfId="8" text="" percent="0" bottom="0">
      <formula>0</formula>
    </cfRule>
    <cfRule type="cellIs" rank="0" priority="2466" equalAverage="0" operator="lessThan" aboveAverage="0" dxfId="9" text="" percent="0" bottom="0">
      <formula>MaliyetEsik</formula>
    </cfRule>
  </conditionalFormatting>
  <conditionalFormatting sqref="D832">
    <cfRule type="cellIs" rank="0" priority="2467" equalAverage="0" operator="lessThan" aboveAverage="0" dxfId="10" text="" percent="0" bottom="0">
      <formula>18</formula>
    </cfRule>
  </conditionalFormatting>
  <conditionalFormatting sqref="B833">
    <cfRule type="cellIs" rank="0" priority="2468" equalAverage="0" operator="greaterThan" aboveAverage="0" dxfId="8" text="" percent="0" bottom="0">
      <formula>0</formula>
    </cfRule>
    <cfRule type="cellIs" rank="0" priority="2469" equalAverage="0" operator="lessThan" aboveAverage="0" dxfId="9" text="" percent="0" bottom="0">
      <formula>MaliyetEsik</formula>
    </cfRule>
  </conditionalFormatting>
  <conditionalFormatting sqref="D833">
    <cfRule type="cellIs" rank="0" priority="2470" equalAverage="0" operator="lessThan" aboveAverage="0" dxfId="10" text="" percent="0" bottom="0">
      <formula>18</formula>
    </cfRule>
  </conditionalFormatting>
  <conditionalFormatting sqref="B834">
    <cfRule type="cellIs" rank="0" priority="2471" equalAverage="0" operator="greaterThan" aboveAverage="0" dxfId="8" text="" percent="0" bottom="0">
      <formula>0</formula>
    </cfRule>
    <cfRule type="cellIs" rank="0" priority="2472" equalAverage="0" operator="lessThan" aboveAverage="0" dxfId="9" text="" percent="0" bottom="0">
      <formula>MaliyetEsik</formula>
    </cfRule>
  </conditionalFormatting>
  <conditionalFormatting sqref="D834">
    <cfRule type="cellIs" rank="0" priority="2473" equalAverage="0" operator="lessThan" aboveAverage="0" dxfId="10" text="" percent="0" bottom="0">
      <formula>18</formula>
    </cfRule>
  </conditionalFormatting>
  <conditionalFormatting sqref="B835">
    <cfRule type="cellIs" rank="0" priority="2474" equalAverage="0" operator="greaterThan" aboveAverage="0" dxfId="8" text="" percent="0" bottom="0">
      <formula>0</formula>
    </cfRule>
    <cfRule type="cellIs" rank="0" priority="2475" equalAverage="0" operator="lessThan" aboveAverage="0" dxfId="9" text="" percent="0" bottom="0">
      <formula>MaliyetEsik</formula>
    </cfRule>
  </conditionalFormatting>
  <conditionalFormatting sqref="D835">
    <cfRule type="cellIs" rank="0" priority="2476" equalAverage="0" operator="lessThan" aboveAverage="0" dxfId="10" text="" percent="0" bottom="0">
      <formula>18</formula>
    </cfRule>
  </conditionalFormatting>
  <conditionalFormatting sqref="B836">
    <cfRule type="cellIs" rank="0" priority="2477" equalAverage="0" operator="greaterThan" aboveAverage="0" dxfId="8" text="" percent="0" bottom="0">
      <formula>0</formula>
    </cfRule>
    <cfRule type="cellIs" rank="0" priority="2478" equalAverage="0" operator="lessThan" aboveAverage="0" dxfId="9" text="" percent="0" bottom="0">
      <formula>MaliyetEsik</formula>
    </cfRule>
  </conditionalFormatting>
  <conditionalFormatting sqref="D836">
    <cfRule type="cellIs" rank="0" priority="2479" equalAverage="0" operator="lessThan" aboveAverage="0" dxfId="10" text="" percent="0" bottom="0">
      <formula>18</formula>
    </cfRule>
  </conditionalFormatting>
  <conditionalFormatting sqref="B837">
    <cfRule type="cellIs" rank="0" priority="2480" equalAverage="0" operator="greaterThan" aboveAverage="0" dxfId="8" text="" percent="0" bottom="0">
      <formula>0</formula>
    </cfRule>
    <cfRule type="cellIs" rank="0" priority="2481" equalAverage="0" operator="lessThan" aboveAverage="0" dxfId="9" text="" percent="0" bottom="0">
      <formula>MaliyetEsik</formula>
    </cfRule>
  </conditionalFormatting>
  <conditionalFormatting sqref="D837">
    <cfRule type="cellIs" rank="0" priority="2482" equalAverage="0" operator="lessThan" aboveAverage="0" dxfId="10" text="" percent="0" bottom="0">
      <formula>18</formula>
    </cfRule>
  </conditionalFormatting>
  <conditionalFormatting sqref="B838">
    <cfRule type="cellIs" rank="0" priority="2483" equalAverage="0" operator="greaterThan" aboveAverage="0" dxfId="8" text="" percent="0" bottom="0">
      <formula>0</formula>
    </cfRule>
    <cfRule type="cellIs" rank="0" priority="2484" equalAverage="0" operator="lessThan" aboveAverage="0" dxfId="9" text="" percent="0" bottom="0">
      <formula>MaliyetEsik</formula>
    </cfRule>
  </conditionalFormatting>
  <conditionalFormatting sqref="D838">
    <cfRule type="cellIs" rank="0" priority="2485" equalAverage="0" operator="lessThan" aboveAverage="0" dxfId="10" text="" percent="0" bottom="0">
      <formula>18</formula>
    </cfRule>
  </conditionalFormatting>
  <conditionalFormatting sqref="B839">
    <cfRule type="cellIs" rank="0" priority="2486" equalAverage="0" operator="greaterThan" aboveAverage="0" dxfId="8" text="" percent="0" bottom="0">
      <formula>0</formula>
    </cfRule>
    <cfRule type="cellIs" rank="0" priority="2487" equalAverage="0" operator="lessThan" aboveAverage="0" dxfId="9" text="" percent="0" bottom="0">
      <formula>MaliyetEsik</formula>
    </cfRule>
  </conditionalFormatting>
  <conditionalFormatting sqref="D839">
    <cfRule type="cellIs" rank="0" priority="2488" equalAverage="0" operator="lessThan" aboveAverage="0" dxfId="10" text="" percent="0" bottom="0">
      <formula>18</formula>
    </cfRule>
  </conditionalFormatting>
  <conditionalFormatting sqref="B840">
    <cfRule type="cellIs" rank="0" priority="2489" equalAverage="0" operator="greaterThan" aboveAverage="0" dxfId="8" text="" percent="0" bottom="0">
      <formula>0</formula>
    </cfRule>
    <cfRule type="cellIs" rank="0" priority="2490" equalAverage="0" operator="lessThan" aboveAverage="0" dxfId="9" text="" percent="0" bottom="0">
      <formula>MaliyetEsik</formula>
    </cfRule>
  </conditionalFormatting>
  <conditionalFormatting sqref="D840">
    <cfRule type="cellIs" rank="0" priority="2491" equalAverage="0" operator="lessThan" aboveAverage="0" dxfId="10" text="" percent="0" bottom="0">
      <formula>18</formula>
    </cfRule>
  </conditionalFormatting>
  <conditionalFormatting sqref="B841">
    <cfRule type="cellIs" rank="0" priority="2492" equalAverage="0" operator="greaterThan" aboveAverage="0" dxfId="8" text="" percent="0" bottom="0">
      <formula>0</formula>
    </cfRule>
    <cfRule type="cellIs" rank="0" priority="2493" equalAverage="0" operator="lessThan" aboveAverage="0" dxfId="9" text="" percent="0" bottom="0">
      <formula>MaliyetEsik</formula>
    </cfRule>
  </conditionalFormatting>
  <conditionalFormatting sqref="D841">
    <cfRule type="cellIs" rank="0" priority="2494" equalAverage="0" operator="lessThan" aboveAverage="0" dxfId="10" text="" percent="0" bottom="0">
      <formula>18</formula>
    </cfRule>
  </conditionalFormatting>
  <conditionalFormatting sqref="B842">
    <cfRule type="cellIs" rank="0" priority="2495" equalAverage="0" operator="greaterThan" aboveAverage="0" dxfId="8" text="" percent="0" bottom="0">
      <formula>0</formula>
    </cfRule>
    <cfRule type="cellIs" rank="0" priority="2496" equalAverage="0" operator="lessThan" aboveAverage="0" dxfId="9" text="" percent="0" bottom="0">
      <formula>MaliyetEsik</formula>
    </cfRule>
  </conditionalFormatting>
  <conditionalFormatting sqref="D842">
    <cfRule type="cellIs" rank="0" priority="2497" equalAverage="0" operator="lessThan" aboveAverage="0" dxfId="10" text="" percent="0" bottom="0">
      <formula>18</formula>
    </cfRule>
  </conditionalFormatting>
  <conditionalFormatting sqref="B843">
    <cfRule type="cellIs" rank="0" priority="2498" equalAverage="0" operator="greaterThan" aboveAverage="0" dxfId="8" text="" percent="0" bottom="0">
      <formula>0</formula>
    </cfRule>
    <cfRule type="cellIs" rank="0" priority="2499" equalAverage="0" operator="lessThan" aboveAverage="0" dxfId="9" text="" percent="0" bottom="0">
      <formula>MaliyetEsik</formula>
    </cfRule>
  </conditionalFormatting>
  <conditionalFormatting sqref="D843">
    <cfRule type="cellIs" rank="0" priority="2500" equalAverage="0" operator="lessThan" aboveAverage="0" dxfId="10" text="" percent="0" bottom="0">
      <formula>18</formula>
    </cfRule>
  </conditionalFormatting>
  <conditionalFormatting sqref="B844">
    <cfRule type="cellIs" rank="0" priority="2501" equalAverage="0" operator="greaterThan" aboveAverage="0" dxfId="8" text="" percent="0" bottom="0">
      <formula>0</formula>
    </cfRule>
    <cfRule type="cellIs" rank="0" priority="2502" equalAverage="0" operator="lessThan" aboveAverage="0" dxfId="9" text="" percent="0" bottom="0">
      <formula>MaliyetEsik</formula>
    </cfRule>
  </conditionalFormatting>
  <conditionalFormatting sqref="D844">
    <cfRule type="cellIs" rank="0" priority="2503" equalAverage="0" operator="lessThan" aboveAverage="0" dxfId="10" text="" percent="0" bottom="0">
      <formula>18</formula>
    </cfRule>
  </conditionalFormatting>
  <conditionalFormatting sqref="B845">
    <cfRule type="cellIs" rank="0" priority="2504" equalAverage="0" operator="greaterThan" aboveAverage="0" dxfId="8" text="" percent="0" bottom="0">
      <formula>0</formula>
    </cfRule>
    <cfRule type="cellIs" rank="0" priority="2505" equalAverage="0" operator="lessThan" aboveAverage="0" dxfId="9" text="" percent="0" bottom="0">
      <formula>MaliyetEsik</formula>
    </cfRule>
  </conditionalFormatting>
  <conditionalFormatting sqref="D845">
    <cfRule type="cellIs" rank="0" priority="2506" equalAverage="0" operator="lessThan" aboveAverage="0" dxfId="10" text="" percent="0" bottom="0">
      <formula>18</formula>
    </cfRule>
  </conditionalFormatting>
  <conditionalFormatting sqref="B846">
    <cfRule type="cellIs" rank="0" priority="2507" equalAverage="0" operator="greaterThan" aboveAverage="0" dxfId="8" text="" percent="0" bottom="0">
      <formula>0</formula>
    </cfRule>
    <cfRule type="cellIs" rank="0" priority="2508" equalAverage="0" operator="lessThan" aboveAverage="0" dxfId="9" text="" percent="0" bottom="0">
      <formula>MaliyetEsik</formula>
    </cfRule>
  </conditionalFormatting>
  <conditionalFormatting sqref="D846">
    <cfRule type="cellIs" rank="0" priority="2509" equalAverage="0" operator="lessThan" aboveAverage="0" dxfId="10" text="" percent="0" bottom="0">
      <formula>18</formula>
    </cfRule>
  </conditionalFormatting>
  <conditionalFormatting sqref="B847">
    <cfRule type="cellIs" rank="0" priority="2510" equalAverage="0" operator="greaterThan" aboveAverage="0" dxfId="8" text="" percent="0" bottom="0">
      <formula>0</formula>
    </cfRule>
    <cfRule type="cellIs" rank="0" priority="2511" equalAverage="0" operator="lessThan" aboveAverage="0" dxfId="9" text="" percent="0" bottom="0">
      <formula>MaliyetEsik</formula>
    </cfRule>
  </conditionalFormatting>
  <conditionalFormatting sqref="D847">
    <cfRule type="cellIs" rank="0" priority="2512" equalAverage="0" operator="lessThan" aboveAverage="0" dxfId="10" text="" percent="0" bottom="0">
      <formula>18</formula>
    </cfRule>
  </conditionalFormatting>
  <conditionalFormatting sqref="B848">
    <cfRule type="cellIs" rank="0" priority="2513" equalAverage="0" operator="greaterThan" aboveAverage="0" dxfId="8" text="" percent="0" bottom="0">
      <formula>0</formula>
    </cfRule>
    <cfRule type="cellIs" rank="0" priority="2514" equalAverage="0" operator="lessThan" aboveAverage="0" dxfId="9" text="" percent="0" bottom="0">
      <formula>MaliyetEsik</formula>
    </cfRule>
  </conditionalFormatting>
  <conditionalFormatting sqref="D848">
    <cfRule type="cellIs" rank="0" priority="2515" equalAverage="0" operator="lessThan" aboveAverage="0" dxfId="10" text="" percent="0" bottom="0">
      <formula>18</formula>
    </cfRule>
  </conditionalFormatting>
  <conditionalFormatting sqref="B849">
    <cfRule type="cellIs" rank="0" priority="2516" equalAverage="0" operator="greaterThan" aboveAverage="0" dxfId="8" text="" percent="0" bottom="0">
      <formula>0</formula>
    </cfRule>
    <cfRule type="cellIs" rank="0" priority="2517" equalAverage="0" operator="lessThan" aboveAverage="0" dxfId="9" text="" percent="0" bottom="0">
      <formula>MaliyetEsik</formula>
    </cfRule>
  </conditionalFormatting>
  <conditionalFormatting sqref="D849">
    <cfRule type="cellIs" rank="0" priority="2518" equalAverage="0" operator="lessThan" aboveAverage="0" dxfId="10" text="" percent="0" bottom="0">
      <formula>18</formula>
    </cfRule>
  </conditionalFormatting>
  <conditionalFormatting sqref="B850">
    <cfRule type="cellIs" rank="0" priority="2519" equalAverage="0" operator="greaterThan" aboveAverage="0" dxfId="8" text="" percent="0" bottom="0">
      <formula>0</formula>
    </cfRule>
    <cfRule type="cellIs" rank="0" priority="2520" equalAverage="0" operator="lessThan" aboveAverage="0" dxfId="9" text="" percent="0" bottom="0">
      <formula>MaliyetEsik</formula>
    </cfRule>
  </conditionalFormatting>
  <conditionalFormatting sqref="D850">
    <cfRule type="cellIs" rank="0" priority="2521" equalAverage="0" operator="lessThan" aboveAverage="0" dxfId="10" text="" percent="0" bottom="0">
      <formula>18</formula>
    </cfRule>
  </conditionalFormatting>
  <conditionalFormatting sqref="B851">
    <cfRule type="cellIs" rank="0" priority="2522" equalAverage="0" operator="greaterThan" aboveAverage="0" dxfId="8" text="" percent="0" bottom="0">
      <formula>0</formula>
    </cfRule>
    <cfRule type="cellIs" rank="0" priority="2523" equalAverage="0" operator="lessThan" aboveAverage="0" dxfId="9" text="" percent="0" bottom="0">
      <formula>MaliyetEsik</formula>
    </cfRule>
  </conditionalFormatting>
  <conditionalFormatting sqref="D851">
    <cfRule type="cellIs" rank="0" priority="2524" equalAverage="0" operator="lessThan" aboveAverage="0" dxfId="10" text="" percent="0" bottom="0">
      <formula>18</formula>
    </cfRule>
  </conditionalFormatting>
  <conditionalFormatting sqref="B852">
    <cfRule type="cellIs" rank="0" priority="2525" equalAverage="0" operator="greaterThan" aboveAverage="0" dxfId="8" text="" percent="0" bottom="0">
      <formula>0</formula>
    </cfRule>
    <cfRule type="cellIs" rank="0" priority="2526" equalAverage="0" operator="lessThan" aboveAverage="0" dxfId="9" text="" percent="0" bottom="0">
      <formula>MaliyetEsik</formula>
    </cfRule>
  </conditionalFormatting>
  <conditionalFormatting sqref="D852">
    <cfRule type="cellIs" rank="0" priority="2527" equalAverage="0" operator="lessThan" aboveAverage="0" dxfId="10" text="" percent="0" bottom="0">
      <formula>18</formula>
    </cfRule>
  </conditionalFormatting>
  <conditionalFormatting sqref="B853">
    <cfRule type="cellIs" rank="0" priority="2528" equalAverage="0" operator="greaterThan" aboveAverage="0" dxfId="8" text="" percent="0" bottom="0">
      <formula>0</formula>
    </cfRule>
    <cfRule type="cellIs" rank="0" priority="2529" equalAverage="0" operator="lessThan" aboveAverage="0" dxfId="9" text="" percent="0" bottom="0">
      <formula>MaliyetEsik</formula>
    </cfRule>
  </conditionalFormatting>
  <conditionalFormatting sqref="D853">
    <cfRule type="cellIs" rank="0" priority="2530" equalAverage="0" operator="lessThan" aboveAverage="0" dxfId="10" text="" percent="0" bottom="0">
      <formula>18</formula>
    </cfRule>
  </conditionalFormatting>
  <conditionalFormatting sqref="B854">
    <cfRule type="cellIs" rank="0" priority="2531" equalAverage="0" operator="greaterThan" aboveAverage="0" dxfId="8" text="" percent="0" bottom="0">
      <formula>0</formula>
    </cfRule>
    <cfRule type="cellIs" rank="0" priority="2532" equalAverage="0" operator="lessThan" aboveAverage="0" dxfId="9" text="" percent="0" bottom="0">
      <formula>MaliyetEsik</formula>
    </cfRule>
  </conditionalFormatting>
  <conditionalFormatting sqref="D854">
    <cfRule type="cellIs" rank="0" priority="2533" equalAverage="0" operator="lessThan" aboveAverage="0" dxfId="10" text="" percent="0" bottom="0">
      <formula>18</formula>
    </cfRule>
  </conditionalFormatting>
  <conditionalFormatting sqref="B855">
    <cfRule type="cellIs" rank="0" priority="2534" equalAverage="0" operator="greaterThan" aboveAverage="0" dxfId="8" text="" percent="0" bottom="0">
      <formula>0</formula>
    </cfRule>
    <cfRule type="cellIs" rank="0" priority="2535" equalAverage="0" operator="lessThan" aboveAverage="0" dxfId="9" text="" percent="0" bottom="0">
      <formula>MaliyetEsik</formula>
    </cfRule>
  </conditionalFormatting>
  <conditionalFormatting sqref="D855">
    <cfRule type="cellIs" rank="0" priority="2536" equalAverage="0" operator="lessThan" aboveAverage="0" dxfId="10" text="" percent="0" bottom="0">
      <formula>18</formula>
    </cfRule>
  </conditionalFormatting>
  <conditionalFormatting sqref="B856">
    <cfRule type="cellIs" rank="0" priority="2537" equalAverage="0" operator="greaterThan" aboveAverage="0" dxfId="8" text="" percent="0" bottom="0">
      <formula>0</formula>
    </cfRule>
    <cfRule type="cellIs" rank="0" priority="2538" equalAverage="0" operator="lessThan" aboveAverage="0" dxfId="9" text="" percent="0" bottom="0">
      <formula>MaliyetEsik</formula>
    </cfRule>
  </conditionalFormatting>
  <conditionalFormatting sqref="D856">
    <cfRule type="cellIs" rank="0" priority="2539" equalAverage="0" operator="lessThan" aboveAverage="0" dxfId="10" text="" percent="0" bottom="0">
      <formula>18</formula>
    </cfRule>
  </conditionalFormatting>
  <conditionalFormatting sqref="B857">
    <cfRule type="cellIs" rank="0" priority="2540" equalAverage="0" operator="greaterThan" aboveAverage="0" dxfId="8" text="" percent="0" bottom="0">
      <formula>0</formula>
    </cfRule>
    <cfRule type="cellIs" rank="0" priority="2541" equalAverage="0" operator="lessThan" aboveAverage="0" dxfId="9" text="" percent="0" bottom="0">
      <formula>MaliyetEsik</formula>
    </cfRule>
  </conditionalFormatting>
  <conditionalFormatting sqref="D857">
    <cfRule type="cellIs" rank="0" priority="2542" equalAverage="0" operator="lessThan" aboveAverage="0" dxfId="10" text="" percent="0" bottom="0">
      <formula>18</formula>
    </cfRule>
  </conditionalFormatting>
  <conditionalFormatting sqref="B858">
    <cfRule type="cellIs" rank="0" priority="2543" equalAverage="0" operator="greaterThan" aboveAverage="0" dxfId="8" text="" percent="0" bottom="0">
      <formula>0</formula>
    </cfRule>
    <cfRule type="cellIs" rank="0" priority="2544" equalAverage="0" operator="lessThan" aboveAverage="0" dxfId="9" text="" percent="0" bottom="0">
      <formula>MaliyetEsik</formula>
    </cfRule>
  </conditionalFormatting>
  <conditionalFormatting sqref="D858">
    <cfRule type="cellIs" rank="0" priority="2545" equalAverage="0" operator="lessThan" aboveAverage="0" dxfId="10" text="" percent="0" bottom="0">
      <formula>18</formula>
    </cfRule>
  </conditionalFormatting>
  <conditionalFormatting sqref="B859">
    <cfRule type="cellIs" rank="0" priority="2546" equalAverage="0" operator="greaterThan" aboveAverage="0" dxfId="8" text="" percent="0" bottom="0">
      <formula>0</formula>
    </cfRule>
    <cfRule type="cellIs" rank="0" priority="2547" equalAverage="0" operator="lessThan" aboveAverage="0" dxfId="9" text="" percent="0" bottom="0">
      <formula>MaliyetEsik</formula>
    </cfRule>
  </conditionalFormatting>
  <conditionalFormatting sqref="D859">
    <cfRule type="cellIs" rank="0" priority="2548" equalAverage="0" operator="lessThan" aboveAverage="0" dxfId="10" text="" percent="0" bottom="0">
      <formula>18</formula>
    </cfRule>
  </conditionalFormatting>
  <conditionalFormatting sqref="B860">
    <cfRule type="cellIs" rank="0" priority="2549" equalAverage="0" operator="greaterThan" aboveAverage="0" dxfId="8" text="" percent="0" bottom="0">
      <formula>0</formula>
    </cfRule>
    <cfRule type="cellIs" rank="0" priority="2550" equalAverage="0" operator="lessThan" aboveAverage="0" dxfId="9" text="" percent="0" bottom="0">
      <formula>MaliyetEsik</formula>
    </cfRule>
  </conditionalFormatting>
  <conditionalFormatting sqref="D860">
    <cfRule type="cellIs" rank="0" priority="2551" equalAverage="0" operator="lessThan" aboveAverage="0" dxfId="10" text="" percent="0" bottom="0">
      <formula>18</formula>
    </cfRule>
  </conditionalFormatting>
  <conditionalFormatting sqref="B861">
    <cfRule type="cellIs" rank="0" priority="2552" equalAverage="0" operator="greaterThan" aboveAverage="0" dxfId="8" text="" percent="0" bottom="0">
      <formula>0</formula>
    </cfRule>
    <cfRule type="cellIs" rank="0" priority="2553" equalAverage="0" operator="lessThan" aboveAverage="0" dxfId="9" text="" percent="0" bottom="0">
      <formula>MaliyetEsik</formula>
    </cfRule>
  </conditionalFormatting>
  <conditionalFormatting sqref="D861">
    <cfRule type="cellIs" rank="0" priority="2554" equalAverage="0" operator="lessThan" aboveAverage="0" dxfId="10" text="" percent="0" bottom="0">
      <formula>18</formula>
    </cfRule>
  </conditionalFormatting>
  <conditionalFormatting sqref="B862">
    <cfRule type="cellIs" rank="0" priority="2555" equalAverage="0" operator="greaterThan" aboveAverage="0" dxfId="8" text="" percent="0" bottom="0">
      <formula>0</formula>
    </cfRule>
    <cfRule type="cellIs" rank="0" priority="2556" equalAverage="0" operator="lessThan" aboveAverage="0" dxfId="9" text="" percent="0" bottom="0">
      <formula>MaliyetEsik</formula>
    </cfRule>
  </conditionalFormatting>
  <conditionalFormatting sqref="D862">
    <cfRule type="cellIs" rank="0" priority="2557" equalAverage="0" operator="lessThan" aboveAverage="0" dxfId="10" text="" percent="0" bottom="0">
      <formula>18</formula>
    </cfRule>
  </conditionalFormatting>
  <conditionalFormatting sqref="B863">
    <cfRule type="cellIs" rank="0" priority="2558" equalAverage="0" operator="greaterThan" aboveAverage="0" dxfId="8" text="" percent="0" bottom="0">
      <formula>0</formula>
    </cfRule>
    <cfRule type="cellIs" rank="0" priority="2559" equalAverage="0" operator="lessThan" aboveAverage="0" dxfId="9" text="" percent="0" bottom="0">
      <formula>MaliyetEsik</formula>
    </cfRule>
  </conditionalFormatting>
  <conditionalFormatting sqref="D863">
    <cfRule type="cellIs" rank="0" priority="2560" equalAverage="0" operator="lessThan" aboveAverage="0" dxfId="10" text="" percent="0" bottom="0">
      <formula>18</formula>
    </cfRule>
  </conditionalFormatting>
  <conditionalFormatting sqref="B864">
    <cfRule type="cellIs" rank="0" priority="2561" equalAverage="0" operator="greaterThan" aboveAverage="0" dxfId="8" text="" percent="0" bottom="0">
      <formula>0</formula>
    </cfRule>
    <cfRule type="cellIs" rank="0" priority="2562" equalAverage="0" operator="lessThan" aboveAverage="0" dxfId="9" text="" percent="0" bottom="0">
      <formula>MaliyetEsik</formula>
    </cfRule>
  </conditionalFormatting>
  <conditionalFormatting sqref="D864">
    <cfRule type="cellIs" rank="0" priority="2563" equalAverage="0" operator="lessThan" aboveAverage="0" dxfId="10" text="" percent="0" bottom="0">
      <formula>18</formula>
    </cfRule>
  </conditionalFormatting>
  <conditionalFormatting sqref="B865">
    <cfRule type="cellIs" rank="0" priority="2564" equalAverage="0" operator="greaterThan" aboveAverage="0" dxfId="8" text="" percent="0" bottom="0">
      <formula>0</formula>
    </cfRule>
    <cfRule type="cellIs" rank="0" priority="2565" equalAverage="0" operator="lessThan" aboveAverage="0" dxfId="9" text="" percent="0" bottom="0">
      <formula>MaliyetEsik</formula>
    </cfRule>
  </conditionalFormatting>
  <conditionalFormatting sqref="D865">
    <cfRule type="cellIs" rank="0" priority="2566" equalAverage="0" operator="lessThan" aboveAverage="0" dxfId="10" text="" percent="0" bottom="0">
      <formula>18</formula>
    </cfRule>
  </conditionalFormatting>
  <conditionalFormatting sqref="B866">
    <cfRule type="cellIs" rank="0" priority="2567" equalAverage="0" operator="greaterThan" aboveAverage="0" dxfId="8" text="" percent="0" bottom="0">
      <formula>0</formula>
    </cfRule>
    <cfRule type="cellIs" rank="0" priority="2568" equalAverage="0" operator="lessThan" aboveAverage="0" dxfId="9" text="" percent="0" bottom="0">
      <formula>MaliyetEsik</formula>
    </cfRule>
  </conditionalFormatting>
  <conditionalFormatting sqref="D866">
    <cfRule type="cellIs" rank="0" priority="2569" equalAverage="0" operator="lessThan" aboveAverage="0" dxfId="10" text="" percent="0" bottom="0">
      <formula>18</formula>
    </cfRule>
  </conditionalFormatting>
  <conditionalFormatting sqref="B867">
    <cfRule type="cellIs" rank="0" priority="2570" equalAverage="0" operator="greaterThan" aboveAverage="0" dxfId="8" text="" percent="0" bottom="0">
      <formula>0</formula>
    </cfRule>
    <cfRule type="cellIs" rank="0" priority="2571" equalAverage="0" operator="lessThan" aboveAverage="0" dxfId="9" text="" percent="0" bottom="0">
      <formula>MaliyetEsik</formula>
    </cfRule>
  </conditionalFormatting>
  <conditionalFormatting sqref="D867">
    <cfRule type="cellIs" rank="0" priority="2572" equalAverage="0" operator="lessThan" aboveAverage="0" dxfId="10" text="" percent="0" bottom="0">
      <formula>18</formula>
    </cfRule>
  </conditionalFormatting>
  <conditionalFormatting sqref="B868">
    <cfRule type="cellIs" rank="0" priority="2573" equalAverage="0" operator="greaterThan" aboveAverage="0" dxfId="8" text="" percent="0" bottom="0">
      <formula>0</formula>
    </cfRule>
    <cfRule type="cellIs" rank="0" priority="2574" equalAverage="0" operator="lessThan" aboveAverage="0" dxfId="9" text="" percent="0" bottom="0">
      <formula>MaliyetEsik</formula>
    </cfRule>
  </conditionalFormatting>
  <conditionalFormatting sqref="D868">
    <cfRule type="cellIs" rank="0" priority="2575" equalAverage="0" operator="lessThan" aboveAverage="0" dxfId="10" text="" percent="0" bottom="0">
      <formula>18</formula>
    </cfRule>
  </conditionalFormatting>
  <conditionalFormatting sqref="B869">
    <cfRule type="cellIs" rank="0" priority="2576" equalAverage="0" operator="greaterThan" aboveAverage="0" dxfId="8" text="" percent="0" bottom="0">
      <formula>0</formula>
    </cfRule>
    <cfRule type="cellIs" rank="0" priority="2577" equalAverage="0" operator="lessThan" aboveAverage="0" dxfId="9" text="" percent="0" bottom="0">
      <formula>MaliyetEsik</formula>
    </cfRule>
  </conditionalFormatting>
  <conditionalFormatting sqref="D869">
    <cfRule type="cellIs" rank="0" priority="2578" equalAverage="0" operator="lessThan" aboveAverage="0" dxfId="10" text="" percent="0" bottom="0">
      <formula>18</formula>
    </cfRule>
  </conditionalFormatting>
  <conditionalFormatting sqref="B870">
    <cfRule type="cellIs" rank="0" priority="2579" equalAverage="0" operator="greaterThan" aboveAverage="0" dxfId="8" text="" percent="0" bottom="0">
      <formula>0</formula>
    </cfRule>
    <cfRule type="cellIs" rank="0" priority="2580" equalAverage="0" operator="lessThan" aboveAverage="0" dxfId="9" text="" percent="0" bottom="0">
      <formula>MaliyetEsik</formula>
    </cfRule>
  </conditionalFormatting>
  <conditionalFormatting sqref="D870">
    <cfRule type="cellIs" rank="0" priority="2581" equalAverage="0" operator="lessThan" aboveAverage="0" dxfId="10" text="" percent="0" bottom="0">
      <formula>18</formula>
    </cfRule>
  </conditionalFormatting>
  <conditionalFormatting sqref="B871">
    <cfRule type="cellIs" rank="0" priority="2582" equalAverage="0" operator="greaterThan" aboveAverage="0" dxfId="8" text="" percent="0" bottom="0">
      <formula>0</formula>
    </cfRule>
    <cfRule type="cellIs" rank="0" priority="2583" equalAverage="0" operator="lessThan" aboveAverage="0" dxfId="9" text="" percent="0" bottom="0">
      <formula>MaliyetEsik</formula>
    </cfRule>
  </conditionalFormatting>
  <conditionalFormatting sqref="D871">
    <cfRule type="cellIs" rank="0" priority="2584" equalAverage="0" operator="lessThan" aboveAverage="0" dxfId="10" text="" percent="0" bottom="0">
      <formula>18</formula>
    </cfRule>
  </conditionalFormatting>
  <conditionalFormatting sqref="B872">
    <cfRule type="cellIs" rank="0" priority="2585" equalAverage="0" operator="greaterThan" aboveAverage="0" dxfId="8" text="" percent="0" bottom="0">
      <formula>0</formula>
    </cfRule>
    <cfRule type="cellIs" rank="0" priority="2586" equalAverage="0" operator="lessThan" aboveAverage="0" dxfId="9" text="" percent="0" bottom="0">
      <formula>MaliyetEsik</formula>
    </cfRule>
  </conditionalFormatting>
  <conditionalFormatting sqref="D872">
    <cfRule type="cellIs" rank="0" priority="2587" equalAverage="0" operator="lessThan" aboveAverage="0" dxfId="10" text="" percent="0" bottom="0">
      <formula>18</formula>
    </cfRule>
  </conditionalFormatting>
  <conditionalFormatting sqref="B873">
    <cfRule type="cellIs" rank="0" priority="2588" equalAverage="0" operator="greaterThan" aboveAverage="0" dxfId="8" text="" percent="0" bottom="0">
      <formula>0</formula>
    </cfRule>
    <cfRule type="cellIs" rank="0" priority="2589" equalAverage="0" operator="lessThan" aboveAverage="0" dxfId="9" text="" percent="0" bottom="0">
      <formula>MaliyetEsik</formula>
    </cfRule>
  </conditionalFormatting>
  <conditionalFormatting sqref="D873">
    <cfRule type="cellIs" rank="0" priority="2590" equalAverage="0" operator="lessThan" aboveAverage="0" dxfId="10" text="" percent="0" bottom="0">
      <formula>18</formula>
    </cfRule>
  </conditionalFormatting>
  <conditionalFormatting sqref="B874">
    <cfRule type="cellIs" rank="0" priority="2591" equalAverage="0" operator="greaterThan" aboveAverage="0" dxfId="8" text="" percent="0" bottom="0">
      <formula>0</formula>
    </cfRule>
    <cfRule type="cellIs" rank="0" priority="2592" equalAverage="0" operator="lessThan" aboveAverage="0" dxfId="9" text="" percent="0" bottom="0">
      <formula>MaliyetEsik</formula>
    </cfRule>
  </conditionalFormatting>
  <conditionalFormatting sqref="D874">
    <cfRule type="cellIs" rank="0" priority="2593" equalAverage="0" operator="lessThan" aboveAverage="0" dxfId="10" text="" percent="0" bottom="0">
      <formula>18</formula>
    </cfRule>
  </conditionalFormatting>
  <conditionalFormatting sqref="B875">
    <cfRule type="cellIs" rank="0" priority="2594" equalAverage="0" operator="greaterThan" aboveAverage="0" dxfId="8" text="" percent="0" bottom="0">
      <formula>0</formula>
    </cfRule>
    <cfRule type="cellIs" rank="0" priority="2595" equalAverage="0" operator="lessThan" aboveAverage="0" dxfId="9" text="" percent="0" bottom="0">
      <formula>MaliyetEsik</formula>
    </cfRule>
  </conditionalFormatting>
  <conditionalFormatting sqref="D875">
    <cfRule type="cellIs" rank="0" priority="2596" equalAverage="0" operator="lessThan" aboveAverage="0" dxfId="10" text="" percent="0" bottom="0">
      <formula>18</formula>
    </cfRule>
  </conditionalFormatting>
  <conditionalFormatting sqref="B876">
    <cfRule type="cellIs" rank="0" priority="2597" equalAverage="0" operator="greaterThan" aboveAverage="0" dxfId="8" text="" percent="0" bottom="0">
      <formula>0</formula>
    </cfRule>
    <cfRule type="cellIs" rank="0" priority="2598" equalAverage="0" operator="lessThan" aboveAverage="0" dxfId="9" text="" percent="0" bottom="0">
      <formula>MaliyetEsik</formula>
    </cfRule>
  </conditionalFormatting>
  <conditionalFormatting sqref="D876">
    <cfRule type="cellIs" rank="0" priority="2599" equalAverage="0" operator="lessThan" aboveAverage="0" dxfId="10" text="" percent="0" bottom="0">
      <formula>18</formula>
    </cfRule>
  </conditionalFormatting>
  <conditionalFormatting sqref="B877">
    <cfRule type="cellIs" rank="0" priority="2600" equalAverage="0" operator="greaterThan" aboveAverage="0" dxfId="8" text="" percent="0" bottom="0">
      <formula>0</formula>
    </cfRule>
    <cfRule type="cellIs" rank="0" priority="2601" equalAverage="0" operator="lessThan" aboveAverage="0" dxfId="9" text="" percent="0" bottom="0">
      <formula>MaliyetEsik</formula>
    </cfRule>
  </conditionalFormatting>
  <conditionalFormatting sqref="D877">
    <cfRule type="cellIs" rank="0" priority="2602" equalAverage="0" operator="lessThan" aboveAverage="0" dxfId="10" text="" percent="0" bottom="0">
      <formula>18</formula>
    </cfRule>
  </conditionalFormatting>
  <conditionalFormatting sqref="B878">
    <cfRule type="cellIs" rank="0" priority="2603" equalAverage="0" operator="greaterThan" aboveAverage="0" dxfId="8" text="" percent="0" bottom="0">
      <formula>0</formula>
    </cfRule>
    <cfRule type="cellIs" rank="0" priority="2604" equalAverage="0" operator="lessThan" aboveAverage="0" dxfId="9" text="" percent="0" bottom="0">
      <formula>MaliyetEsik</formula>
    </cfRule>
  </conditionalFormatting>
  <conditionalFormatting sqref="D878">
    <cfRule type="cellIs" rank="0" priority="2605" equalAverage="0" operator="lessThan" aboveAverage="0" dxfId="10" text="" percent="0" bottom="0">
      <formula>18</formula>
    </cfRule>
  </conditionalFormatting>
  <conditionalFormatting sqref="B879">
    <cfRule type="cellIs" rank="0" priority="2606" equalAverage="0" operator="greaterThan" aboveAverage="0" dxfId="8" text="" percent="0" bottom="0">
      <formula>0</formula>
    </cfRule>
    <cfRule type="cellIs" rank="0" priority="2607" equalAverage="0" operator="lessThan" aboveAverage="0" dxfId="9" text="" percent="0" bottom="0">
      <formula>MaliyetEsik</formula>
    </cfRule>
  </conditionalFormatting>
  <conditionalFormatting sqref="D879">
    <cfRule type="cellIs" rank="0" priority="2608" equalAverage="0" operator="lessThan" aboveAverage="0" dxfId="10" text="" percent="0" bottom="0">
      <formula>18</formula>
    </cfRule>
  </conditionalFormatting>
  <conditionalFormatting sqref="B880">
    <cfRule type="cellIs" rank="0" priority="2609" equalAverage="0" operator="greaterThan" aboveAverage="0" dxfId="8" text="" percent="0" bottom="0">
      <formula>0</formula>
    </cfRule>
    <cfRule type="cellIs" rank="0" priority="2610" equalAverage="0" operator="lessThan" aboveAverage="0" dxfId="9" text="" percent="0" bottom="0">
      <formula>MaliyetEsik</formula>
    </cfRule>
  </conditionalFormatting>
  <conditionalFormatting sqref="D880">
    <cfRule type="cellIs" rank="0" priority="2611" equalAverage="0" operator="lessThan" aboveAverage="0" dxfId="10" text="" percent="0" bottom="0">
      <formula>18</formula>
    </cfRule>
  </conditionalFormatting>
  <conditionalFormatting sqref="B881">
    <cfRule type="cellIs" rank="0" priority="2612" equalAverage="0" operator="greaterThan" aboveAverage="0" dxfId="8" text="" percent="0" bottom="0">
      <formula>0</formula>
    </cfRule>
    <cfRule type="cellIs" rank="0" priority="2613" equalAverage="0" operator="lessThan" aboveAverage="0" dxfId="9" text="" percent="0" bottom="0">
      <formula>MaliyetEsik</formula>
    </cfRule>
  </conditionalFormatting>
  <conditionalFormatting sqref="D881">
    <cfRule type="cellIs" rank="0" priority="2614" equalAverage="0" operator="lessThan" aboveAverage="0" dxfId="10" text="" percent="0" bottom="0">
      <formula>18</formula>
    </cfRule>
  </conditionalFormatting>
  <conditionalFormatting sqref="B882">
    <cfRule type="cellIs" rank="0" priority="2615" equalAverage="0" operator="greaterThan" aboveAverage="0" dxfId="8" text="" percent="0" bottom="0">
      <formula>0</formula>
    </cfRule>
    <cfRule type="cellIs" rank="0" priority="2616" equalAverage="0" operator="lessThan" aboveAverage="0" dxfId="9" text="" percent="0" bottom="0">
      <formula>MaliyetEsik</formula>
    </cfRule>
  </conditionalFormatting>
  <conditionalFormatting sqref="D882">
    <cfRule type="cellIs" rank="0" priority="2617" equalAverage="0" operator="lessThan" aboveAverage="0" dxfId="10" text="" percent="0" bottom="0">
      <formula>18</formula>
    </cfRule>
  </conditionalFormatting>
  <conditionalFormatting sqref="B883">
    <cfRule type="cellIs" rank="0" priority="2618" equalAverage="0" operator="greaterThan" aboveAverage="0" dxfId="8" text="" percent="0" bottom="0">
      <formula>0</formula>
    </cfRule>
    <cfRule type="cellIs" rank="0" priority="2619" equalAverage="0" operator="lessThan" aboveAverage="0" dxfId="9" text="" percent="0" bottom="0">
      <formula>MaliyetEsik</formula>
    </cfRule>
  </conditionalFormatting>
  <conditionalFormatting sqref="D883">
    <cfRule type="cellIs" rank="0" priority="2620" equalAverage="0" operator="lessThan" aboveAverage="0" dxfId="10" text="" percent="0" bottom="0">
      <formula>18</formula>
    </cfRule>
  </conditionalFormatting>
  <conditionalFormatting sqref="B884">
    <cfRule type="cellIs" rank="0" priority="2621" equalAverage="0" operator="greaterThan" aboveAverage="0" dxfId="8" text="" percent="0" bottom="0">
      <formula>0</formula>
    </cfRule>
    <cfRule type="cellIs" rank="0" priority="2622" equalAverage="0" operator="lessThan" aboveAverage="0" dxfId="9" text="" percent="0" bottom="0">
      <formula>MaliyetEsik</formula>
    </cfRule>
  </conditionalFormatting>
  <conditionalFormatting sqref="D884">
    <cfRule type="cellIs" rank="0" priority="2623" equalAverage="0" operator="lessThan" aboveAverage="0" dxfId="10" text="" percent="0" bottom="0">
      <formula>18</formula>
    </cfRule>
  </conditionalFormatting>
  <conditionalFormatting sqref="B885">
    <cfRule type="cellIs" rank="0" priority="2624" equalAverage="0" operator="greaterThan" aboveAverage="0" dxfId="8" text="" percent="0" bottom="0">
      <formula>0</formula>
    </cfRule>
    <cfRule type="cellIs" rank="0" priority="2625" equalAverage="0" operator="lessThan" aboveAverage="0" dxfId="9" text="" percent="0" bottom="0">
      <formula>MaliyetEsik</formula>
    </cfRule>
  </conditionalFormatting>
  <conditionalFormatting sqref="D885">
    <cfRule type="cellIs" rank="0" priority="2626" equalAverage="0" operator="lessThan" aboveAverage="0" dxfId="10" text="" percent="0" bottom="0">
      <formula>18</formula>
    </cfRule>
  </conditionalFormatting>
  <conditionalFormatting sqref="B886">
    <cfRule type="cellIs" rank="0" priority="2627" equalAverage="0" operator="greaterThan" aboveAverage="0" dxfId="8" text="" percent="0" bottom="0">
      <formula>0</formula>
    </cfRule>
    <cfRule type="cellIs" rank="0" priority="2628" equalAverage="0" operator="lessThan" aboveAverage="0" dxfId="9" text="" percent="0" bottom="0">
      <formula>MaliyetEsik</formula>
    </cfRule>
  </conditionalFormatting>
  <conditionalFormatting sqref="D886">
    <cfRule type="cellIs" rank="0" priority="2629" equalAverage="0" operator="lessThan" aboveAverage="0" dxfId="10" text="" percent="0" bottom="0">
      <formula>18</formula>
    </cfRule>
  </conditionalFormatting>
  <conditionalFormatting sqref="B887">
    <cfRule type="cellIs" rank="0" priority="2630" equalAverage="0" operator="greaterThan" aboveAverage="0" dxfId="8" text="" percent="0" bottom="0">
      <formula>0</formula>
    </cfRule>
    <cfRule type="cellIs" rank="0" priority="2631" equalAverage="0" operator="lessThan" aboveAverage="0" dxfId="9" text="" percent="0" bottom="0">
      <formula>MaliyetEsik</formula>
    </cfRule>
  </conditionalFormatting>
  <conditionalFormatting sqref="D887">
    <cfRule type="cellIs" rank="0" priority="2632" equalAverage="0" operator="lessThan" aboveAverage="0" dxfId="10" text="" percent="0" bottom="0">
      <formula>18</formula>
    </cfRule>
  </conditionalFormatting>
  <conditionalFormatting sqref="B888">
    <cfRule type="cellIs" rank="0" priority="2633" equalAverage="0" operator="greaterThan" aboveAverage="0" dxfId="8" text="" percent="0" bottom="0">
      <formula>0</formula>
    </cfRule>
    <cfRule type="cellIs" rank="0" priority="2634" equalAverage="0" operator="lessThan" aboveAverage="0" dxfId="9" text="" percent="0" bottom="0">
      <formula>MaliyetEsik</formula>
    </cfRule>
  </conditionalFormatting>
  <conditionalFormatting sqref="D888">
    <cfRule type="cellIs" rank="0" priority="2635" equalAverage="0" operator="lessThan" aboveAverage="0" dxfId="10" text="" percent="0" bottom="0">
      <formula>18</formula>
    </cfRule>
  </conditionalFormatting>
  <conditionalFormatting sqref="B889">
    <cfRule type="cellIs" rank="0" priority="2636" equalAverage="0" operator="greaterThan" aboveAverage="0" dxfId="8" text="" percent="0" bottom="0">
      <formula>0</formula>
    </cfRule>
    <cfRule type="cellIs" rank="0" priority="2637" equalAverage="0" operator="lessThan" aboveAverage="0" dxfId="9" text="" percent="0" bottom="0">
      <formula>MaliyetEsik</formula>
    </cfRule>
  </conditionalFormatting>
  <conditionalFormatting sqref="D889">
    <cfRule type="cellIs" rank="0" priority="2638" equalAverage="0" operator="lessThan" aboveAverage="0" dxfId="10" text="" percent="0" bottom="0">
      <formula>18</formula>
    </cfRule>
  </conditionalFormatting>
  <conditionalFormatting sqref="B890">
    <cfRule type="cellIs" rank="0" priority="2639" equalAverage="0" operator="greaterThan" aboveAverage="0" dxfId="8" text="" percent="0" bottom="0">
      <formula>0</formula>
    </cfRule>
    <cfRule type="cellIs" rank="0" priority="2640" equalAverage="0" operator="lessThan" aboveAverage="0" dxfId="9" text="" percent="0" bottom="0">
      <formula>MaliyetEsik</formula>
    </cfRule>
  </conditionalFormatting>
  <conditionalFormatting sqref="D890">
    <cfRule type="cellIs" rank="0" priority="2641" equalAverage="0" operator="lessThan" aboveAverage="0" dxfId="10" text="" percent="0" bottom="0">
      <formula>18</formula>
    </cfRule>
  </conditionalFormatting>
  <conditionalFormatting sqref="B891">
    <cfRule type="cellIs" rank="0" priority="2642" equalAverage="0" operator="greaterThan" aboveAverage="0" dxfId="8" text="" percent="0" bottom="0">
      <formula>0</formula>
    </cfRule>
    <cfRule type="cellIs" rank="0" priority="2643" equalAverage="0" operator="lessThan" aboveAverage="0" dxfId="9" text="" percent="0" bottom="0">
      <formula>MaliyetEsik</formula>
    </cfRule>
  </conditionalFormatting>
  <conditionalFormatting sqref="D891">
    <cfRule type="cellIs" rank="0" priority="2644" equalAverage="0" operator="lessThan" aboveAverage="0" dxfId="10" text="" percent="0" bottom="0">
      <formula>18</formula>
    </cfRule>
  </conditionalFormatting>
  <conditionalFormatting sqref="B892">
    <cfRule type="cellIs" rank="0" priority="2645" equalAverage="0" operator="greaterThan" aboveAverage="0" dxfId="8" text="" percent="0" bottom="0">
      <formula>0</formula>
    </cfRule>
    <cfRule type="cellIs" rank="0" priority="2646" equalAverage="0" operator="lessThan" aboveAverage="0" dxfId="9" text="" percent="0" bottom="0">
      <formula>MaliyetEsik</formula>
    </cfRule>
  </conditionalFormatting>
  <conditionalFormatting sqref="D892">
    <cfRule type="cellIs" rank="0" priority="2647" equalAverage="0" operator="lessThan" aboveAverage="0" dxfId="10" text="" percent="0" bottom="0">
      <formula>18</formula>
    </cfRule>
  </conditionalFormatting>
  <conditionalFormatting sqref="B893">
    <cfRule type="cellIs" rank="0" priority="2648" equalAverage="0" operator="greaterThan" aboveAverage="0" dxfId="8" text="" percent="0" bottom="0">
      <formula>0</formula>
    </cfRule>
    <cfRule type="cellIs" rank="0" priority="2649" equalAverage="0" operator="lessThan" aboveAverage="0" dxfId="9" text="" percent="0" bottom="0">
      <formula>MaliyetEsik</formula>
    </cfRule>
  </conditionalFormatting>
  <conditionalFormatting sqref="D893">
    <cfRule type="cellIs" rank="0" priority="2650" equalAverage="0" operator="lessThan" aboveAverage="0" dxfId="10" text="" percent="0" bottom="0">
      <formula>18</formula>
    </cfRule>
  </conditionalFormatting>
  <conditionalFormatting sqref="B894">
    <cfRule type="cellIs" rank="0" priority="2651" equalAverage="0" operator="greaterThan" aboveAverage="0" dxfId="8" text="" percent="0" bottom="0">
      <formula>0</formula>
    </cfRule>
    <cfRule type="cellIs" rank="0" priority="2652" equalAverage="0" operator="lessThan" aboveAverage="0" dxfId="9" text="" percent="0" bottom="0">
      <formula>MaliyetEsik</formula>
    </cfRule>
  </conditionalFormatting>
  <conditionalFormatting sqref="D894">
    <cfRule type="cellIs" rank="0" priority="2653" equalAverage="0" operator="lessThan" aboveAverage="0" dxfId="10" text="" percent="0" bottom="0">
      <formula>18</formula>
    </cfRule>
  </conditionalFormatting>
  <conditionalFormatting sqref="B895">
    <cfRule type="cellIs" rank="0" priority="2654" equalAverage="0" operator="greaterThan" aboveAverage="0" dxfId="8" text="" percent="0" bottom="0">
      <formula>0</formula>
    </cfRule>
    <cfRule type="cellIs" rank="0" priority="2655" equalAverage="0" operator="lessThan" aboveAverage="0" dxfId="9" text="" percent="0" bottom="0">
      <formula>MaliyetEsik</formula>
    </cfRule>
  </conditionalFormatting>
  <conditionalFormatting sqref="D895">
    <cfRule type="cellIs" rank="0" priority="2656" equalAverage="0" operator="lessThan" aboveAverage="0" dxfId="10" text="" percent="0" bottom="0">
      <formula>18</formula>
    </cfRule>
  </conditionalFormatting>
  <conditionalFormatting sqref="B896">
    <cfRule type="cellIs" rank="0" priority="2657" equalAverage="0" operator="greaterThan" aboveAverage="0" dxfId="8" text="" percent="0" bottom="0">
      <formula>0</formula>
    </cfRule>
    <cfRule type="cellIs" rank="0" priority="2658" equalAverage="0" operator="lessThan" aboveAverage="0" dxfId="9" text="" percent="0" bottom="0">
      <formula>MaliyetEsik</formula>
    </cfRule>
  </conditionalFormatting>
  <conditionalFormatting sqref="D896">
    <cfRule type="cellIs" rank="0" priority="2659" equalAverage="0" operator="lessThan" aboveAverage="0" dxfId="10" text="" percent="0" bottom="0">
      <formula>18</formula>
    </cfRule>
  </conditionalFormatting>
  <conditionalFormatting sqref="B897">
    <cfRule type="cellIs" rank="0" priority="2660" equalAverage="0" operator="greaterThan" aboveAverage="0" dxfId="8" text="" percent="0" bottom="0">
      <formula>0</formula>
    </cfRule>
    <cfRule type="cellIs" rank="0" priority="2661" equalAverage="0" operator="lessThan" aboveAverage="0" dxfId="9" text="" percent="0" bottom="0">
      <formula>MaliyetEsik</formula>
    </cfRule>
  </conditionalFormatting>
  <conditionalFormatting sqref="D897">
    <cfRule type="cellIs" rank="0" priority="2662" equalAverage="0" operator="lessThan" aboveAverage="0" dxfId="10" text="" percent="0" bottom="0">
      <formula>18</formula>
    </cfRule>
  </conditionalFormatting>
  <conditionalFormatting sqref="B898">
    <cfRule type="cellIs" rank="0" priority="2663" equalAverage="0" operator="greaterThan" aboveAverage="0" dxfId="8" text="" percent="0" bottom="0">
      <formula>0</formula>
    </cfRule>
    <cfRule type="cellIs" rank="0" priority="2664" equalAverage="0" operator="lessThan" aboveAverage="0" dxfId="9" text="" percent="0" bottom="0">
      <formula>MaliyetEsik</formula>
    </cfRule>
  </conditionalFormatting>
  <conditionalFormatting sqref="D898">
    <cfRule type="cellIs" rank="0" priority="2665" equalAverage="0" operator="lessThan" aboveAverage="0" dxfId="10" text="" percent="0" bottom="0">
      <formula>18</formula>
    </cfRule>
  </conditionalFormatting>
  <conditionalFormatting sqref="B899">
    <cfRule type="cellIs" rank="0" priority="2666" equalAverage="0" operator="greaterThan" aboveAverage="0" dxfId="8" text="" percent="0" bottom="0">
      <formula>0</formula>
    </cfRule>
    <cfRule type="cellIs" rank="0" priority="2667" equalAverage="0" operator="lessThan" aboveAverage="0" dxfId="9" text="" percent="0" bottom="0">
      <formula>MaliyetEsik</formula>
    </cfRule>
  </conditionalFormatting>
  <conditionalFormatting sqref="D899">
    <cfRule type="cellIs" rank="0" priority="2668" equalAverage="0" operator="lessThan" aboveAverage="0" dxfId="10" text="" percent="0" bottom="0">
      <formula>18</formula>
    </cfRule>
  </conditionalFormatting>
  <conditionalFormatting sqref="B900">
    <cfRule type="cellIs" rank="0" priority="2669" equalAverage="0" operator="greaterThan" aboveAverage="0" dxfId="8" text="" percent="0" bottom="0">
      <formula>0</formula>
    </cfRule>
    <cfRule type="cellIs" rank="0" priority="2670" equalAverage="0" operator="lessThan" aboveAverage="0" dxfId="9" text="" percent="0" bottom="0">
      <formula>MaliyetEsik</formula>
    </cfRule>
  </conditionalFormatting>
  <conditionalFormatting sqref="D900">
    <cfRule type="cellIs" rank="0" priority="2671" equalAverage="0" operator="lessThan" aboveAverage="0" dxfId="10" text="" percent="0" bottom="0">
      <formula>18</formula>
    </cfRule>
  </conditionalFormatting>
  <conditionalFormatting sqref="B901">
    <cfRule type="cellIs" rank="0" priority="2672" equalAverage="0" operator="greaterThan" aboveAverage="0" dxfId="8" text="" percent="0" bottom="0">
      <formula>0</formula>
    </cfRule>
    <cfRule type="cellIs" rank="0" priority="2673" equalAverage="0" operator="lessThan" aboveAverage="0" dxfId="9" text="" percent="0" bottom="0">
      <formula>MaliyetEsik</formula>
    </cfRule>
  </conditionalFormatting>
  <conditionalFormatting sqref="D901">
    <cfRule type="cellIs" rank="0" priority="2674" equalAverage="0" operator="lessThan" aboveAverage="0" dxfId="10" text="" percent="0" bottom="0">
      <formula>18</formula>
    </cfRule>
  </conditionalFormatting>
  <conditionalFormatting sqref="B902">
    <cfRule type="cellIs" rank="0" priority="2675" equalAverage="0" operator="greaterThan" aboveAverage="0" dxfId="8" text="" percent="0" bottom="0">
      <formula>0</formula>
    </cfRule>
    <cfRule type="cellIs" rank="0" priority="2676" equalAverage="0" operator="lessThan" aboveAverage="0" dxfId="9" text="" percent="0" bottom="0">
      <formula>MaliyetEsik</formula>
    </cfRule>
  </conditionalFormatting>
  <conditionalFormatting sqref="D902">
    <cfRule type="cellIs" rank="0" priority="2677" equalAverage="0" operator="lessThan" aboveAverage="0" dxfId="10" text="" percent="0" bottom="0">
      <formula>18</formula>
    </cfRule>
  </conditionalFormatting>
  <conditionalFormatting sqref="B903">
    <cfRule type="cellIs" rank="0" priority="2678" equalAverage="0" operator="greaterThan" aboveAverage="0" dxfId="8" text="" percent="0" bottom="0">
      <formula>0</formula>
    </cfRule>
    <cfRule type="cellIs" rank="0" priority="2679" equalAverage="0" operator="lessThan" aboveAverage="0" dxfId="9" text="" percent="0" bottom="0">
      <formula>MaliyetEsik</formula>
    </cfRule>
  </conditionalFormatting>
  <conditionalFormatting sqref="D903">
    <cfRule type="cellIs" rank="0" priority="2680" equalAverage="0" operator="lessThan" aboveAverage="0" dxfId="10" text="" percent="0" bottom="0">
      <formula>18</formula>
    </cfRule>
  </conditionalFormatting>
  <conditionalFormatting sqref="B904">
    <cfRule type="cellIs" rank="0" priority="2681" equalAverage="0" operator="greaterThan" aboveAverage="0" dxfId="8" text="" percent="0" bottom="0">
      <formula>0</formula>
    </cfRule>
    <cfRule type="cellIs" rank="0" priority="2682" equalAverage="0" operator="lessThan" aboveAverage="0" dxfId="9" text="" percent="0" bottom="0">
      <formula>MaliyetEsik</formula>
    </cfRule>
  </conditionalFormatting>
  <conditionalFormatting sqref="D904">
    <cfRule type="cellIs" rank="0" priority="2683" equalAverage="0" operator="lessThan" aboveAverage="0" dxfId="10" text="" percent="0" bottom="0">
      <formula>18</formula>
    </cfRule>
  </conditionalFormatting>
  <conditionalFormatting sqref="B905">
    <cfRule type="cellIs" rank="0" priority="2684" equalAverage="0" operator="greaterThan" aboveAverage="0" dxfId="8" text="" percent="0" bottom="0">
      <formula>0</formula>
    </cfRule>
    <cfRule type="cellIs" rank="0" priority="2685" equalAverage="0" operator="lessThan" aboveAverage="0" dxfId="9" text="" percent="0" bottom="0">
      <formula>MaliyetEsik</formula>
    </cfRule>
  </conditionalFormatting>
  <conditionalFormatting sqref="D905">
    <cfRule type="cellIs" rank="0" priority="2686" equalAverage="0" operator="lessThan" aboveAverage="0" dxfId="10" text="" percent="0" bottom="0">
      <formula>18</formula>
    </cfRule>
  </conditionalFormatting>
  <conditionalFormatting sqref="B906">
    <cfRule type="cellIs" rank="0" priority="2687" equalAverage="0" operator="greaterThan" aboveAverage="0" dxfId="8" text="" percent="0" bottom="0">
      <formula>0</formula>
    </cfRule>
    <cfRule type="cellIs" rank="0" priority="2688" equalAverage="0" operator="lessThan" aboveAverage="0" dxfId="9" text="" percent="0" bottom="0">
      <formula>MaliyetEsik</formula>
    </cfRule>
  </conditionalFormatting>
  <conditionalFormatting sqref="D906">
    <cfRule type="cellIs" rank="0" priority="2689" equalAverage="0" operator="lessThan" aboveAverage="0" dxfId="10" text="" percent="0" bottom="0">
      <formula>18</formula>
    </cfRule>
  </conditionalFormatting>
  <conditionalFormatting sqref="B907">
    <cfRule type="cellIs" rank="0" priority="2690" equalAverage="0" operator="greaterThan" aboveAverage="0" dxfId="8" text="" percent="0" bottom="0">
      <formula>0</formula>
    </cfRule>
    <cfRule type="cellIs" rank="0" priority="2691" equalAverage="0" operator="lessThan" aboveAverage="0" dxfId="9" text="" percent="0" bottom="0">
      <formula>MaliyetEsik</formula>
    </cfRule>
  </conditionalFormatting>
  <conditionalFormatting sqref="D907">
    <cfRule type="cellIs" rank="0" priority="2692" equalAverage="0" operator="lessThan" aboveAverage="0" dxfId="10" text="" percent="0" bottom="0">
      <formula>18</formula>
    </cfRule>
  </conditionalFormatting>
  <conditionalFormatting sqref="B908">
    <cfRule type="cellIs" rank="0" priority="2693" equalAverage="0" operator="greaterThan" aboveAverage="0" dxfId="8" text="" percent="0" bottom="0">
      <formula>0</formula>
    </cfRule>
    <cfRule type="cellIs" rank="0" priority="2694" equalAverage="0" operator="lessThan" aboveAverage="0" dxfId="9" text="" percent="0" bottom="0">
      <formula>MaliyetEsik</formula>
    </cfRule>
  </conditionalFormatting>
  <conditionalFormatting sqref="D908">
    <cfRule type="cellIs" rank="0" priority="2695" equalAverage="0" operator="lessThan" aboveAverage="0" dxfId="10" text="" percent="0" bottom="0">
      <formula>18</formula>
    </cfRule>
  </conditionalFormatting>
  <conditionalFormatting sqref="B909">
    <cfRule type="cellIs" rank="0" priority="2696" equalAverage="0" operator="greaterThan" aboveAverage="0" dxfId="8" text="" percent="0" bottom="0">
      <formula>0</formula>
    </cfRule>
    <cfRule type="cellIs" rank="0" priority="2697" equalAverage="0" operator="lessThan" aboveAverage="0" dxfId="9" text="" percent="0" bottom="0">
      <formula>MaliyetEsik</formula>
    </cfRule>
  </conditionalFormatting>
  <conditionalFormatting sqref="D909">
    <cfRule type="cellIs" rank="0" priority="2698" equalAverage="0" operator="lessThan" aboveAverage="0" dxfId="10" text="" percent="0" bottom="0">
      <formula>18</formula>
    </cfRule>
  </conditionalFormatting>
  <conditionalFormatting sqref="B910">
    <cfRule type="cellIs" rank="0" priority="2699" equalAverage="0" operator="greaterThan" aboveAverage="0" dxfId="8" text="" percent="0" bottom="0">
      <formula>0</formula>
    </cfRule>
    <cfRule type="cellIs" rank="0" priority="2700" equalAverage="0" operator="lessThan" aboveAverage="0" dxfId="9" text="" percent="0" bottom="0">
      <formula>MaliyetEsik</formula>
    </cfRule>
  </conditionalFormatting>
  <conditionalFormatting sqref="D910">
    <cfRule type="cellIs" rank="0" priority="2701" equalAverage="0" operator="lessThan" aboveAverage="0" dxfId="10" text="" percent="0" bottom="0">
      <formula>18</formula>
    </cfRule>
  </conditionalFormatting>
  <conditionalFormatting sqref="B911">
    <cfRule type="cellIs" rank="0" priority="2702" equalAverage="0" operator="greaterThan" aboveAverage="0" dxfId="8" text="" percent="0" bottom="0">
      <formula>0</formula>
    </cfRule>
    <cfRule type="cellIs" rank="0" priority="2703" equalAverage="0" operator="lessThan" aboveAverage="0" dxfId="9" text="" percent="0" bottom="0">
      <formula>MaliyetEsik</formula>
    </cfRule>
  </conditionalFormatting>
  <conditionalFormatting sqref="D911">
    <cfRule type="cellIs" rank="0" priority="2704" equalAverage="0" operator="lessThan" aboveAverage="0" dxfId="10" text="" percent="0" bottom="0">
      <formula>18</formula>
    </cfRule>
  </conditionalFormatting>
  <conditionalFormatting sqref="B912">
    <cfRule type="cellIs" rank="0" priority="2705" equalAverage="0" operator="greaterThan" aboveAverage="0" dxfId="8" text="" percent="0" bottom="0">
      <formula>0</formula>
    </cfRule>
    <cfRule type="cellIs" rank="0" priority="2706" equalAverage="0" operator="lessThan" aboveAverage="0" dxfId="9" text="" percent="0" bottom="0">
      <formula>MaliyetEsik</formula>
    </cfRule>
  </conditionalFormatting>
  <conditionalFormatting sqref="D912">
    <cfRule type="cellIs" rank="0" priority="2707" equalAverage="0" operator="lessThan" aboveAverage="0" dxfId="10" text="" percent="0" bottom="0">
      <formula>18</formula>
    </cfRule>
  </conditionalFormatting>
  <conditionalFormatting sqref="B913">
    <cfRule type="cellIs" rank="0" priority="2708" equalAverage="0" operator="greaterThan" aboveAverage="0" dxfId="8" text="" percent="0" bottom="0">
      <formula>0</formula>
    </cfRule>
    <cfRule type="cellIs" rank="0" priority="2709" equalAverage="0" operator="lessThan" aboveAverage="0" dxfId="9" text="" percent="0" bottom="0">
      <formula>MaliyetEsik</formula>
    </cfRule>
  </conditionalFormatting>
  <conditionalFormatting sqref="D913">
    <cfRule type="cellIs" rank="0" priority="2710" equalAverage="0" operator="lessThan" aboveAverage="0" dxfId="10" text="" percent="0" bottom="0">
      <formula>18</formula>
    </cfRule>
  </conditionalFormatting>
  <conditionalFormatting sqref="B914">
    <cfRule type="cellIs" rank="0" priority="2711" equalAverage="0" operator="greaterThan" aboveAverage="0" dxfId="8" text="" percent="0" bottom="0">
      <formula>0</formula>
    </cfRule>
    <cfRule type="cellIs" rank="0" priority="2712" equalAverage="0" operator="lessThan" aboveAverage="0" dxfId="9" text="" percent="0" bottom="0">
      <formula>MaliyetEsik</formula>
    </cfRule>
  </conditionalFormatting>
  <conditionalFormatting sqref="D914">
    <cfRule type="cellIs" rank="0" priority="2713" equalAverage="0" operator="lessThan" aboveAverage="0" dxfId="10" text="" percent="0" bottom="0">
      <formula>18</formula>
    </cfRule>
  </conditionalFormatting>
  <conditionalFormatting sqref="B915">
    <cfRule type="cellIs" rank="0" priority="2714" equalAverage="0" operator="greaterThan" aboveAverage="0" dxfId="8" text="" percent="0" bottom="0">
      <formula>0</formula>
    </cfRule>
    <cfRule type="cellIs" rank="0" priority="2715" equalAverage="0" operator="lessThan" aboveAverage="0" dxfId="9" text="" percent="0" bottom="0">
      <formula>MaliyetEsik</formula>
    </cfRule>
  </conditionalFormatting>
  <conditionalFormatting sqref="D915">
    <cfRule type="cellIs" rank="0" priority="2716" equalAverage="0" operator="lessThan" aboveAverage="0" dxfId="10" text="" percent="0" bottom="0">
      <formula>18</formula>
    </cfRule>
  </conditionalFormatting>
  <conditionalFormatting sqref="B916">
    <cfRule type="cellIs" rank="0" priority="2717" equalAverage="0" operator="greaterThan" aboveAverage="0" dxfId="8" text="" percent="0" bottom="0">
      <formula>0</formula>
    </cfRule>
    <cfRule type="cellIs" rank="0" priority="2718" equalAverage="0" operator="lessThan" aboveAverage="0" dxfId="9" text="" percent="0" bottom="0">
      <formula>MaliyetEsik</formula>
    </cfRule>
  </conditionalFormatting>
  <conditionalFormatting sqref="D916">
    <cfRule type="cellIs" rank="0" priority="2719" equalAverage="0" operator="lessThan" aboveAverage="0" dxfId="10" text="" percent="0" bottom="0">
      <formula>18</formula>
    </cfRule>
  </conditionalFormatting>
  <conditionalFormatting sqref="B917">
    <cfRule type="cellIs" rank="0" priority="2720" equalAverage="0" operator="greaterThan" aboveAverage="0" dxfId="8" text="" percent="0" bottom="0">
      <formula>0</formula>
    </cfRule>
    <cfRule type="cellIs" rank="0" priority="2721" equalAverage="0" operator="lessThan" aboveAverage="0" dxfId="9" text="" percent="0" bottom="0">
      <formula>MaliyetEsik</formula>
    </cfRule>
  </conditionalFormatting>
  <conditionalFormatting sqref="D917">
    <cfRule type="cellIs" rank="0" priority="2722" equalAverage="0" operator="lessThan" aboveAverage="0" dxfId="10" text="" percent="0" bottom="0">
      <formula>18</formula>
    </cfRule>
  </conditionalFormatting>
  <conditionalFormatting sqref="B918">
    <cfRule type="cellIs" rank="0" priority="2723" equalAverage="0" operator="greaterThan" aboveAverage="0" dxfId="8" text="" percent="0" bottom="0">
      <formula>0</formula>
    </cfRule>
    <cfRule type="cellIs" rank="0" priority="2724" equalAverage="0" operator="lessThan" aboveAverage="0" dxfId="9" text="" percent="0" bottom="0">
      <formula>MaliyetEsik</formula>
    </cfRule>
  </conditionalFormatting>
  <conditionalFormatting sqref="D918">
    <cfRule type="cellIs" rank="0" priority="2725" equalAverage="0" operator="lessThan" aboveAverage="0" dxfId="10" text="" percent="0" bottom="0">
      <formula>18</formula>
    </cfRule>
  </conditionalFormatting>
  <conditionalFormatting sqref="B919">
    <cfRule type="cellIs" rank="0" priority="2726" equalAverage="0" operator="greaterThan" aboveAverage="0" dxfId="8" text="" percent="0" bottom="0">
      <formula>0</formula>
    </cfRule>
    <cfRule type="cellIs" rank="0" priority="2727" equalAverage="0" operator="lessThan" aboveAverage="0" dxfId="9" text="" percent="0" bottom="0">
      <formula>MaliyetEsik</formula>
    </cfRule>
  </conditionalFormatting>
  <conditionalFormatting sqref="D919">
    <cfRule type="cellIs" rank="0" priority="2728" equalAverage="0" operator="lessThan" aboveAverage="0" dxfId="10" text="" percent="0" bottom="0">
      <formula>18</formula>
    </cfRule>
  </conditionalFormatting>
  <conditionalFormatting sqref="B920">
    <cfRule type="cellIs" rank="0" priority="2729" equalAverage="0" operator="greaterThan" aboveAverage="0" dxfId="8" text="" percent="0" bottom="0">
      <formula>0</formula>
    </cfRule>
    <cfRule type="cellIs" rank="0" priority="2730" equalAverage="0" operator="lessThan" aboveAverage="0" dxfId="9" text="" percent="0" bottom="0">
      <formula>MaliyetEsik</formula>
    </cfRule>
  </conditionalFormatting>
  <conditionalFormatting sqref="D920">
    <cfRule type="cellIs" rank="0" priority="2731" equalAverage="0" operator="lessThan" aboveAverage="0" dxfId="10" text="" percent="0" bottom="0">
      <formula>18</formula>
    </cfRule>
  </conditionalFormatting>
  <conditionalFormatting sqref="B921">
    <cfRule type="cellIs" rank="0" priority="2732" equalAverage="0" operator="greaterThan" aboveAverage="0" dxfId="8" text="" percent="0" bottom="0">
      <formula>0</formula>
    </cfRule>
    <cfRule type="cellIs" rank="0" priority="2733" equalAverage="0" operator="lessThan" aboveAverage="0" dxfId="9" text="" percent="0" bottom="0">
      <formula>MaliyetEsik</formula>
    </cfRule>
  </conditionalFormatting>
  <conditionalFormatting sqref="D921">
    <cfRule type="cellIs" rank="0" priority="2734" equalAverage="0" operator="lessThan" aboveAverage="0" dxfId="10" text="" percent="0" bottom="0">
      <formula>18</formula>
    </cfRule>
  </conditionalFormatting>
  <conditionalFormatting sqref="B922">
    <cfRule type="cellIs" rank="0" priority="2735" equalAverage="0" operator="greaterThan" aboveAverage="0" dxfId="8" text="" percent="0" bottom="0">
      <formula>0</formula>
    </cfRule>
    <cfRule type="cellIs" rank="0" priority="2736" equalAverage="0" operator="lessThan" aboveAverage="0" dxfId="9" text="" percent="0" bottom="0">
      <formula>MaliyetEsik</formula>
    </cfRule>
  </conditionalFormatting>
  <conditionalFormatting sqref="D922">
    <cfRule type="cellIs" rank="0" priority="2737" equalAverage="0" operator="lessThan" aboveAverage="0" dxfId="10" text="" percent="0" bottom="0">
      <formula>18</formula>
    </cfRule>
  </conditionalFormatting>
  <conditionalFormatting sqref="B923">
    <cfRule type="cellIs" rank="0" priority="2738" equalAverage="0" operator="greaterThan" aboveAverage="0" dxfId="8" text="" percent="0" bottom="0">
      <formula>0</formula>
    </cfRule>
    <cfRule type="cellIs" rank="0" priority="2739" equalAverage="0" operator="lessThan" aboveAverage="0" dxfId="9" text="" percent="0" bottom="0">
      <formula>MaliyetEsik</formula>
    </cfRule>
  </conditionalFormatting>
  <conditionalFormatting sqref="D923">
    <cfRule type="cellIs" rank="0" priority="2740" equalAverage="0" operator="lessThan" aboveAverage="0" dxfId="10" text="" percent="0" bottom="0">
      <formula>18</formula>
    </cfRule>
  </conditionalFormatting>
  <conditionalFormatting sqref="B924">
    <cfRule type="cellIs" rank="0" priority="2741" equalAverage="0" operator="greaterThan" aboveAverage="0" dxfId="8" text="" percent="0" bottom="0">
      <formula>0</formula>
    </cfRule>
    <cfRule type="cellIs" rank="0" priority="2742" equalAverage="0" operator="lessThan" aboveAverage="0" dxfId="9" text="" percent="0" bottom="0">
      <formula>MaliyetEsik</formula>
    </cfRule>
  </conditionalFormatting>
  <conditionalFormatting sqref="D924">
    <cfRule type="cellIs" rank="0" priority="2743" equalAverage="0" operator="lessThan" aboveAverage="0" dxfId="10" text="" percent="0" bottom="0">
      <formula>18</formula>
    </cfRule>
  </conditionalFormatting>
  <conditionalFormatting sqref="B925">
    <cfRule type="cellIs" rank="0" priority="2744" equalAverage="0" operator="greaterThan" aboveAverage="0" dxfId="8" text="" percent="0" bottom="0">
      <formula>0</formula>
    </cfRule>
    <cfRule type="cellIs" rank="0" priority="2745" equalAverage="0" operator="lessThan" aboveAverage="0" dxfId="9" text="" percent="0" bottom="0">
      <formula>MaliyetEsik</formula>
    </cfRule>
  </conditionalFormatting>
  <conditionalFormatting sqref="D925">
    <cfRule type="cellIs" rank="0" priority="2746" equalAverage="0" operator="lessThan" aboveAverage="0" dxfId="10" text="" percent="0" bottom="0">
      <formula>18</formula>
    </cfRule>
  </conditionalFormatting>
  <conditionalFormatting sqref="B926">
    <cfRule type="cellIs" rank="0" priority="2747" equalAverage="0" operator="greaterThan" aboveAverage="0" dxfId="8" text="" percent="0" bottom="0">
      <formula>0</formula>
    </cfRule>
    <cfRule type="cellIs" rank="0" priority="2748" equalAverage="0" operator="lessThan" aboveAverage="0" dxfId="9" text="" percent="0" bottom="0">
      <formula>MaliyetEsik</formula>
    </cfRule>
  </conditionalFormatting>
  <conditionalFormatting sqref="D926">
    <cfRule type="cellIs" rank="0" priority="2749" equalAverage="0" operator="lessThan" aboveAverage="0" dxfId="10" text="" percent="0" bottom="0">
      <formula>18</formula>
    </cfRule>
  </conditionalFormatting>
  <conditionalFormatting sqref="B927">
    <cfRule type="cellIs" rank="0" priority="2750" equalAverage="0" operator="greaterThan" aboveAverage="0" dxfId="8" text="" percent="0" bottom="0">
      <formula>0</formula>
    </cfRule>
    <cfRule type="cellIs" rank="0" priority="2751" equalAverage="0" operator="lessThan" aboveAverage="0" dxfId="9" text="" percent="0" bottom="0">
      <formula>MaliyetEsik</formula>
    </cfRule>
  </conditionalFormatting>
  <conditionalFormatting sqref="D927">
    <cfRule type="cellIs" rank="0" priority="2752" equalAverage="0" operator="lessThan" aboveAverage="0" dxfId="10" text="" percent="0" bottom="0">
      <formula>18</formula>
    </cfRule>
  </conditionalFormatting>
  <conditionalFormatting sqref="B928">
    <cfRule type="cellIs" rank="0" priority="2753" equalAverage="0" operator="greaterThan" aboveAverage="0" dxfId="8" text="" percent="0" bottom="0">
      <formula>0</formula>
    </cfRule>
    <cfRule type="cellIs" rank="0" priority="2754" equalAverage="0" operator="lessThan" aboveAverage="0" dxfId="9" text="" percent="0" bottom="0">
      <formula>MaliyetEsik</formula>
    </cfRule>
  </conditionalFormatting>
  <conditionalFormatting sqref="D928">
    <cfRule type="cellIs" rank="0" priority="2755" equalAverage="0" operator="lessThan" aboveAverage="0" dxfId="10" text="" percent="0" bottom="0">
      <formula>18</formula>
    </cfRule>
  </conditionalFormatting>
  <conditionalFormatting sqref="B929">
    <cfRule type="cellIs" rank="0" priority="2756" equalAverage="0" operator="greaterThan" aboveAverage="0" dxfId="8" text="" percent="0" bottom="0">
      <formula>0</formula>
    </cfRule>
    <cfRule type="cellIs" rank="0" priority="2757" equalAverage="0" operator="lessThan" aboveAverage="0" dxfId="9" text="" percent="0" bottom="0">
      <formula>MaliyetEsik</formula>
    </cfRule>
  </conditionalFormatting>
  <conditionalFormatting sqref="D929">
    <cfRule type="cellIs" rank="0" priority="2758" equalAverage="0" operator="lessThan" aboveAverage="0" dxfId="10" text="" percent="0" bottom="0">
      <formula>18</formula>
    </cfRule>
  </conditionalFormatting>
  <conditionalFormatting sqref="B930">
    <cfRule type="cellIs" rank="0" priority="2759" equalAverage="0" operator="greaterThan" aboveAverage="0" dxfId="8" text="" percent="0" bottom="0">
      <formula>0</formula>
    </cfRule>
    <cfRule type="cellIs" rank="0" priority="2760" equalAverage="0" operator="lessThan" aboveAverage="0" dxfId="9" text="" percent="0" bottom="0">
      <formula>MaliyetEsik</formula>
    </cfRule>
  </conditionalFormatting>
  <conditionalFormatting sqref="D930">
    <cfRule type="cellIs" rank="0" priority="2761" equalAverage="0" operator="lessThan" aboveAverage="0" dxfId="10" text="" percent="0" bottom="0">
      <formula>18</formula>
    </cfRule>
  </conditionalFormatting>
  <conditionalFormatting sqref="B931">
    <cfRule type="cellIs" rank="0" priority="2762" equalAverage="0" operator="greaterThan" aboveAverage="0" dxfId="8" text="" percent="0" bottom="0">
      <formula>0</formula>
    </cfRule>
    <cfRule type="cellIs" rank="0" priority="2763" equalAverage="0" operator="lessThan" aboveAverage="0" dxfId="9" text="" percent="0" bottom="0">
      <formula>MaliyetEsik</formula>
    </cfRule>
  </conditionalFormatting>
  <conditionalFormatting sqref="D931">
    <cfRule type="cellIs" rank="0" priority="2764" equalAverage="0" operator="lessThan" aboveAverage="0" dxfId="10" text="" percent="0" bottom="0">
      <formula>18</formula>
    </cfRule>
  </conditionalFormatting>
  <conditionalFormatting sqref="B932">
    <cfRule type="cellIs" rank="0" priority="2765" equalAverage="0" operator="greaterThan" aboveAverage="0" dxfId="8" text="" percent="0" bottom="0">
      <formula>0</formula>
    </cfRule>
    <cfRule type="cellIs" rank="0" priority="2766" equalAverage="0" operator="lessThan" aboveAverage="0" dxfId="9" text="" percent="0" bottom="0">
      <formula>MaliyetEsik</formula>
    </cfRule>
  </conditionalFormatting>
  <conditionalFormatting sqref="D932">
    <cfRule type="cellIs" rank="0" priority="2767" equalAverage="0" operator="lessThan" aboveAverage="0" dxfId="10" text="" percent="0" bottom="0">
      <formula>18</formula>
    </cfRule>
  </conditionalFormatting>
  <conditionalFormatting sqref="B933">
    <cfRule type="cellIs" rank="0" priority="2768" equalAverage="0" operator="greaterThan" aboveAverage="0" dxfId="8" text="" percent="0" bottom="0">
      <formula>0</formula>
    </cfRule>
    <cfRule type="cellIs" rank="0" priority="2769" equalAverage="0" operator="lessThan" aboveAverage="0" dxfId="9" text="" percent="0" bottom="0">
      <formula>MaliyetEsik</formula>
    </cfRule>
  </conditionalFormatting>
  <conditionalFormatting sqref="D933">
    <cfRule type="cellIs" rank="0" priority="2770" equalAverage="0" operator="lessThan" aboveAverage="0" dxfId="10" text="" percent="0" bottom="0">
      <formula>18</formula>
    </cfRule>
  </conditionalFormatting>
  <conditionalFormatting sqref="B934">
    <cfRule type="cellIs" rank="0" priority="2771" equalAverage="0" operator="greaterThan" aboveAverage="0" dxfId="8" text="" percent="0" bottom="0">
      <formula>0</formula>
    </cfRule>
    <cfRule type="cellIs" rank="0" priority="2772" equalAverage="0" operator="lessThan" aboveAverage="0" dxfId="9" text="" percent="0" bottom="0">
      <formula>MaliyetEsik</formula>
    </cfRule>
  </conditionalFormatting>
  <conditionalFormatting sqref="D934">
    <cfRule type="cellIs" rank="0" priority="2773" equalAverage="0" operator="lessThan" aboveAverage="0" dxfId="10" text="" percent="0" bottom="0">
      <formula>18</formula>
    </cfRule>
  </conditionalFormatting>
  <conditionalFormatting sqref="B935">
    <cfRule type="cellIs" rank="0" priority="2774" equalAverage="0" operator="greaterThan" aboveAverage="0" dxfId="8" text="" percent="0" bottom="0">
      <formula>0</formula>
    </cfRule>
    <cfRule type="cellIs" rank="0" priority="2775" equalAverage="0" operator="lessThan" aboveAverage="0" dxfId="9" text="" percent="0" bottom="0">
      <formula>MaliyetEsik</formula>
    </cfRule>
  </conditionalFormatting>
  <conditionalFormatting sqref="D935">
    <cfRule type="cellIs" rank="0" priority="2776" equalAverage="0" operator="lessThan" aboveAverage="0" dxfId="10" text="" percent="0" bottom="0">
      <formula>18</formula>
    </cfRule>
  </conditionalFormatting>
  <conditionalFormatting sqref="B936">
    <cfRule type="cellIs" rank="0" priority="2777" equalAverage="0" operator="greaterThan" aboveAverage="0" dxfId="8" text="" percent="0" bottom="0">
      <formula>0</formula>
    </cfRule>
    <cfRule type="cellIs" rank="0" priority="2778" equalAverage="0" operator="lessThan" aboveAverage="0" dxfId="9" text="" percent="0" bottom="0">
      <formula>MaliyetEsik</formula>
    </cfRule>
  </conditionalFormatting>
  <conditionalFormatting sqref="D936">
    <cfRule type="cellIs" rank="0" priority="2779" equalAverage="0" operator="lessThan" aboveAverage="0" dxfId="10" text="" percent="0" bottom="0">
      <formula>18</formula>
    </cfRule>
  </conditionalFormatting>
  <conditionalFormatting sqref="B937">
    <cfRule type="cellIs" rank="0" priority="2780" equalAverage="0" operator="greaterThan" aboveAverage="0" dxfId="8" text="" percent="0" bottom="0">
      <formula>0</formula>
    </cfRule>
    <cfRule type="cellIs" rank="0" priority="2781" equalAverage="0" operator="lessThan" aboveAverage="0" dxfId="9" text="" percent="0" bottom="0">
      <formula>MaliyetEsik</formula>
    </cfRule>
  </conditionalFormatting>
  <conditionalFormatting sqref="D937">
    <cfRule type="cellIs" rank="0" priority="2782" equalAverage="0" operator="lessThan" aboveAverage="0" dxfId="10" text="" percent="0" bottom="0">
      <formula>18</formula>
    </cfRule>
  </conditionalFormatting>
  <conditionalFormatting sqref="B938">
    <cfRule type="cellIs" rank="0" priority="2783" equalAverage="0" operator="greaterThan" aboveAverage="0" dxfId="8" text="" percent="0" bottom="0">
      <formula>0</formula>
    </cfRule>
    <cfRule type="cellIs" rank="0" priority="2784" equalAverage="0" operator="lessThan" aboveAverage="0" dxfId="9" text="" percent="0" bottom="0">
      <formula>MaliyetEsik</formula>
    </cfRule>
  </conditionalFormatting>
  <conditionalFormatting sqref="D938">
    <cfRule type="cellIs" rank="0" priority="2785" equalAverage="0" operator="lessThan" aboveAverage="0" dxfId="10" text="" percent="0" bottom="0">
      <formula>18</formula>
    </cfRule>
  </conditionalFormatting>
  <conditionalFormatting sqref="B939">
    <cfRule type="cellIs" rank="0" priority="2786" equalAverage="0" operator="greaterThan" aboveAverage="0" dxfId="8" text="" percent="0" bottom="0">
      <formula>0</formula>
    </cfRule>
    <cfRule type="cellIs" rank="0" priority="2787" equalAverage="0" operator="lessThan" aboveAverage="0" dxfId="9" text="" percent="0" bottom="0">
      <formula>MaliyetEsik</formula>
    </cfRule>
  </conditionalFormatting>
  <conditionalFormatting sqref="D939">
    <cfRule type="cellIs" rank="0" priority="2788" equalAverage="0" operator="lessThan" aboveAverage="0" dxfId="10" text="" percent="0" bottom="0">
      <formula>18</formula>
    </cfRule>
  </conditionalFormatting>
  <conditionalFormatting sqref="B940">
    <cfRule type="cellIs" rank="0" priority="2789" equalAverage="0" operator="greaterThan" aboveAverage="0" dxfId="8" text="" percent="0" bottom="0">
      <formula>0</formula>
    </cfRule>
    <cfRule type="cellIs" rank="0" priority="2790" equalAverage="0" operator="lessThan" aboveAverage="0" dxfId="9" text="" percent="0" bottom="0">
      <formula>MaliyetEsik</formula>
    </cfRule>
  </conditionalFormatting>
  <conditionalFormatting sqref="D940">
    <cfRule type="cellIs" rank="0" priority="2791" equalAverage="0" operator="lessThan" aboveAverage="0" dxfId="10" text="" percent="0" bottom="0">
      <formula>18</formula>
    </cfRule>
  </conditionalFormatting>
  <conditionalFormatting sqref="B941">
    <cfRule type="cellIs" rank="0" priority="2792" equalAverage="0" operator="greaterThan" aboveAverage="0" dxfId="8" text="" percent="0" bottom="0">
      <formula>0</formula>
    </cfRule>
    <cfRule type="cellIs" rank="0" priority="2793" equalAverage="0" operator="lessThan" aboveAverage="0" dxfId="9" text="" percent="0" bottom="0">
      <formula>MaliyetEsik</formula>
    </cfRule>
  </conditionalFormatting>
  <conditionalFormatting sqref="D941">
    <cfRule type="cellIs" rank="0" priority="2794" equalAverage="0" operator="lessThan" aboveAverage="0" dxfId="10" text="" percent="0" bottom="0">
      <formula>18</formula>
    </cfRule>
  </conditionalFormatting>
  <conditionalFormatting sqref="B942">
    <cfRule type="cellIs" rank="0" priority="2795" equalAverage="0" operator="greaterThan" aboveAverage="0" dxfId="8" text="" percent="0" bottom="0">
      <formula>0</formula>
    </cfRule>
    <cfRule type="cellIs" rank="0" priority="2796" equalAverage="0" operator="lessThan" aboveAverage="0" dxfId="9" text="" percent="0" bottom="0">
      <formula>MaliyetEsik</formula>
    </cfRule>
  </conditionalFormatting>
  <conditionalFormatting sqref="D942">
    <cfRule type="cellIs" rank="0" priority="2797" equalAverage="0" operator="lessThan" aboveAverage="0" dxfId="10" text="" percent="0" bottom="0">
      <formula>18</formula>
    </cfRule>
  </conditionalFormatting>
  <conditionalFormatting sqref="B943">
    <cfRule type="cellIs" rank="0" priority="2798" equalAverage="0" operator="greaterThan" aboveAverage="0" dxfId="8" text="" percent="0" bottom="0">
      <formula>0</formula>
    </cfRule>
    <cfRule type="cellIs" rank="0" priority="2799" equalAverage="0" operator="lessThan" aboveAverage="0" dxfId="9" text="" percent="0" bottom="0">
      <formula>MaliyetEsik</formula>
    </cfRule>
  </conditionalFormatting>
  <conditionalFormatting sqref="D943">
    <cfRule type="cellIs" rank="0" priority="2800" equalAverage="0" operator="lessThan" aboveAverage="0" dxfId="10" text="" percent="0" bottom="0">
      <formula>18</formula>
    </cfRule>
  </conditionalFormatting>
  <conditionalFormatting sqref="B944">
    <cfRule type="cellIs" rank="0" priority="2801" equalAverage="0" operator="greaterThan" aboveAverage="0" dxfId="8" text="" percent="0" bottom="0">
      <formula>0</formula>
    </cfRule>
    <cfRule type="cellIs" rank="0" priority="2802" equalAverage="0" operator="lessThan" aboveAverage="0" dxfId="9" text="" percent="0" bottom="0">
      <formula>MaliyetEsik</formula>
    </cfRule>
  </conditionalFormatting>
  <conditionalFormatting sqref="D944">
    <cfRule type="cellIs" rank="0" priority="2803" equalAverage="0" operator="lessThan" aboveAverage="0" dxfId="10" text="" percent="0" bottom="0">
      <formula>18</formula>
    </cfRule>
  </conditionalFormatting>
  <conditionalFormatting sqref="B945">
    <cfRule type="cellIs" rank="0" priority="2804" equalAverage="0" operator="greaterThan" aboveAverage="0" dxfId="8" text="" percent="0" bottom="0">
      <formula>0</formula>
    </cfRule>
    <cfRule type="cellIs" rank="0" priority="2805" equalAverage="0" operator="lessThan" aboveAverage="0" dxfId="9" text="" percent="0" bottom="0">
      <formula>MaliyetEsik</formula>
    </cfRule>
  </conditionalFormatting>
  <conditionalFormatting sqref="D945">
    <cfRule type="cellIs" rank="0" priority="2806" equalAverage="0" operator="lessThan" aboveAverage="0" dxfId="10" text="" percent="0" bottom="0">
      <formula>18</formula>
    </cfRule>
  </conditionalFormatting>
  <conditionalFormatting sqref="B946">
    <cfRule type="cellIs" rank="0" priority="2807" equalAverage="0" operator="greaterThan" aboveAverage="0" dxfId="8" text="" percent="0" bottom="0">
      <formula>0</formula>
    </cfRule>
    <cfRule type="cellIs" rank="0" priority="2808" equalAverage="0" operator="lessThan" aboveAverage="0" dxfId="9" text="" percent="0" bottom="0">
      <formula>MaliyetEsik</formula>
    </cfRule>
  </conditionalFormatting>
  <conditionalFormatting sqref="D946">
    <cfRule type="cellIs" rank="0" priority="2809" equalAverage="0" operator="lessThan" aboveAverage="0" dxfId="10" text="" percent="0" bottom="0">
      <formula>18</formula>
    </cfRule>
  </conditionalFormatting>
  <conditionalFormatting sqref="B947">
    <cfRule type="cellIs" rank="0" priority="2810" equalAverage="0" operator="greaterThan" aboveAverage="0" dxfId="8" text="" percent="0" bottom="0">
      <formula>0</formula>
    </cfRule>
    <cfRule type="cellIs" rank="0" priority="2811" equalAverage="0" operator="lessThan" aboveAverage="0" dxfId="9" text="" percent="0" bottom="0">
      <formula>MaliyetEsik</formula>
    </cfRule>
  </conditionalFormatting>
  <conditionalFormatting sqref="D947">
    <cfRule type="cellIs" rank="0" priority="2812" equalAverage="0" operator="lessThan" aboveAverage="0" dxfId="10" text="" percent="0" bottom="0">
      <formula>18</formula>
    </cfRule>
  </conditionalFormatting>
  <conditionalFormatting sqref="B948">
    <cfRule type="cellIs" rank="0" priority="2813" equalAverage="0" operator="greaterThan" aboveAverage="0" dxfId="8" text="" percent="0" bottom="0">
      <formula>0</formula>
    </cfRule>
    <cfRule type="cellIs" rank="0" priority="2814" equalAverage="0" operator="lessThan" aboveAverage="0" dxfId="9" text="" percent="0" bottom="0">
      <formula>MaliyetEsik</formula>
    </cfRule>
  </conditionalFormatting>
  <conditionalFormatting sqref="D948">
    <cfRule type="cellIs" rank="0" priority="2815" equalAverage="0" operator="lessThan" aboveAverage="0" dxfId="10" text="" percent="0" bottom="0">
      <formula>18</formula>
    </cfRule>
  </conditionalFormatting>
  <conditionalFormatting sqref="B949">
    <cfRule type="cellIs" rank="0" priority="2816" equalAverage="0" operator="greaterThan" aboveAverage="0" dxfId="8" text="" percent="0" bottom="0">
      <formula>0</formula>
    </cfRule>
    <cfRule type="cellIs" rank="0" priority="2817" equalAverage="0" operator="lessThan" aboveAverage="0" dxfId="9" text="" percent="0" bottom="0">
      <formula>MaliyetEsik</formula>
    </cfRule>
  </conditionalFormatting>
  <conditionalFormatting sqref="D949">
    <cfRule type="cellIs" rank="0" priority="2818" equalAverage="0" operator="lessThan" aboveAverage="0" dxfId="10" text="" percent="0" bottom="0">
      <formula>18</formula>
    </cfRule>
  </conditionalFormatting>
  <conditionalFormatting sqref="B950">
    <cfRule type="cellIs" rank="0" priority="2819" equalAverage="0" operator="greaterThan" aboveAverage="0" dxfId="8" text="" percent="0" bottom="0">
      <formula>0</formula>
    </cfRule>
    <cfRule type="cellIs" rank="0" priority="2820" equalAverage="0" operator="lessThan" aboveAverage="0" dxfId="9" text="" percent="0" bottom="0">
      <formula>MaliyetEsik</formula>
    </cfRule>
  </conditionalFormatting>
  <conditionalFormatting sqref="D950">
    <cfRule type="cellIs" rank="0" priority="2821" equalAverage="0" operator="lessThan" aboveAverage="0" dxfId="10" text="" percent="0" bottom="0">
      <formula>18</formula>
    </cfRule>
  </conditionalFormatting>
  <conditionalFormatting sqref="B951">
    <cfRule type="cellIs" rank="0" priority="2822" equalAverage="0" operator="greaterThan" aboveAverage="0" dxfId="8" text="" percent="0" bottom="0">
      <formula>0</formula>
    </cfRule>
    <cfRule type="cellIs" rank="0" priority="2823" equalAverage="0" operator="lessThan" aboveAverage="0" dxfId="9" text="" percent="0" bottom="0">
      <formula>MaliyetEsik</formula>
    </cfRule>
  </conditionalFormatting>
  <conditionalFormatting sqref="D951">
    <cfRule type="cellIs" rank="0" priority="2824" equalAverage="0" operator="lessThan" aboveAverage="0" dxfId="10" text="" percent="0" bottom="0">
      <formula>18</formula>
    </cfRule>
  </conditionalFormatting>
  <conditionalFormatting sqref="B952">
    <cfRule type="cellIs" rank="0" priority="2825" equalAverage="0" operator="greaterThan" aboveAverage="0" dxfId="8" text="" percent="0" bottom="0">
      <formula>0</formula>
    </cfRule>
    <cfRule type="cellIs" rank="0" priority="2826" equalAverage="0" operator="lessThan" aboveAverage="0" dxfId="9" text="" percent="0" bottom="0">
      <formula>MaliyetEsik</formula>
    </cfRule>
  </conditionalFormatting>
  <conditionalFormatting sqref="D952">
    <cfRule type="cellIs" rank="0" priority="2827" equalAverage="0" operator="lessThan" aboveAverage="0" dxfId="10" text="" percent="0" bottom="0">
      <formula>18</formula>
    </cfRule>
  </conditionalFormatting>
  <conditionalFormatting sqref="B953">
    <cfRule type="cellIs" rank="0" priority="2828" equalAverage="0" operator="greaterThan" aboveAverage="0" dxfId="8" text="" percent="0" bottom="0">
      <formula>0</formula>
    </cfRule>
    <cfRule type="cellIs" rank="0" priority="2829" equalAverage="0" operator="lessThan" aboveAverage="0" dxfId="9" text="" percent="0" bottom="0">
      <formula>MaliyetEsik</formula>
    </cfRule>
  </conditionalFormatting>
  <conditionalFormatting sqref="D953">
    <cfRule type="cellIs" rank="0" priority="2830" equalAverage="0" operator="lessThan" aboveAverage="0" dxfId="10" text="" percent="0" bottom="0">
      <formula>18</formula>
    </cfRule>
  </conditionalFormatting>
  <conditionalFormatting sqref="B954">
    <cfRule type="cellIs" rank="0" priority="2831" equalAverage="0" operator="greaterThan" aboveAverage="0" dxfId="8" text="" percent="0" bottom="0">
      <formula>0</formula>
    </cfRule>
    <cfRule type="cellIs" rank="0" priority="2832" equalAverage="0" operator="lessThan" aboveAverage="0" dxfId="9" text="" percent="0" bottom="0">
      <formula>MaliyetEsik</formula>
    </cfRule>
  </conditionalFormatting>
  <conditionalFormatting sqref="D954">
    <cfRule type="cellIs" rank="0" priority="2833" equalAverage="0" operator="lessThan" aboveAverage="0" dxfId="10" text="" percent="0" bottom="0">
      <formula>18</formula>
    </cfRule>
  </conditionalFormatting>
  <conditionalFormatting sqref="B955">
    <cfRule type="cellIs" rank="0" priority="2834" equalAverage="0" operator="greaterThan" aboveAverage="0" dxfId="8" text="" percent="0" bottom="0">
      <formula>0</formula>
    </cfRule>
    <cfRule type="cellIs" rank="0" priority="2835" equalAverage="0" operator="lessThan" aboveAverage="0" dxfId="9" text="" percent="0" bottom="0">
      <formula>MaliyetEsik</formula>
    </cfRule>
  </conditionalFormatting>
  <conditionalFormatting sqref="D955">
    <cfRule type="cellIs" rank="0" priority="2836" equalAverage="0" operator="lessThan" aboveAverage="0" dxfId="10" text="" percent="0" bottom="0">
      <formula>18</formula>
    </cfRule>
  </conditionalFormatting>
  <conditionalFormatting sqref="B956">
    <cfRule type="cellIs" rank="0" priority="2837" equalAverage="0" operator="greaterThan" aboveAverage="0" dxfId="8" text="" percent="0" bottom="0">
      <formula>0</formula>
    </cfRule>
    <cfRule type="cellIs" rank="0" priority="2838" equalAverage="0" operator="lessThan" aboveAverage="0" dxfId="9" text="" percent="0" bottom="0">
      <formula>MaliyetEsik</formula>
    </cfRule>
  </conditionalFormatting>
  <conditionalFormatting sqref="D956">
    <cfRule type="cellIs" rank="0" priority="2839" equalAverage="0" operator="lessThan" aboveAverage="0" dxfId="10" text="" percent="0" bottom="0">
      <formula>18</formula>
    </cfRule>
  </conditionalFormatting>
  <conditionalFormatting sqref="B957">
    <cfRule type="cellIs" rank="0" priority="2840" equalAverage="0" operator="greaterThan" aboveAverage="0" dxfId="8" text="" percent="0" bottom="0">
      <formula>0</formula>
    </cfRule>
    <cfRule type="cellIs" rank="0" priority="2841" equalAverage="0" operator="lessThan" aboveAverage="0" dxfId="9" text="" percent="0" bottom="0">
      <formula>MaliyetEsik</formula>
    </cfRule>
  </conditionalFormatting>
  <conditionalFormatting sqref="D957">
    <cfRule type="cellIs" rank="0" priority="2842" equalAverage="0" operator="lessThan" aboveAverage="0" dxfId="10" text="" percent="0" bottom="0">
      <formula>18</formula>
    </cfRule>
  </conditionalFormatting>
  <conditionalFormatting sqref="B958">
    <cfRule type="cellIs" rank="0" priority="2843" equalAverage="0" operator="greaterThan" aboveAverage="0" dxfId="8" text="" percent="0" bottom="0">
      <formula>0</formula>
    </cfRule>
    <cfRule type="cellIs" rank="0" priority="2844" equalAverage="0" operator="lessThan" aboveAverage="0" dxfId="9" text="" percent="0" bottom="0">
      <formula>MaliyetEsik</formula>
    </cfRule>
  </conditionalFormatting>
  <conditionalFormatting sqref="D958">
    <cfRule type="cellIs" rank="0" priority="2845" equalAverage="0" operator="lessThan" aboveAverage="0" dxfId="10" text="" percent="0" bottom="0">
      <formula>18</formula>
    </cfRule>
  </conditionalFormatting>
  <conditionalFormatting sqref="B959">
    <cfRule type="cellIs" rank="0" priority="2846" equalAverage="0" operator="greaterThan" aboveAverage="0" dxfId="8" text="" percent="0" bottom="0">
      <formula>0</formula>
    </cfRule>
    <cfRule type="cellIs" rank="0" priority="2847" equalAverage="0" operator="lessThan" aboveAverage="0" dxfId="9" text="" percent="0" bottom="0">
      <formula>MaliyetEsik</formula>
    </cfRule>
  </conditionalFormatting>
  <conditionalFormatting sqref="D959">
    <cfRule type="cellIs" rank="0" priority="2848" equalAverage="0" operator="lessThan" aboveAverage="0" dxfId="10" text="" percent="0" bottom="0">
      <formula>18</formula>
    </cfRule>
  </conditionalFormatting>
  <conditionalFormatting sqref="B960">
    <cfRule type="cellIs" rank="0" priority="2849" equalAverage="0" operator="greaterThan" aboveAverage="0" dxfId="8" text="" percent="0" bottom="0">
      <formula>0</formula>
    </cfRule>
    <cfRule type="cellIs" rank="0" priority="2850" equalAverage="0" operator="lessThan" aboveAverage="0" dxfId="9" text="" percent="0" bottom="0">
      <formula>MaliyetEsik</formula>
    </cfRule>
  </conditionalFormatting>
  <conditionalFormatting sqref="D960">
    <cfRule type="cellIs" rank="0" priority="2851" equalAverage="0" operator="lessThan" aboveAverage="0" dxfId="10" text="" percent="0" bottom="0">
      <formula>18</formula>
    </cfRule>
  </conditionalFormatting>
  <conditionalFormatting sqref="B961">
    <cfRule type="cellIs" rank="0" priority="2852" equalAverage="0" operator="greaterThan" aboveAverage="0" dxfId="8" text="" percent="0" bottom="0">
      <formula>0</formula>
    </cfRule>
    <cfRule type="cellIs" rank="0" priority="2853" equalAverage="0" operator="lessThan" aboveAverage="0" dxfId="9" text="" percent="0" bottom="0">
      <formula>MaliyetEsik</formula>
    </cfRule>
  </conditionalFormatting>
  <conditionalFormatting sqref="D961">
    <cfRule type="cellIs" rank="0" priority="2854" equalAverage="0" operator="lessThan" aboveAverage="0" dxfId="10" text="" percent="0" bottom="0">
      <formula>18</formula>
    </cfRule>
  </conditionalFormatting>
  <conditionalFormatting sqref="B962">
    <cfRule type="cellIs" rank="0" priority="2855" equalAverage="0" operator="greaterThan" aboveAverage="0" dxfId="8" text="" percent="0" bottom="0">
      <formula>0</formula>
    </cfRule>
    <cfRule type="cellIs" rank="0" priority="2856" equalAverage="0" operator="lessThan" aboveAverage="0" dxfId="9" text="" percent="0" bottom="0">
      <formula>MaliyetEsik</formula>
    </cfRule>
  </conditionalFormatting>
  <conditionalFormatting sqref="D962">
    <cfRule type="cellIs" rank="0" priority="2857" equalAverage="0" operator="lessThan" aboveAverage="0" dxfId="10" text="" percent="0" bottom="0">
      <formula>18</formula>
    </cfRule>
  </conditionalFormatting>
  <conditionalFormatting sqref="B963">
    <cfRule type="cellIs" rank="0" priority="2858" equalAverage="0" operator="greaterThan" aboveAverage="0" dxfId="8" text="" percent="0" bottom="0">
      <formula>0</formula>
    </cfRule>
    <cfRule type="cellIs" rank="0" priority="2859" equalAverage="0" operator="lessThan" aboveAverage="0" dxfId="9" text="" percent="0" bottom="0">
      <formula>MaliyetEsik</formula>
    </cfRule>
  </conditionalFormatting>
  <conditionalFormatting sqref="D963">
    <cfRule type="cellIs" rank="0" priority="2860" equalAverage="0" operator="lessThan" aboveAverage="0" dxfId="10" text="" percent="0" bottom="0">
      <formula>18</formula>
    </cfRule>
  </conditionalFormatting>
  <conditionalFormatting sqref="B964">
    <cfRule type="cellIs" rank="0" priority="2861" equalAverage="0" operator="greaterThan" aboveAverage="0" dxfId="8" text="" percent="0" bottom="0">
      <formula>0</formula>
    </cfRule>
    <cfRule type="cellIs" rank="0" priority="2862" equalAverage="0" operator="lessThan" aboveAverage="0" dxfId="9" text="" percent="0" bottom="0">
      <formula>MaliyetEsik</formula>
    </cfRule>
  </conditionalFormatting>
  <conditionalFormatting sqref="D964">
    <cfRule type="cellIs" rank="0" priority="2863" equalAverage="0" operator="lessThan" aboveAverage="0" dxfId="10" text="" percent="0" bottom="0">
      <formula>18</formula>
    </cfRule>
  </conditionalFormatting>
  <conditionalFormatting sqref="B965">
    <cfRule type="cellIs" rank="0" priority="2864" equalAverage="0" operator="greaterThan" aboveAverage="0" dxfId="8" text="" percent="0" bottom="0">
      <formula>0</formula>
    </cfRule>
    <cfRule type="cellIs" rank="0" priority="2865" equalAverage="0" operator="lessThan" aboveAverage="0" dxfId="9" text="" percent="0" bottom="0">
      <formula>MaliyetEsik</formula>
    </cfRule>
  </conditionalFormatting>
  <conditionalFormatting sqref="D965">
    <cfRule type="cellIs" rank="0" priority="2866" equalAverage="0" operator="lessThan" aboveAverage="0" dxfId="10" text="" percent="0" bottom="0">
      <formula>18</formula>
    </cfRule>
  </conditionalFormatting>
  <conditionalFormatting sqref="B966">
    <cfRule type="cellIs" rank="0" priority="2867" equalAverage="0" operator="greaterThan" aboveAverage="0" dxfId="8" text="" percent="0" bottom="0">
      <formula>0</formula>
    </cfRule>
    <cfRule type="cellIs" rank="0" priority="2868" equalAverage="0" operator="lessThan" aboveAverage="0" dxfId="9" text="" percent="0" bottom="0">
      <formula>MaliyetEsik</formula>
    </cfRule>
  </conditionalFormatting>
  <conditionalFormatting sqref="D966">
    <cfRule type="cellIs" rank="0" priority="2869" equalAverage="0" operator="lessThan" aboveAverage="0" dxfId="10" text="" percent="0" bottom="0">
      <formula>18</formula>
    </cfRule>
  </conditionalFormatting>
  <conditionalFormatting sqref="B967">
    <cfRule type="cellIs" rank="0" priority="2870" equalAverage="0" operator="greaterThan" aboveAverage="0" dxfId="8" text="" percent="0" bottom="0">
      <formula>0</formula>
    </cfRule>
    <cfRule type="cellIs" rank="0" priority="2871" equalAverage="0" operator="lessThan" aboveAverage="0" dxfId="9" text="" percent="0" bottom="0">
      <formula>MaliyetEsik</formula>
    </cfRule>
  </conditionalFormatting>
  <conditionalFormatting sqref="D967">
    <cfRule type="cellIs" rank="0" priority="2872" equalAverage="0" operator="lessThan" aboveAverage="0" dxfId="10" text="" percent="0" bottom="0">
      <formula>18</formula>
    </cfRule>
  </conditionalFormatting>
  <conditionalFormatting sqref="B968">
    <cfRule type="cellIs" rank="0" priority="2873" equalAverage="0" operator="greaterThan" aboveAverage="0" dxfId="8" text="" percent="0" bottom="0">
      <formula>0</formula>
    </cfRule>
    <cfRule type="cellIs" rank="0" priority="2874" equalAverage="0" operator="lessThan" aboveAverage="0" dxfId="9" text="" percent="0" bottom="0">
      <formula>MaliyetEsik</formula>
    </cfRule>
  </conditionalFormatting>
  <conditionalFormatting sqref="D968">
    <cfRule type="cellIs" rank="0" priority="2875" equalAverage="0" operator="lessThan" aboveAverage="0" dxfId="10" text="" percent="0" bottom="0">
      <formula>18</formula>
    </cfRule>
  </conditionalFormatting>
  <conditionalFormatting sqref="B969">
    <cfRule type="cellIs" rank="0" priority="2876" equalAverage="0" operator="greaterThan" aboveAverage="0" dxfId="8" text="" percent="0" bottom="0">
      <formula>0</formula>
    </cfRule>
    <cfRule type="cellIs" rank="0" priority="2877" equalAverage="0" operator="lessThan" aboveAverage="0" dxfId="9" text="" percent="0" bottom="0">
      <formula>MaliyetEsik</formula>
    </cfRule>
  </conditionalFormatting>
  <conditionalFormatting sqref="D969">
    <cfRule type="cellIs" rank="0" priority="2878" equalAverage="0" operator="lessThan" aboveAverage="0" dxfId="10" text="" percent="0" bottom="0">
      <formula>18</formula>
    </cfRule>
  </conditionalFormatting>
  <conditionalFormatting sqref="B970">
    <cfRule type="cellIs" rank="0" priority="2879" equalAverage="0" operator="greaterThan" aboveAverage="0" dxfId="8" text="" percent="0" bottom="0">
      <formula>0</formula>
    </cfRule>
    <cfRule type="cellIs" rank="0" priority="2880" equalAverage="0" operator="lessThan" aboveAverage="0" dxfId="9" text="" percent="0" bottom="0">
      <formula>MaliyetEsik</formula>
    </cfRule>
  </conditionalFormatting>
  <conditionalFormatting sqref="D970">
    <cfRule type="cellIs" rank="0" priority="2881" equalAverage="0" operator="lessThan" aboveAverage="0" dxfId="10" text="" percent="0" bottom="0">
      <formula>18</formula>
    </cfRule>
  </conditionalFormatting>
  <conditionalFormatting sqref="B971">
    <cfRule type="cellIs" rank="0" priority="2882" equalAverage="0" operator="greaterThan" aboveAverage="0" dxfId="8" text="" percent="0" bottom="0">
      <formula>0</formula>
    </cfRule>
    <cfRule type="cellIs" rank="0" priority="2883" equalAverage="0" operator="lessThan" aboveAverage="0" dxfId="9" text="" percent="0" bottom="0">
      <formula>MaliyetEsik</formula>
    </cfRule>
  </conditionalFormatting>
  <conditionalFormatting sqref="D971">
    <cfRule type="cellIs" rank="0" priority="2884" equalAverage="0" operator="lessThan" aboveAverage="0" dxfId="10" text="" percent="0" bottom="0">
      <formula>18</formula>
    </cfRule>
  </conditionalFormatting>
  <conditionalFormatting sqref="B972">
    <cfRule type="cellIs" rank="0" priority="2885" equalAverage="0" operator="greaterThan" aboveAverage="0" dxfId="8" text="" percent="0" bottom="0">
      <formula>0</formula>
    </cfRule>
    <cfRule type="cellIs" rank="0" priority="2886" equalAverage="0" operator="lessThan" aboveAverage="0" dxfId="9" text="" percent="0" bottom="0">
      <formula>MaliyetEsik</formula>
    </cfRule>
  </conditionalFormatting>
  <conditionalFormatting sqref="D972">
    <cfRule type="cellIs" rank="0" priority="2887" equalAverage="0" operator="lessThan" aboveAverage="0" dxfId="10" text="" percent="0" bottom="0">
      <formula>18</formula>
    </cfRule>
  </conditionalFormatting>
  <conditionalFormatting sqref="B973">
    <cfRule type="cellIs" rank="0" priority="2888" equalAverage="0" operator="greaterThan" aboveAverage="0" dxfId="8" text="" percent="0" bottom="0">
      <formula>0</formula>
    </cfRule>
    <cfRule type="cellIs" rank="0" priority="2889" equalAverage="0" operator="lessThan" aboveAverage="0" dxfId="9" text="" percent="0" bottom="0">
      <formula>MaliyetEsik</formula>
    </cfRule>
  </conditionalFormatting>
  <conditionalFormatting sqref="D973">
    <cfRule type="cellIs" rank="0" priority="2890" equalAverage="0" operator="lessThan" aboveAverage="0" dxfId="10" text="" percent="0" bottom="0">
      <formula>18</formula>
    </cfRule>
  </conditionalFormatting>
  <conditionalFormatting sqref="B974">
    <cfRule type="cellIs" rank="0" priority="2891" equalAverage="0" operator="greaterThan" aboveAverage="0" dxfId="8" text="" percent="0" bottom="0">
      <formula>0</formula>
    </cfRule>
    <cfRule type="cellIs" rank="0" priority="2892" equalAverage="0" operator="lessThan" aboveAverage="0" dxfId="9" text="" percent="0" bottom="0">
      <formula>MaliyetEsik</formula>
    </cfRule>
  </conditionalFormatting>
  <conditionalFormatting sqref="D974">
    <cfRule type="cellIs" rank="0" priority="2893" equalAverage="0" operator="lessThan" aboveAverage="0" dxfId="10" text="" percent="0" bottom="0">
      <formula>18</formula>
    </cfRule>
  </conditionalFormatting>
  <conditionalFormatting sqref="B975">
    <cfRule type="cellIs" rank="0" priority="2894" equalAverage="0" operator="greaterThan" aboveAverage="0" dxfId="8" text="" percent="0" bottom="0">
      <formula>0</formula>
    </cfRule>
    <cfRule type="cellIs" rank="0" priority="2895" equalAverage="0" operator="lessThan" aboveAverage="0" dxfId="9" text="" percent="0" bottom="0">
      <formula>MaliyetEsik</formula>
    </cfRule>
  </conditionalFormatting>
  <conditionalFormatting sqref="D975">
    <cfRule type="cellIs" rank="0" priority="2896" equalAverage="0" operator="lessThan" aboveAverage="0" dxfId="10" text="" percent="0" bottom="0">
      <formula>18</formula>
    </cfRule>
  </conditionalFormatting>
  <conditionalFormatting sqref="B976">
    <cfRule type="cellIs" rank="0" priority="2897" equalAverage="0" operator="greaterThan" aboveAverage="0" dxfId="8" text="" percent="0" bottom="0">
      <formula>0</formula>
    </cfRule>
    <cfRule type="cellIs" rank="0" priority="2898" equalAverage="0" operator="lessThan" aboveAverage="0" dxfId="9" text="" percent="0" bottom="0">
      <formula>MaliyetEsik</formula>
    </cfRule>
  </conditionalFormatting>
  <conditionalFormatting sqref="D976">
    <cfRule type="cellIs" rank="0" priority="2899" equalAverage="0" operator="lessThan" aboveAverage="0" dxfId="10" text="" percent="0" bottom="0">
      <formula>18</formula>
    </cfRule>
  </conditionalFormatting>
  <conditionalFormatting sqref="B977">
    <cfRule type="cellIs" rank="0" priority="2900" equalAverage="0" operator="greaterThan" aboveAverage="0" dxfId="8" text="" percent="0" bottom="0">
      <formula>0</formula>
    </cfRule>
    <cfRule type="cellIs" rank="0" priority="2901" equalAverage="0" operator="lessThan" aboveAverage="0" dxfId="9" text="" percent="0" bottom="0">
      <formula>MaliyetEsik</formula>
    </cfRule>
  </conditionalFormatting>
  <conditionalFormatting sqref="D977">
    <cfRule type="cellIs" rank="0" priority="2902" equalAverage="0" operator="lessThan" aboveAverage="0" dxfId="10" text="" percent="0" bottom="0">
      <formula>18</formula>
    </cfRule>
  </conditionalFormatting>
  <conditionalFormatting sqref="B978">
    <cfRule type="cellIs" rank="0" priority="2903" equalAverage="0" operator="greaterThan" aboveAverage="0" dxfId="8" text="" percent="0" bottom="0">
      <formula>0</formula>
    </cfRule>
    <cfRule type="cellIs" rank="0" priority="2904" equalAverage="0" operator="lessThan" aboveAverage="0" dxfId="9" text="" percent="0" bottom="0">
      <formula>MaliyetEsik</formula>
    </cfRule>
  </conditionalFormatting>
  <conditionalFormatting sqref="D978">
    <cfRule type="cellIs" rank="0" priority="2905" equalAverage="0" operator="lessThan" aboveAverage="0" dxfId="10" text="" percent="0" bottom="0">
      <formula>18</formula>
    </cfRule>
  </conditionalFormatting>
  <conditionalFormatting sqref="B979">
    <cfRule type="cellIs" rank="0" priority="2906" equalAverage="0" operator="greaterThan" aboveAverage="0" dxfId="8" text="" percent="0" bottom="0">
      <formula>0</formula>
    </cfRule>
    <cfRule type="cellIs" rank="0" priority="2907" equalAverage="0" operator="lessThan" aboveAverage="0" dxfId="9" text="" percent="0" bottom="0">
      <formula>MaliyetEsik</formula>
    </cfRule>
  </conditionalFormatting>
  <conditionalFormatting sqref="D979">
    <cfRule type="cellIs" rank="0" priority="2908" equalAverage="0" operator="lessThan" aboveAverage="0" dxfId="10" text="" percent="0" bottom="0">
      <formula>18</formula>
    </cfRule>
  </conditionalFormatting>
  <conditionalFormatting sqref="B980">
    <cfRule type="cellIs" rank="0" priority="2909" equalAverage="0" operator="greaterThan" aboveAverage="0" dxfId="8" text="" percent="0" bottom="0">
      <formula>0</formula>
    </cfRule>
    <cfRule type="cellIs" rank="0" priority="2910" equalAverage="0" operator="lessThan" aboveAverage="0" dxfId="9" text="" percent="0" bottom="0">
      <formula>MaliyetEsik</formula>
    </cfRule>
  </conditionalFormatting>
  <conditionalFormatting sqref="D980">
    <cfRule type="cellIs" rank="0" priority="2911" equalAverage="0" operator="lessThan" aboveAverage="0" dxfId="10" text="" percent="0" bottom="0">
      <formula>18</formula>
    </cfRule>
  </conditionalFormatting>
  <conditionalFormatting sqref="B981">
    <cfRule type="cellIs" rank="0" priority="2912" equalAverage="0" operator="greaterThan" aboveAverage="0" dxfId="8" text="" percent="0" bottom="0">
      <formula>0</formula>
    </cfRule>
    <cfRule type="cellIs" rank="0" priority="2913" equalAverage="0" operator="lessThan" aboveAverage="0" dxfId="9" text="" percent="0" bottom="0">
      <formula>MaliyetEsik</formula>
    </cfRule>
  </conditionalFormatting>
  <conditionalFormatting sqref="D981">
    <cfRule type="cellIs" rank="0" priority="2914" equalAverage="0" operator="lessThan" aboveAverage="0" dxfId="10" text="" percent="0" bottom="0">
      <formula>18</formula>
    </cfRule>
  </conditionalFormatting>
  <conditionalFormatting sqref="B982">
    <cfRule type="cellIs" rank="0" priority="2915" equalAverage="0" operator="greaterThan" aboveAverage="0" dxfId="8" text="" percent="0" bottom="0">
      <formula>0</formula>
    </cfRule>
    <cfRule type="cellIs" rank="0" priority="2916" equalAverage="0" operator="lessThan" aboveAverage="0" dxfId="9" text="" percent="0" bottom="0">
      <formula>MaliyetEsik</formula>
    </cfRule>
  </conditionalFormatting>
  <conditionalFormatting sqref="D982">
    <cfRule type="cellIs" rank="0" priority="2917" equalAverage="0" operator="lessThan" aboveAverage="0" dxfId="10" text="" percent="0" bottom="0">
      <formula>18</formula>
    </cfRule>
  </conditionalFormatting>
  <conditionalFormatting sqref="B983">
    <cfRule type="cellIs" rank="0" priority="2918" equalAverage="0" operator="greaterThan" aboveAverage="0" dxfId="8" text="" percent="0" bottom="0">
      <formula>0</formula>
    </cfRule>
    <cfRule type="cellIs" rank="0" priority="2919" equalAverage="0" operator="lessThan" aboveAverage="0" dxfId="9" text="" percent="0" bottom="0">
      <formula>MaliyetEsik</formula>
    </cfRule>
  </conditionalFormatting>
  <conditionalFormatting sqref="D983">
    <cfRule type="cellIs" rank="0" priority="2920" equalAverage="0" operator="lessThan" aboveAverage="0" dxfId="10" text="" percent="0" bottom="0">
      <formula>18</formula>
    </cfRule>
  </conditionalFormatting>
  <conditionalFormatting sqref="B984">
    <cfRule type="cellIs" rank="0" priority="2921" equalAverage="0" operator="greaterThan" aboveAverage="0" dxfId="8" text="" percent="0" bottom="0">
      <formula>0</formula>
    </cfRule>
    <cfRule type="cellIs" rank="0" priority="2922" equalAverage="0" operator="lessThan" aboveAverage="0" dxfId="9" text="" percent="0" bottom="0">
      <formula>MaliyetEsik</formula>
    </cfRule>
  </conditionalFormatting>
  <conditionalFormatting sqref="D984">
    <cfRule type="cellIs" rank="0" priority="2923" equalAverage="0" operator="lessThan" aboveAverage="0" dxfId="10" text="" percent="0" bottom="0">
      <formula>18</formula>
    </cfRule>
  </conditionalFormatting>
  <conditionalFormatting sqref="B985">
    <cfRule type="cellIs" rank="0" priority="2924" equalAverage="0" operator="greaterThan" aboveAverage="0" dxfId="8" text="" percent="0" bottom="0">
      <formula>0</formula>
    </cfRule>
    <cfRule type="cellIs" rank="0" priority="2925" equalAverage="0" operator="lessThan" aboveAverage="0" dxfId="9" text="" percent="0" bottom="0">
      <formula>MaliyetEsik</formula>
    </cfRule>
  </conditionalFormatting>
  <conditionalFormatting sqref="D985">
    <cfRule type="cellIs" rank="0" priority="2926" equalAverage="0" operator="lessThan" aboveAverage="0" dxfId="10" text="" percent="0" bottom="0">
      <formula>18</formula>
    </cfRule>
  </conditionalFormatting>
  <conditionalFormatting sqref="B986">
    <cfRule type="cellIs" rank="0" priority="2927" equalAverage="0" operator="greaterThan" aboveAverage="0" dxfId="8" text="" percent="0" bottom="0">
      <formula>0</formula>
    </cfRule>
    <cfRule type="cellIs" rank="0" priority="2928" equalAverage="0" operator="lessThan" aboveAverage="0" dxfId="9" text="" percent="0" bottom="0">
      <formula>MaliyetEsik</formula>
    </cfRule>
  </conditionalFormatting>
  <conditionalFormatting sqref="D986">
    <cfRule type="cellIs" rank="0" priority="2929" equalAverage="0" operator="lessThan" aboveAverage="0" dxfId="10" text="" percent="0" bottom="0">
      <formula>18</formula>
    </cfRule>
  </conditionalFormatting>
  <conditionalFormatting sqref="B987">
    <cfRule type="cellIs" rank="0" priority="2930" equalAverage="0" operator="greaterThan" aboveAverage="0" dxfId="8" text="" percent="0" bottom="0">
      <formula>0</formula>
    </cfRule>
    <cfRule type="cellIs" rank="0" priority="2931" equalAverage="0" operator="lessThan" aboveAverage="0" dxfId="9" text="" percent="0" bottom="0">
      <formula>MaliyetEsik</formula>
    </cfRule>
  </conditionalFormatting>
  <conditionalFormatting sqref="D987">
    <cfRule type="cellIs" rank="0" priority="2932" equalAverage="0" operator="lessThan" aboveAverage="0" dxfId="10" text="" percent="0" bottom="0">
      <formula>18</formula>
    </cfRule>
  </conditionalFormatting>
  <conditionalFormatting sqref="B988">
    <cfRule type="cellIs" rank="0" priority="2933" equalAverage="0" operator="greaterThan" aboveAverage="0" dxfId="8" text="" percent="0" bottom="0">
      <formula>0</formula>
    </cfRule>
    <cfRule type="cellIs" rank="0" priority="2934" equalAverage="0" operator="lessThan" aboveAverage="0" dxfId="9" text="" percent="0" bottom="0">
      <formula>MaliyetEsik</formula>
    </cfRule>
  </conditionalFormatting>
  <conditionalFormatting sqref="D988">
    <cfRule type="cellIs" rank="0" priority="2935" equalAverage="0" operator="lessThan" aboveAverage="0" dxfId="10" text="" percent="0" bottom="0">
      <formula>18</formula>
    </cfRule>
  </conditionalFormatting>
  <conditionalFormatting sqref="B989">
    <cfRule type="cellIs" rank="0" priority="2936" equalAverage="0" operator="greaterThan" aboveAverage="0" dxfId="8" text="" percent="0" bottom="0">
      <formula>0</formula>
    </cfRule>
    <cfRule type="cellIs" rank="0" priority="2937" equalAverage="0" operator="lessThan" aboveAverage="0" dxfId="9" text="" percent="0" bottom="0">
      <formula>MaliyetEsik</formula>
    </cfRule>
  </conditionalFormatting>
  <conditionalFormatting sqref="D989">
    <cfRule type="cellIs" rank="0" priority="2938" equalAverage="0" operator="lessThan" aboveAverage="0" dxfId="10" text="" percent="0" bottom="0">
      <formula>18</formula>
    </cfRule>
  </conditionalFormatting>
  <conditionalFormatting sqref="B990">
    <cfRule type="cellIs" rank="0" priority="2939" equalAverage="0" operator="greaterThan" aboveAverage="0" dxfId="8" text="" percent="0" bottom="0">
      <formula>0</formula>
    </cfRule>
    <cfRule type="cellIs" rank="0" priority="2940" equalAverage="0" operator="lessThan" aboveAverage="0" dxfId="9" text="" percent="0" bottom="0">
      <formula>MaliyetEsik</formula>
    </cfRule>
  </conditionalFormatting>
  <conditionalFormatting sqref="D990">
    <cfRule type="cellIs" rank="0" priority="2941" equalAverage="0" operator="lessThan" aboveAverage="0" dxfId="10" text="" percent="0" bottom="0">
      <formula>18</formula>
    </cfRule>
  </conditionalFormatting>
  <conditionalFormatting sqref="B991">
    <cfRule type="cellIs" rank="0" priority="2942" equalAverage="0" operator="greaterThan" aboveAverage="0" dxfId="8" text="" percent="0" bottom="0">
      <formula>0</formula>
    </cfRule>
    <cfRule type="cellIs" rank="0" priority="2943" equalAverage="0" operator="lessThan" aboveAverage="0" dxfId="9" text="" percent="0" bottom="0">
      <formula>MaliyetEsik</formula>
    </cfRule>
  </conditionalFormatting>
  <conditionalFormatting sqref="D991">
    <cfRule type="cellIs" rank="0" priority="2944" equalAverage="0" operator="lessThan" aboveAverage="0" dxfId="10" text="" percent="0" bottom="0">
      <formula>18</formula>
    </cfRule>
  </conditionalFormatting>
  <conditionalFormatting sqref="B992">
    <cfRule type="cellIs" rank="0" priority="2945" equalAverage="0" operator="greaterThan" aboveAverage="0" dxfId="8" text="" percent="0" bottom="0">
      <formula>0</formula>
    </cfRule>
    <cfRule type="cellIs" rank="0" priority="2946" equalAverage="0" operator="lessThan" aboveAverage="0" dxfId="9" text="" percent="0" bottom="0">
      <formula>MaliyetEsik</formula>
    </cfRule>
  </conditionalFormatting>
  <conditionalFormatting sqref="D992">
    <cfRule type="cellIs" rank="0" priority="2947" equalAverage="0" operator="lessThan" aboveAverage="0" dxfId="10" text="" percent="0" bottom="0">
      <formula>18</formula>
    </cfRule>
  </conditionalFormatting>
  <conditionalFormatting sqref="B993">
    <cfRule type="cellIs" rank="0" priority="2948" equalAverage="0" operator="greaterThan" aboveAverage="0" dxfId="8" text="" percent="0" bottom="0">
      <formula>0</formula>
    </cfRule>
    <cfRule type="cellIs" rank="0" priority="2949" equalAverage="0" operator="lessThan" aboveAverage="0" dxfId="9" text="" percent="0" bottom="0">
      <formula>MaliyetEsik</formula>
    </cfRule>
  </conditionalFormatting>
  <conditionalFormatting sqref="D993">
    <cfRule type="cellIs" rank="0" priority="2950" equalAverage="0" operator="lessThan" aboveAverage="0" dxfId="10" text="" percent="0" bottom="0">
      <formula>18</formula>
    </cfRule>
  </conditionalFormatting>
  <conditionalFormatting sqref="B994">
    <cfRule type="cellIs" rank="0" priority="2951" equalAverage="0" operator="greaterThan" aboveAverage="0" dxfId="8" text="" percent="0" bottom="0">
      <formula>0</formula>
    </cfRule>
    <cfRule type="cellIs" rank="0" priority="2952" equalAverage="0" operator="lessThan" aboveAverage="0" dxfId="9" text="" percent="0" bottom="0">
      <formula>MaliyetEsik</formula>
    </cfRule>
  </conditionalFormatting>
  <conditionalFormatting sqref="D994">
    <cfRule type="cellIs" rank="0" priority="2953" equalAverage="0" operator="lessThan" aboveAverage="0" dxfId="10" text="" percent="0" bottom="0">
      <formula>18</formula>
    </cfRule>
  </conditionalFormatting>
  <conditionalFormatting sqref="B995">
    <cfRule type="cellIs" rank="0" priority="2954" equalAverage="0" operator="greaterThan" aboveAverage="0" dxfId="8" text="" percent="0" bottom="0">
      <formula>0</formula>
    </cfRule>
    <cfRule type="cellIs" rank="0" priority="2955" equalAverage="0" operator="lessThan" aboveAverage="0" dxfId="9" text="" percent="0" bottom="0">
      <formula>MaliyetEsik</formula>
    </cfRule>
  </conditionalFormatting>
  <conditionalFormatting sqref="D995">
    <cfRule type="cellIs" rank="0" priority="2956" equalAverage="0" operator="lessThan" aboveAverage="0" dxfId="10" text="" percent="0" bottom="0">
      <formula>18</formula>
    </cfRule>
  </conditionalFormatting>
  <conditionalFormatting sqref="B996">
    <cfRule type="cellIs" rank="0" priority="2957" equalAverage="0" operator="greaterThan" aboveAverage="0" dxfId="8" text="" percent="0" bottom="0">
      <formula>0</formula>
    </cfRule>
    <cfRule type="cellIs" rank="0" priority="2958" equalAverage="0" operator="lessThan" aboveAverage="0" dxfId="9" text="" percent="0" bottom="0">
      <formula>MaliyetEsik</formula>
    </cfRule>
  </conditionalFormatting>
  <conditionalFormatting sqref="D996">
    <cfRule type="cellIs" rank="0" priority="2959" equalAverage="0" operator="lessThan" aboveAverage="0" dxfId="10" text="" percent="0" bottom="0">
      <formula>18</formula>
    </cfRule>
  </conditionalFormatting>
  <conditionalFormatting sqref="B997">
    <cfRule type="cellIs" rank="0" priority="2960" equalAverage="0" operator="greaterThan" aboveAverage="0" dxfId="8" text="" percent="0" bottom="0">
      <formula>0</formula>
    </cfRule>
    <cfRule type="cellIs" rank="0" priority="2961" equalAverage="0" operator="lessThan" aboveAverage="0" dxfId="9" text="" percent="0" bottom="0">
      <formula>MaliyetEsik</formula>
    </cfRule>
  </conditionalFormatting>
  <conditionalFormatting sqref="D997">
    <cfRule type="cellIs" rank="0" priority="2962" equalAverage="0" operator="lessThan" aboveAverage="0" dxfId="10" text="" percent="0" bottom="0">
      <formula>18</formula>
    </cfRule>
  </conditionalFormatting>
  <conditionalFormatting sqref="B998">
    <cfRule type="cellIs" rank="0" priority="2963" equalAverage="0" operator="greaterThan" aboveAverage="0" dxfId="8" text="" percent="0" bottom="0">
      <formula>0</formula>
    </cfRule>
    <cfRule type="cellIs" rank="0" priority="2964" equalAverage="0" operator="lessThan" aboveAverage="0" dxfId="9" text="" percent="0" bottom="0">
      <formula>MaliyetEsik</formula>
    </cfRule>
  </conditionalFormatting>
  <conditionalFormatting sqref="D998">
    <cfRule type="cellIs" rank="0" priority="2965" equalAverage="0" operator="lessThan" aboveAverage="0" dxfId="10" text="" percent="0" bottom="0">
      <formula>18</formula>
    </cfRule>
  </conditionalFormatting>
  <conditionalFormatting sqref="B999">
    <cfRule type="cellIs" rank="0" priority="2966" equalAverage="0" operator="greaterThan" aboveAverage="0" dxfId="8" text="" percent="0" bottom="0">
      <formula>0</formula>
    </cfRule>
    <cfRule type="cellIs" rank="0" priority="2967" equalAverage="0" operator="lessThan" aboveAverage="0" dxfId="9" text="" percent="0" bottom="0">
      <formula>MaliyetEsik</formula>
    </cfRule>
  </conditionalFormatting>
  <conditionalFormatting sqref="D999">
    <cfRule type="cellIs" rank="0" priority="2968" equalAverage="0" operator="lessThan" aboveAverage="0" dxfId="10" text="" percent="0" bottom="0">
      <formula>18</formula>
    </cfRule>
  </conditionalFormatting>
  <conditionalFormatting sqref="B1000">
    <cfRule type="cellIs" rank="0" priority="2969" equalAverage="0" operator="greaterThan" aboveAverage="0" dxfId="8" text="" percent="0" bottom="0">
      <formula>0</formula>
    </cfRule>
    <cfRule type="cellIs" rank="0" priority="2970" equalAverage="0" operator="lessThan" aboveAverage="0" dxfId="9" text="" percent="0" bottom="0">
      <formula>MaliyetEsik</formula>
    </cfRule>
  </conditionalFormatting>
  <conditionalFormatting sqref="D1000">
    <cfRule type="cellIs" rank="0" priority="2971" equalAverage="0" operator="lessThan" aboveAverage="0" dxfId="10" text="" percent="0" bottom="0">
      <formula>18</formula>
    </cfRule>
  </conditionalFormatting>
  <conditionalFormatting sqref="B1001">
    <cfRule type="cellIs" rank="0" priority="2972" equalAverage="0" operator="greaterThan" aboveAverage="0" dxfId="8" text="" percent="0" bottom="0">
      <formula>0</formula>
    </cfRule>
    <cfRule type="cellIs" rank="0" priority="2973" equalAverage="0" operator="lessThan" aboveAverage="0" dxfId="9" text="" percent="0" bottom="0">
      <formula>MaliyetEsik</formula>
    </cfRule>
  </conditionalFormatting>
  <conditionalFormatting sqref="D1001">
    <cfRule type="cellIs" rank="0" priority="2974" equalAverage="0" operator="lessThan" aboveAverage="0" dxfId="10" text="" percent="0" bottom="0">
      <formula>18</formula>
    </cfRule>
  </conditionalFormatting>
  <conditionalFormatting sqref="B1002">
    <cfRule type="cellIs" rank="0" priority="2975" equalAverage="0" operator="greaterThan" aboveAverage="0" dxfId="8" text="" percent="0" bottom="0">
      <formula>0</formula>
    </cfRule>
    <cfRule type="cellIs" rank="0" priority="2976" equalAverage="0" operator="lessThan" aboveAverage="0" dxfId="9" text="" percent="0" bottom="0">
      <formula>MaliyetEsik</formula>
    </cfRule>
  </conditionalFormatting>
  <conditionalFormatting sqref="D1002">
    <cfRule type="cellIs" rank="0" priority="2977" equalAverage="0" operator="lessThan" aboveAverage="0" dxfId="10" text="" percent="0" bottom="0">
      <formula>18</formula>
    </cfRule>
  </conditionalFormatting>
  <conditionalFormatting sqref="B1003">
    <cfRule type="cellIs" rank="0" priority="2978" equalAverage="0" operator="greaterThan" aboveAverage="0" dxfId="8" text="" percent="0" bottom="0">
      <formula>0</formula>
    </cfRule>
    <cfRule type="cellIs" rank="0" priority="2979" equalAverage="0" operator="lessThan" aboveAverage="0" dxfId="9" text="" percent="0" bottom="0">
      <formula>MaliyetEsik</formula>
    </cfRule>
  </conditionalFormatting>
  <conditionalFormatting sqref="D1003">
    <cfRule type="cellIs" rank="0" priority="2980" equalAverage="0" operator="lessThan" aboveAverage="0" dxfId="10" text="" percent="0" bottom="0">
      <formula>18</formula>
    </cfRule>
  </conditionalFormatting>
  <conditionalFormatting sqref="B1004">
    <cfRule type="cellIs" rank="0" priority="2981" equalAverage="0" operator="greaterThan" aboveAverage="0" dxfId="8" text="" percent="0" bottom="0">
      <formula>0</formula>
    </cfRule>
    <cfRule type="cellIs" rank="0" priority="2982" equalAverage="0" operator="lessThan" aboveAverage="0" dxfId="9" text="" percent="0" bottom="0">
      <formula>MaliyetEsik</formula>
    </cfRule>
  </conditionalFormatting>
  <conditionalFormatting sqref="D1004">
    <cfRule type="cellIs" rank="0" priority="2983" equalAverage="0" operator="lessThan" aboveAverage="0" dxfId="10" text="" percent="0" bottom="0">
      <formula>18</formula>
    </cfRule>
  </conditionalFormatting>
  <conditionalFormatting sqref="B1005">
    <cfRule type="cellIs" rank="0" priority="2984" equalAverage="0" operator="greaterThan" aboveAverage="0" dxfId="8" text="" percent="0" bottom="0">
      <formula>0</formula>
    </cfRule>
    <cfRule type="cellIs" rank="0" priority="2985" equalAverage="0" operator="lessThan" aboveAverage="0" dxfId="9" text="" percent="0" bottom="0">
      <formula>MaliyetEsik</formula>
    </cfRule>
  </conditionalFormatting>
  <conditionalFormatting sqref="D1005">
    <cfRule type="cellIs" rank="0" priority="2986" equalAverage="0" operator="lessThan" aboveAverage="0" dxfId="10" text="" percent="0" bottom="0">
      <formula>18</formula>
    </cfRule>
  </conditionalFormatting>
  <conditionalFormatting sqref="B1006">
    <cfRule type="cellIs" rank="0" priority="2987" equalAverage="0" operator="greaterThan" aboveAverage="0" dxfId="8" text="" percent="0" bottom="0">
      <formula>0</formula>
    </cfRule>
    <cfRule type="cellIs" rank="0" priority="2988" equalAverage="0" operator="lessThan" aboveAverage="0" dxfId="9" text="" percent="0" bottom="0">
      <formula>MaliyetEsik</formula>
    </cfRule>
  </conditionalFormatting>
  <conditionalFormatting sqref="D1006">
    <cfRule type="cellIs" rank="0" priority="2989" equalAverage="0" operator="lessThan" aboveAverage="0" dxfId="10" text="" percent="0" bottom="0">
      <formula>18</formula>
    </cfRule>
  </conditionalFormatting>
  <conditionalFormatting sqref="B1007">
    <cfRule type="cellIs" rank="0" priority="2990" equalAverage="0" operator="greaterThan" aboveAverage="0" dxfId="8" text="" percent="0" bottom="0">
      <formula>0</formula>
    </cfRule>
    <cfRule type="cellIs" rank="0" priority="2991" equalAverage="0" operator="lessThan" aboveAverage="0" dxfId="9" text="" percent="0" bottom="0">
      <formula>MaliyetEsik</formula>
    </cfRule>
  </conditionalFormatting>
  <conditionalFormatting sqref="D1007">
    <cfRule type="cellIs" rank="0" priority="2992" equalAverage="0" operator="lessThan" aboveAverage="0" dxfId="10" text="" percent="0" bottom="0">
      <formula>18</formula>
    </cfRule>
  </conditionalFormatting>
  <conditionalFormatting sqref="B1008">
    <cfRule type="cellIs" rank="0" priority="2993" equalAverage="0" operator="greaterThan" aboveAverage="0" dxfId="8" text="" percent="0" bottom="0">
      <formula>0</formula>
    </cfRule>
    <cfRule type="cellIs" rank="0" priority="2994" equalAverage="0" operator="lessThan" aboveAverage="0" dxfId="9" text="" percent="0" bottom="0">
      <formula>MaliyetEsik</formula>
    </cfRule>
  </conditionalFormatting>
  <conditionalFormatting sqref="D1008">
    <cfRule type="cellIs" rank="0" priority="2995" equalAverage="0" operator="lessThan" aboveAverage="0" dxfId="10" text="" percent="0" bottom="0">
      <formula>18</formula>
    </cfRule>
  </conditionalFormatting>
  <conditionalFormatting sqref="B1009">
    <cfRule type="cellIs" rank="0" priority="2996" equalAverage="0" operator="greaterThan" aboveAverage="0" dxfId="8" text="" percent="0" bottom="0">
      <formula>0</formula>
    </cfRule>
    <cfRule type="cellIs" rank="0" priority="2997" equalAverage="0" operator="lessThan" aboveAverage="0" dxfId="9" text="" percent="0" bottom="0">
      <formula>MaliyetEsik</formula>
    </cfRule>
  </conditionalFormatting>
  <conditionalFormatting sqref="D1009">
    <cfRule type="cellIs" rank="0" priority="2998" equalAverage="0" operator="lessThan" aboveAverage="0" dxfId="10" text="" percent="0" bottom="0">
      <formula>18</formula>
    </cfRule>
  </conditionalFormatting>
  <conditionalFormatting sqref="B1010">
    <cfRule type="cellIs" rank="0" priority="2999" equalAverage="0" operator="greaterThan" aboveAverage="0" dxfId="8" text="" percent="0" bottom="0">
      <formula>0</formula>
    </cfRule>
    <cfRule type="cellIs" rank="0" priority="3000" equalAverage="0" operator="lessThan" aboveAverage="0" dxfId="9" text="" percent="0" bottom="0">
      <formula>MaliyetEsik</formula>
    </cfRule>
  </conditionalFormatting>
  <conditionalFormatting sqref="D1010">
    <cfRule type="cellIs" rank="0" priority="3001" equalAverage="0" operator="lessThan" aboveAverage="0" dxfId="10" text="" percent="0" bottom="0">
      <formula>18</formula>
    </cfRule>
  </conditionalFormatting>
  <dataValidations count="1004">
    <dataValidation sqref="B4" showDropDown="0" showInputMessage="1" showErrorMessage="1" allowBlank="1" errorTitle="Geçersiz değer" error="Metin girin." promptTitle="Firma Unvanı" prompt="İşletmenin ticari unvanı" type="list" errorStyle="stop" operator="between">
      <formula1>ListeMetin</formula1>
      <formula2>0</formula2>
    </dataValidation>
    <dataValidation sqref="B5" showDropDown="0" showInputMessage="1" showErrorMessage="1" allowBlank="1" errorTitle="Geçersiz değer" error="Metin girin." promptTitle="SGK Sicil Numarası" prompt="İşveren SGK sicil numarası" type="list" errorStyle="stop" operator="between">
      <formula1>ListeMetin</formula1>
      <formula2>0</formula2>
    </dataValidation>
    <dataValidation sqref="B6" showDropDown="0" showInputMessage="1" showErrorMessage="1" allowBlank="1" errorTitle="Geçersiz değer" error="Değer 0'dan büyük olmalı." promptTitle="Aylık Prim Gün Sayısı (Toplam)" prompt="Aylık toplam prim günü" type="whole" errorStyle="stop" operator="greaterThan">
      <formula1>0</formula1>
      <formula2>0</formula2>
    </dataValidation>
    <dataValidation sqref="B7" showDropDown="0" showInputMessage="1" showErrorMessage="1" allowBlank="1" errorTitle="Geçersiz değer" error="Değer 0'dan büyük olmalı." promptTitle="Ortalama Çalışan Sayısı" prompt="Ay ortalaması çalışan sayısı" type="whole" errorStyle="stop" operator="greaterThan">
      <formula1>0</formula1>
      <formula2>0</formula2>
    </dataValidation>
    <dataValidation sqref="F11:H11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12:H12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13:H13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14:H14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15:H15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16:H16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17:H17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18:H18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19:H19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20:H20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21:H21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22:H22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23:H23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24:H24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25:H25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26:H26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27:H27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28:H28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29:H29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30:H30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31:H31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32:H32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33:H33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34:H34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35:H35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36:H36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37:H37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38:H38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39:H39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40:H40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41:H41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42:H42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43:H43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44:H44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45:H45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46:H46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47:H47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48:H48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49:H49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50:H50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51:H51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52:H52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53:H53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54:H54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55:H55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56:H56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57:H57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58:H58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59:H59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60:H60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61:H61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62:H62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63:H63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64:H64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65:H65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66:H66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67:H67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68:H68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69:H69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70:H70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71:H71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72:H72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73:H73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74:H74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75:H75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76:H76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77:H77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78:H78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79:H79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80:H80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81:H81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82:H82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83:H83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84:H84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85:H85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86:H86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87:H87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88:H88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89:H89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90:H90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91:H91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92:H92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93:H93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94:H94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95:H95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96:H96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97:H97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98:H98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99:H99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100:H100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101:H101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102:H102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103:H103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104:H104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105:H105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106:H106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107:H107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108:H108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109:H109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110:H110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111:H111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112:H112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113:H113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114:H114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115:H115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116:H116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117:H117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118:H118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119:H119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120:H120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121:H121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122:H122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123:H123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124:H124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125:H125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126:H126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127:H127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128:H128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129:H129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130:H130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131:H131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132:H132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133:H133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134:H134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135:H135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136:H136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137:H137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138:H138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139:H139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140:H140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141:H141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142:H142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143:H143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144:H144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145:H145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146:H146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147:H147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148:H148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149:H149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150:H150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151:H151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152:H152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153:H153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154:H154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155:H155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156:H156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157:H157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158:H158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159:H159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160:H160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161:H161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162:H162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163:H163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164:H164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165:H165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166:H166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167:H167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168:H168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169:H169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170:H170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171:H171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172:H172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173:H173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174:H174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175:H175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176:H176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177:H177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178:H178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179:H179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180:H180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181:H181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182:H182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183:H183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184:H184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185:H185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186:H186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187:H187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188:H188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189:H189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190:H190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191:H191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192:H192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193:H193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194:H194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195:H195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196:H196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197:H197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198:H198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199:H199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200:H200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201:H201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202:H202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203:H203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204:H204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205:H205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206:H206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207:H207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208:H208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209:H209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210:H210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211:H211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212:H212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213:H213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214:H214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215:H215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216:H216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217:H217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218:H218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219:H219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220:H220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221:H221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222:H222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223:H223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224:H224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225:H225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226:H226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227:H227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228:H228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229:H229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230:H230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231:H231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232:H232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233:H233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234:H234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235:H235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236:H236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237:H237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238:H238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239:H239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240:H240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241:H241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242:H242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243:H243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244:H244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245:H245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246:H246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247:H247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248:H248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249:H249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250:H250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251:H251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252:H252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253:H253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254:H254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255:H255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256:H256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257:H257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258:H258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259:H259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260:H260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261:H261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262:H262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263:H263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264:H264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265:H265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266:H266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267:H267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268:H268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269:H269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270:H270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271:H271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272:H272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273:H273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274:H274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275:H275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276:H276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277:H277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278:H278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279:H279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280:H280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281:H281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282:H282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283:H283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284:H284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285:H285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286:H286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287:H287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288:H288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289:H289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290:H290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291:H291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292:H292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293:H293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294:H294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295:H295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296:H296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297:H297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298:H298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299:H299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300:H300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301:H301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302:H302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303:H303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304:H304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305:H305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306:H306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307:H307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308:H308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309:H309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310:H310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311:H311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312:H312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313:H313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314:H314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315:H315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316:H316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317:H317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318:H318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319:H319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320:H320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321:H321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322:H322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323:H323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324:H324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325:H325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326:H326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327:H327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328:H328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329:H329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330:H330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331:H331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332:H332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333:H333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334:H334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335:H335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336:H336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337:H337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338:H338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339:H339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340:H340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341:H341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342:H342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343:H343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344:H344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345:H345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346:H346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347:H347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348:H348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349:H349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350:H350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351:H351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352:H352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353:H353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354:H354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355:H355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356:H356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357:H357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358:H358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359:H359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360:H360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361:H361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362:H362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363:H363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364:H364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365:H365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366:H366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367:H367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368:H368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369:H369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370:H370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371:H371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372:H372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373:H373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374:H374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375:H375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376:H376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377:H377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378:H378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379:H379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380:H380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381:H381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382:H382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383:H383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384:H384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385:H385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386:H386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387:H387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388:H388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389:H389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390:H390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391:H391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392:H392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393:H393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394:H394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395:H395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396:H396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397:H397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398:H398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399:H399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400:H400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401:H401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402:H402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403:H403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404:H404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405:H405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406:H406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407:H407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408:H408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409:H409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410:H410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411:H411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412:H412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413:H413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414:H414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415:H415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416:H416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417:H417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418:H418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419:H419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420:H420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421:H421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422:H422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423:H423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424:H424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425:H425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426:H426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427:H427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428:H428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429:H429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430:H430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431:H431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432:H432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433:H433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434:H434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435:H435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436:H436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437:H437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438:H438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439:H439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440:H440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441:H441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442:H442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443:H443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444:H444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445:H445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446:H446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447:H447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448:H448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449:H449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450:H450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451:H451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452:H452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453:H453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454:H454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455:H455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456:H456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457:H457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458:H458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459:H459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460:H460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461:H461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462:H462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463:H463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464:H464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465:H465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466:H466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467:H467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468:H468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469:H469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470:H470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471:H471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472:H472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473:H473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474:H474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475:H475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476:H476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477:H477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478:H478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479:H479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480:H480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481:H481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482:H482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483:H483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484:H484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485:H485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486:H486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487:H487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488:H488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489:H489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490:H490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491:H491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492:H492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493:H493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494:H494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495:H495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496:H496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497:H497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498:H498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499:H499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500:H500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501:H501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502:H502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503:H503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504:H504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505:H505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506:H506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507:H507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508:H508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509:H509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510:H510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511:H511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512:H512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513:H513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514:H514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515:H515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516:H516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517:H517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518:H518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519:H519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520:H520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521:H521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522:H522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523:H523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524:H524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525:H525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526:H526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527:H527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528:H528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529:H529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530:H530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531:H531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532:H532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533:H533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534:H534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535:H535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536:H536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537:H537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538:H538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539:H539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540:H540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541:H541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542:H542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543:H543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544:H544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545:H545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546:H546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547:H547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548:H548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549:H549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550:H550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551:H551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552:H552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553:H553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554:H554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555:H555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556:H556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557:H557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558:H558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559:H559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560:H560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561:H561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562:H562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563:H563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564:H564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565:H565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566:H566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567:H567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568:H568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569:H569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570:H570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571:H571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572:H572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573:H573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574:H574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575:H575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576:H576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577:H577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578:H578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579:H579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580:H580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581:H581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582:H582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583:H583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584:H584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585:H585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586:H586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587:H587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588:H588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589:H589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590:H590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591:H591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592:H592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593:H593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594:H594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595:H595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596:H596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597:H597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598:H598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599:H599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600:H600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601:H601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602:H602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603:H603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604:H604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605:H605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606:H606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607:H607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608:H608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609:H609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610:H610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611:H611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612:H612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613:H613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614:H614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615:H615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616:H616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617:H617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618:H618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619:H619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620:H620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621:H621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622:H622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623:H623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624:H624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625:H625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626:H626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627:H627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628:H628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629:H629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630:H630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631:H631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632:H632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633:H633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634:H634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635:H635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636:H636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637:H637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638:H638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639:H639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640:H640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641:H641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642:H642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643:H643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644:H644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645:H645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646:H646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647:H647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648:H648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649:H649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650:H650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651:H651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652:H652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653:H653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654:H654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655:H655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656:H656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657:H657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658:H658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659:H659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660:H660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661:H661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662:H662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663:H663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664:H664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665:H665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666:H666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667:H667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668:H668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669:H669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670:H670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671:H671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672:H672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673:H673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674:H674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675:H675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676:H676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677:H677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678:H678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679:H679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680:H680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681:H681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682:H682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683:H683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684:H684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685:H685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686:H686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687:H687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688:H688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689:H689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690:H690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691:H691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692:H692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693:H693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694:H694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695:H695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696:H696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697:H697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698:H698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699:H699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700:H700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701:H701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702:H702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703:H703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704:H704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705:H705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706:H706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707:H707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708:H708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709:H709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710:H710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711:H711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712:H712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713:H713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714:H714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715:H715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716:H716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717:H717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718:H718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719:H719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720:H720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721:H721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722:H722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723:H723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724:H724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725:H725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726:H726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727:H727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728:H728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729:H729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730:H730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731:H731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732:H732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733:H733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734:H734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735:H735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736:H736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737:H737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738:H738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739:H739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740:H740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741:H741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742:H742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743:H743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744:H744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745:H745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746:H746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747:H747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748:H748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749:H749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750:H750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751:H751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752:H752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753:H753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754:H754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755:H755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756:H756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757:H757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758:H758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759:H759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760:H760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761:H761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762:H762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763:H763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764:H764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765:H765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766:H766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767:H767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768:H768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769:H769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770:H770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771:H771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772:H772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773:H773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774:H774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775:H775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776:H776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777:H777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778:H778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779:H779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780:H780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781:H781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782:H782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783:H783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784:H784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785:H785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786:H786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787:H787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788:H788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789:H789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790:H790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791:H791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792:H792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793:H793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794:H794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795:H795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796:H796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797:H797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798:H798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799:H799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800:H800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801:H801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802:H802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803:H803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804:H804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805:H805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806:H806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807:H807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808:H808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809:H809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810:H810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811:H811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812:H812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813:H813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814:H814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815:H815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816:H816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817:H817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818:H818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819:H819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820:H820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821:H821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822:H822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823:H823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824:H824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825:H825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826:H826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827:H827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828:H828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829:H829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830:H830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831:H831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832:H832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833:H833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834:H834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835:H835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836:H836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837:H837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838:H838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839:H839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840:H840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841:H841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842:H842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843:H843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844:H844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845:H845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846:H846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847:H847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848:H848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849:H849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850:H850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851:H851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852:H852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853:H853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854:H854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855:H855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856:H856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857:H857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858:H858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859:H859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860:H860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861:H861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862:H862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863:H863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864:H864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865:H865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866:H866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867:H867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868:H868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869:H869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870:H870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871:H871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872:H872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873:H873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874:H874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875:H875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876:H876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877:H877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878:H878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879:H879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880:H880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881:H881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882:H882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883:H883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884:H884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885:H885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886:H886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887:H887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888:H888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889:H889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890:H890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891:H891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892:H892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893:H893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894:H894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895:H895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896:H896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897:H897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898:H898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899:H899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900:H900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901:H901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902:H902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903:H903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904:H904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905:H905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906:H906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907:H907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908:H908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909:H909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910:H910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911:H911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912:H912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913:H913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914:H914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915:H915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916:H916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917:H917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918:H918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919:H919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920:H920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921:H921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922:H922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923:H923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924:H924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925:H925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926:H926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927:H927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928:H928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929:H929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930:H930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931:H931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932:H932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933:H933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934:H934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935:H935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936:H936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937:H937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938:H938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939:H939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940:H940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941:H941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942:H942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943:H943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944:H944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945:H945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946:H946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947:H947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948:H948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949:H949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950:H950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951:H951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952:H952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953:H953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954:H954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955:H955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956:H956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957:H957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958:H958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959:H959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960:H960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961:H961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962:H962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963:H963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964:H964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965:H965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966:H966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967:H967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968:H968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969:H969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970:H970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971:H971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972:H972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973:H973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974:H974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975:H975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976:H976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977:H977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978:H978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979:H979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980:H980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981:H981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982:H982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983:H983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984:H984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985:H985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986:H986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987:H987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988:H988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989:H989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990:H990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991:H991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992:H992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993:H993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994:H994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995:H995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996:H996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997:H997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998:H998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999:H999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1000:H1000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1001:H1001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1002:H1002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1003:H1003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1004:H1004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1005:H1005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1006:H1006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1007:H1007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1008:H1008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1009:H1009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  <dataValidation sqref="F1010:H1010" showDropDown="0" showInputMessage="1" showErrorMessage="1" allowBlank="1" errorTitle="Geçersiz seçim" error="Evet veya Hayır seçin." promptTitle="Evet / Hayır" prompt="Sadece listeden seçim yapın." type="list" errorStyle="stop" operator="between">
      <formula1>ListeEvetHayir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AN100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40" customWidth="1" style="88" min="1" max="1"/>
    <col width="14" customWidth="1" style="88" min="2" max="2"/>
    <col width="15" customWidth="1" style="88" min="3" max="6"/>
    <col width="18" customWidth="1" style="88" min="7" max="8"/>
  </cols>
  <sheetData>
    <row r="1" ht="25.5" customHeight="1" s="62">
      <c r="A1" s="100" t="inlineStr">
        <is>
          <t>GERCEK MALIYET — KAÇIRILAN SGK TEŞVİKLERİ &amp; GERÇEK İŞÇİLİK MALİYETİ ANALİZİ</t>
        </is>
      </c>
    </row>
    <row r="3" ht="15" customHeight="1" s="62">
      <c r="A3" s="101" t="inlineStr">
        <is>
          <t>Gerçek İşçilik Maliyeti Hesapları</t>
        </is>
      </c>
    </row>
    <row r="4" ht="15" customHeight="1" s="62">
      <c r="A4" s="95" t="inlineStr">
        <is>
          <t>İşveren yükü (SGK + işsizlik), kıdem karşılığı ve yan fayda brüt ücrete eklenir; sonuç çalışanın işletmeye gerçek aylık/yıllık maliyetidir.</t>
        </is>
      </c>
    </row>
    <row r="6" ht="30" customHeight="1" s="62">
      <c r="A6" s="106" t="inlineStr">
        <is>
          <t>Çalışan Adı</t>
        </is>
      </c>
      <c r="B6" s="106" t="inlineStr">
        <is>
          <t>Brüt Ücret (₺)</t>
        </is>
      </c>
      <c r="C6" s="106" t="inlineStr">
        <is>
          <t>SGK İşveren Payı (₺)</t>
        </is>
      </c>
      <c r="D6" s="106" t="inlineStr">
        <is>
          <t>İşsizlik Payı (₺)</t>
        </is>
      </c>
      <c r="E6" s="106" t="inlineStr">
        <is>
          <t>Kıdem Karşılığı (₺)</t>
        </is>
      </c>
      <c r="F6" s="106" t="inlineStr">
        <is>
          <t>Yan Fayda (₺)</t>
        </is>
      </c>
      <c r="G6" s="106" t="inlineStr">
        <is>
          <t>Aylık Gerçek Maliyet (₺)</t>
        </is>
      </c>
      <c r="H6" s="106" t="inlineStr">
        <is>
          <t>Yıllık Gerçek Maliyet (₺)</t>
        </is>
      </c>
    </row>
    <row r="7" ht="15" customHeight="1" s="62">
      <c r="A7" s="107" t="inlineStr">
        <is>
          <t>Ali Yılmaz</t>
        </is>
      </c>
      <c r="B7" s="110">
        <f>IFERROR(IF($A7="","",IFERROR(INDEX(tblCalisan[Brüt Ücret (₺)],MATCH($A7,tblCalisan[Çalışan Adı],0)),"")),"")</f>
        <v/>
      </c>
      <c r="C7" s="110">
        <f>IF($A7="","",IFERROR($B7*IsverenPayiOrani,""))</f>
        <v/>
      </c>
      <c r="D7" s="110">
        <f>IF($A7="","",IFERROR($B7*IssizlikOrani,""))</f>
        <v/>
      </c>
      <c r="E7" s="110">
        <f>IF($A7="","",IFERROR($B7*KidemKarsilikOrani,""))</f>
        <v/>
      </c>
      <c r="F7" s="108" t="n">
        <v>3000</v>
      </c>
      <c r="G7" s="110">
        <f>IF($A7="","",IFERROR($B7+$C7+$D7+$E7+$F7,""))</f>
        <v/>
      </c>
      <c r="H7" s="110">
        <f>IF($A7="","",IFERROR($G7*AySayisi,""))</f>
        <v/>
      </c>
    </row>
    <row r="8" ht="15" customHeight="1" s="62">
      <c r="A8" s="107" t="inlineStr">
        <is>
          <t>Ayşe Demir</t>
        </is>
      </c>
      <c r="B8" s="110">
        <f>IFERROR(IF($A8="","",IFERROR(INDEX(tblCalisan[Brüt Ücret (₺)],MATCH($A8,tblCalisan[Çalışan Adı],0)),"")),"")</f>
        <v/>
      </c>
      <c r="C8" s="110">
        <f>IF($A8="","",IFERROR($B8*IsverenPayiOrani,""))</f>
        <v/>
      </c>
      <c r="D8" s="110">
        <f>IF($A8="","",IFERROR($B8*IssizlikOrani,""))</f>
        <v/>
      </c>
      <c r="E8" s="110">
        <f>IF($A8="","",IFERROR($B8*KidemKarsilikOrani,""))</f>
        <v/>
      </c>
      <c r="F8" s="108" t="n">
        <v>3000</v>
      </c>
      <c r="G8" s="110">
        <f>IF($A8="","",IFERROR($B8+$C8+$D8+$E8+$F8,""))</f>
        <v/>
      </c>
      <c r="H8" s="110">
        <f>IF($A8="","",IFERROR($G8*AySayisi,""))</f>
        <v/>
      </c>
    </row>
    <row r="9" ht="15" customHeight="1" s="62">
      <c r="A9" s="107" t="inlineStr">
        <is>
          <t>Mehmet Kaya</t>
        </is>
      </c>
      <c r="B9" s="110">
        <f>IFERROR(IF($A9="","",IFERROR(INDEX(tblCalisan[Brüt Ücret (₺)],MATCH($A9,tblCalisan[Çalışan Adı],0)),"")),"")</f>
        <v/>
      </c>
      <c r="C9" s="110">
        <f>IF($A9="","",IFERROR($B9*IsverenPayiOrani,""))</f>
        <v/>
      </c>
      <c r="D9" s="110">
        <f>IF($A9="","",IFERROR($B9*IssizlikOrani,""))</f>
        <v/>
      </c>
      <c r="E9" s="110">
        <f>IF($A9="","",IFERROR($B9*KidemKarsilikOrani,""))</f>
        <v/>
      </c>
      <c r="F9" s="108" t="n">
        <v>3000</v>
      </c>
      <c r="G9" s="110">
        <f>IF($A9="","",IFERROR($B9+$C9+$D9+$E9+$F9,""))</f>
        <v/>
      </c>
      <c r="H9" s="110">
        <f>IF($A9="","",IFERROR($G9*AySayisi,""))</f>
        <v/>
      </c>
    </row>
    <row r="10" ht="15" customHeight="1" s="62">
      <c r="A10" s="107" t="inlineStr">
        <is>
          <t>Zeynep Şahin</t>
        </is>
      </c>
      <c r="B10" s="110">
        <f>IFERROR(IF($A10="","",IFERROR(INDEX(tblCalisan[Brüt Ücret (₺)],MATCH($A10,tblCalisan[Çalışan Adı],0)),"")),"")</f>
        <v/>
      </c>
      <c r="C10" s="110">
        <f>IF($A10="","",IFERROR($B10*IsverenPayiOrani,""))</f>
        <v/>
      </c>
      <c r="D10" s="110">
        <f>IF($A10="","",IFERROR($B10*IssizlikOrani,""))</f>
        <v/>
      </c>
      <c r="E10" s="110">
        <f>IF($A10="","",IFERROR($B10*KidemKarsilikOrani,""))</f>
        <v/>
      </c>
      <c r="F10" s="108" t="n">
        <v>3000</v>
      </c>
      <c r="G10" s="110">
        <f>IF($A10="","",IFERROR($B10+$C10+$D10+$E10+$F10,""))</f>
        <v/>
      </c>
      <c r="H10" s="110">
        <f>IF($A10="","",IFERROR($G10*AySayisi,""))</f>
        <v/>
      </c>
    </row>
    <row r="11" ht="15" customHeight="1" s="62">
      <c r="A11" s="107" t="inlineStr">
        <is>
          <t>Hasan Çelik</t>
        </is>
      </c>
      <c r="B11" s="110">
        <f>IFERROR(IF($A11="","",IFERROR(INDEX(tblCalisan[Brüt Ücret (₺)],MATCH($A11,tblCalisan[Çalışan Adı],0)),"")),"")</f>
        <v/>
      </c>
      <c r="C11" s="110">
        <f>IF($A11="","",IFERROR($B11*IsverenPayiOrani,""))</f>
        <v/>
      </c>
      <c r="D11" s="110">
        <f>IF($A11="","",IFERROR($B11*IssizlikOrani,""))</f>
        <v/>
      </c>
      <c r="E11" s="110">
        <f>IF($A11="","",IFERROR($B11*KidemKarsilikOrani,""))</f>
        <v/>
      </c>
      <c r="F11" s="108" t="n">
        <v>3000</v>
      </c>
      <c r="G11" s="110">
        <f>IF($A11="","",IFERROR($B11+$C11+$D11+$E11+$F11,""))</f>
        <v/>
      </c>
      <c r="H11" s="110">
        <f>IF($A11="","",IFERROR($G11*AySayisi,""))</f>
        <v/>
      </c>
    </row>
    <row r="12" ht="15" customHeight="1" s="62">
      <c r="A12" s="107" t="inlineStr">
        <is>
          <t>Fatma Aydın</t>
        </is>
      </c>
      <c r="B12" s="110">
        <f>IFERROR(IF($A12="","",IFERROR(INDEX(tblCalisan[Brüt Ücret (₺)],MATCH($A12,tblCalisan[Çalışan Adı],0)),"")),"")</f>
        <v/>
      </c>
      <c r="C12" s="110">
        <f>IF($A12="","",IFERROR($B12*IsverenPayiOrani,""))</f>
        <v/>
      </c>
      <c r="D12" s="110">
        <f>IF($A12="","",IFERROR($B12*IssizlikOrani,""))</f>
        <v/>
      </c>
      <c r="E12" s="110">
        <f>IF($A12="","",IFERROR($B12*KidemKarsilikOrani,""))</f>
        <v/>
      </c>
      <c r="F12" s="108" t="n">
        <v>3000</v>
      </c>
      <c r="G12" s="110">
        <f>IF($A12="","",IFERROR($B12+$C12+$D12+$E12+$F12,""))</f>
        <v/>
      </c>
      <c r="H12" s="110">
        <f>IF($A12="","",IFERROR($G12*AySayisi,""))</f>
        <v/>
      </c>
    </row>
    <row r="13" ht="15" customHeight="1" s="62">
      <c r="A13" s="107" t="inlineStr">
        <is>
          <t>Mustafa Koç</t>
        </is>
      </c>
      <c r="B13" s="110">
        <f>IFERROR(IF($A13="","",IFERROR(INDEX(tblCalisan[Brüt Ücret (₺)],MATCH($A13,tblCalisan[Çalışan Adı],0)),"")),"")</f>
        <v/>
      </c>
      <c r="C13" s="110">
        <f>IF($A13="","",IFERROR($B13*IsverenPayiOrani,""))</f>
        <v/>
      </c>
      <c r="D13" s="110">
        <f>IF($A13="","",IFERROR($B13*IssizlikOrani,""))</f>
        <v/>
      </c>
      <c r="E13" s="110">
        <f>IF($A13="","",IFERROR($B13*KidemKarsilikOrani,""))</f>
        <v/>
      </c>
      <c r="F13" s="108" t="n">
        <v>3000</v>
      </c>
      <c r="G13" s="110">
        <f>IF($A13="","",IFERROR($B13+$C13+$D13+$E13+$F13,""))</f>
        <v/>
      </c>
      <c r="H13" s="110">
        <f>IF($A13="","",IFERROR($G13*AySayisi,""))</f>
        <v/>
      </c>
    </row>
    <row r="14" ht="15" customHeight="1" s="62">
      <c r="A14" s="107" t="inlineStr">
        <is>
          <t>Elif Yıldız</t>
        </is>
      </c>
      <c r="B14" s="110">
        <f>IFERROR(IF($A14="","",IFERROR(INDEX(tblCalisan[Brüt Ücret (₺)],MATCH($A14,tblCalisan[Çalışan Adı],0)),"")),"")</f>
        <v/>
      </c>
      <c r="C14" s="110">
        <f>IF($A14="","",IFERROR($B14*IsverenPayiOrani,""))</f>
        <v/>
      </c>
      <c r="D14" s="110">
        <f>IF($A14="","",IFERROR($B14*IssizlikOrani,""))</f>
        <v/>
      </c>
      <c r="E14" s="110">
        <f>IF($A14="","",IFERROR($B14*KidemKarsilikOrani,""))</f>
        <v/>
      </c>
      <c r="F14" s="108" t="n">
        <v>3000</v>
      </c>
      <c r="G14" s="110">
        <f>IF($A14="","",IFERROR($B14+$C14+$D14+$E14+$F14,""))</f>
        <v/>
      </c>
      <c r="H14" s="110">
        <f>IF($A14="","",IFERROR($G14*AySayisi,""))</f>
        <v/>
      </c>
    </row>
    <row r="15" ht="15" customHeight="1" s="62">
      <c r="A15" s="107" t="inlineStr">
        <is>
          <t>Burak Arslan</t>
        </is>
      </c>
      <c r="B15" s="110">
        <f>IFERROR(IF($A15="","",IFERROR(INDEX(tblCalisan[Brüt Ücret (₺)],MATCH($A15,tblCalisan[Çalışan Adı],0)),"")),"")</f>
        <v/>
      </c>
      <c r="C15" s="110">
        <f>IF($A15="","",IFERROR($B15*IsverenPayiOrani,""))</f>
        <v/>
      </c>
      <c r="D15" s="110">
        <f>IF($A15="","",IFERROR($B15*IssizlikOrani,""))</f>
        <v/>
      </c>
      <c r="E15" s="110">
        <f>IF($A15="","",IFERROR($B15*KidemKarsilikOrani,""))</f>
        <v/>
      </c>
      <c r="F15" s="108" t="n">
        <v>3000</v>
      </c>
      <c r="G15" s="110">
        <f>IF($A15="","",IFERROR($B15+$C15+$D15+$E15+$F15,""))</f>
        <v/>
      </c>
      <c r="H15" s="110">
        <f>IF($A15="","",IFERROR($G15*AySayisi,""))</f>
        <v/>
      </c>
    </row>
    <row r="16" ht="15" customHeight="1" s="62">
      <c r="A16" s="107" t="inlineStr">
        <is>
          <t>Merve Çetin</t>
        </is>
      </c>
      <c r="B16" s="110">
        <f>IFERROR(IF($A16="","",IFERROR(INDEX(tblCalisan[Brüt Ücret (₺)],MATCH($A16,tblCalisan[Çalışan Adı],0)),"")),"")</f>
        <v/>
      </c>
      <c r="C16" s="110">
        <f>IF($A16="","",IFERROR($B16*IsverenPayiOrani,""))</f>
        <v/>
      </c>
      <c r="D16" s="110">
        <f>IF($A16="","",IFERROR($B16*IssizlikOrani,""))</f>
        <v/>
      </c>
      <c r="E16" s="110">
        <f>IF($A16="","",IFERROR($B16*KidemKarsilikOrani,""))</f>
        <v/>
      </c>
      <c r="F16" s="108" t="n">
        <v>3000</v>
      </c>
      <c r="G16" s="110">
        <f>IF($A16="","",IFERROR($B16+$C16+$D16+$E16+$F16,""))</f>
        <v/>
      </c>
      <c r="H16" s="110">
        <f>IF($A16="","",IFERROR($G16*AySayisi,""))</f>
        <v/>
      </c>
    </row>
    <row r="17" ht="15" customHeight="1" s="62">
      <c r="A17" s="107" t="inlineStr">
        <is>
          <t>Kemal Demir</t>
        </is>
      </c>
      <c r="B17" s="110">
        <f>IFERROR(IF($A17="","",IFERROR(INDEX(tblCalisan[Brüt Ücret (₺)],MATCH($A17,tblCalisan[Çalışan Adı],0)),"")),"")</f>
        <v/>
      </c>
      <c r="C17" s="110">
        <f>IF($A17="","",IFERROR($B17*IsverenPayiOrani,""))</f>
        <v/>
      </c>
      <c r="D17" s="110">
        <f>IF($A17="","",IFERROR($B17*IssizlikOrani,""))</f>
        <v/>
      </c>
      <c r="E17" s="110">
        <f>IF($A17="","",IFERROR($B17*KidemKarsilikOrani,""))</f>
        <v/>
      </c>
      <c r="F17" s="108" t="n">
        <v>3000</v>
      </c>
      <c r="G17" s="110">
        <f>IF($A17="","",IFERROR($B17+$C17+$D17+$E17+$F17,""))</f>
        <v/>
      </c>
      <c r="H17" s="110">
        <f>IF($A17="","",IFERROR($G17*AySayisi,""))</f>
        <v/>
      </c>
    </row>
    <row r="18" ht="15" customHeight="1" s="62">
      <c r="A18" s="107" t="inlineStr">
        <is>
          <t>Selin Korkmaz</t>
        </is>
      </c>
      <c r="B18" s="110">
        <f>IFERROR(IF($A18="","",IFERROR(INDEX(tblCalisan[Brüt Ücret (₺)],MATCH($A18,tblCalisan[Çalışan Adı],0)),"")),"")</f>
        <v/>
      </c>
      <c r="C18" s="110">
        <f>IF($A18="","",IFERROR($B18*IsverenPayiOrani,""))</f>
        <v/>
      </c>
      <c r="D18" s="110">
        <f>IF($A18="","",IFERROR($B18*IssizlikOrani,""))</f>
        <v/>
      </c>
      <c r="E18" s="110">
        <f>IF($A18="","",IFERROR($B18*KidemKarsilikOrani,""))</f>
        <v/>
      </c>
      <c r="F18" s="108" t="n">
        <v>3000</v>
      </c>
      <c r="G18" s="110">
        <f>IF($A18="","",IFERROR($B18+$C18+$D18+$E18+$F18,""))</f>
        <v/>
      </c>
      <c r="H18" s="110">
        <f>IF($A18="","",IFERROR($G18*AySayisi,""))</f>
        <v/>
      </c>
    </row>
    <row r="19" ht="15" customHeight="1" s="62">
      <c r="A19" s="107" t="inlineStr">
        <is>
          <t>Emre Şahin</t>
        </is>
      </c>
      <c r="B19" s="110">
        <f>IFERROR(IF($A19="","",IFERROR(INDEX(tblCalisan[Brüt Ücret (₺)],MATCH($A19,tblCalisan[Çalışan Adı],0)),"")),"")</f>
        <v/>
      </c>
      <c r="C19" s="110">
        <f>IF($A19="","",IFERROR($B19*IsverenPayiOrani,""))</f>
        <v/>
      </c>
      <c r="D19" s="110">
        <f>IF($A19="","",IFERROR($B19*IssizlikOrani,""))</f>
        <v/>
      </c>
      <c r="E19" s="110">
        <f>IF($A19="","",IFERROR($B19*KidemKarsilikOrani,""))</f>
        <v/>
      </c>
      <c r="F19" s="108" t="n">
        <v>3000</v>
      </c>
      <c r="G19" s="110">
        <f>IF($A19="","",IFERROR($B19+$C19+$D19+$E19+$F19,""))</f>
        <v/>
      </c>
      <c r="H19" s="110">
        <f>IF($A19="","",IFERROR($G19*AySayisi,""))</f>
        <v/>
      </c>
    </row>
    <row r="20" ht="15" customHeight="1" s="62">
      <c r="A20" s="107" t="inlineStr">
        <is>
          <t>Gülay Öztürk</t>
        </is>
      </c>
      <c r="B20" s="110">
        <f>IFERROR(IF($A20="","",IFERROR(INDEX(tblCalisan[Brüt Ücret (₺)],MATCH($A20,tblCalisan[Çalışan Adı],0)),"")),"")</f>
        <v/>
      </c>
      <c r="C20" s="110">
        <f>IF($A20="","",IFERROR($B20*IsverenPayiOrani,""))</f>
        <v/>
      </c>
      <c r="D20" s="110">
        <f>IF($A20="","",IFERROR($B20*IssizlikOrani,""))</f>
        <v/>
      </c>
      <c r="E20" s="110">
        <f>IF($A20="","",IFERROR($B20*KidemKarsilikOrani,""))</f>
        <v/>
      </c>
      <c r="F20" s="108" t="n">
        <v>3000</v>
      </c>
      <c r="G20" s="110">
        <f>IF($A20="","",IFERROR($B20+$C20+$D20+$E20+$F20,""))</f>
        <v/>
      </c>
      <c r="H20" s="110">
        <f>IF($A20="","",IFERROR($G20*AySayisi,""))</f>
        <v/>
      </c>
    </row>
    <row r="21" ht="15" customHeight="1" s="62">
      <c r="A21" s="107" t="n"/>
      <c r="B21" s="110">
        <f>IFERROR(IF($A21="","",IFERROR(INDEX(tblCalisan[Brüt Ücret (₺)],MATCH($A21,tblCalisan[Çalışan Adı],0)),"")),"")</f>
        <v/>
      </c>
      <c r="C21" s="110">
        <f>IF($A21="","",IFERROR($B21*IsverenPayiOrani,""))</f>
        <v/>
      </c>
      <c r="D21" s="110">
        <f>IF($A21="","",IFERROR($B21*IssizlikOrani,""))</f>
        <v/>
      </c>
      <c r="E21" s="110">
        <f>IF($A21="","",IFERROR($B21*KidemKarsilikOrani,""))</f>
        <v/>
      </c>
      <c r="F21" s="108" t="n"/>
      <c r="G21" s="110">
        <f>IF($A21="","",IFERROR($B21+$C21+$D21+$E21+$F21,""))</f>
        <v/>
      </c>
      <c r="H21" s="110">
        <f>IF($A21="","",IFERROR($G21*AySayisi,""))</f>
        <v/>
      </c>
    </row>
    <row r="22" ht="15" customHeight="1" s="62">
      <c r="A22" s="107" t="n"/>
      <c r="B22" s="110">
        <f>IFERROR(IF($A22="","",IFERROR(INDEX(tblCalisan[Brüt Ücret (₺)],MATCH($A22,tblCalisan[Çalışan Adı],0)),"")),"")</f>
        <v/>
      </c>
      <c r="C22" s="110">
        <f>IF($A22="","",IFERROR($B22*IsverenPayiOrani,""))</f>
        <v/>
      </c>
      <c r="D22" s="110">
        <f>IF($A22="","",IFERROR($B22*IssizlikOrani,""))</f>
        <v/>
      </c>
      <c r="E22" s="110">
        <f>IF($A22="","",IFERROR($B22*KidemKarsilikOrani,""))</f>
        <v/>
      </c>
      <c r="F22" s="108" t="n"/>
      <c r="G22" s="110">
        <f>IF($A22="","",IFERROR($B22+$C22+$D22+$E22+$F22,""))</f>
        <v/>
      </c>
      <c r="H22" s="110">
        <f>IF($A22="","",IFERROR($G22*AySayisi,""))</f>
        <v/>
      </c>
    </row>
    <row r="23" ht="15" customHeight="1" s="62">
      <c r="A23" s="107" t="n"/>
      <c r="B23" s="110">
        <f>IFERROR(IF($A23="","",IFERROR(INDEX(tblCalisan[Brüt Ücret (₺)],MATCH($A23,tblCalisan[Çalışan Adı],0)),"")),"")</f>
        <v/>
      </c>
      <c r="C23" s="110">
        <f>IF($A23="","",IFERROR($B23*IsverenPayiOrani,""))</f>
        <v/>
      </c>
      <c r="D23" s="110">
        <f>IF($A23="","",IFERROR($B23*IssizlikOrani,""))</f>
        <v/>
      </c>
      <c r="E23" s="110">
        <f>IF($A23="","",IFERROR($B23*KidemKarsilikOrani,""))</f>
        <v/>
      </c>
      <c r="F23" s="108" t="n"/>
      <c r="G23" s="110">
        <f>IF($A23="","",IFERROR($B23+$C23+$D23+$E23+$F23,""))</f>
        <v/>
      </c>
      <c r="H23" s="110">
        <f>IF($A23="","",IFERROR($G23*AySayisi,""))</f>
        <v/>
      </c>
    </row>
    <row r="24" ht="15" customHeight="1" s="62">
      <c r="A24" s="107" t="n"/>
      <c r="B24" s="110">
        <f>IFERROR(IF($A24="","",IFERROR(INDEX(tblCalisan[Brüt Ücret (₺)],MATCH($A24,tblCalisan[Çalışan Adı],0)),"")),"")</f>
        <v/>
      </c>
      <c r="C24" s="110">
        <f>IF($A24="","",IFERROR($B24*IsverenPayiOrani,""))</f>
        <v/>
      </c>
      <c r="D24" s="110">
        <f>IF($A24="","",IFERROR($B24*IssizlikOrani,""))</f>
        <v/>
      </c>
      <c r="E24" s="110">
        <f>IF($A24="","",IFERROR($B24*KidemKarsilikOrani,""))</f>
        <v/>
      </c>
      <c r="F24" s="108" t="n"/>
      <c r="G24" s="110">
        <f>IF($A24="","",IFERROR($B24+$C24+$D24+$E24+$F24,""))</f>
        <v/>
      </c>
      <c r="H24" s="110">
        <f>IF($A24="","",IFERROR($G24*AySayisi,""))</f>
        <v/>
      </c>
    </row>
    <row r="25" ht="15" customHeight="1" s="62">
      <c r="A25" s="107" t="n"/>
      <c r="B25" s="110">
        <f>IFERROR(IF($A25="","",IFERROR(INDEX(tblCalisan[Brüt Ücret (₺)],MATCH($A25,tblCalisan[Çalışan Adı],0)),"")),"")</f>
        <v/>
      </c>
      <c r="C25" s="110">
        <f>IF($A25="","",IFERROR($B25*IsverenPayiOrani,""))</f>
        <v/>
      </c>
      <c r="D25" s="110">
        <f>IF($A25="","",IFERROR($B25*IssizlikOrani,""))</f>
        <v/>
      </c>
      <c r="E25" s="110">
        <f>IF($A25="","",IFERROR($B25*KidemKarsilikOrani,""))</f>
        <v/>
      </c>
      <c r="F25" s="108" t="n"/>
      <c r="G25" s="110">
        <f>IF($A25="","",IFERROR($B25+$C25+$D25+$E25+$F25,""))</f>
        <v/>
      </c>
      <c r="H25" s="110">
        <f>IF($A25="","",IFERROR($G25*AySayisi,""))</f>
        <v/>
      </c>
    </row>
    <row r="26" ht="15" customHeight="1" s="62">
      <c r="A26" s="107" t="n"/>
      <c r="B26" s="110">
        <f>IFERROR(IF($A26="","",IFERROR(INDEX(tblCalisan[Brüt Ücret (₺)],MATCH($A26,tblCalisan[Çalışan Adı],0)),"")),"")</f>
        <v/>
      </c>
      <c r="C26" s="110">
        <f>IF($A26="","",IFERROR($B26*IsverenPayiOrani,""))</f>
        <v/>
      </c>
      <c r="D26" s="110">
        <f>IF($A26="","",IFERROR($B26*IssizlikOrani,""))</f>
        <v/>
      </c>
      <c r="E26" s="110">
        <f>IF($A26="","",IFERROR($B26*KidemKarsilikOrani,""))</f>
        <v/>
      </c>
      <c r="F26" s="108" t="n"/>
      <c r="G26" s="110">
        <f>IF($A26="","",IFERROR($B26+$C26+$D26+$E26+$F26,""))</f>
        <v/>
      </c>
      <c r="H26" s="110">
        <f>IF($A26="","",IFERROR($G26*AySayisi,""))</f>
        <v/>
      </c>
    </row>
    <row r="27" ht="15" customHeight="1" s="62">
      <c r="A27" s="107" t="n"/>
      <c r="B27" s="110">
        <f>IFERROR(IF($A27="","",IFERROR(INDEX(tblCalisan[Brüt Ücret (₺)],MATCH($A27,tblCalisan[Çalışan Adı],0)),"")),"")</f>
        <v/>
      </c>
      <c r="C27" s="110">
        <f>IF($A27="","",IFERROR($B27*IsverenPayiOrani,""))</f>
        <v/>
      </c>
      <c r="D27" s="110">
        <f>IF($A27="","",IFERROR($B27*IssizlikOrani,""))</f>
        <v/>
      </c>
      <c r="E27" s="110">
        <f>IF($A27="","",IFERROR($B27*KidemKarsilikOrani,""))</f>
        <v/>
      </c>
      <c r="F27" s="108" t="n"/>
      <c r="G27" s="110">
        <f>IF($A27="","",IFERROR($B27+$C27+$D27+$E27+$F27,""))</f>
        <v/>
      </c>
      <c r="H27" s="110">
        <f>IF($A27="","",IFERROR($G27*AySayisi,""))</f>
        <v/>
      </c>
    </row>
    <row r="28" ht="15" customHeight="1" s="62">
      <c r="A28" s="107" t="n"/>
      <c r="B28" s="110">
        <f>IFERROR(IF($A28="","",IFERROR(INDEX(tblCalisan[Brüt Ücret (₺)],MATCH($A28,tblCalisan[Çalışan Adı],0)),"")),"")</f>
        <v/>
      </c>
      <c r="C28" s="110">
        <f>IF($A28="","",IFERROR($B28*IsverenPayiOrani,""))</f>
        <v/>
      </c>
      <c r="D28" s="110">
        <f>IF($A28="","",IFERROR($B28*IssizlikOrani,""))</f>
        <v/>
      </c>
      <c r="E28" s="110">
        <f>IF($A28="","",IFERROR($B28*KidemKarsilikOrani,""))</f>
        <v/>
      </c>
      <c r="F28" s="108" t="n"/>
      <c r="G28" s="110">
        <f>IF($A28="","",IFERROR($B28+$C28+$D28+$E28+$F28,""))</f>
        <v/>
      </c>
      <c r="H28" s="110">
        <f>IF($A28="","",IFERROR($G28*AySayisi,""))</f>
        <v/>
      </c>
    </row>
    <row r="29" ht="15" customHeight="1" s="62">
      <c r="A29" s="107" t="n"/>
      <c r="B29" s="110">
        <f>IFERROR(IF($A29="","",IFERROR(INDEX(tblCalisan[Brüt Ücret (₺)],MATCH($A29,tblCalisan[Çalışan Adı],0)),"")),"")</f>
        <v/>
      </c>
      <c r="C29" s="110">
        <f>IF($A29="","",IFERROR($B29*IsverenPayiOrani,""))</f>
        <v/>
      </c>
      <c r="D29" s="110">
        <f>IF($A29="","",IFERROR($B29*IssizlikOrani,""))</f>
        <v/>
      </c>
      <c r="E29" s="110">
        <f>IF($A29="","",IFERROR($B29*KidemKarsilikOrani,""))</f>
        <v/>
      </c>
      <c r="F29" s="108" t="n"/>
      <c r="G29" s="110">
        <f>IF($A29="","",IFERROR($B29+$C29+$D29+$E29+$F29,""))</f>
        <v/>
      </c>
      <c r="H29" s="110">
        <f>IF($A29="","",IFERROR($G29*AySayisi,""))</f>
        <v/>
      </c>
    </row>
    <row r="30" ht="15" customHeight="1" s="62">
      <c r="A30" s="107" t="n"/>
      <c r="B30" s="110">
        <f>IFERROR(IF($A30="","",IFERROR(INDEX(tblCalisan[Brüt Ücret (₺)],MATCH($A30,tblCalisan[Çalışan Adı],0)),"")),"")</f>
        <v/>
      </c>
      <c r="C30" s="110">
        <f>IF($A30="","",IFERROR($B30*IsverenPayiOrani,""))</f>
        <v/>
      </c>
      <c r="D30" s="110">
        <f>IF($A30="","",IFERROR($B30*IssizlikOrani,""))</f>
        <v/>
      </c>
      <c r="E30" s="110">
        <f>IF($A30="","",IFERROR($B30*KidemKarsilikOrani,""))</f>
        <v/>
      </c>
      <c r="F30" s="108" t="n"/>
      <c r="G30" s="110">
        <f>IF($A30="","",IFERROR($B30+$C30+$D30+$E30+$F30,""))</f>
        <v/>
      </c>
      <c r="H30" s="110">
        <f>IF($A30="","",IFERROR($G30*AySayisi,""))</f>
        <v/>
      </c>
    </row>
    <row r="31" ht="15" customHeight="1" s="62">
      <c r="A31" s="107" t="n"/>
      <c r="B31" s="110">
        <f>IFERROR(IF($A31="","",IFERROR(INDEX(tblCalisan[Brüt Ücret (₺)],MATCH($A31,tblCalisan[Çalışan Adı],0)),"")),"")</f>
        <v/>
      </c>
      <c r="C31" s="110">
        <f>IF($A31="","",IFERROR($B31*IsverenPayiOrani,""))</f>
        <v/>
      </c>
      <c r="D31" s="110">
        <f>IF($A31="","",IFERROR($B31*IssizlikOrani,""))</f>
        <v/>
      </c>
      <c r="E31" s="110">
        <f>IF($A31="","",IFERROR($B31*KidemKarsilikOrani,""))</f>
        <v/>
      </c>
      <c r="F31" s="108" t="n"/>
      <c r="G31" s="110">
        <f>IF($A31="","",IFERROR($B31+$C31+$D31+$E31+$F31,""))</f>
        <v/>
      </c>
      <c r="H31" s="110">
        <f>IF($A31="","",IFERROR($G31*AySayisi,""))</f>
        <v/>
      </c>
    </row>
    <row r="32" ht="15" customHeight="1" s="62">
      <c r="A32" s="107" t="n"/>
      <c r="B32" s="110">
        <f>IFERROR(IF($A32="","",IFERROR(INDEX(tblCalisan[Brüt Ücret (₺)],MATCH($A32,tblCalisan[Çalışan Adı],0)),"")),"")</f>
        <v/>
      </c>
      <c r="C32" s="110">
        <f>IF($A32="","",IFERROR($B32*IsverenPayiOrani,""))</f>
        <v/>
      </c>
      <c r="D32" s="110">
        <f>IF($A32="","",IFERROR($B32*IssizlikOrani,""))</f>
        <v/>
      </c>
      <c r="E32" s="110">
        <f>IF($A32="","",IFERROR($B32*KidemKarsilikOrani,""))</f>
        <v/>
      </c>
      <c r="F32" s="108" t="n"/>
      <c r="G32" s="110">
        <f>IF($A32="","",IFERROR($B32+$C32+$D32+$E32+$F32,""))</f>
        <v/>
      </c>
      <c r="H32" s="110">
        <f>IF($A32="","",IFERROR($G32*AySayisi,""))</f>
        <v/>
      </c>
    </row>
    <row r="33" ht="15" customHeight="1" s="62">
      <c r="A33" s="107" t="n"/>
      <c r="B33" s="110">
        <f>IFERROR(IF($A33="","",IFERROR(INDEX(tblCalisan[Brüt Ücret (₺)],MATCH($A33,tblCalisan[Çalışan Adı],0)),"")),"")</f>
        <v/>
      </c>
      <c r="C33" s="110">
        <f>IF($A33="","",IFERROR($B33*IsverenPayiOrani,""))</f>
        <v/>
      </c>
      <c r="D33" s="110">
        <f>IF($A33="","",IFERROR($B33*IssizlikOrani,""))</f>
        <v/>
      </c>
      <c r="E33" s="110">
        <f>IF($A33="","",IFERROR($B33*KidemKarsilikOrani,""))</f>
        <v/>
      </c>
      <c r="F33" s="108" t="n"/>
      <c r="G33" s="110">
        <f>IF($A33="","",IFERROR($B33+$C33+$D33+$E33+$F33,""))</f>
        <v/>
      </c>
      <c r="H33" s="110">
        <f>IF($A33="","",IFERROR($G33*AySayisi,""))</f>
        <v/>
      </c>
    </row>
    <row r="34" ht="15" customHeight="1" s="62">
      <c r="A34" s="107" t="n"/>
      <c r="B34" s="110">
        <f>IFERROR(IF($A34="","",IFERROR(INDEX(tblCalisan[Brüt Ücret (₺)],MATCH($A34,tblCalisan[Çalışan Adı],0)),"")),"")</f>
        <v/>
      </c>
      <c r="C34" s="110">
        <f>IF($A34="","",IFERROR($B34*IsverenPayiOrani,""))</f>
        <v/>
      </c>
      <c r="D34" s="110">
        <f>IF($A34="","",IFERROR($B34*IssizlikOrani,""))</f>
        <v/>
      </c>
      <c r="E34" s="110">
        <f>IF($A34="","",IFERROR($B34*KidemKarsilikOrani,""))</f>
        <v/>
      </c>
      <c r="F34" s="108" t="n"/>
      <c r="G34" s="110">
        <f>IF($A34="","",IFERROR($B34+$C34+$D34+$E34+$F34,""))</f>
        <v/>
      </c>
      <c r="H34" s="110">
        <f>IF($A34="","",IFERROR($G34*AySayisi,""))</f>
        <v/>
      </c>
    </row>
    <row r="35" ht="15" customHeight="1" s="62">
      <c r="A35" s="107" t="n"/>
      <c r="B35" s="110">
        <f>IFERROR(IF($A35="","",IFERROR(INDEX(tblCalisan[Brüt Ücret (₺)],MATCH($A35,tblCalisan[Çalışan Adı],0)),"")),"")</f>
        <v/>
      </c>
      <c r="C35" s="110">
        <f>IF($A35="","",IFERROR($B35*IsverenPayiOrani,""))</f>
        <v/>
      </c>
      <c r="D35" s="110">
        <f>IF($A35="","",IFERROR($B35*IssizlikOrani,""))</f>
        <v/>
      </c>
      <c r="E35" s="110">
        <f>IF($A35="","",IFERROR($B35*KidemKarsilikOrani,""))</f>
        <v/>
      </c>
      <c r="F35" s="108" t="n"/>
      <c r="G35" s="110">
        <f>IF($A35="","",IFERROR($B35+$C35+$D35+$E35+$F35,""))</f>
        <v/>
      </c>
      <c r="H35" s="110">
        <f>IF($A35="","",IFERROR($G35*AySayisi,""))</f>
        <v/>
      </c>
    </row>
    <row r="36" ht="15" customHeight="1" s="62">
      <c r="A36" s="107" t="n"/>
      <c r="B36" s="110">
        <f>IFERROR(IF($A36="","",IFERROR(INDEX(tblCalisan[Brüt Ücret (₺)],MATCH($A36,tblCalisan[Çalışan Adı],0)),"")),"")</f>
        <v/>
      </c>
      <c r="C36" s="110">
        <f>IF($A36="","",IFERROR($B36*IsverenPayiOrani,""))</f>
        <v/>
      </c>
      <c r="D36" s="110">
        <f>IF($A36="","",IFERROR($B36*IssizlikOrani,""))</f>
        <v/>
      </c>
      <c r="E36" s="110">
        <f>IF($A36="","",IFERROR($B36*KidemKarsilikOrani,""))</f>
        <v/>
      </c>
      <c r="F36" s="108" t="n"/>
      <c r="G36" s="110">
        <f>IF($A36="","",IFERROR($B36+$C36+$D36+$E36+$F36,""))</f>
        <v/>
      </c>
      <c r="H36" s="110">
        <f>IF($A36="","",IFERROR($G36*AySayisi,""))</f>
        <v/>
      </c>
    </row>
    <row r="37" ht="15" customHeight="1" s="62">
      <c r="A37" s="107" t="n"/>
      <c r="B37" s="110">
        <f>IFERROR(IF($A37="","",IFERROR(INDEX(tblCalisan[Brüt Ücret (₺)],MATCH($A37,tblCalisan[Çalışan Adı],0)),"")),"")</f>
        <v/>
      </c>
      <c r="C37" s="110">
        <f>IF($A37="","",IFERROR($B37*IsverenPayiOrani,""))</f>
        <v/>
      </c>
      <c r="D37" s="110">
        <f>IF($A37="","",IFERROR($B37*IssizlikOrani,""))</f>
        <v/>
      </c>
      <c r="E37" s="110">
        <f>IF($A37="","",IFERROR($B37*KidemKarsilikOrani,""))</f>
        <v/>
      </c>
      <c r="F37" s="108" t="n"/>
      <c r="G37" s="110">
        <f>IF($A37="","",IFERROR($B37+$C37+$D37+$E37+$F37,""))</f>
        <v/>
      </c>
      <c r="H37" s="110">
        <f>IF($A37="","",IFERROR($G37*AySayisi,""))</f>
        <v/>
      </c>
    </row>
    <row r="38" ht="15" customHeight="1" s="62">
      <c r="A38" s="107" t="n"/>
      <c r="B38" s="110">
        <f>IFERROR(IF($A38="","",IFERROR(INDEX(tblCalisan[Brüt Ücret (₺)],MATCH($A38,tblCalisan[Çalışan Adı],0)),"")),"")</f>
        <v/>
      </c>
      <c r="C38" s="110">
        <f>IF($A38="","",IFERROR($B38*IsverenPayiOrani,""))</f>
        <v/>
      </c>
      <c r="D38" s="110">
        <f>IF($A38="","",IFERROR($B38*IssizlikOrani,""))</f>
        <v/>
      </c>
      <c r="E38" s="110">
        <f>IF($A38="","",IFERROR($B38*KidemKarsilikOrani,""))</f>
        <v/>
      </c>
      <c r="F38" s="108" t="n"/>
      <c r="G38" s="110">
        <f>IF($A38="","",IFERROR($B38+$C38+$D38+$E38+$F38,""))</f>
        <v/>
      </c>
      <c r="H38" s="110">
        <f>IF($A38="","",IFERROR($G38*AySayisi,""))</f>
        <v/>
      </c>
    </row>
    <row r="39" ht="15" customHeight="1" s="62">
      <c r="A39" s="107" t="n"/>
      <c r="B39" s="110">
        <f>IFERROR(IF($A39="","",IFERROR(INDEX(tblCalisan[Brüt Ücret (₺)],MATCH($A39,tblCalisan[Çalışan Adı],0)),"")),"")</f>
        <v/>
      </c>
      <c r="C39" s="110">
        <f>IF($A39="","",IFERROR($B39*IsverenPayiOrani,""))</f>
        <v/>
      </c>
      <c r="D39" s="110">
        <f>IF($A39="","",IFERROR($B39*IssizlikOrani,""))</f>
        <v/>
      </c>
      <c r="E39" s="110">
        <f>IF($A39="","",IFERROR($B39*KidemKarsilikOrani,""))</f>
        <v/>
      </c>
      <c r="F39" s="108" t="n"/>
      <c r="G39" s="110">
        <f>IF($A39="","",IFERROR($B39+$C39+$D39+$E39+$F39,""))</f>
        <v/>
      </c>
      <c r="H39" s="110">
        <f>IF($A39="","",IFERROR($G39*AySayisi,""))</f>
        <v/>
      </c>
    </row>
    <row r="40" ht="15" customHeight="1" s="62">
      <c r="A40" s="107" t="n"/>
      <c r="B40" s="110">
        <f>IFERROR(IF($A40="","",IFERROR(INDEX(tblCalisan[Brüt Ücret (₺)],MATCH($A40,tblCalisan[Çalışan Adı],0)),"")),"")</f>
        <v/>
      </c>
      <c r="C40" s="110">
        <f>IF($A40="","",IFERROR($B40*IsverenPayiOrani,""))</f>
        <v/>
      </c>
      <c r="D40" s="110">
        <f>IF($A40="","",IFERROR($B40*IssizlikOrani,""))</f>
        <v/>
      </c>
      <c r="E40" s="110">
        <f>IF($A40="","",IFERROR($B40*KidemKarsilikOrani,""))</f>
        <v/>
      </c>
      <c r="F40" s="108" t="n"/>
      <c r="G40" s="110">
        <f>IF($A40="","",IFERROR($B40+$C40+$D40+$E40+$F40,""))</f>
        <v/>
      </c>
      <c r="H40" s="110">
        <f>IF($A40="","",IFERROR($G40*AySayisi,""))</f>
        <v/>
      </c>
    </row>
    <row r="41" ht="15" customHeight="1" s="62">
      <c r="A41" s="107" t="n"/>
      <c r="B41" s="110">
        <f>IFERROR(IF($A41="","",IFERROR(INDEX(tblCalisan[Brüt Ücret (₺)],MATCH($A41,tblCalisan[Çalışan Adı],0)),"")),"")</f>
        <v/>
      </c>
      <c r="C41" s="110">
        <f>IF($A41="","",IFERROR($B41*IsverenPayiOrani,""))</f>
        <v/>
      </c>
      <c r="D41" s="110">
        <f>IF($A41="","",IFERROR($B41*IssizlikOrani,""))</f>
        <v/>
      </c>
      <c r="E41" s="110">
        <f>IF($A41="","",IFERROR($B41*KidemKarsilikOrani,""))</f>
        <v/>
      </c>
      <c r="F41" s="108" t="n"/>
      <c r="G41" s="110">
        <f>IF($A41="","",IFERROR($B41+$C41+$D41+$E41+$F41,""))</f>
        <v/>
      </c>
      <c r="H41" s="110">
        <f>IF($A41="","",IFERROR($G41*AySayisi,""))</f>
        <v/>
      </c>
    </row>
    <row r="42" ht="15" customHeight="1" s="62">
      <c r="A42" s="107" t="n"/>
      <c r="B42" s="110">
        <f>IFERROR(IF($A42="","",IFERROR(INDEX(tblCalisan[Brüt Ücret (₺)],MATCH($A42,tblCalisan[Çalışan Adı],0)),"")),"")</f>
        <v/>
      </c>
      <c r="C42" s="110">
        <f>IF($A42="","",IFERROR($B42*IsverenPayiOrani,""))</f>
        <v/>
      </c>
      <c r="D42" s="110">
        <f>IF($A42="","",IFERROR($B42*IssizlikOrani,""))</f>
        <v/>
      </c>
      <c r="E42" s="110">
        <f>IF($A42="","",IFERROR($B42*KidemKarsilikOrani,""))</f>
        <v/>
      </c>
      <c r="F42" s="108" t="n"/>
      <c r="G42" s="110">
        <f>IF($A42="","",IFERROR($B42+$C42+$D42+$E42+$F42,""))</f>
        <v/>
      </c>
      <c r="H42" s="110">
        <f>IF($A42="","",IFERROR($G42*AySayisi,""))</f>
        <v/>
      </c>
    </row>
    <row r="43" ht="15" customHeight="1" s="62">
      <c r="A43" s="107" t="n"/>
      <c r="B43" s="110">
        <f>IFERROR(IF($A43="","",IFERROR(INDEX(tblCalisan[Brüt Ücret (₺)],MATCH($A43,tblCalisan[Çalışan Adı],0)),"")),"")</f>
        <v/>
      </c>
      <c r="C43" s="110">
        <f>IF($A43="","",IFERROR($B43*IsverenPayiOrani,""))</f>
        <v/>
      </c>
      <c r="D43" s="110">
        <f>IF($A43="","",IFERROR($B43*IssizlikOrani,""))</f>
        <v/>
      </c>
      <c r="E43" s="110">
        <f>IF($A43="","",IFERROR($B43*KidemKarsilikOrani,""))</f>
        <v/>
      </c>
      <c r="F43" s="108" t="n"/>
      <c r="G43" s="110">
        <f>IF($A43="","",IFERROR($B43+$C43+$D43+$E43+$F43,""))</f>
        <v/>
      </c>
      <c r="H43" s="110">
        <f>IF($A43="","",IFERROR($G43*AySayisi,""))</f>
        <v/>
      </c>
    </row>
    <row r="44" ht="15" customHeight="1" s="62">
      <c r="A44" s="107" t="n"/>
      <c r="B44" s="110">
        <f>IFERROR(IF($A44="","",IFERROR(INDEX(tblCalisan[Brüt Ücret (₺)],MATCH($A44,tblCalisan[Çalışan Adı],0)),"")),"")</f>
        <v/>
      </c>
      <c r="C44" s="110">
        <f>IF($A44="","",IFERROR($B44*IsverenPayiOrani,""))</f>
        <v/>
      </c>
      <c r="D44" s="110">
        <f>IF($A44="","",IFERROR($B44*IssizlikOrani,""))</f>
        <v/>
      </c>
      <c r="E44" s="110">
        <f>IF($A44="","",IFERROR($B44*KidemKarsilikOrani,""))</f>
        <v/>
      </c>
      <c r="F44" s="108" t="n"/>
      <c r="G44" s="110">
        <f>IF($A44="","",IFERROR($B44+$C44+$D44+$E44+$F44,""))</f>
        <v/>
      </c>
      <c r="H44" s="110">
        <f>IF($A44="","",IFERROR($G44*AySayisi,""))</f>
        <v/>
      </c>
    </row>
    <row r="45" ht="15" customHeight="1" s="62">
      <c r="A45" s="107" t="n"/>
      <c r="B45" s="110">
        <f>IFERROR(IF($A45="","",IFERROR(INDEX(tblCalisan[Brüt Ücret (₺)],MATCH($A45,tblCalisan[Çalışan Adı],0)),"")),"")</f>
        <v/>
      </c>
      <c r="C45" s="110">
        <f>IF($A45="","",IFERROR($B45*IsverenPayiOrani,""))</f>
        <v/>
      </c>
      <c r="D45" s="110">
        <f>IF($A45="","",IFERROR($B45*IssizlikOrani,""))</f>
        <v/>
      </c>
      <c r="E45" s="110">
        <f>IF($A45="","",IFERROR($B45*KidemKarsilikOrani,""))</f>
        <v/>
      </c>
      <c r="F45" s="108" t="n"/>
      <c r="G45" s="110">
        <f>IF($A45="","",IFERROR($B45+$C45+$D45+$E45+$F45,""))</f>
        <v/>
      </c>
      <c r="H45" s="110">
        <f>IF($A45="","",IFERROR($G45*AySayisi,""))</f>
        <v/>
      </c>
    </row>
    <row r="46" ht="15" customHeight="1" s="62">
      <c r="A46" s="107" t="n"/>
      <c r="B46" s="110">
        <f>IFERROR(IF($A46="","",IFERROR(INDEX(tblCalisan[Brüt Ücret (₺)],MATCH($A46,tblCalisan[Çalışan Adı],0)),"")),"")</f>
        <v/>
      </c>
      <c r="C46" s="110">
        <f>IF($A46="","",IFERROR($B46*IsverenPayiOrani,""))</f>
        <v/>
      </c>
      <c r="D46" s="110">
        <f>IF($A46="","",IFERROR($B46*IssizlikOrani,""))</f>
        <v/>
      </c>
      <c r="E46" s="110">
        <f>IF($A46="","",IFERROR($B46*KidemKarsilikOrani,""))</f>
        <v/>
      </c>
      <c r="F46" s="108" t="n"/>
      <c r="G46" s="110">
        <f>IF($A46="","",IFERROR($B46+$C46+$D46+$E46+$F46,""))</f>
        <v/>
      </c>
      <c r="H46" s="110">
        <f>IF($A46="","",IFERROR($G46*AySayisi,""))</f>
        <v/>
      </c>
    </row>
    <row r="47" ht="15" customHeight="1" s="62">
      <c r="A47" s="107" t="n"/>
      <c r="B47" s="110">
        <f>IFERROR(IF($A47="","",IFERROR(INDEX(tblCalisan[Brüt Ücret (₺)],MATCH($A47,tblCalisan[Çalışan Adı],0)),"")),"")</f>
        <v/>
      </c>
      <c r="C47" s="110">
        <f>IF($A47="","",IFERROR($B47*IsverenPayiOrani,""))</f>
        <v/>
      </c>
      <c r="D47" s="110">
        <f>IF($A47="","",IFERROR($B47*IssizlikOrani,""))</f>
        <v/>
      </c>
      <c r="E47" s="110">
        <f>IF($A47="","",IFERROR($B47*KidemKarsilikOrani,""))</f>
        <v/>
      </c>
      <c r="F47" s="108" t="n"/>
      <c r="G47" s="110">
        <f>IF($A47="","",IFERROR($B47+$C47+$D47+$E47+$F47,""))</f>
        <v/>
      </c>
      <c r="H47" s="110">
        <f>IF($A47="","",IFERROR($G47*AySayisi,""))</f>
        <v/>
      </c>
    </row>
    <row r="48" ht="15" customHeight="1" s="62">
      <c r="A48" s="107" t="n"/>
      <c r="B48" s="110">
        <f>IFERROR(IF($A48="","",IFERROR(INDEX(tblCalisan[Brüt Ücret (₺)],MATCH($A48,tblCalisan[Çalışan Adı],0)),"")),"")</f>
        <v/>
      </c>
      <c r="C48" s="110">
        <f>IF($A48="","",IFERROR($B48*IsverenPayiOrani,""))</f>
        <v/>
      </c>
      <c r="D48" s="110">
        <f>IF($A48="","",IFERROR($B48*IssizlikOrani,""))</f>
        <v/>
      </c>
      <c r="E48" s="110">
        <f>IF($A48="","",IFERROR($B48*KidemKarsilikOrani,""))</f>
        <v/>
      </c>
      <c r="F48" s="108" t="n"/>
      <c r="G48" s="110">
        <f>IF($A48="","",IFERROR($B48+$C48+$D48+$E48+$F48,""))</f>
        <v/>
      </c>
      <c r="H48" s="110">
        <f>IF($A48="","",IFERROR($G48*AySayisi,""))</f>
        <v/>
      </c>
    </row>
    <row r="49" ht="15" customHeight="1" s="62">
      <c r="A49" s="107" t="n"/>
      <c r="B49" s="110">
        <f>IFERROR(IF($A49="","",IFERROR(INDEX(tblCalisan[Brüt Ücret (₺)],MATCH($A49,tblCalisan[Çalışan Adı],0)),"")),"")</f>
        <v/>
      </c>
      <c r="C49" s="110">
        <f>IF($A49="","",IFERROR($B49*IsverenPayiOrani,""))</f>
        <v/>
      </c>
      <c r="D49" s="110">
        <f>IF($A49="","",IFERROR($B49*IssizlikOrani,""))</f>
        <v/>
      </c>
      <c r="E49" s="110">
        <f>IF($A49="","",IFERROR($B49*KidemKarsilikOrani,""))</f>
        <v/>
      </c>
      <c r="F49" s="108" t="n"/>
      <c r="G49" s="110">
        <f>IF($A49="","",IFERROR($B49+$C49+$D49+$E49+$F49,""))</f>
        <v/>
      </c>
      <c r="H49" s="110">
        <f>IF($A49="","",IFERROR($G49*AySayisi,""))</f>
        <v/>
      </c>
    </row>
    <row r="50" ht="15" customHeight="1" s="62">
      <c r="A50" s="107" t="n"/>
      <c r="B50" s="110">
        <f>IFERROR(IF($A50="","",IFERROR(INDEX(tblCalisan[Brüt Ücret (₺)],MATCH($A50,tblCalisan[Çalışan Adı],0)),"")),"")</f>
        <v/>
      </c>
      <c r="C50" s="110">
        <f>IF($A50="","",IFERROR($B50*IsverenPayiOrani,""))</f>
        <v/>
      </c>
      <c r="D50" s="110">
        <f>IF($A50="","",IFERROR($B50*IssizlikOrani,""))</f>
        <v/>
      </c>
      <c r="E50" s="110">
        <f>IF($A50="","",IFERROR($B50*KidemKarsilikOrani,""))</f>
        <v/>
      </c>
      <c r="F50" s="108" t="n"/>
      <c r="G50" s="110">
        <f>IF($A50="","",IFERROR($B50+$C50+$D50+$E50+$F50,""))</f>
        <v/>
      </c>
      <c r="H50" s="110">
        <f>IF($A50="","",IFERROR($G50*AySayisi,""))</f>
        <v/>
      </c>
    </row>
    <row r="51" ht="15" customHeight="1" s="62">
      <c r="A51" s="107" t="n"/>
      <c r="B51" s="110">
        <f>IFERROR(IF($A51="","",IFERROR(INDEX(tblCalisan[Brüt Ücret (₺)],MATCH($A51,tblCalisan[Çalışan Adı],0)),"")),"")</f>
        <v/>
      </c>
      <c r="C51" s="110">
        <f>IF($A51="","",IFERROR($B51*IsverenPayiOrani,""))</f>
        <v/>
      </c>
      <c r="D51" s="110">
        <f>IF($A51="","",IFERROR($B51*IssizlikOrani,""))</f>
        <v/>
      </c>
      <c r="E51" s="110">
        <f>IF($A51="","",IFERROR($B51*KidemKarsilikOrani,""))</f>
        <v/>
      </c>
      <c r="F51" s="108" t="n"/>
      <c r="G51" s="110">
        <f>IF($A51="","",IFERROR($B51+$C51+$D51+$E51+$F51,""))</f>
        <v/>
      </c>
      <c r="H51" s="110">
        <f>IF($A51="","",IFERROR($G51*AySayisi,""))</f>
        <v/>
      </c>
    </row>
    <row r="52" ht="15" customHeight="1" s="62">
      <c r="A52" s="107" t="n"/>
      <c r="B52" s="110">
        <f>IFERROR(IF($A52="","",IFERROR(INDEX(tblCalisan[Brüt Ücret (₺)],MATCH($A52,tblCalisan[Çalışan Adı],0)),"")),"")</f>
        <v/>
      </c>
      <c r="C52" s="110">
        <f>IF($A52="","",IFERROR($B52*IsverenPayiOrani,""))</f>
        <v/>
      </c>
      <c r="D52" s="110">
        <f>IF($A52="","",IFERROR($B52*IssizlikOrani,""))</f>
        <v/>
      </c>
      <c r="E52" s="110">
        <f>IF($A52="","",IFERROR($B52*KidemKarsilikOrani,""))</f>
        <v/>
      </c>
      <c r="F52" s="108" t="n"/>
      <c r="G52" s="110">
        <f>IF($A52="","",IFERROR($B52+$C52+$D52+$E52+$F52,""))</f>
        <v/>
      </c>
      <c r="H52" s="110">
        <f>IF($A52="","",IFERROR($G52*AySayisi,""))</f>
        <v/>
      </c>
    </row>
    <row r="53" ht="15" customHeight="1" s="62">
      <c r="A53" s="107" t="n"/>
      <c r="B53" s="110">
        <f>IFERROR(IF($A53="","",IFERROR(INDEX(tblCalisan[Brüt Ücret (₺)],MATCH($A53,tblCalisan[Çalışan Adı],0)),"")),"")</f>
        <v/>
      </c>
      <c r="C53" s="110">
        <f>IF($A53="","",IFERROR($B53*IsverenPayiOrani,""))</f>
        <v/>
      </c>
      <c r="D53" s="110">
        <f>IF($A53="","",IFERROR($B53*IssizlikOrani,""))</f>
        <v/>
      </c>
      <c r="E53" s="110">
        <f>IF($A53="","",IFERROR($B53*KidemKarsilikOrani,""))</f>
        <v/>
      </c>
      <c r="F53" s="108" t="n"/>
      <c r="G53" s="110">
        <f>IF($A53="","",IFERROR($B53+$C53+$D53+$E53+$F53,""))</f>
        <v/>
      </c>
      <c r="H53" s="110">
        <f>IF($A53="","",IFERROR($G53*AySayisi,""))</f>
        <v/>
      </c>
    </row>
    <row r="54" ht="15" customHeight="1" s="62">
      <c r="A54" s="107" t="n"/>
      <c r="B54" s="110">
        <f>IFERROR(IF($A54="","",IFERROR(INDEX(tblCalisan[Brüt Ücret (₺)],MATCH($A54,tblCalisan[Çalışan Adı],0)),"")),"")</f>
        <v/>
      </c>
      <c r="C54" s="110">
        <f>IF($A54="","",IFERROR($B54*IsverenPayiOrani,""))</f>
        <v/>
      </c>
      <c r="D54" s="110">
        <f>IF($A54="","",IFERROR($B54*IssizlikOrani,""))</f>
        <v/>
      </c>
      <c r="E54" s="110">
        <f>IF($A54="","",IFERROR($B54*KidemKarsilikOrani,""))</f>
        <v/>
      </c>
      <c r="F54" s="108" t="n"/>
      <c r="G54" s="110">
        <f>IF($A54="","",IFERROR($B54+$C54+$D54+$E54+$F54,""))</f>
        <v/>
      </c>
      <c r="H54" s="110">
        <f>IF($A54="","",IFERROR($G54*AySayisi,""))</f>
        <v/>
      </c>
    </row>
    <row r="55" ht="15" customHeight="1" s="62">
      <c r="A55" s="107" t="n"/>
      <c r="B55" s="110">
        <f>IFERROR(IF($A55="","",IFERROR(INDEX(tblCalisan[Brüt Ücret (₺)],MATCH($A55,tblCalisan[Çalışan Adı],0)),"")),"")</f>
        <v/>
      </c>
      <c r="C55" s="110">
        <f>IF($A55="","",IFERROR($B55*IsverenPayiOrani,""))</f>
        <v/>
      </c>
      <c r="D55" s="110">
        <f>IF($A55="","",IFERROR($B55*IssizlikOrani,""))</f>
        <v/>
      </c>
      <c r="E55" s="110">
        <f>IF($A55="","",IFERROR($B55*KidemKarsilikOrani,""))</f>
        <v/>
      </c>
      <c r="F55" s="108" t="n"/>
      <c r="G55" s="110">
        <f>IF($A55="","",IFERROR($B55+$C55+$D55+$E55+$F55,""))</f>
        <v/>
      </c>
      <c r="H55" s="110">
        <f>IF($A55="","",IFERROR($G55*AySayisi,""))</f>
        <v/>
      </c>
    </row>
    <row r="56" ht="15" customHeight="1" s="62">
      <c r="A56" s="107" t="n"/>
      <c r="B56" s="110">
        <f>IFERROR(IF($A56="","",IFERROR(INDEX(tblCalisan[Brüt Ücret (₺)],MATCH($A56,tblCalisan[Çalışan Adı],0)),"")),"")</f>
        <v/>
      </c>
      <c r="C56" s="110">
        <f>IF($A56="","",IFERROR($B56*IsverenPayiOrani,""))</f>
        <v/>
      </c>
      <c r="D56" s="110">
        <f>IF($A56="","",IFERROR($B56*IssizlikOrani,""))</f>
        <v/>
      </c>
      <c r="E56" s="110">
        <f>IF($A56="","",IFERROR($B56*KidemKarsilikOrani,""))</f>
        <v/>
      </c>
      <c r="F56" s="108" t="n"/>
      <c r="G56" s="110">
        <f>IF($A56="","",IFERROR($B56+$C56+$D56+$E56+$F56,""))</f>
        <v/>
      </c>
      <c r="H56" s="110">
        <f>IF($A56="","",IFERROR($G56*AySayisi,""))</f>
        <v/>
      </c>
    </row>
    <row r="57" ht="15" customHeight="1" s="62">
      <c r="A57" s="107" t="n"/>
      <c r="B57" s="110">
        <f>IFERROR(IF($A57="","",IFERROR(INDEX(tblCalisan[Brüt Ücret (₺)],MATCH($A57,tblCalisan[Çalışan Adı],0)),"")),"")</f>
        <v/>
      </c>
      <c r="C57" s="110">
        <f>IF($A57="","",IFERROR($B57*IsverenPayiOrani,""))</f>
        <v/>
      </c>
      <c r="D57" s="110">
        <f>IF($A57="","",IFERROR($B57*IssizlikOrani,""))</f>
        <v/>
      </c>
      <c r="E57" s="110">
        <f>IF($A57="","",IFERROR($B57*KidemKarsilikOrani,""))</f>
        <v/>
      </c>
      <c r="F57" s="108" t="n"/>
      <c r="G57" s="110">
        <f>IF($A57="","",IFERROR($B57+$C57+$D57+$E57+$F57,""))</f>
        <v/>
      </c>
      <c r="H57" s="110">
        <f>IF($A57="","",IFERROR($G57*AySayisi,""))</f>
        <v/>
      </c>
    </row>
    <row r="58" ht="15" customHeight="1" s="62">
      <c r="A58" s="107" t="n"/>
      <c r="B58" s="110">
        <f>IFERROR(IF($A58="","",IFERROR(INDEX(tblCalisan[Brüt Ücret (₺)],MATCH($A58,tblCalisan[Çalışan Adı],0)),"")),"")</f>
        <v/>
      </c>
      <c r="C58" s="110">
        <f>IF($A58="","",IFERROR($B58*IsverenPayiOrani,""))</f>
        <v/>
      </c>
      <c r="D58" s="110">
        <f>IF($A58="","",IFERROR($B58*IssizlikOrani,""))</f>
        <v/>
      </c>
      <c r="E58" s="110">
        <f>IF($A58="","",IFERROR($B58*KidemKarsilikOrani,""))</f>
        <v/>
      </c>
      <c r="F58" s="108" t="n"/>
      <c r="G58" s="110">
        <f>IF($A58="","",IFERROR($B58+$C58+$D58+$E58+$F58,""))</f>
        <v/>
      </c>
      <c r="H58" s="110">
        <f>IF($A58="","",IFERROR($G58*AySayisi,""))</f>
        <v/>
      </c>
    </row>
    <row r="59" ht="15" customHeight="1" s="62">
      <c r="A59" s="107" t="n"/>
      <c r="B59" s="110">
        <f>IFERROR(IF($A59="","",IFERROR(INDEX(tblCalisan[Brüt Ücret (₺)],MATCH($A59,tblCalisan[Çalışan Adı],0)),"")),"")</f>
        <v/>
      </c>
      <c r="C59" s="110">
        <f>IF($A59="","",IFERROR($B59*IsverenPayiOrani,""))</f>
        <v/>
      </c>
      <c r="D59" s="110">
        <f>IF($A59="","",IFERROR($B59*IssizlikOrani,""))</f>
        <v/>
      </c>
      <c r="E59" s="110">
        <f>IF($A59="","",IFERROR($B59*KidemKarsilikOrani,""))</f>
        <v/>
      </c>
      <c r="F59" s="108" t="n"/>
      <c r="G59" s="110">
        <f>IF($A59="","",IFERROR($B59+$C59+$D59+$E59+$F59,""))</f>
        <v/>
      </c>
      <c r="H59" s="110">
        <f>IF($A59="","",IFERROR($G59*AySayisi,""))</f>
        <v/>
      </c>
    </row>
    <row r="60" ht="15" customHeight="1" s="62">
      <c r="A60" s="107" t="n"/>
      <c r="B60" s="110">
        <f>IFERROR(IF($A60="","",IFERROR(INDEX(tblCalisan[Brüt Ücret (₺)],MATCH($A60,tblCalisan[Çalışan Adı],0)),"")),"")</f>
        <v/>
      </c>
      <c r="C60" s="110">
        <f>IF($A60="","",IFERROR($B60*IsverenPayiOrani,""))</f>
        <v/>
      </c>
      <c r="D60" s="110">
        <f>IF($A60="","",IFERROR($B60*IssizlikOrani,""))</f>
        <v/>
      </c>
      <c r="E60" s="110">
        <f>IF($A60="","",IFERROR($B60*KidemKarsilikOrani,""))</f>
        <v/>
      </c>
      <c r="F60" s="108" t="n"/>
      <c r="G60" s="110">
        <f>IF($A60="","",IFERROR($B60+$C60+$D60+$E60+$F60,""))</f>
        <v/>
      </c>
      <c r="H60" s="110">
        <f>IF($A60="","",IFERROR($G60*AySayisi,""))</f>
        <v/>
      </c>
    </row>
    <row r="61" ht="15" customHeight="1" s="62">
      <c r="A61" s="107" t="n"/>
      <c r="B61" s="110">
        <f>IFERROR(IF($A61="","",IFERROR(INDEX(tblCalisan[Brüt Ücret (₺)],MATCH($A61,tblCalisan[Çalışan Adı],0)),"")),"")</f>
        <v/>
      </c>
      <c r="C61" s="110">
        <f>IF($A61="","",IFERROR($B61*IsverenPayiOrani,""))</f>
        <v/>
      </c>
      <c r="D61" s="110">
        <f>IF($A61="","",IFERROR($B61*IssizlikOrani,""))</f>
        <v/>
      </c>
      <c r="E61" s="110">
        <f>IF($A61="","",IFERROR($B61*KidemKarsilikOrani,""))</f>
        <v/>
      </c>
      <c r="F61" s="108" t="n"/>
      <c r="G61" s="110">
        <f>IF($A61="","",IFERROR($B61+$C61+$D61+$E61+$F61,""))</f>
        <v/>
      </c>
      <c r="H61" s="110">
        <f>IF($A61="","",IFERROR($G61*AySayisi,""))</f>
        <v/>
      </c>
    </row>
    <row r="62" ht="15" customHeight="1" s="62">
      <c r="A62" s="107" t="n"/>
      <c r="B62" s="110">
        <f>IFERROR(IF($A62="","",IFERROR(INDEX(tblCalisan[Brüt Ücret (₺)],MATCH($A62,tblCalisan[Çalışan Adı],0)),"")),"")</f>
        <v/>
      </c>
      <c r="C62" s="110">
        <f>IF($A62="","",IFERROR($B62*IsverenPayiOrani,""))</f>
        <v/>
      </c>
      <c r="D62" s="110">
        <f>IF($A62="","",IFERROR($B62*IssizlikOrani,""))</f>
        <v/>
      </c>
      <c r="E62" s="110">
        <f>IF($A62="","",IFERROR($B62*KidemKarsilikOrani,""))</f>
        <v/>
      </c>
      <c r="F62" s="108" t="n"/>
      <c r="G62" s="110">
        <f>IF($A62="","",IFERROR($B62+$C62+$D62+$E62+$F62,""))</f>
        <v/>
      </c>
      <c r="H62" s="110">
        <f>IF($A62="","",IFERROR($G62*AySayisi,""))</f>
        <v/>
      </c>
    </row>
    <row r="63" ht="15" customHeight="1" s="62">
      <c r="A63" s="107" t="n"/>
      <c r="B63" s="110">
        <f>IFERROR(IF($A63="","",IFERROR(INDEX(tblCalisan[Brüt Ücret (₺)],MATCH($A63,tblCalisan[Çalışan Adı],0)),"")),"")</f>
        <v/>
      </c>
      <c r="C63" s="110">
        <f>IF($A63="","",IFERROR($B63*IsverenPayiOrani,""))</f>
        <v/>
      </c>
      <c r="D63" s="110">
        <f>IF($A63="","",IFERROR($B63*IssizlikOrani,""))</f>
        <v/>
      </c>
      <c r="E63" s="110">
        <f>IF($A63="","",IFERROR($B63*KidemKarsilikOrani,""))</f>
        <v/>
      </c>
      <c r="F63" s="108" t="n"/>
      <c r="G63" s="110">
        <f>IF($A63="","",IFERROR($B63+$C63+$D63+$E63+$F63,""))</f>
        <v/>
      </c>
      <c r="H63" s="110">
        <f>IF($A63="","",IFERROR($G63*AySayisi,""))</f>
        <v/>
      </c>
    </row>
    <row r="64" ht="15" customHeight="1" s="62">
      <c r="A64" s="107" t="n"/>
      <c r="B64" s="110">
        <f>IFERROR(IF($A64="","",IFERROR(INDEX(tblCalisan[Brüt Ücret (₺)],MATCH($A64,tblCalisan[Çalışan Adı],0)),"")),"")</f>
        <v/>
      </c>
      <c r="C64" s="110">
        <f>IF($A64="","",IFERROR($B64*IsverenPayiOrani,""))</f>
        <v/>
      </c>
      <c r="D64" s="110">
        <f>IF($A64="","",IFERROR($B64*IssizlikOrani,""))</f>
        <v/>
      </c>
      <c r="E64" s="110">
        <f>IF($A64="","",IFERROR($B64*KidemKarsilikOrani,""))</f>
        <v/>
      </c>
      <c r="F64" s="108" t="n"/>
      <c r="G64" s="110">
        <f>IF($A64="","",IFERROR($B64+$C64+$D64+$E64+$F64,""))</f>
        <v/>
      </c>
      <c r="H64" s="110">
        <f>IF($A64="","",IFERROR($G64*AySayisi,""))</f>
        <v/>
      </c>
    </row>
    <row r="65" ht="15" customHeight="1" s="62">
      <c r="A65" s="107" t="n"/>
      <c r="B65" s="110">
        <f>IFERROR(IF($A65="","",IFERROR(INDEX(tblCalisan[Brüt Ücret (₺)],MATCH($A65,tblCalisan[Çalışan Adı],0)),"")),"")</f>
        <v/>
      </c>
      <c r="C65" s="110">
        <f>IF($A65="","",IFERROR($B65*IsverenPayiOrani,""))</f>
        <v/>
      </c>
      <c r="D65" s="110">
        <f>IF($A65="","",IFERROR($B65*IssizlikOrani,""))</f>
        <v/>
      </c>
      <c r="E65" s="110">
        <f>IF($A65="","",IFERROR($B65*KidemKarsilikOrani,""))</f>
        <v/>
      </c>
      <c r="F65" s="108" t="n"/>
      <c r="G65" s="110">
        <f>IF($A65="","",IFERROR($B65+$C65+$D65+$E65+$F65,""))</f>
        <v/>
      </c>
      <c r="H65" s="110">
        <f>IF($A65="","",IFERROR($G65*AySayisi,""))</f>
        <v/>
      </c>
    </row>
    <row r="66" ht="15" customHeight="1" s="62">
      <c r="A66" s="107" t="n"/>
      <c r="B66" s="110">
        <f>IFERROR(IF($A66="","",IFERROR(INDEX(tblCalisan[Brüt Ücret (₺)],MATCH($A66,tblCalisan[Çalışan Adı],0)),"")),"")</f>
        <v/>
      </c>
      <c r="C66" s="110">
        <f>IF($A66="","",IFERROR($B66*IsverenPayiOrani,""))</f>
        <v/>
      </c>
      <c r="D66" s="110">
        <f>IF($A66="","",IFERROR($B66*IssizlikOrani,""))</f>
        <v/>
      </c>
      <c r="E66" s="110">
        <f>IF($A66="","",IFERROR($B66*KidemKarsilikOrani,""))</f>
        <v/>
      </c>
      <c r="F66" s="108" t="n"/>
      <c r="G66" s="110">
        <f>IF($A66="","",IFERROR($B66+$C66+$D66+$E66+$F66,""))</f>
        <v/>
      </c>
      <c r="H66" s="110">
        <f>IF($A66="","",IFERROR($G66*AySayisi,""))</f>
        <v/>
      </c>
    </row>
    <row r="67" ht="15" customHeight="1" s="62">
      <c r="A67" s="107" t="n"/>
      <c r="B67" s="110">
        <f>IFERROR(IF($A67="","",IFERROR(INDEX(tblCalisan[Brüt Ücret (₺)],MATCH($A67,tblCalisan[Çalışan Adı],0)),"")),"")</f>
        <v/>
      </c>
      <c r="C67" s="110">
        <f>IF($A67="","",IFERROR($B67*IsverenPayiOrani,""))</f>
        <v/>
      </c>
      <c r="D67" s="110">
        <f>IF($A67="","",IFERROR($B67*IssizlikOrani,""))</f>
        <v/>
      </c>
      <c r="E67" s="110">
        <f>IF($A67="","",IFERROR($B67*KidemKarsilikOrani,""))</f>
        <v/>
      </c>
      <c r="F67" s="108" t="n"/>
      <c r="G67" s="110">
        <f>IF($A67="","",IFERROR($B67+$C67+$D67+$E67+$F67,""))</f>
        <v/>
      </c>
      <c r="H67" s="110">
        <f>IF($A67="","",IFERROR($G67*AySayisi,""))</f>
        <v/>
      </c>
    </row>
    <row r="68" ht="15" customHeight="1" s="62">
      <c r="A68" s="107" t="n"/>
      <c r="B68" s="110">
        <f>IFERROR(IF($A68="","",IFERROR(INDEX(tblCalisan[Brüt Ücret (₺)],MATCH($A68,tblCalisan[Çalışan Adı],0)),"")),"")</f>
        <v/>
      </c>
      <c r="C68" s="110">
        <f>IF($A68="","",IFERROR($B68*IsverenPayiOrani,""))</f>
        <v/>
      </c>
      <c r="D68" s="110">
        <f>IF($A68="","",IFERROR($B68*IssizlikOrani,""))</f>
        <v/>
      </c>
      <c r="E68" s="110">
        <f>IF($A68="","",IFERROR($B68*KidemKarsilikOrani,""))</f>
        <v/>
      </c>
      <c r="F68" s="108" t="n"/>
      <c r="G68" s="110">
        <f>IF($A68="","",IFERROR($B68+$C68+$D68+$E68+$F68,""))</f>
        <v/>
      </c>
      <c r="H68" s="110">
        <f>IF($A68="","",IFERROR($G68*AySayisi,""))</f>
        <v/>
      </c>
    </row>
    <row r="69" ht="15" customHeight="1" s="62">
      <c r="A69" s="107" t="n"/>
      <c r="B69" s="110">
        <f>IFERROR(IF($A69="","",IFERROR(INDEX(tblCalisan[Brüt Ücret (₺)],MATCH($A69,tblCalisan[Çalışan Adı],0)),"")),"")</f>
        <v/>
      </c>
      <c r="C69" s="110">
        <f>IF($A69="","",IFERROR($B69*IsverenPayiOrani,""))</f>
        <v/>
      </c>
      <c r="D69" s="110">
        <f>IF($A69="","",IFERROR($B69*IssizlikOrani,""))</f>
        <v/>
      </c>
      <c r="E69" s="110">
        <f>IF($A69="","",IFERROR($B69*KidemKarsilikOrani,""))</f>
        <v/>
      </c>
      <c r="F69" s="108" t="n"/>
      <c r="G69" s="110">
        <f>IF($A69="","",IFERROR($B69+$C69+$D69+$E69+$F69,""))</f>
        <v/>
      </c>
      <c r="H69" s="110">
        <f>IF($A69="","",IFERROR($G69*AySayisi,""))</f>
        <v/>
      </c>
    </row>
    <row r="70" ht="15" customHeight="1" s="62">
      <c r="A70" s="107" t="n"/>
      <c r="B70" s="110">
        <f>IFERROR(IF($A70="","",IFERROR(INDEX(tblCalisan[Brüt Ücret (₺)],MATCH($A70,tblCalisan[Çalışan Adı],0)),"")),"")</f>
        <v/>
      </c>
      <c r="C70" s="110">
        <f>IF($A70="","",IFERROR($B70*IsverenPayiOrani,""))</f>
        <v/>
      </c>
      <c r="D70" s="110">
        <f>IF($A70="","",IFERROR($B70*IssizlikOrani,""))</f>
        <v/>
      </c>
      <c r="E70" s="110">
        <f>IF($A70="","",IFERROR($B70*KidemKarsilikOrani,""))</f>
        <v/>
      </c>
      <c r="F70" s="108" t="n"/>
      <c r="G70" s="110">
        <f>IF($A70="","",IFERROR($B70+$C70+$D70+$E70+$F70,""))</f>
        <v/>
      </c>
      <c r="H70" s="110">
        <f>IF($A70="","",IFERROR($G70*AySayisi,""))</f>
        <v/>
      </c>
    </row>
    <row r="71" ht="15" customHeight="1" s="62">
      <c r="A71" s="107" t="n"/>
      <c r="B71" s="110">
        <f>IFERROR(IF($A71="","",IFERROR(INDEX(tblCalisan[Brüt Ücret (₺)],MATCH($A71,tblCalisan[Çalışan Adı],0)),"")),"")</f>
        <v/>
      </c>
      <c r="C71" s="110">
        <f>IF($A71="","",IFERROR($B71*IsverenPayiOrani,""))</f>
        <v/>
      </c>
      <c r="D71" s="110">
        <f>IF($A71="","",IFERROR($B71*IssizlikOrani,""))</f>
        <v/>
      </c>
      <c r="E71" s="110">
        <f>IF($A71="","",IFERROR($B71*KidemKarsilikOrani,""))</f>
        <v/>
      </c>
      <c r="F71" s="108" t="n"/>
      <c r="G71" s="110">
        <f>IF($A71="","",IFERROR($B71+$C71+$D71+$E71+$F71,""))</f>
        <v/>
      </c>
      <c r="H71" s="110">
        <f>IF($A71="","",IFERROR($G71*AySayisi,""))</f>
        <v/>
      </c>
    </row>
    <row r="72" ht="15" customHeight="1" s="62">
      <c r="A72" s="107" t="n"/>
      <c r="B72" s="110">
        <f>IFERROR(IF($A72="","",IFERROR(INDEX(tblCalisan[Brüt Ücret (₺)],MATCH($A72,tblCalisan[Çalışan Adı],0)),"")),"")</f>
        <v/>
      </c>
      <c r="C72" s="110">
        <f>IF($A72="","",IFERROR($B72*IsverenPayiOrani,""))</f>
        <v/>
      </c>
      <c r="D72" s="110">
        <f>IF($A72="","",IFERROR($B72*IssizlikOrani,""))</f>
        <v/>
      </c>
      <c r="E72" s="110">
        <f>IF($A72="","",IFERROR($B72*KidemKarsilikOrani,""))</f>
        <v/>
      </c>
      <c r="F72" s="108" t="n"/>
      <c r="G72" s="110">
        <f>IF($A72="","",IFERROR($B72+$C72+$D72+$E72+$F72,""))</f>
        <v/>
      </c>
      <c r="H72" s="110">
        <f>IF($A72="","",IFERROR($G72*AySayisi,""))</f>
        <v/>
      </c>
    </row>
    <row r="73" ht="15" customHeight="1" s="62">
      <c r="A73" s="107" t="n"/>
      <c r="B73" s="110">
        <f>IFERROR(IF($A73="","",IFERROR(INDEX(tblCalisan[Brüt Ücret (₺)],MATCH($A73,tblCalisan[Çalışan Adı],0)),"")),"")</f>
        <v/>
      </c>
      <c r="C73" s="110">
        <f>IF($A73="","",IFERROR($B73*IsverenPayiOrani,""))</f>
        <v/>
      </c>
      <c r="D73" s="110">
        <f>IF($A73="","",IFERROR($B73*IssizlikOrani,""))</f>
        <v/>
      </c>
      <c r="E73" s="110">
        <f>IF($A73="","",IFERROR($B73*KidemKarsilikOrani,""))</f>
        <v/>
      </c>
      <c r="F73" s="108" t="n"/>
      <c r="G73" s="110">
        <f>IF($A73="","",IFERROR($B73+$C73+$D73+$E73+$F73,""))</f>
        <v/>
      </c>
      <c r="H73" s="110">
        <f>IF($A73="","",IFERROR($G73*AySayisi,""))</f>
        <v/>
      </c>
    </row>
    <row r="74" ht="15" customHeight="1" s="62">
      <c r="A74" s="107" t="n"/>
      <c r="B74" s="110">
        <f>IFERROR(IF($A74="","",IFERROR(INDEX(tblCalisan[Brüt Ücret (₺)],MATCH($A74,tblCalisan[Çalışan Adı],0)),"")),"")</f>
        <v/>
      </c>
      <c r="C74" s="110">
        <f>IF($A74="","",IFERROR($B74*IsverenPayiOrani,""))</f>
        <v/>
      </c>
      <c r="D74" s="110">
        <f>IF($A74="","",IFERROR($B74*IssizlikOrani,""))</f>
        <v/>
      </c>
      <c r="E74" s="110">
        <f>IF($A74="","",IFERROR($B74*KidemKarsilikOrani,""))</f>
        <v/>
      </c>
      <c r="F74" s="108" t="n"/>
      <c r="G74" s="110">
        <f>IF($A74="","",IFERROR($B74+$C74+$D74+$E74+$F74,""))</f>
        <v/>
      </c>
      <c r="H74" s="110">
        <f>IF($A74="","",IFERROR($G74*AySayisi,""))</f>
        <v/>
      </c>
    </row>
    <row r="75" ht="15" customHeight="1" s="62">
      <c r="A75" s="107" t="n"/>
      <c r="B75" s="110">
        <f>IFERROR(IF($A75="","",IFERROR(INDEX(tblCalisan[Brüt Ücret (₺)],MATCH($A75,tblCalisan[Çalışan Adı],0)),"")),"")</f>
        <v/>
      </c>
      <c r="C75" s="110">
        <f>IF($A75="","",IFERROR($B75*IsverenPayiOrani,""))</f>
        <v/>
      </c>
      <c r="D75" s="110">
        <f>IF($A75="","",IFERROR($B75*IssizlikOrani,""))</f>
        <v/>
      </c>
      <c r="E75" s="110">
        <f>IF($A75="","",IFERROR($B75*KidemKarsilikOrani,""))</f>
        <v/>
      </c>
      <c r="F75" s="108" t="n"/>
      <c r="G75" s="110">
        <f>IF($A75="","",IFERROR($B75+$C75+$D75+$E75+$F75,""))</f>
        <v/>
      </c>
      <c r="H75" s="110">
        <f>IF($A75="","",IFERROR($G75*AySayisi,""))</f>
        <v/>
      </c>
    </row>
    <row r="76" ht="15" customHeight="1" s="62">
      <c r="A76" s="107" t="n"/>
      <c r="B76" s="110">
        <f>IFERROR(IF($A76="","",IFERROR(INDEX(tblCalisan[Brüt Ücret (₺)],MATCH($A76,tblCalisan[Çalışan Adı],0)),"")),"")</f>
        <v/>
      </c>
      <c r="C76" s="110">
        <f>IF($A76="","",IFERROR($B76*IsverenPayiOrani,""))</f>
        <v/>
      </c>
      <c r="D76" s="110">
        <f>IF($A76="","",IFERROR($B76*IssizlikOrani,""))</f>
        <v/>
      </c>
      <c r="E76" s="110">
        <f>IF($A76="","",IFERROR($B76*KidemKarsilikOrani,""))</f>
        <v/>
      </c>
      <c r="F76" s="108" t="n"/>
      <c r="G76" s="110">
        <f>IF($A76="","",IFERROR($B76+$C76+$D76+$E76+$F76,""))</f>
        <v/>
      </c>
      <c r="H76" s="110">
        <f>IF($A76="","",IFERROR($G76*AySayisi,""))</f>
        <v/>
      </c>
    </row>
    <row r="77" ht="15" customHeight="1" s="62">
      <c r="A77" s="107" t="n"/>
      <c r="B77" s="110">
        <f>IFERROR(IF($A77="","",IFERROR(INDEX(tblCalisan[Brüt Ücret (₺)],MATCH($A77,tblCalisan[Çalışan Adı],0)),"")),"")</f>
        <v/>
      </c>
      <c r="C77" s="110">
        <f>IF($A77="","",IFERROR($B77*IsverenPayiOrani,""))</f>
        <v/>
      </c>
      <c r="D77" s="110">
        <f>IF($A77="","",IFERROR($B77*IssizlikOrani,""))</f>
        <v/>
      </c>
      <c r="E77" s="110">
        <f>IF($A77="","",IFERROR($B77*KidemKarsilikOrani,""))</f>
        <v/>
      </c>
      <c r="F77" s="108" t="n"/>
      <c r="G77" s="110">
        <f>IF($A77="","",IFERROR($B77+$C77+$D77+$E77+$F77,""))</f>
        <v/>
      </c>
      <c r="H77" s="110">
        <f>IF($A77="","",IFERROR($G77*AySayisi,""))</f>
        <v/>
      </c>
    </row>
    <row r="78" ht="15" customHeight="1" s="62">
      <c r="A78" s="107" t="n"/>
      <c r="B78" s="110">
        <f>IFERROR(IF($A78="","",IFERROR(INDEX(tblCalisan[Brüt Ücret (₺)],MATCH($A78,tblCalisan[Çalışan Adı],0)),"")),"")</f>
        <v/>
      </c>
      <c r="C78" s="110">
        <f>IF($A78="","",IFERROR($B78*IsverenPayiOrani,""))</f>
        <v/>
      </c>
      <c r="D78" s="110">
        <f>IF($A78="","",IFERROR($B78*IssizlikOrani,""))</f>
        <v/>
      </c>
      <c r="E78" s="110">
        <f>IF($A78="","",IFERROR($B78*KidemKarsilikOrani,""))</f>
        <v/>
      </c>
      <c r="F78" s="108" t="n"/>
      <c r="G78" s="110">
        <f>IF($A78="","",IFERROR($B78+$C78+$D78+$E78+$F78,""))</f>
        <v/>
      </c>
      <c r="H78" s="110">
        <f>IF($A78="","",IFERROR($G78*AySayisi,""))</f>
        <v/>
      </c>
    </row>
    <row r="79" ht="15" customHeight="1" s="62">
      <c r="A79" s="107" t="n"/>
      <c r="B79" s="110">
        <f>IFERROR(IF($A79="","",IFERROR(INDEX(tblCalisan[Brüt Ücret (₺)],MATCH($A79,tblCalisan[Çalışan Adı],0)),"")),"")</f>
        <v/>
      </c>
      <c r="C79" s="110">
        <f>IF($A79="","",IFERROR($B79*IsverenPayiOrani,""))</f>
        <v/>
      </c>
      <c r="D79" s="110">
        <f>IF($A79="","",IFERROR($B79*IssizlikOrani,""))</f>
        <v/>
      </c>
      <c r="E79" s="110">
        <f>IF($A79="","",IFERROR($B79*KidemKarsilikOrani,""))</f>
        <v/>
      </c>
      <c r="F79" s="108" t="n"/>
      <c r="G79" s="110">
        <f>IF($A79="","",IFERROR($B79+$C79+$D79+$E79+$F79,""))</f>
        <v/>
      </c>
      <c r="H79" s="110">
        <f>IF($A79="","",IFERROR($G79*AySayisi,""))</f>
        <v/>
      </c>
    </row>
    <row r="80" ht="15" customHeight="1" s="62">
      <c r="A80" s="107" t="n"/>
      <c r="B80" s="110">
        <f>IFERROR(IF($A80="","",IFERROR(INDEX(tblCalisan[Brüt Ücret (₺)],MATCH($A80,tblCalisan[Çalışan Adı],0)),"")),"")</f>
        <v/>
      </c>
      <c r="C80" s="110">
        <f>IF($A80="","",IFERROR($B80*IsverenPayiOrani,""))</f>
        <v/>
      </c>
      <c r="D80" s="110">
        <f>IF($A80="","",IFERROR($B80*IssizlikOrani,""))</f>
        <v/>
      </c>
      <c r="E80" s="110">
        <f>IF($A80="","",IFERROR($B80*KidemKarsilikOrani,""))</f>
        <v/>
      </c>
      <c r="F80" s="108" t="n"/>
      <c r="G80" s="110">
        <f>IF($A80="","",IFERROR($B80+$C80+$D80+$E80+$F80,""))</f>
        <v/>
      </c>
      <c r="H80" s="110">
        <f>IF($A80="","",IFERROR($G80*AySayisi,""))</f>
        <v/>
      </c>
    </row>
    <row r="81" ht="15" customHeight="1" s="62">
      <c r="A81" s="107" t="n"/>
      <c r="B81" s="110">
        <f>IFERROR(IF($A81="","",IFERROR(INDEX(tblCalisan[Brüt Ücret (₺)],MATCH($A81,tblCalisan[Çalışan Adı],0)),"")),"")</f>
        <v/>
      </c>
      <c r="C81" s="110">
        <f>IF($A81="","",IFERROR($B81*IsverenPayiOrani,""))</f>
        <v/>
      </c>
      <c r="D81" s="110">
        <f>IF($A81="","",IFERROR($B81*IssizlikOrani,""))</f>
        <v/>
      </c>
      <c r="E81" s="110">
        <f>IF($A81="","",IFERROR($B81*KidemKarsilikOrani,""))</f>
        <v/>
      </c>
      <c r="F81" s="108" t="n"/>
      <c r="G81" s="110">
        <f>IF($A81="","",IFERROR($B81+$C81+$D81+$E81+$F81,""))</f>
        <v/>
      </c>
      <c r="H81" s="110">
        <f>IF($A81="","",IFERROR($G81*AySayisi,""))</f>
        <v/>
      </c>
    </row>
    <row r="82" ht="15" customHeight="1" s="62">
      <c r="A82" s="107" t="n"/>
      <c r="B82" s="110">
        <f>IFERROR(IF($A82="","",IFERROR(INDEX(tblCalisan[Brüt Ücret (₺)],MATCH($A82,tblCalisan[Çalışan Adı],0)),"")),"")</f>
        <v/>
      </c>
      <c r="C82" s="110">
        <f>IF($A82="","",IFERROR($B82*IsverenPayiOrani,""))</f>
        <v/>
      </c>
      <c r="D82" s="110">
        <f>IF($A82="","",IFERROR($B82*IssizlikOrani,""))</f>
        <v/>
      </c>
      <c r="E82" s="110">
        <f>IF($A82="","",IFERROR($B82*KidemKarsilikOrani,""))</f>
        <v/>
      </c>
      <c r="F82" s="108" t="n"/>
      <c r="G82" s="110">
        <f>IF($A82="","",IFERROR($B82+$C82+$D82+$E82+$F82,""))</f>
        <v/>
      </c>
      <c r="H82" s="110">
        <f>IF($A82="","",IFERROR($G82*AySayisi,""))</f>
        <v/>
      </c>
    </row>
    <row r="83" ht="15" customHeight="1" s="62">
      <c r="A83" s="107" t="n"/>
      <c r="B83" s="110">
        <f>IFERROR(IF($A83="","",IFERROR(INDEX(tblCalisan[Brüt Ücret (₺)],MATCH($A83,tblCalisan[Çalışan Adı],0)),"")),"")</f>
        <v/>
      </c>
      <c r="C83" s="110">
        <f>IF($A83="","",IFERROR($B83*IsverenPayiOrani,""))</f>
        <v/>
      </c>
      <c r="D83" s="110">
        <f>IF($A83="","",IFERROR($B83*IssizlikOrani,""))</f>
        <v/>
      </c>
      <c r="E83" s="110">
        <f>IF($A83="","",IFERROR($B83*KidemKarsilikOrani,""))</f>
        <v/>
      </c>
      <c r="F83" s="108" t="n"/>
      <c r="G83" s="110">
        <f>IF($A83="","",IFERROR($B83+$C83+$D83+$E83+$F83,""))</f>
        <v/>
      </c>
      <c r="H83" s="110">
        <f>IF($A83="","",IFERROR($G83*AySayisi,""))</f>
        <v/>
      </c>
    </row>
    <row r="84" ht="15" customHeight="1" s="62">
      <c r="A84" s="107" t="n"/>
      <c r="B84" s="110">
        <f>IFERROR(IF($A84="","",IFERROR(INDEX(tblCalisan[Brüt Ücret (₺)],MATCH($A84,tblCalisan[Çalışan Adı],0)),"")),"")</f>
        <v/>
      </c>
      <c r="C84" s="110">
        <f>IF($A84="","",IFERROR($B84*IsverenPayiOrani,""))</f>
        <v/>
      </c>
      <c r="D84" s="110">
        <f>IF($A84="","",IFERROR($B84*IssizlikOrani,""))</f>
        <v/>
      </c>
      <c r="E84" s="110">
        <f>IF($A84="","",IFERROR($B84*KidemKarsilikOrani,""))</f>
        <v/>
      </c>
      <c r="F84" s="108" t="n"/>
      <c r="G84" s="110">
        <f>IF($A84="","",IFERROR($B84+$C84+$D84+$E84+$F84,""))</f>
        <v/>
      </c>
      <c r="H84" s="110">
        <f>IF($A84="","",IFERROR($G84*AySayisi,""))</f>
        <v/>
      </c>
    </row>
    <row r="85" ht="15" customHeight="1" s="62">
      <c r="A85" s="107" t="n"/>
      <c r="B85" s="110">
        <f>IFERROR(IF($A85="","",IFERROR(INDEX(tblCalisan[Brüt Ücret (₺)],MATCH($A85,tblCalisan[Çalışan Adı],0)),"")),"")</f>
        <v/>
      </c>
      <c r="C85" s="110">
        <f>IF($A85="","",IFERROR($B85*IsverenPayiOrani,""))</f>
        <v/>
      </c>
      <c r="D85" s="110">
        <f>IF($A85="","",IFERROR($B85*IssizlikOrani,""))</f>
        <v/>
      </c>
      <c r="E85" s="110">
        <f>IF($A85="","",IFERROR($B85*KidemKarsilikOrani,""))</f>
        <v/>
      </c>
      <c r="F85" s="108" t="n"/>
      <c r="G85" s="110">
        <f>IF($A85="","",IFERROR($B85+$C85+$D85+$E85+$F85,""))</f>
        <v/>
      </c>
      <c r="H85" s="110">
        <f>IF($A85="","",IFERROR($G85*AySayisi,""))</f>
        <v/>
      </c>
    </row>
    <row r="86" ht="15" customHeight="1" s="62">
      <c r="A86" s="107" t="n"/>
      <c r="B86" s="110">
        <f>IFERROR(IF($A86="","",IFERROR(INDEX(tblCalisan[Brüt Ücret (₺)],MATCH($A86,tblCalisan[Çalışan Adı],0)),"")),"")</f>
        <v/>
      </c>
      <c r="C86" s="110">
        <f>IF($A86="","",IFERROR($B86*IsverenPayiOrani,""))</f>
        <v/>
      </c>
      <c r="D86" s="110">
        <f>IF($A86="","",IFERROR($B86*IssizlikOrani,""))</f>
        <v/>
      </c>
      <c r="E86" s="110">
        <f>IF($A86="","",IFERROR($B86*KidemKarsilikOrani,""))</f>
        <v/>
      </c>
      <c r="F86" s="108" t="n"/>
      <c r="G86" s="110">
        <f>IF($A86="","",IFERROR($B86+$C86+$D86+$E86+$F86,""))</f>
        <v/>
      </c>
      <c r="H86" s="110">
        <f>IF($A86="","",IFERROR($G86*AySayisi,""))</f>
        <v/>
      </c>
    </row>
    <row r="87" ht="15" customHeight="1" s="62">
      <c r="A87" s="107" t="n"/>
      <c r="B87" s="110">
        <f>IFERROR(IF($A87="","",IFERROR(INDEX(tblCalisan[Brüt Ücret (₺)],MATCH($A87,tblCalisan[Çalışan Adı],0)),"")),"")</f>
        <v/>
      </c>
      <c r="C87" s="110">
        <f>IF($A87="","",IFERROR($B87*IsverenPayiOrani,""))</f>
        <v/>
      </c>
      <c r="D87" s="110">
        <f>IF($A87="","",IFERROR($B87*IssizlikOrani,""))</f>
        <v/>
      </c>
      <c r="E87" s="110">
        <f>IF($A87="","",IFERROR($B87*KidemKarsilikOrani,""))</f>
        <v/>
      </c>
      <c r="F87" s="108" t="n"/>
      <c r="G87" s="110">
        <f>IF($A87="","",IFERROR($B87+$C87+$D87+$E87+$F87,""))</f>
        <v/>
      </c>
      <c r="H87" s="110">
        <f>IF($A87="","",IFERROR($G87*AySayisi,""))</f>
        <v/>
      </c>
    </row>
    <row r="88" ht="15" customHeight="1" s="62">
      <c r="A88" s="107" t="n"/>
      <c r="B88" s="110">
        <f>IFERROR(IF($A88="","",IFERROR(INDEX(tblCalisan[Brüt Ücret (₺)],MATCH($A88,tblCalisan[Çalışan Adı],0)),"")),"")</f>
        <v/>
      </c>
      <c r="C88" s="110">
        <f>IF($A88="","",IFERROR($B88*IsverenPayiOrani,""))</f>
        <v/>
      </c>
      <c r="D88" s="110">
        <f>IF($A88="","",IFERROR($B88*IssizlikOrani,""))</f>
        <v/>
      </c>
      <c r="E88" s="110">
        <f>IF($A88="","",IFERROR($B88*KidemKarsilikOrani,""))</f>
        <v/>
      </c>
      <c r="F88" s="108" t="n"/>
      <c r="G88" s="110">
        <f>IF($A88="","",IFERROR($B88+$C88+$D88+$E88+$F88,""))</f>
        <v/>
      </c>
      <c r="H88" s="110">
        <f>IF($A88="","",IFERROR($G88*AySayisi,""))</f>
        <v/>
      </c>
    </row>
    <row r="89" ht="15" customHeight="1" s="62">
      <c r="A89" s="107" t="n"/>
      <c r="B89" s="110">
        <f>IFERROR(IF($A89="","",IFERROR(INDEX(tblCalisan[Brüt Ücret (₺)],MATCH($A89,tblCalisan[Çalışan Adı],0)),"")),"")</f>
        <v/>
      </c>
      <c r="C89" s="110">
        <f>IF($A89="","",IFERROR($B89*IsverenPayiOrani,""))</f>
        <v/>
      </c>
      <c r="D89" s="110">
        <f>IF($A89="","",IFERROR($B89*IssizlikOrani,""))</f>
        <v/>
      </c>
      <c r="E89" s="110">
        <f>IF($A89="","",IFERROR($B89*KidemKarsilikOrani,""))</f>
        <v/>
      </c>
      <c r="F89" s="108" t="n"/>
      <c r="G89" s="110">
        <f>IF($A89="","",IFERROR($B89+$C89+$D89+$E89+$F89,""))</f>
        <v/>
      </c>
      <c r="H89" s="110">
        <f>IF($A89="","",IFERROR($G89*AySayisi,""))</f>
        <v/>
      </c>
    </row>
    <row r="90" ht="15" customHeight="1" s="62">
      <c r="A90" s="107" t="n"/>
      <c r="B90" s="110">
        <f>IFERROR(IF($A90="","",IFERROR(INDEX(tblCalisan[Brüt Ücret (₺)],MATCH($A90,tblCalisan[Çalışan Adı],0)),"")),"")</f>
        <v/>
      </c>
      <c r="C90" s="110">
        <f>IF($A90="","",IFERROR($B90*IsverenPayiOrani,""))</f>
        <v/>
      </c>
      <c r="D90" s="110">
        <f>IF($A90="","",IFERROR($B90*IssizlikOrani,""))</f>
        <v/>
      </c>
      <c r="E90" s="110">
        <f>IF($A90="","",IFERROR($B90*KidemKarsilikOrani,""))</f>
        <v/>
      </c>
      <c r="F90" s="108" t="n"/>
      <c r="G90" s="110">
        <f>IF($A90="","",IFERROR($B90+$C90+$D90+$E90+$F90,""))</f>
        <v/>
      </c>
      <c r="H90" s="110">
        <f>IF($A90="","",IFERROR($G90*AySayisi,""))</f>
        <v/>
      </c>
    </row>
    <row r="91" ht="15" customHeight="1" s="62">
      <c r="A91" s="107" t="n"/>
      <c r="B91" s="110">
        <f>IFERROR(IF($A91="","",IFERROR(INDEX(tblCalisan[Brüt Ücret (₺)],MATCH($A91,tblCalisan[Çalışan Adı],0)),"")),"")</f>
        <v/>
      </c>
      <c r="C91" s="110">
        <f>IF($A91="","",IFERROR($B91*IsverenPayiOrani,""))</f>
        <v/>
      </c>
      <c r="D91" s="110">
        <f>IF($A91="","",IFERROR($B91*IssizlikOrani,""))</f>
        <v/>
      </c>
      <c r="E91" s="110">
        <f>IF($A91="","",IFERROR($B91*KidemKarsilikOrani,""))</f>
        <v/>
      </c>
      <c r="F91" s="108" t="n"/>
      <c r="G91" s="110">
        <f>IF($A91="","",IFERROR($B91+$C91+$D91+$E91+$F91,""))</f>
        <v/>
      </c>
      <c r="H91" s="110">
        <f>IF($A91="","",IFERROR($G91*AySayisi,""))</f>
        <v/>
      </c>
    </row>
    <row r="92" ht="15" customHeight="1" s="62">
      <c r="A92" s="107" t="n"/>
      <c r="B92" s="110">
        <f>IFERROR(IF($A92="","",IFERROR(INDEX(tblCalisan[Brüt Ücret (₺)],MATCH($A92,tblCalisan[Çalışan Adı],0)),"")),"")</f>
        <v/>
      </c>
      <c r="C92" s="110">
        <f>IF($A92="","",IFERROR($B92*IsverenPayiOrani,""))</f>
        <v/>
      </c>
      <c r="D92" s="110">
        <f>IF($A92="","",IFERROR($B92*IssizlikOrani,""))</f>
        <v/>
      </c>
      <c r="E92" s="110">
        <f>IF($A92="","",IFERROR($B92*KidemKarsilikOrani,""))</f>
        <v/>
      </c>
      <c r="F92" s="108" t="n"/>
      <c r="G92" s="110">
        <f>IF($A92="","",IFERROR($B92+$C92+$D92+$E92+$F92,""))</f>
        <v/>
      </c>
      <c r="H92" s="110">
        <f>IF($A92="","",IFERROR($G92*AySayisi,""))</f>
        <v/>
      </c>
    </row>
    <row r="93" ht="15" customHeight="1" s="62">
      <c r="A93" s="107" t="n"/>
      <c r="B93" s="110">
        <f>IFERROR(IF($A93="","",IFERROR(INDEX(tblCalisan[Brüt Ücret (₺)],MATCH($A93,tblCalisan[Çalışan Adı],0)),"")),"")</f>
        <v/>
      </c>
      <c r="C93" s="110">
        <f>IF($A93="","",IFERROR($B93*IsverenPayiOrani,""))</f>
        <v/>
      </c>
      <c r="D93" s="110">
        <f>IF($A93="","",IFERROR($B93*IssizlikOrani,""))</f>
        <v/>
      </c>
      <c r="E93" s="110">
        <f>IF($A93="","",IFERROR($B93*KidemKarsilikOrani,""))</f>
        <v/>
      </c>
      <c r="F93" s="108" t="n"/>
      <c r="G93" s="110">
        <f>IF($A93="","",IFERROR($B93+$C93+$D93+$E93+$F93,""))</f>
        <v/>
      </c>
      <c r="H93" s="110">
        <f>IF($A93="","",IFERROR($G93*AySayisi,""))</f>
        <v/>
      </c>
    </row>
    <row r="94" ht="15" customHeight="1" s="62">
      <c r="A94" s="107" t="n"/>
      <c r="B94" s="110">
        <f>IFERROR(IF($A94="","",IFERROR(INDEX(tblCalisan[Brüt Ücret (₺)],MATCH($A94,tblCalisan[Çalışan Adı],0)),"")),"")</f>
        <v/>
      </c>
      <c r="C94" s="110">
        <f>IF($A94="","",IFERROR($B94*IsverenPayiOrani,""))</f>
        <v/>
      </c>
      <c r="D94" s="110">
        <f>IF($A94="","",IFERROR($B94*IssizlikOrani,""))</f>
        <v/>
      </c>
      <c r="E94" s="110">
        <f>IF($A94="","",IFERROR($B94*KidemKarsilikOrani,""))</f>
        <v/>
      </c>
      <c r="F94" s="108" t="n"/>
      <c r="G94" s="110">
        <f>IF($A94="","",IFERROR($B94+$C94+$D94+$E94+$F94,""))</f>
        <v/>
      </c>
      <c r="H94" s="110">
        <f>IF($A94="","",IFERROR($G94*AySayisi,""))</f>
        <v/>
      </c>
    </row>
    <row r="95" ht="15" customHeight="1" s="62">
      <c r="A95" s="107" t="n"/>
      <c r="B95" s="110">
        <f>IFERROR(IF($A95="","",IFERROR(INDEX(tblCalisan[Brüt Ücret (₺)],MATCH($A95,tblCalisan[Çalışan Adı],0)),"")),"")</f>
        <v/>
      </c>
      <c r="C95" s="110">
        <f>IF($A95="","",IFERROR($B95*IsverenPayiOrani,""))</f>
        <v/>
      </c>
      <c r="D95" s="110">
        <f>IF($A95="","",IFERROR($B95*IssizlikOrani,""))</f>
        <v/>
      </c>
      <c r="E95" s="110">
        <f>IF($A95="","",IFERROR($B95*KidemKarsilikOrani,""))</f>
        <v/>
      </c>
      <c r="F95" s="108" t="n"/>
      <c r="G95" s="110">
        <f>IF($A95="","",IFERROR($B95+$C95+$D95+$E95+$F95,""))</f>
        <v/>
      </c>
      <c r="H95" s="110">
        <f>IF($A95="","",IFERROR($G95*AySayisi,""))</f>
        <v/>
      </c>
    </row>
    <row r="96" ht="15" customHeight="1" s="62">
      <c r="A96" s="107" t="n"/>
      <c r="B96" s="110">
        <f>IFERROR(IF($A96="","",IFERROR(INDEX(tblCalisan[Brüt Ücret (₺)],MATCH($A96,tblCalisan[Çalışan Adı],0)),"")),"")</f>
        <v/>
      </c>
      <c r="C96" s="110">
        <f>IF($A96="","",IFERROR($B96*IsverenPayiOrani,""))</f>
        <v/>
      </c>
      <c r="D96" s="110">
        <f>IF($A96="","",IFERROR($B96*IssizlikOrani,""))</f>
        <v/>
      </c>
      <c r="E96" s="110">
        <f>IF($A96="","",IFERROR($B96*KidemKarsilikOrani,""))</f>
        <v/>
      </c>
      <c r="F96" s="108" t="n"/>
      <c r="G96" s="110">
        <f>IF($A96="","",IFERROR($B96+$C96+$D96+$E96+$F96,""))</f>
        <v/>
      </c>
      <c r="H96" s="110">
        <f>IF($A96="","",IFERROR($G96*AySayisi,""))</f>
        <v/>
      </c>
    </row>
    <row r="97" ht="15" customHeight="1" s="62">
      <c r="A97" s="107" t="n"/>
      <c r="B97" s="110">
        <f>IFERROR(IF($A97="","",IFERROR(INDEX(tblCalisan[Brüt Ücret (₺)],MATCH($A97,tblCalisan[Çalışan Adı],0)),"")),"")</f>
        <v/>
      </c>
      <c r="C97" s="110">
        <f>IF($A97="","",IFERROR($B97*IsverenPayiOrani,""))</f>
        <v/>
      </c>
      <c r="D97" s="110">
        <f>IF($A97="","",IFERROR($B97*IssizlikOrani,""))</f>
        <v/>
      </c>
      <c r="E97" s="110">
        <f>IF($A97="","",IFERROR($B97*KidemKarsilikOrani,""))</f>
        <v/>
      </c>
      <c r="F97" s="108" t="n"/>
      <c r="G97" s="110">
        <f>IF($A97="","",IFERROR($B97+$C97+$D97+$E97+$F97,""))</f>
        <v/>
      </c>
      <c r="H97" s="110">
        <f>IF($A97="","",IFERROR($G97*AySayisi,""))</f>
        <v/>
      </c>
    </row>
    <row r="98" ht="15" customHeight="1" s="62">
      <c r="A98" s="107" t="n"/>
      <c r="B98" s="110">
        <f>IFERROR(IF($A98="","",IFERROR(INDEX(tblCalisan[Brüt Ücret (₺)],MATCH($A98,tblCalisan[Çalışan Adı],0)),"")),"")</f>
        <v/>
      </c>
      <c r="C98" s="110">
        <f>IF($A98="","",IFERROR($B98*IsverenPayiOrani,""))</f>
        <v/>
      </c>
      <c r="D98" s="110">
        <f>IF($A98="","",IFERROR($B98*IssizlikOrani,""))</f>
        <v/>
      </c>
      <c r="E98" s="110">
        <f>IF($A98="","",IFERROR($B98*KidemKarsilikOrani,""))</f>
        <v/>
      </c>
      <c r="F98" s="108" t="n"/>
      <c r="G98" s="110">
        <f>IF($A98="","",IFERROR($B98+$C98+$D98+$E98+$F98,""))</f>
        <v/>
      </c>
      <c r="H98" s="110">
        <f>IF($A98="","",IFERROR($G98*AySayisi,""))</f>
        <v/>
      </c>
    </row>
    <row r="99" ht="15" customHeight="1" s="62">
      <c r="A99" s="107" t="n"/>
      <c r="B99" s="110">
        <f>IFERROR(IF($A99="","",IFERROR(INDEX(tblCalisan[Brüt Ücret (₺)],MATCH($A99,tblCalisan[Çalışan Adı],0)),"")),"")</f>
        <v/>
      </c>
      <c r="C99" s="110">
        <f>IF($A99="","",IFERROR($B99*IsverenPayiOrani,""))</f>
        <v/>
      </c>
      <c r="D99" s="110">
        <f>IF($A99="","",IFERROR($B99*IssizlikOrani,""))</f>
        <v/>
      </c>
      <c r="E99" s="110">
        <f>IF($A99="","",IFERROR($B99*KidemKarsilikOrani,""))</f>
        <v/>
      </c>
      <c r="F99" s="108" t="n"/>
      <c r="G99" s="110">
        <f>IF($A99="","",IFERROR($B99+$C99+$D99+$E99+$F99,""))</f>
        <v/>
      </c>
      <c r="H99" s="110">
        <f>IF($A99="","",IFERROR($G99*AySayisi,""))</f>
        <v/>
      </c>
    </row>
    <row r="100" ht="15" customHeight="1" s="62">
      <c r="A100" s="107" t="n"/>
      <c r="B100" s="110">
        <f>IFERROR(IF($A100="","",IFERROR(INDEX(tblCalisan[Brüt Ücret (₺)],MATCH($A100,tblCalisan[Çalışan Adı],0)),"")),"")</f>
        <v/>
      </c>
      <c r="C100" s="110">
        <f>IF($A100="","",IFERROR($B100*IsverenPayiOrani,""))</f>
        <v/>
      </c>
      <c r="D100" s="110">
        <f>IF($A100="","",IFERROR($B100*IssizlikOrani,""))</f>
        <v/>
      </c>
      <c r="E100" s="110">
        <f>IF($A100="","",IFERROR($B100*KidemKarsilikOrani,""))</f>
        <v/>
      </c>
      <c r="F100" s="108" t="n"/>
      <c r="G100" s="110">
        <f>IF($A100="","",IFERROR($B100+$C100+$D100+$E100+$F100,""))</f>
        <v/>
      </c>
      <c r="H100" s="110">
        <f>IF($A100="","",IFERROR($G100*AySayisi,""))</f>
        <v/>
      </c>
    </row>
    <row r="101" ht="15" customHeight="1" s="62">
      <c r="A101" s="107" t="n"/>
      <c r="B101" s="110">
        <f>IFERROR(IF($A101="","",IFERROR(INDEX(tblCalisan[Brüt Ücret (₺)],MATCH($A101,tblCalisan[Çalışan Adı],0)),"")),"")</f>
        <v/>
      </c>
      <c r="C101" s="110">
        <f>IF($A101="","",IFERROR($B101*IsverenPayiOrani,""))</f>
        <v/>
      </c>
      <c r="D101" s="110">
        <f>IF($A101="","",IFERROR($B101*IssizlikOrani,""))</f>
        <v/>
      </c>
      <c r="E101" s="110">
        <f>IF($A101="","",IFERROR($B101*KidemKarsilikOrani,""))</f>
        <v/>
      </c>
      <c r="F101" s="108" t="n"/>
      <c r="G101" s="110">
        <f>IF($A101="","",IFERROR($B101+$C101+$D101+$E101+$F101,""))</f>
        <v/>
      </c>
      <c r="H101" s="110">
        <f>IF($A101="","",IFERROR($G101*AySayisi,""))</f>
        <v/>
      </c>
    </row>
    <row r="102" ht="15" customHeight="1" s="62">
      <c r="A102" s="107" t="n"/>
      <c r="B102" s="110">
        <f>IFERROR(IF($A102="","",IFERROR(INDEX(tblCalisan[Brüt Ücret (₺)],MATCH($A102,tblCalisan[Çalışan Adı],0)),"")),"")</f>
        <v/>
      </c>
      <c r="C102" s="110">
        <f>IF($A102="","",IFERROR($B102*IsverenPayiOrani,""))</f>
        <v/>
      </c>
      <c r="D102" s="110">
        <f>IF($A102="","",IFERROR($B102*IssizlikOrani,""))</f>
        <v/>
      </c>
      <c r="E102" s="110">
        <f>IF($A102="","",IFERROR($B102*KidemKarsilikOrani,""))</f>
        <v/>
      </c>
      <c r="F102" s="108" t="n"/>
      <c r="G102" s="110">
        <f>IF($A102="","",IFERROR($B102+$C102+$D102+$E102+$F102,""))</f>
        <v/>
      </c>
      <c r="H102" s="110">
        <f>IF($A102="","",IFERROR($G102*AySayisi,""))</f>
        <v/>
      </c>
    </row>
    <row r="103" ht="15" customHeight="1" s="62">
      <c r="A103" s="107" t="n"/>
      <c r="B103" s="110">
        <f>IFERROR(IF($A103="","",IFERROR(INDEX(tblCalisan[Brüt Ücret (₺)],MATCH($A103,tblCalisan[Çalışan Adı],0)),"")),"")</f>
        <v/>
      </c>
      <c r="C103" s="110">
        <f>IF($A103="","",IFERROR($B103*IsverenPayiOrani,""))</f>
        <v/>
      </c>
      <c r="D103" s="110">
        <f>IF($A103="","",IFERROR($B103*IssizlikOrani,""))</f>
        <v/>
      </c>
      <c r="E103" s="110">
        <f>IF($A103="","",IFERROR($B103*KidemKarsilikOrani,""))</f>
        <v/>
      </c>
      <c r="F103" s="108" t="n"/>
      <c r="G103" s="110">
        <f>IF($A103="","",IFERROR($B103+$C103+$D103+$E103+$F103,""))</f>
        <v/>
      </c>
      <c r="H103" s="110">
        <f>IF($A103="","",IFERROR($G103*AySayisi,""))</f>
        <v/>
      </c>
    </row>
    <row r="104" ht="15" customHeight="1" s="62">
      <c r="A104" s="107" t="n"/>
      <c r="B104" s="110">
        <f>IFERROR(IF($A104="","",IFERROR(INDEX(tblCalisan[Brüt Ücret (₺)],MATCH($A104,tblCalisan[Çalışan Adı],0)),"")),"")</f>
        <v/>
      </c>
      <c r="C104" s="110">
        <f>IF($A104="","",IFERROR($B104*IsverenPayiOrani,""))</f>
        <v/>
      </c>
      <c r="D104" s="110">
        <f>IF($A104="","",IFERROR($B104*IssizlikOrani,""))</f>
        <v/>
      </c>
      <c r="E104" s="110">
        <f>IF($A104="","",IFERROR($B104*KidemKarsilikOrani,""))</f>
        <v/>
      </c>
      <c r="F104" s="108" t="n"/>
      <c r="G104" s="110">
        <f>IF($A104="","",IFERROR($B104+$C104+$D104+$E104+$F104,""))</f>
        <v/>
      </c>
      <c r="H104" s="110">
        <f>IF($A104="","",IFERROR($G104*AySayisi,""))</f>
        <v/>
      </c>
    </row>
    <row r="105" ht="15" customHeight="1" s="62">
      <c r="A105" s="107" t="n"/>
      <c r="B105" s="110">
        <f>IFERROR(IF($A105="","",IFERROR(INDEX(tblCalisan[Brüt Ücret (₺)],MATCH($A105,tblCalisan[Çalışan Adı],0)),"")),"")</f>
        <v/>
      </c>
      <c r="C105" s="110">
        <f>IF($A105="","",IFERROR($B105*IsverenPayiOrani,""))</f>
        <v/>
      </c>
      <c r="D105" s="110">
        <f>IF($A105="","",IFERROR($B105*IssizlikOrani,""))</f>
        <v/>
      </c>
      <c r="E105" s="110">
        <f>IF($A105="","",IFERROR($B105*KidemKarsilikOrani,""))</f>
        <v/>
      </c>
      <c r="F105" s="108" t="n"/>
      <c r="G105" s="110">
        <f>IF($A105="","",IFERROR($B105+$C105+$D105+$E105+$F105,""))</f>
        <v/>
      </c>
      <c r="H105" s="110">
        <f>IF($A105="","",IFERROR($G105*AySayisi,""))</f>
        <v/>
      </c>
    </row>
    <row r="106" ht="15" customHeight="1" s="62">
      <c r="A106" s="107" t="n"/>
      <c r="B106" s="110">
        <f>IFERROR(IF($A106="","",IFERROR(INDEX(tblCalisan[Brüt Ücret (₺)],MATCH($A106,tblCalisan[Çalışan Adı],0)),"")),"")</f>
        <v/>
      </c>
      <c r="C106" s="110">
        <f>IF($A106="","",IFERROR($B106*IsverenPayiOrani,""))</f>
        <v/>
      </c>
      <c r="D106" s="110">
        <f>IF($A106="","",IFERROR($B106*IssizlikOrani,""))</f>
        <v/>
      </c>
      <c r="E106" s="110">
        <f>IF($A106="","",IFERROR($B106*KidemKarsilikOrani,""))</f>
        <v/>
      </c>
      <c r="F106" s="108" t="n"/>
      <c r="G106" s="110">
        <f>IF($A106="","",IFERROR($B106+$C106+$D106+$E106+$F106,""))</f>
        <v/>
      </c>
      <c r="H106" s="110">
        <f>IF($A106="","",IFERROR($G106*AySayisi,""))</f>
        <v/>
      </c>
    </row>
    <row r="107" ht="15" customHeight="1" s="62">
      <c r="A107" s="107" t="n"/>
      <c r="B107" s="110">
        <f>IFERROR(IF($A107="","",IFERROR(INDEX(tblCalisan[Brüt Ücret (₺)],MATCH($A107,tblCalisan[Çalışan Adı],0)),"")),"")</f>
        <v/>
      </c>
      <c r="C107" s="110">
        <f>IF($A107="","",IFERROR($B107*IsverenPayiOrani,""))</f>
        <v/>
      </c>
      <c r="D107" s="110">
        <f>IF($A107="","",IFERROR($B107*IssizlikOrani,""))</f>
        <v/>
      </c>
      <c r="E107" s="110">
        <f>IF($A107="","",IFERROR($B107*KidemKarsilikOrani,""))</f>
        <v/>
      </c>
      <c r="F107" s="108" t="n"/>
      <c r="G107" s="110">
        <f>IF($A107="","",IFERROR($B107+$C107+$D107+$E107+$F107,""))</f>
        <v/>
      </c>
      <c r="H107" s="110">
        <f>IF($A107="","",IFERROR($G107*AySayisi,""))</f>
        <v/>
      </c>
    </row>
    <row r="108" ht="15" customHeight="1" s="62">
      <c r="A108" s="107" t="n"/>
      <c r="B108" s="110">
        <f>IFERROR(IF($A108="","",IFERROR(INDEX(tblCalisan[Brüt Ücret (₺)],MATCH($A108,tblCalisan[Çalışan Adı],0)),"")),"")</f>
        <v/>
      </c>
      <c r="C108" s="110">
        <f>IF($A108="","",IFERROR($B108*IsverenPayiOrani,""))</f>
        <v/>
      </c>
      <c r="D108" s="110">
        <f>IF($A108="","",IFERROR($B108*IssizlikOrani,""))</f>
        <v/>
      </c>
      <c r="E108" s="110">
        <f>IF($A108="","",IFERROR($B108*KidemKarsilikOrani,""))</f>
        <v/>
      </c>
      <c r="F108" s="108" t="n"/>
      <c r="G108" s="110">
        <f>IF($A108="","",IFERROR($B108+$C108+$D108+$E108+$F108,""))</f>
        <v/>
      </c>
      <c r="H108" s="110">
        <f>IF($A108="","",IFERROR($G108*AySayisi,""))</f>
        <v/>
      </c>
    </row>
    <row r="109" ht="15" customHeight="1" s="62">
      <c r="A109" s="107" t="n"/>
      <c r="B109" s="110">
        <f>IFERROR(IF($A109="","",IFERROR(INDEX(tblCalisan[Brüt Ücret (₺)],MATCH($A109,tblCalisan[Çalışan Adı],0)),"")),"")</f>
        <v/>
      </c>
      <c r="C109" s="110">
        <f>IF($A109="","",IFERROR($B109*IsverenPayiOrani,""))</f>
        <v/>
      </c>
      <c r="D109" s="110">
        <f>IF($A109="","",IFERROR($B109*IssizlikOrani,""))</f>
        <v/>
      </c>
      <c r="E109" s="110">
        <f>IF($A109="","",IFERROR($B109*KidemKarsilikOrani,""))</f>
        <v/>
      </c>
      <c r="F109" s="108" t="n"/>
      <c r="G109" s="110">
        <f>IF($A109="","",IFERROR($B109+$C109+$D109+$E109+$F109,""))</f>
        <v/>
      </c>
      <c r="H109" s="110">
        <f>IF($A109="","",IFERROR($G109*AySayisi,""))</f>
        <v/>
      </c>
    </row>
    <row r="110" ht="15" customHeight="1" s="62">
      <c r="A110" s="107" t="n"/>
      <c r="B110" s="110">
        <f>IFERROR(IF($A110="","",IFERROR(INDEX(tblCalisan[Brüt Ücret (₺)],MATCH($A110,tblCalisan[Çalışan Adı],0)),"")),"")</f>
        <v/>
      </c>
      <c r="C110" s="110">
        <f>IF($A110="","",IFERROR($B110*IsverenPayiOrani,""))</f>
        <v/>
      </c>
      <c r="D110" s="110">
        <f>IF($A110="","",IFERROR($B110*IssizlikOrani,""))</f>
        <v/>
      </c>
      <c r="E110" s="110">
        <f>IF($A110="","",IFERROR($B110*KidemKarsilikOrani,""))</f>
        <v/>
      </c>
      <c r="F110" s="108" t="n"/>
      <c r="G110" s="110">
        <f>IF($A110="","",IFERROR($B110+$C110+$D110+$E110+$F110,""))</f>
        <v/>
      </c>
      <c r="H110" s="110">
        <f>IF($A110="","",IFERROR($G110*AySayisi,""))</f>
        <v/>
      </c>
    </row>
    <row r="111" ht="15" customHeight="1" s="62">
      <c r="A111" s="107" t="n"/>
      <c r="B111" s="110">
        <f>IFERROR(IF($A111="","",IFERROR(INDEX(tblCalisan[Brüt Ücret (₺)],MATCH($A111,tblCalisan[Çalışan Adı],0)),"")),"")</f>
        <v/>
      </c>
      <c r="C111" s="110">
        <f>IF($A111="","",IFERROR($B111*IsverenPayiOrani,""))</f>
        <v/>
      </c>
      <c r="D111" s="110">
        <f>IF($A111="","",IFERROR($B111*IssizlikOrani,""))</f>
        <v/>
      </c>
      <c r="E111" s="110">
        <f>IF($A111="","",IFERROR($B111*KidemKarsilikOrani,""))</f>
        <v/>
      </c>
      <c r="F111" s="108" t="n"/>
      <c r="G111" s="110">
        <f>IF($A111="","",IFERROR($B111+$C111+$D111+$E111+$F111,""))</f>
        <v/>
      </c>
      <c r="H111" s="110">
        <f>IF($A111="","",IFERROR($G111*AySayisi,""))</f>
        <v/>
      </c>
    </row>
    <row r="112" ht="15" customHeight="1" s="62">
      <c r="A112" s="107" t="n"/>
      <c r="B112" s="110">
        <f>IFERROR(IF($A112="","",IFERROR(INDEX(tblCalisan[Brüt Ücret (₺)],MATCH($A112,tblCalisan[Çalışan Adı],0)),"")),"")</f>
        <v/>
      </c>
      <c r="C112" s="110">
        <f>IF($A112="","",IFERROR($B112*IsverenPayiOrani,""))</f>
        <v/>
      </c>
      <c r="D112" s="110">
        <f>IF($A112="","",IFERROR($B112*IssizlikOrani,""))</f>
        <v/>
      </c>
      <c r="E112" s="110">
        <f>IF($A112="","",IFERROR($B112*KidemKarsilikOrani,""))</f>
        <v/>
      </c>
      <c r="F112" s="108" t="n"/>
      <c r="G112" s="110">
        <f>IF($A112="","",IFERROR($B112+$C112+$D112+$E112+$F112,""))</f>
        <v/>
      </c>
      <c r="H112" s="110">
        <f>IF($A112="","",IFERROR($G112*AySayisi,""))</f>
        <v/>
      </c>
    </row>
    <row r="113" ht="15" customHeight="1" s="62">
      <c r="A113" s="107" t="n"/>
      <c r="B113" s="110">
        <f>IFERROR(IF($A113="","",IFERROR(INDEX(tblCalisan[Brüt Ücret (₺)],MATCH($A113,tblCalisan[Çalışan Adı],0)),"")),"")</f>
        <v/>
      </c>
      <c r="C113" s="110">
        <f>IF($A113="","",IFERROR($B113*IsverenPayiOrani,""))</f>
        <v/>
      </c>
      <c r="D113" s="110">
        <f>IF($A113="","",IFERROR($B113*IssizlikOrani,""))</f>
        <v/>
      </c>
      <c r="E113" s="110">
        <f>IF($A113="","",IFERROR($B113*KidemKarsilikOrani,""))</f>
        <v/>
      </c>
      <c r="F113" s="108" t="n"/>
      <c r="G113" s="110">
        <f>IF($A113="","",IFERROR($B113+$C113+$D113+$E113+$F113,""))</f>
        <v/>
      </c>
      <c r="H113" s="110">
        <f>IF($A113="","",IFERROR($G113*AySayisi,""))</f>
        <v/>
      </c>
    </row>
    <row r="114" ht="15" customHeight="1" s="62">
      <c r="A114" s="107" t="n"/>
      <c r="B114" s="110">
        <f>IFERROR(IF($A114="","",IFERROR(INDEX(tblCalisan[Brüt Ücret (₺)],MATCH($A114,tblCalisan[Çalışan Adı],0)),"")),"")</f>
        <v/>
      </c>
      <c r="C114" s="110">
        <f>IF($A114="","",IFERROR($B114*IsverenPayiOrani,""))</f>
        <v/>
      </c>
      <c r="D114" s="110">
        <f>IF($A114="","",IFERROR($B114*IssizlikOrani,""))</f>
        <v/>
      </c>
      <c r="E114" s="110">
        <f>IF($A114="","",IFERROR($B114*KidemKarsilikOrani,""))</f>
        <v/>
      </c>
      <c r="F114" s="108" t="n"/>
      <c r="G114" s="110">
        <f>IF($A114="","",IFERROR($B114+$C114+$D114+$E114+$F114,""))</f>
        <v/>
      </c>
      <c r="H114" s="110">
        <f>IF($A114="","",IFERROR($G114*AySayisi,""))</f>
        <v/>
      </c>
    </row>
    <row r="115" ht="15" customHeight="1" s="62">
      <c r="A115" s="107" t="n"/>
      <c r="B115" s="110">
        <f>IFERROR(IF($A115="","",IFERROR(INDEX(tblCalisan[Brüt Ücret (₺)],MATCH($A115,tblCalisan[Çalışan Adı],0)),"")),"")</f>
        <v/>
      </c>
      <c r="C115" s="110">
        <f>IF($A115="","",IFERROR($B115*IsverenPayiOrani,""))</f>
        <v/>
      </c>
      <c r="D115" s="110">
        <f>IF($A115="","",IFERROR($B115*IssizlikOrani,""))</f>
        <v/>
      </c>
      <c r="E115" s="110">
        <f>IF($A115="","",IFERROR($B115*KidemKarsilikOrani,""))</f>
        <v/>
      </c>
      <c r="F115" s="108" t="n"/>
      <c r="G115" s="110">
        <f>IF($A115="","",IFERROR($B115+$C115+$D115+$E115+$F115,""))</f>
        <v/>
      </c>
      <c r="H115" s="110">
        <f>IF($A115="","",IFERROR($G115*AySayisi,""))</f>
        <v/>
      </c>
    </row>
    <row r="116" ht="15" customHeight="1" s="62">
      <c r="A116" s="107" t="n"/>
      <c r="B116" s="110">
        <f>IFERROR(IF($A116="","",IFERROR(INDEX(tblCalisan[Brüt Ücret (₺)],MATCH($A116,tblCalisan[Çalışan Adı],0)),"")),"")</f>
        <v/>
      </c>
      <c r="C116" s="110">
        <f>IF($A116="","",IFERROR($B116*IsverenPayiOrani,""))</f>
        <v/>
      </c>
      <c r="D116" s="110">
        <f>IF($A116="","",IFERROR($B116*IssizlikOrani,""))</f>
        <v/>
      </c>
      <c r="E116" s="110">
        <f>IF($A116="","",IFERROR($B116*KidemKarsilikOrani,""))</f>
        <v/>
      </c>
      <c r="F116" s="108" t="n"/>
      <c r="G116" s="110">
        <f>IF($A116="","",IFERROR($B116+$C116+$D116+$E116+$F116,""))</f>
        <v/>
      </c>
      <c r="H116" s="110">
        <f>IF($A116="","",IFERROR($G116*AySayisi,""))</f>
        <v/>
      </c>
    </row>
    <row r="117" ht="15" customHeight="1" s="62">
      <c r="A117" s="107" t="n"/>
      <c r="B117" s="110">
        <f>IFERROR(IF($A117="","",IFERROR(INDEX(tblCalisan[Brüt Ücret (₺)],MATCH($A117,tblCalisan[Çalışan Adı],0)),"")),"")</f>
        <v/>
      </c>
      <c r="C117" s="110">
        <f>IF($A117="","",IFERROR($B117*IsverenPayiOrani,""))</f>
        <v/>
      </c>
      <c r="D117" s="110">
        <f>IF($A117="","",IFERROR($B117*IssizlikOrani,""))</f>
        <v/>
      </c>
      <c r="E117" s="110">
        <f>IF($A117="","",IFERROR($B117*KidemKarsilikOrani,""))</f>
        <v/>
      </c>
      <c r="F117" s="108" t="n"/>
      <c r="G117" s="110">
        <f>IF($A117="","",IFERROR($B117+$C117+$D117+$E117+$F117,""))</f>
        <v/>
      </c>
      <c r="H117" s="110">
        <f>IF($A117="","",IFERROR($G117*AySayisi,""))</f>
        <v/>
      </c>
    </row>
    <row r="118" ht="15" customHeight="1" s="62">
      <c r="A118" s="107" t="n"/>
      <c r="B118" s="110">
        <f>IFERROR(IF($A118="","",IFERROR(INDEX(tblCalisan[Brüt Ücret (₺)],MATCH($A118,tblCalisan[Çalışan Adı],0)),"")),"")</f>
        <v/>
      </c>
      <c r="C118" s="110">
        <f>IF($A118="","",IFERROR($B118*IsverenPayiOrani,""))</f>
        <v/>
      </c>
      <c r="D118" s="110">
        <f>IF($A118="","",IFERROR($B118*IssizlikOrani,""))</f>
        <v/>
      </c>
      <c r="E118" s="110">
        <f>IF($A118="","",IFERROR($B118*KidemKarsilikOrani,""))</f>
        <v/>
      </c>
      <c r="F118" s="108" t="n"/>
      <c r="G118" s="110">
        <f>IF($A118="","",IFERROR($B118+$C118+$D118+$E118+$F118,""))</f>
        <v/>
      </c>
      <c r="H118" s="110">
        <f>IF($A118="","",IFERROR($G118*AySayisi,""))</f>
        <v/>
      </c>
    </row>
    <row r="119" ht="15" customHeight="1" s="62">
      <c r="A119" s="107" t="n"/>
      <c r="B119" s="110">
        <f>IFERROR(IF($A119="","",IFERROR(INDEX(tblCalisan[Brüt Ücret (₺)],MATCH($A119,tblCalisan[Çalışan Adı],0)),"")),"")</f>
        <v/>
      </c>
      <c r="C119" s="110">
        <f>IF($A119="","",IFERROR($B119*IsverenPayiOrani,""))</f>
        <v/>
      </c>
      <c r="D119" s="110">
        <f>IF($A119="","",IFERROR($B119*IssizlikOrani,""))</f>
        <v/>
      </c>
      <c r="E119" s="110">
        <f>IF($A119="","",IFERROR($B119*KidemKarsilikOrani,""))</f>
        <v/>
      </c>
      <c r="F119" s="108" t="n"/>
      <c r="G119" s="110">
        <f>IF($A119="","",IFERROR($B119+$C119+$D119+$E119+$F119,""))</f>
        <v/>
      </c>
      <c r="H119" s="110">
        <f>IF($A119="","",IFERROR($G119*AySayisi,""))</f>
        <v/>
      </c>
    </row>
    <row r="120" ht="15" customHeight="1" s="62">
      <c r="A120" s="107" t="n"/>
      <c r="B120" s="110">
        <f>IFERROR(IF($A120="","",IFERROR(INDEX(tblCalisan[Brüt Ücret (₺)],MATCH($A120,tblCalisan[Çalışan Adı],0)),"")),"")</f>
        <v/>
      </c>
      <c r="C120" s="110">
        <f>IF($A120="","",IFERROR($B120*IsverenPayiOrani,""))</f>
        <v/>
      </c>
      <c r="D120" s="110">
        <f>IF($A120="","",IFERROR($B120*IssizlikOrani,""))</f>
        <v/>
      </c>
      <c r="E120" s="110">
        <f>IF($A120="","",IFERROR($B120*KidemKarsilikOrani,""))</f>
        <v/>
      </c>
      <c r="F120" s="108" t="n"/>
      <c r="G120" s="110">
        <f>IF($A120="","",IFERROR($B120+$C120+$D120+$E120+$F120,""))</f>
        <v/>
      </c>
      <c r="H120" s="110">
        <f>IF($A120="","",IFERROR($G120*AySayisi,""))</f>
        <v/>
      </c>
    </row>
    <row r="121" ht="15" customHeight="1" s="62">
      <c r="A121" s="107" t="n"/>
      <c r="B121" s="110">
        <f>IFERROR(IF($A121="","",IFERROR(INDEX(tblCalisan[Brüt Ücret (₺)],MATCH($A121,tblCalisan[Çalışan Adı],0)),"")),"")</f>
        <v/>
      </c>
      <c r="C121" s="110">
        <f>IF($A121="","",IFERROR($B121*IsverenPayiOrani,""))</f>
        <v/>
      </c>
      <c r="D121" s="110">
        <f>IF($A121="","",IFERROR($B121*IssizlikOrani,""))</f>
        <v/>
      </c>
      <c r="E121" s="110">
        <f>IF($A121="","",IFERROR($B121*KidemKarsilikOrani,""))</f>
        <v/>
      </c>
      <c r="F121" s="108" t="n"/>
      <c r="G121" s="110">
        <f>IF($A121="","",IFERROR($B121+$C121+$D121+$E121+$F121,""))</f>
        <v/>
      </c>
      <c r="H121" s="110">
        <f>IF($A121="","",IFERROR($G121*AySayisi,""))</f>
        <v/>
      </c>
    </row>
    <row r="122" ht="15" customHeight="1" s="62">
      <c r="A122" s="107" t="n"/>
      <c r="B122" s="110">
        <f>IFERROR(IF($A122="","",IFERROR(INDEX(tblCalisan[Brüt Ücret (₺)],MATCH($A122,tblCalisan[Çalışan Adı],0)),"")),"")</f>
        <v/>
      </c>
      <c r="C122" s="110">
        <f>IF($A122="","",IFERROR($B122*IsverenPayiOrani,""))</f>
        <v/>
      </c>
      <c r="D122" s="110">
        <f>IF($A122="","",IFERROR($B122*IssizlikOrani,""))</f>
        <v/>
      </c>
      <c r="E122" s="110">
        <f>IF($A122="","",IFERROR($B122*KidemKarsilikOrani,""))</f>
        <v/>
      </c>
      <c r="F122" s="108" t="n"/>
      <c r="G122" s="110">
        <f>IF($A122="","",IFERROR($B122+$C122+$D122+$E122+$F122,""))</f>
        <v/>
      </c>
      <c r="H122" s="110">
        <f>IF($A122="","",IFERROR($G122*AySayisi,""))</f>
        <v/>
      </c>
    </row>
    <row r="123" ht="15" customHeight="1" s="62">
      <c r="A123" s="107" t="n"/>
      <c r="B123" s="110">
        <f>IFERROR(IF($A123="","",IFERROR(INDEX(tblCalisan[Brüt Ücret (₺)],MATCH($A123,tblCalisan[Çalışan Adı],0)),"")),"")</f>
        <v/>
      </c>
      <c r="C123" s="110">
        <f>IF($A123="","",IFERROR($B123*IsverenPayiOrani,""))</f>
        <v/>
      </c>
      <c r="D123" s="110">
        <f>IF($A123="","",IFERROR($B123*IssizlikOrani,""))</f>
        <v/>
      </c>
      <c r="E123" s="110">
        <f>IF($A123="","",IFERROR($B123*KidemKarsilikOrani,""))</f>
        <v/>
      </c>
      <c r="F123" s="108" t="n"/>
      <c r="G123" s="110">
        <f>IF($A123="","",IFERROR($B123+$C123+$D123+$E123+$F123,""))</f>
        <v/>
      </c>
      <c r="H123" s="110">
        <f>IF($A123="","",IFERROR($G123*AySayisi,""))</f>
        <v/>
      </c>
    </row>
    <row r="124" ht="15" customHeight="1" s="62">
      <c r="A124" s="107" t="n"/>
      <c r="B124" s="110">
        <f>IFERROR(IF($A124="","",IFERROR(INDEX(tblCalisan[Brüt Ücret (₺)],MATCH($A124,tblCalisan[Çalışan Adı],0)),"")),"")</f>
        <v/>
      </c>
      <c r="C124" s="110">
        <f>IF($A124="","",IFERROR($B124*IsverenPayiOrani,""))</f>
        <v/>
      </c>
      <c r="D124" s="110">
        <f>IF($A124="","",IFERROR($B124*IssizlikOrani,""))</f>
        <v/>
      </c>
      <c r="E124" s="110">
        <f>IF($A124="","",IFERROR($B124*KidemKarsilikOrani,""))</f>
        <v/>
      </c>
      <c r="F124" s="108" t="n"/>
      <c r="G124" s="110">
        <f>IF($A124="","",IFERROR($B124+$C124+$D124+$E124+$F124,""))</f>
        <v/>
      </c>
      <c r="H124" s="110">
        <f>IF($A124="","",IFERROR($G124*AySayisi,""))</f>
        <v/>
      </c>
    </row>
    <row r="125" ht="15" customHeight="1" s="62">
      <c r="A125" s="107" t="n"/>
      <c r="B125" s="110">
        <f>IFERROR(IF($A125="","",IFERROR(INDEX(tblCalisan[Brüt Ücret (₺)],MATCH($A125,tblCalisan[Çalışan Adı],0)),"")),"")</f>
        <v/>
      </c>
      <c r="C125" s="110">
        <f>IF($A125="","",IFERROR($B125*IsverenPayiOrani,""))</f>
        <v/>
      </c>
      <c r="D125" s="110">
        <f>IF($A125="","",IFERROR($B125*IssizlikOrani,""))</f>
        <v/>
      </c>
      <c r="E125" s="110">
        <f>IF($A125="","",IFERROR($B125*KidemKarsilikOrani,""))</f>
        <v/>
      </c>
      <c r="F125" s="108" t="n"/>
      <c r="G125" s="110">
        <f>IF($A125="","",IFERROR($B125+$C125+$D125+$E125+$F125,""))</f>
        <v/>
      </c>
      <c r="H125" s="110">
        <f>IF($A125="","",IFERROR($G125*AySayisi,""))</f>
        <v/>
      </c>
    </row>
    <row r="126" ht="15" customHeight="1" s="62">
      <c r="A126" s="107" t="n"/>
      <c r="B126" s="110">
        <f>IFERROR(IF($A126="","",IFERROR(INDEX(tblCalisan[Brüt Ücret (₺)],MATCH($A126,tblCalisan[Çalışan Adı],0)),"")),"")</f>
        <v/>
      </c>
      <c r="C126" s="110">
        <f>IF($A126="","",IFERROR($B126*IsverenPayiOrani,""))</f>
        <v/>
      </c>
      <c r="D126" s="110">
        <f>IF($A126="","",IFERROR($B126*IssizlikOrani,""))</f>
        <v/>
      </c>
      <c r="E126" s="110">
        <f>IF($A126="","",IFERROR($B126*KidemKarsilikOrani,""))</f>
        <v/>
      </c>
      <c r="F126" s="108" t="n"/>
      <c r="G126" s="110">
        <f>IF($A126="","",IFERROR($B126+$C126+$D126+$E126+$F126,""))</f>
        <v/>
      </c>
      <c r="H126" s="110">
        <f>IF($A126="","",IFERROR($G126*AySayisi,""))</f>
        <v/>
      </c>
    </row>
    <row r="127" ht="15" customHeight="1" s="62">
      <c r="A127" s="107" t="n"/>
      <c r="B127" s="110">
        <f>IFERROR(IF($A127="","",IFERROR(INDEX(tblCalisan[Brüt Ücret (₺)],MATCH($A127,tblCalisan[Çalışan Adı],0)),"")),"")</f>
        <v/>
      </c>
      <c r="C127" s="110">
        <f>IF($A127="","",IFERROR($B127*IsverenPayiOrani,""))</f>
        <v/>
      </c>
      <c r="D127" s="110">
        <f>IF($A127="","",IFERROR($B127*IssizlikOrani,""))</f>
        <v/>
      </c>
      <c r="E127" s="110">
        <f>IF($A127="","",IFERROR($B127*KidemKarsilikOrani,""))</f>
        <v/>
      </c>
      <c r="F127" s="108" t="n"/>
      <c r="G127" s="110">
        <f>IF($A127="","",IFERROR($B127+$C127+$D127+$E127+$F127,""))</f>
        <v/>
      </c>
      <c r="H127" s="110">
        <f>IF($A127="","",IFERROR($G127*AySayisi,""))</f>
        <v/>
      </c>
    </row>
    <row r="128" ht="15" customHeight="1" s="62">
      <c r="A128" s="107" t="n"/>
      <c r="B128" s="110">
        <f>IFERROR(IF($A128="","",IFERROR(INDEX(tblCalisan[Brüt Ücret (₺)],MATCH($A128,tblCalisan[Çalışan Adı],0)),"")),"")</f>
        <v/>
      </c>
      <c r="C128" s="110">
        <f>IF($A128="","",IFERROR($B128*IsverenPayiOrani,""))</f>
        <v/>
      </c>
      <c r="D128" s="110">
        <f>IF($A128="","",IFERROR($B128*IssizlikOrani,""))</f>
        <v/>
      </c>
      <c r="E128" s="110">
        <f>IF($A128="","",IFERROR($B128*KidemKarsilikOrani,""))</f>
        <v/>
      </c>
      <c r="F128" s="108" t="n"/>
      <c r="G128" s="110">
        <f>IF($A128="","",IFERROR($B128+$C128+$D128+$E128+$F128,""))</f>
        <v/>
      </c>
      <c r="H128" s="110">
        <f>IF($A128="","",IFERROR($G128*AySayisi,""))</f>
        <v/>
      </c>
    </row>
    <row r="129" ht="15" customHeight="1" s="62">
      <c r="A129" s="107" t="n"/>
      <c r="B129" s="110">
        <f>IFERROR(IF($A129="","",IFERROR(INDEX(tblCalisan[Brüt Ücret (₺)],MATCH($A129,tblCalisan[Çalışan Adı],0)),"")),"")</f>
        <v/>
      </c>
      <c r="C129" s="110">
        <f>IF($A129="","",IFERROR($B129*IsverenPayiOrani,""))</f>
        <v/>
      </c>
      <c r="D129" s="110">
        <f>IF($A129="","",IFERROR($B129*IssizlikOrani,""))</f>
        <v/>
      </c>
      <c r="E129" s="110">
        <f>IF($A129="","",IFERROR($B129*KidemKarsilikOrani,""))</f>
        <v/>
      </c>
      <c r="F129" s="108" t="n"/>
      <c r="G129" s="110">
        <f>IF($A129="","",IFERROR($B129+$C129+$D129+$E129+$F129,""))</f>
        <v/>
      </c>
      <c r="H129" s="110">
        <f>IF($A129="","",IFERROR($G129*AySayisi,""))</f>
        <v/>
      </c>
    </row>
    <row r="130" ht="15" customHeight="1" s="62">
      <c r="A130" s="107" t="n"/>
      <c r="B130" s="110">
        <f>IFERROR(IF($A130="","",IFERROR(INDEX(tblCalisan[Brüt Ücret (₺)],MATCH($A130,tblCalisan[Çalışan Adı],0)),"")),"")</f>
        <v/>
      </c>
      <c r="C130" s="110">
        <f>IF($A130="","",IFERROR($B130*IsverenPayiOrani,""))</f>
        <v/>
      </c>
      <c r="D130" s="110">
        <f>IF($A130="","",IFERROR($B130*IssizlikOrani,""))</f>
        <v/>
      </c>
      <c r="E130" s="110">
        <f>IF($A130="","",IFERROR($B130*KidemKarsilikOrani,""))</f>
        <v/>
      </c>
      <c r="F130" s="108" t="n"/>
      <c r="G130" s="110">
        <f>IF($A130="","",IFERROR($B130+$C130+$D130+$E130+$F130,""))</f>
        <v/>
      </c>
      <c r="H130" s="110">
        <f>IF($A130="","",IFERROR($G130*AySayisi,""))</f>
        <v/>
      </c>
    </row>
    <row r="131" ht="15" customHeight="1" s="62">
      <c r="A131" s="107" t="n"/>
      <c r="B131" s="110">
        <f>IFERROR(IF($A131="","",IFERROR(INDEX(tblCalisan[Brüt Ücret (₺)],MATCH($A131,tblCalisan[Çalışan Adı],0)),"")),"")</f>
        <v/>
      </c>
      <c r="C131" s="110">
        <f>IF($A131="","",IFERROR($B131*IsverenPayiOrani,""))</f>
        <v/>
      </c>
      <c r="D131" s="110">
        <f>IF($A131="","",IFERROR($B131*IssizlikOrani,""))</f>
        <v/>
      </c>
      <c r="E131" s="110">
        <f>IF($A131="","",IFERROR($B131*KidemKarsilikOrani,""))</f>
        <v/>
      </c>
      <c r="F131" s="108" t="n"/>
      <c r="G131" s="110">
        <f>IF($A131="","",IFERROR($B131+$C131+$D131+$E131+$F131,""))</f>
        <v/>
      </c>
      <c r="H131" s="110">
        <f>IF($A131="","",IFERROR($G131*AySayisi,""))</f>
        <v/>
      </c>
    </row>
    <row r="132" ht="15" customHeight="1" s="62">
      <c r="A132" s="107" t="n"/>
      <c r="B132" s="110">
        <f>IFERROR(IF($A132="","",IFERROR(INDEX(tblCalisan[Brüt Ücret (₺)],MATCH($A132,tblCalisan[Çalışan Adı],0)),"")),"")</f>
        <v/>
      </c>
      <c r="C132" s="110">
        <f>IF($A132="","",IFERROR($B132*IsverenPayiOrani,""))</f>
        <v/>
      </c>
      <c r="D132" s="110">
        <f>IF($A132="","",IFERROR($B132*IssizlikOrani,""))</f>
        <v/>
      </c>
      <c r="E132" s="110">
        <f>IF($A132="","",IFERROR($B132*KidemKarsilikOrani,""))</f>
        <v/>
      </c>
      <c r="F132" s="108" t="n"/>
      <c r="G132" s="110">
        <f>IF($A132="","",IFERROR($B132+$C132+$D132+$E132+$F132,""))</f>
        <v/>
      </c>
      <c r="H132" s="110">
        <f>IF($A132="","",IFERROR($G132*AySayisi,""))</f>
        <v/>
      </c>
    </row>
    <row r="133" ht="15" customHeight="1" s="62">
      <c r="A133" s="107" t="n"/>
      <c r="B133" s="110">
        <f>IFERROR(IF($A133="","",IFERROR(INDEX(tblCalisan[Brüt Ücret (₺)],MATCH($A133,tblCalisan[Çalışan Adı],0)),"")),"")</f>
        <v/>
      </c>
      <c r="C133" s="110">
        <f>IF($A133="","",IFERROR($B133*IsverenPayiOrani,""))</f>
        <v/>
      </c>
      <c r="D133" s="110">
        <f>IF($A133="","",IFERROR($B133*IssizlikOrani,""))</f>
        <v/>
      </c>
      <c r="E133" s="110">
        <f>IF($A133="","",IFERROR($B133*KidemKarsilikOrani,""))</f>
        <v/>
      </c>
      <c r="F133" s="108" t="n"/>
      <c r="G133" s="110">
        <f>IF($A133="","",IFERROR($B133+$C133+$D133+$E133+$F133,""))</f>
        <v/>
      </c>
      <c r="H133" s="110">
        <f>IF($A133="","",IFERROR($G133*AySayisi,""))</f>
        <v/>
      </c>
    </row>
    <row r="134" ht="15" customHeight="1" s="62">
      <c r="A134" s="107" t="n"/>
      <c r="B134" s="110">
        <f>IFERROR(IF($A134="","",IFERROR(INDEX(tblCalisan[Brüt Ücret (₺)],MATCH($A134,tblCalisan[Çalışan Adı],0)),"")),"")</f>
        <v/>
      </c>
      <c r="C134" s="110">
        <f>IF($A134="","",IFERROR($B134*IsverenPayiOrani,""))</f>
        <v/>
      </c>
      <c r="D134" s="110">
        <f>IF($A134="","",IFERROR($B134*IssizlikOrani,""))</f>
        <v/>
      </c>
      <c r="E134" s="110">
        <f>IF($A134="","",IFERROR($B134*KidemKarsilikOrani,""))</f>
        <v/>
      </c>
      <c r="F134" s="108" t="n"/>
      <c r="G134" s="110">
        <f>IF($A134="","",IFERROR($B134+$C134+$D134+$E134+$F134,""))</f>
        <v/>
      </c>
      <c r="H134" s="110">
        <f>IF($A134="","",IFERROR($G134*AySayisi,""))</f>
        <v/>
      </c>
    </row>
    <row r="135" ht="15" customHeight="1" s="62">
      <c r="A135" s="107" t="n"/>
      <c r="B135" s="110">
        <f>IFERROR(IF($A135="","",IFERROR(INDEX(tblCalisan[Brüt Ücret (₺)],MATCH($A135,tblCalisan[Çalışan Adı],0)),"")),"")</f>
        <v/>
      </c>
      <c r="C135" s="110">
        <f>IF($A135="","",IFERROR($B135*IsverenPayiOrani,""))</f>
        <v/>
      </c>
      <c r="D135" s="110">
        <f>IF($A135="","",IFERROR($B135*IssizlikOrani,""))</f>
        <v/>
      </c>
      <c r="E135" s="110">
        <f>IF($A135="","",IFERROR($B135*KidemKarsilikOrani,""))</f>
        <v/>
      </c>
      <c r="F135" s="108" t="n"/>
      <c r="G135" s="110">
        <f>IF($A135="","",IFERROR($B135+$C135+$D135+$E135+$F135,""))</f>
        <v/>
      </c>
      <c r="H135" s="110">
        <f>IF($A135="","",IFERROR($G135*AySayisi,""))</f>
        <v/>
      </c>
    </row>
    <row r="136" ht="15" customHeight="1" s="62">
      <c r="A136" s="107" t="n"/>
      <c r="B136" s="110">
        <f>IFERROR(IF($A136="","",IFERROR(INDEX(tblCalisan[Brüt Ücret (₺)],MATCH($A136,tblCalisan[Çalışan Adı],0)),"")),"")</f>
        <v/>
      </c>
      <c r="C136" s="110">
        <f>IF($A136="","",IFERROR($B136*IsverenPayiOrani,""))</f>
        <v/>
      </c>
      <c r="D136" s="110">
        <f>IF($A136="","",IFERROR($B136*IssizlikOrani,""))</f>
        <v/>
      </c>
      <c r="E136" s="110">
        <f>IF($A136="","",IFERROR($B136*KidemKarsilikOrani,""))</f>
        <v/>
      </c>
      <c r="F136" s="108" t="n"/>
      <c r="G136" s="110">
        <f>IF($A136="","",IFERROR($B136+$C136+$D136+$E136+$F136,""))</f>
        <v/>
      </c>
      <c r="H136" s="110">
        <f>IF($A136="","",IFERROR($G136*AySayisi,""))</f>
        <v/>
      </c>
    </row>
    <row r="137" ht="15" customHeight="1" s="62">
      <c r="A137" s="107" t="n"/>
      <c r="B137" s="110">
        <f>IFERROR(IF($A137="","",IFERROR(INDEX(tblCalisan[Brüt Ücret (₺)],MATCH($A137,tblCalisan[Çalışan Adı],0)),"")),"")</f>
        <v/>
      </c>
      <c r="C137" s="110">
        <f>IF($A137="","",IFERROR($B137*IsverenPayiOrani,""))</f>
        <v/>
      </c>
      <c r="D137" s="110">
        <f>IF($A137="","",IFERROR($B137*IssizlikOrani,""))</f>
        <v/>
      </c>
      <c r="E137" s="110">
        <f>IF($A137="","",IFERROR($B137*KidemKarsilikOrani,""))</f>
        <v/>
      </c>
      <c r="F137" s="108" t="n"/>
      <c r="G137" s="110">
        <f>IF($A137="","",IFERROR($B137+$C137+$D137+$E137+$F137,""))</f>
        <v/>
      </c>
      <c r="H137" s="110">
        <f>IF($A137="","",IFERROR($G137*AySayisi,""))</f>
        <v/>
      </c>
    </row>
    <row r="138" ht="15" customHeight="1" s="62">
      <c r="A138" s="107" t="n"/>
      <c r="B138" s="110">
        <f>IFERROR(IF($A138="","",IFERROR(INDEX(tblCalisan[Brüt Ücret (₺)],MATCH($A138,tblCalisan[Çalışan Adı],0)),"")),"")</f>
        <v/>
      </c>
      <c r="C138" s="110">
        <f>IF($A138="","",IFERROR($B138*IsverenPayiOrani,""))</f>
        <v/>
      </c>
      <c r="D138" s="110">
        <f>IF($A138="","",IFERROR($B138*IssizlikOrani,""))</f>
        <v/>
      </c>
      <c r="E138" s="110">
        <f>IF($A138="","",IFERROR($B138*KidemKarsilikOrani,""))</f>
        <v/>
      </c>
      <c r="F138" s="108" t="n"/>
      <c r="G138" s="110">
        <f>IF($A138="","",IFERROR($B138+$C138+$D138+$E138+$F138,""))</f>
        <v/>
      </c>
      <c r="H138" s="110">
        <f>IF($A138="","",IFERROR($G138*AySayisi,""))</f>
        <v/>
      </c>
    </row>
    <row r="139" ht="15" customHeight="1" s="62">
      <c r="A139" s="107" t="n"/>
      <c r="B139" s="110">
        <f>IFERROR(IF($A139="","",IFERROR(INDEX(tblCalisan[Brüt Ücret (₺)],MATCH($A139,tblCalisan[Çalışan Adı],0)),"")),"")</f>
        <v/>
      </c>
      <c r="C139" s="110">
        <f>IF($A139="","",IFERROR($B139*IsverenPayiOrani,""))</f>
        <v/>
      </c>
      <c r="D139" s="110">
        <f>IF($A139="","",IFERROR($B139*IssizlikOrani,""))</f>
        <v/>
      </c>
      <c r="E139" s="110">
        <f>IF($A139="","",IFERROR($B139*KidemKarsilikOrani,""))</f>
        <v/>
      </c>
      <c r="F139" s="108" t="n"/>
      <c r="G139" s="110">
        <f>IF($A139="","",IFERROR($B139+$C139+$D139+$E139+$F139,""))</f>
        <v/>
      </c>
      <c r="H139" s="110">
        <f>IF($A139="","",IFERROR($G139*AySayisi,""))</f>
        <v/>
      </c>
    </row>
    <row r="140" ht="15" customHeight="1" s="62">
      <c r="A140" s="107" t="n"/>
      <c r="B140" s="110">
        <f>IFERROR(IF($A140="","",IFERROR(INDEX(tblCalisan[Brüt Ücret (₺)],MATCH($A140,tblCalisan[Çalışan Adı],0)),"")),"")</f>
        <v/>
      </c>
      <c r="C140" s="110">
        <f>IF($A140="","",IFERROR($B140*IsverenPayiOrani,""))</f>
        <v/>
      </c>
      <c r="D140" s="110">
        <f>IF($A140="","",IFERROR($B140*IssizlikOrani,""))</f>
        <v/>
      </c>
      <c r="E140" s="110">
        <f>IF($A140="","",IFERROR($B140*KidemKarsilikOrani,""))</f>
        <v/>
      </c>
      <c r="F140" s="108" t="n"/>
      <c r="G140" s="110">
        <f>IF($A140="","",IFERROR($B140+$C140+$D140+$E140+$F140,""))</f>
        <v/>
      </c>
      <c r="H140" s="110">
        <f>IF($A140="","",IFERROR($G140*AySayisi,""))</f>
        <v/>
      </c>
    </row>
    <row r="141" ht="15" customHeight="1" s="62">
      <c r="A141" s="107" t="n"/>
      <c r="B141" s="110">
        <f>IFERROR(IF($A141="","",IFERROR(INDEX(tblCalisan[Brüt Ücret (₺)],MATCH($A141,tblCalisan[Çalışan Adı],0)),"")),"")</f>
        <v/>
      </c>
      <c r="C141" s="110">
        <f>IF($A141="","",IFERROR($B141*IsverenPayiOrani,""))</f>
        <v/>
      </c>
      <c r="D141" s="110">
        <f>IF($A141="","",IFERROR($B141*IssizlikOrani,""))</f>
        <v/>
      </c>
      <c r="E141" s="110">
        <f>IF($A141="","",IFERROR($B141*KidemKarsilikOrani,""))</f>
        <v/>
      </c>
      <c r="F141" s="108" t="n"/>
      <c r="G141" s="110">
        <f>IF($A141="","",IFERROR($B141+$C141+$D141+$E141+$F141,""))</f>
        <v/>
      </c>
      <c r="H141" s="110">
        <f>IF($A141="","",IFERROR($G141*AySayisi,""))</f>
        <v/>
      </c>
    </row>
    <row r="142" ht="15" customHeight="1" s="62">
      <c r="A142" s="107" t="n"/>
      <c r="B142" s="110">
        <f>IFERROR(IF($A142="","",IFERROR(INDEX(tblCalisan[Brüt Ücret (₺)],MATCH($A142,tblCalisan[Çalışan Adı],0)),"")),"")</f>
        <v/>
      </c>
      <c r="C142" s="110">
        <f>IF($A142="","",IFERROR($B142*IsverenPayiOrani,""))</f>
        <v/>
      </c>
      <c r="D142" s="110">
        <f>IF($A142="","",IFERROR($B142*IssizlikOrani,""))</f>
        <v/>
      </c>
      <c r="E142" s="110">
        <f>IF($A142="","",IFERROR($B142*KidemKarsilikOrani,""))</f>
        <v/>
      </c>
      <c r="F142" s="108" t="n"/>
      <c r="G142" s="110">
        <f>IF($A142="","",IFERROR($B142+$C142+$D142+$E142+$F142,""))</f>
        <v/>
      </c>
      <c r="H142" s="110">
        <f>IF($A142="","",IFERROR($G142*AySayisi,""))</f>
        <v/>
      </c>
    </row>
    <row r="143" ht="15" customHeight="1" s="62">
      <c r="A143" s="107" t="n"/>
      <c r="B143" s="110">
        <f>IFERROR(IF($A143="","",IFERROR(INDEX(tblCalisan[Brüt Ücret (₺)],MATCH($A143,tblCalisan[Çalışan Adı],0)),"")),"")</f>
        <v/>
      </c>
      <c r="C143" s="110">
        <f>IF($A143="","",IFERROR($B143*IsverenPayiOrani,""))</f>
        <v/>
      </c>
      <c r="D143" s="110">
        <f>IF($A143="","",IFERROR($B143*IssizlikOrani,""))</f>
        <v/>
      </c>
      <c r="E143" s="110">
        <f>IF($A143="","",IFERROR($B143*KidemKarsilikOrani,""))</f>
        <v/>
      </c>
      <c r="F143" s="108" t="n"/>
      <c r="G143" s="110">
        <f>IF($A143="","",IFERROR($B143+$C143+$D143+$E143+$F143,""))</f>
        <v/>
      </c>
      <c r="H143" s="110">
        <f>IF($A143="","",IFERROR($G143*AySayisi,""))</f>
        <v/>
      </c>
    </row>
    <row r="144" ht="15" customHeight="1" s="62">
      <c r="A144" s="107" t="n"/>
      <c r="B144" s="110">
        <f>IFERROR(IF($A144="","",IFERROR(INDEX(tblCalisan[Brüt Ücret (₺)],MATCH($A144,tblCalisan[Çalışan Adı],0)),"")),"")</f>
        <v/>
      </c>
      <c r="C144" s="110">
        <f>IF($A144="","",IFERROR($B144*IsverenPayiOrani,""))</f>
        <v/>
      </c>
      <c r="D144" s="110">
        <f>IF($A144="","",IFERROR($B144*IssizlikOrani,""))</f>
        <v/>
      </c>
      <c r="E144" s="110">
        <f>IF($A144="","",IFERROR($B144*KidemKarsilikOrani,""))</f>
        <v/>
      </c>
      <c r="F144" s="108" t="n"/>
      <c r="G144" s="110">
        <f>IF($A144="","",IFERROR($B144+$C144+$D144+$E144+$F144,""))</f>
        <v/>
      </c>
      <c r="H144" s="110">
        <f>IF($A144="","",IFERROR($G144*AySayisi,""))</f>
        <v/>
      </c>
    </row>
    <row r="145" ht="15" customHeight="1" s="62">
      <c r="A145" s="107" t="n"/>
      <c r="B145" s="110">
        <f>IFERROR(IF($A145="","",IFERROR(INDEX(tblCalisan[Brüt Ücret (₺)],MATCH($A145,tblCalisan[Çalışan Adı],0)),"")),"")</f>
        <v/>
      </c>
      <c r="C145" s="110">
        <f>IF($A145="","",IFERROR($B145*IsverenPayiOrani,""))</f>
        <v/>
      </c>
      <c r="D145" s="110">
        <f>IF($A145="","",IFERROR($B145*IssizlikOrani,""))</f>
        <v/>
      </c>
      <c r="E145" s="110">
        <f>IF($A145="","",IFERROR($B145*KidemKarsilikOrani,""))</f>
        <v/>
      </c>
      <c r="F145" s="108" t="n"/>
      <c r="G145" s="110">
        <f>IF($A145="","",IFERROR($B145+$C145+$D145+$E145+$F145,""))</f>
        <v/>
      </c>
      <c r="H145" s="110">
        <f>IF($A145="","",IFERROR($G145*AySayisi,""))</f>
        <v/>
      </c>
    </row>
    <row r="146" ht="15" customHeight="1" s="62">
      <c r="A146" s="107" t="n"/>
      <c r="B146" s="110">
        <f>IFERROR(IF($A146="","",IFERROR(INDEX(tblCalisan[Brüt Ücret (₺)],MATCH($A146,tblCalisan[Çalışan Adı],0)),"")),"")</f>
        <v/>
      </c>
      <c r="C146" s="110">
        <f>IF($A146="","",IFERROR($B146*IsverenPayiOrani,""))</f>
        <v/>
      </c>
      <c r="D146" s="110">
        <f>IF($A146="","",IFERROR($B146*IssizlikOrani,""))</f>
        <v/>
      </c>
      <c r="E146" s="110">
        <f>IF($A146="","",IFERROR($B146*KidemKarsilikOrani,""))</f>
        <v/>
      </c>
      <c r="F146" s="108" t="n"/>
      <c r="G146" s="110">
        <f>IF($A146="","",IFERROR($B146+$C146+$D146+$E146+$F146,""))</f>
        <v/>
      </c>
      <c r="H146" s="110">
        <f>IF($A146="","",IFERROR($G146*AySayisi,""))</f>
        <v/>
      </c>
    </row>
    <row r="147" ht="15" customHeight="1" s="62">
      <c r="A147" s="107" t="n"/>
      <c r="B147" s="110">
        <f>IFERROR(IF($A147="","",IFERROR(INDEX(tblCalisan[Brüt Ücret (₺)],MATCH($A147,tblCalisan[Çalışan Adı],0)),"")),"")</f>
        <v/>
      </c>
      <c r="C147" s="110">
        <f>IF($A147="","",IFERROR($B147*IsverenPayiOrani,""))</f>
        <v/>
      </c>
      <c r="D147" s="110">
        <f>IF($A147="","",IFERROR($B147*IssizlikOrani,""))</f>
        <v/>
      </c>
      <c r="E147" s="110">
        <f>IF($A147="","",IFERROR($B147*KidemKarsilikOrani,""))</f>
        <v/>
      </c>
      <c r="F147" s="108" t="n"/>
      <c r="G147" s="110">
        <f>IF($A147="","",IFERROR($B147+$C147+$D147+$E147+$F147,""))</f>
        <v/>
      </c>
      <c r="H147" s="110">
        <f>IF($A147="","",IFERROR($G147*AySayisi,""))</f>
        <v/>
      </c>
    </row>
    <row r="148" ht="15" customHeight="1" s="62">
      <c r="A148" s="107" t="n"/>
      <c r="B148" s="110">
        <f>IFERROR(IF($A148="","",IFERROR(INDEX(tblCalisan[Brüt Ücret (₺)],MATCH($A148,tblCalisan[Çalışan Adı],0)),"")),"")</f>
        <v/>
      </c>
      <c r="C148" s="110">
        <f>IF($A148="","",IFERROR($B148*IsverenPayiOrani,""))</f>
        <v/>
      </c>
      <c r="D148" s="110">
        <f>IF($A148="","",IFERROR($B148*IssizlikOrani,""))</f>
        <v/>
      </c>
      <c r="E148" s="110">
        <f>IF($A148="","",IFERROR($B148*KidemKarsilikOrani,""))</f>
        <v/>
      </c>
      <c r="F148" s="108" t="n"/>
      <c r="G148" s="110">
        <f>IF($A148="","",IFERROR($B148+$C148+$D148+$E148+$F148,""))</f>
        <v/>
      </c>
      <c r="H148" s="110">
        <f>IF($A148="","",IFERROR($G148*AySayisi,""))</f>
        <v/>
      </c>
    </row>
    <row r="149" ht="15" customHeight="1" s="62">
      <c r="A149" s="107" t="n"/>
      <c r="B149" s="110">
        <f>IFERROR(IF($A149="","",IFERROR(INDEX(tblCalisan[Brüt Ücret (₺)],MATCH($A149,tblCalisan[Çalışan Adı],0)),"")),"")</f>
        <v/>
      </c>
      <c r="C149" s="110">
        <f>IF($A149="","",IFERROR($B149*IsverenPayiOrani,""))</f>
        <v/>
      </c>
      <c r="D149" s="110">
        <f>IF($A149="","",IFERROR($B149*IssizlikOrani,""))</f>
        <v/>
      </c>
      <c r="E149" s="110">
        <f>IF($A149="","",IFERROR($B149*KidemKarsilikOrani,""))</f>
        <v/>
      </c>
      <c r="F149" s="108" t="n"/>
      <c r="G149" s="110">
        <f>IF($A149="","",IFERROR($B149+$C149+$D149+$E149+$F149,""))</f>
        <v/>
      </c>
      <c r="H149" s="110">
        <f>IF($A149="","",IFERROR($G149*AySayisi,""))</f>
        <v/>
      </c>
    </row>
    <row r="150" ht="15" customHeight="1" s="62">
      <c r="A150" s="107" t="n"/>
      <c r="B150" s="110">
        <f>IFERROR(IF($A150="","",IFERROR(INDEX(tblCalisan[Brüt Ücret (₺)],MATCH($A150,tblCalisan[Çalışan Adı],0)),"")),"")</f>
        <v/>
      </c>
      <c r="C150" s="110">
        <f>IF($A150="","",IFERROR($B150*IsverenPayiOrani,""))</f>
        <v/>
      </c>
      <c r="D150" s="110">
        <f>IF($A150="","",IFERROR($B150*IssizlikOrani,""))</f>
        <v/>
      </c>
      <c r="E150" s="110">
        <f>IF($A150="","",IFERROR($B150*KidemKarsilikOrani,""))</f>
        <v/>
      </c>
      <c r="F150" s="108" t="n"/>
      <c r="G150" s="110">
        <f>IF($A150="","",IFERROR($B150+$C150+$D150+$E150+$F150,""))</f>
        <v/>
      </c>
      <c r="H150" s="110">
        <f>IF($A150="","",IFERROR($G150*AySayisi,""))</f>
        <v/>
      </c>
    </row>
    <row r="151" ht="15" customHeight="1" s="62">
      <c r="A151" s="107" t="n"/>
      <c r="B151" s="110">
        <f>IFERROR(IF($A151="","",IFERROR(INDEX(tblCalisan[Brüt Ücret (₺)],MATCH($A151,tblCalisan[Çalışan Adı],0)),"")),"")</f>
        <v/>
      </c>
      <c r="C151" s="110">
        <f>IF($A151="","",IFERROR($B151*IsverenPayiOrani,""))</f>
        <v/>
      </c>
      <c r="D151" s="110">
        <f>IF($A151="","",IFERROR($B151*IssizlikOrani,""))</f>
        <v/>
      </c>
      <c r="E151" s="110">
        <f>IF($A151="","",IFERROR($B151*KidemKarsilikOrani,""))</f>
        <v/>
      </c>
      <c r="F151" s="108" t="n"/>
      <c r="G151" s="110">
        <f>IF($A151="","",IFERROR($B151+$C151+$D151+$E151+$F151,""))</f>
        <v/>
      </c>
      <c r="H151" s="110">
        <f>IF($A151="","",IFERROR($G151*AySayisi,""))</f>
        <v/>
      </c>
    </row>
    <row r="152" ht="15" customHeight="1" s="62">
      <c r="A152" s="107" t="n"/>
      <c r="B152" s="110">
        <f>IFERROR(IF($A152="","",IFERROR(INDEX(tblCalisan[Brüt Ücret (₺)],MATCH($A152,tblCalisan[Çalışan Adı],0)),"")),"")</f>
        <v/>
      </c>
      <c r="C152" s="110">
        <f>IF($A152="","",IFERROR($B152*IsverenPayiOrani,""))</f>
        <v/>
      </c>
      <c r="D152" s="110">
        <f>IF($A152="","",IFERROR($B152*IssizlikOrani,""))</f>
        <v/>
      </c>
      <c r="E152" s="110">
        <f>IF($A152="","",IFERROR($B152*KidemKarsilikOrani,""))</f>
        <v/>
      </c>
      <c r="F152" s="108" t="n"/>
      <c r="G152" s="110">
        <f>IF($A152="","",IFERROR($B152+$C152+$D152+$E152+$F152,""))</f>
        <v/>
      </c>
      <c r="H152" s="110">
        <f>IF($A152="","",IFERROR($G152*AySayisi,""))</f>
        <v/>
      </c>
    </row>
    <row r="153" ht="15" customHeight="1" s="62">
      <c r="A153" s="107" t="n"/>
      <c r="B153" s="110">
        <f>IFERROR(IF($A153="","",IFERROR(INDEX(tblCalisan[Brüt Ücret (₺)],MATCH($A153,tblCalisan[Çalışan Adı],0)),"")),"")</f>
        <v/>
      </c>
      <c r="C153" s="110">
        <f>IF($A153="","",IFERROR($B153*IsverenPayiOrani,""))</f>
        <v/>
      </c>
      <c r="D153" s="110">
        <f>IF($A153="","",IFERROR($B153*IssizlikOrani,""))</f>
        <v/>
      </c>
      <c r="E153" s="110">
        <f>IF($A153="","",IFERROR($B153*KidemKarsilikOrani,""))</f>
        <v/>
      </c>
      <c r="F153" s="108" t="n"/>
      <c r="G153" s="110">
        <f>IF($A153="","",IFERROR($B153+$C153+$D153+$E153+$F153,""))</f>
        <v/>
      </c>
      <c r="H153" s="110">
        <f>IF($A153="","",IFERROR($G153*AySayisi,""))</f>
        <v/>
      </c>
    </row>
    <row r="154" ht="15" customHeight="1" s="62">
      <c r="A154" s="107" t="n"/>
      <c r="B154" s="110">
        <f>IFERROR(IF($A154="","",IFERROR(INDEX(tblCalisan[Brüt Ücret (₺)],MATCH($A154,tblCalisan[Çalışan Adı],0)),"")),"")</f>
        <v/>
      </c>
      <c r="C154" s="110">
        <f>IF($A154="","",IFERROR($B154*IsverenPayiOrani,""))</f>
        <v/>
      </c>
      <c r="D154" s="110">
        <f>IF($A154="","",IFERROR($B154*IssizlikOrani,""))</f>
        <v/>
      </c>
      <c r="E154" s="110">
        <f>IF($A154="","",IFERROR($B154*KidemKarsilikOrani,""))</f>
        <v/>
      </c>
      <c r="F154" s="108" t="n"/>
      <c r="G154" s="110">
        <f>IF($A154="","",IFERROR($B154+$C154+$D154+$E154+$F154,""))</f>
        <v/>
      </c>
      <c r="H154" s="110">
        <f>IF($A154="","",IFERROR($G154*AySayisi,""))</f>
        <v/>
      </c>
    </row>
    <row r="155" ht="15" customHeight="1" s="62">
      <c r="A155" s="107" t="n"/>
      <c r="B155" s="110">
        <f>IFERROR(IF($A155="","",IFERROR(INDEX(tblCalisan[Brüt Ücret (₺)],MATCH($A155,tblCalisan[Çalışan Adı],0)),"")),"")</f>
        <v/>
      </c>
      <c r="C155" s="110">
        <f>IF($A155="","",IFERROR($B155*IsverenPayiOrani,""))</f>
        <v/>
      </c>
      <c r="D155" s="110">
        <f>IF($A155="","",IFERROR($B155*IssizlikOrani,""))</f>
        <v/>
      </c>
      <c r="E155" s="110">
        <f>IF($A155="","",IFERROR($B155*KidemKarsilikOrani,""))</f>
        <v/>
      </c>
      <c r="F155" s="108" t="n"/>
      <c r="G155" s="110">
        <f>IF($A155="","",IFERROR($B155+$C155+$D155+$E155+$F155,""))</f>
        <v/>
      </c>
      <c r="H155" s="110">
        <f>IF($A155="","",IFERROR($G155*AySayisi,""))</f>
        <v/>
      </c>
    </row>
    <row r="156" ht="15" customHeight="1" s="62">
      <c r="A156" s="107" t="n"/>
      <c r="B156" s="110">
        <f>IFERROR(IF($A156="","",IFERROR(INDEX(tblCalisan[Brüt Ücret (₺)],MATCH($A156,tblCalisan[Çalışan Adı],0)),"")),"")</f>
        <v/>
      </c>
      <c r="C156" s="110">
        <f>IF($A156="","",IFERROR($B156*IsverenPayiOrani,""))</f>
        <v/>
      </c>
      <c r="D156" s="110">
        <f>IF($A156="","",IFERROR($B156*IssizlikOrani,""))</f>
        <v/>
      </c>
      <c r="E156" s="110">
        <f>IF($A156="","",IFERROR($B156*KidemKarsilikOrani,""))</f>
        <v/>
      </c>
      <c r="F156" s="108" t="n"/>
      <c r="G156" s="110">
        <f>IF($A156="","",IFERROR($B156+$C156+$D156+$E156+$F156,""))</f>
        <v/>
      </c>
      <c r="H156" s="110">
        <f>IF($A156="","",IFERROR($G156*AySayisi,""))</f>
        <v/>
      </c>
    </row>
    <row r="157" ht="15" customHeight="1" s="62">
      <c r="A157" s="107" t="n"/>
      <c r="B157" s="110">
        <f>IFERROR(IF($A157="","",IFERROR(INDEX(tblCalisan[Brüt Ücret (₺)],MATCH($A157,tblCalisan[Çalışan Adı],0)),"")),"")</f>
        <v/>
      </c>
      <c r="C157" s="110">
        <f>IF($A157="","",IFERROR($B157*IsverenPayiOrani,""))</f>
        <v/>
      </c>
      <c r="D157" s="110">
        <f>IF($A157="","",IFERROR($B157*IssizlikOrani,""))</f>
        <v/>
      </c>
      <c r="E157" s="110">
        <f>IF($A157="","",IFERROR($B157*KidemKarsilikOrani,""))</f>
        <v/>
      </c>
      <c r="F157" s="108" t="n"/>
      <c r="G157" s="110">
        <f>IF($A157="","",IFERROR($B157+$C157+$D157+$E157+$F157,""))</f>
        <v/>
      </c>
      <c r="H157" s="110">
        <f>IF($A157="","",IFERROR($G157*AySayisi,""))</f>
        <v/>
      </c>
    </row>
    <row r="158" ht="15" customHeight="1" s="62">
      <c r="A158" s="107" t="n"/>
      <c r="B158" s="110">
        <f>IFERROR(IF($A158="","",IFERROR(INDEX(tblCalisan[Brüt Ücret (₺)],MATCH($A158,tblCalisan[Çalışan Adı],0)),"")),"")</f>
        <v/>
      </c>
      <c r="C158" s="110">
        <f>IF($A158="","",IFERROR($B158*IsverenPayiOrani,""))</f>
        <v/>
      </c>
      <c r="D158" s="110">
        <f>IF($A158="","",IFERROR($B158*IssizlikOrani,""))</f>
        <v/>
      </c>
      <c r="E158" s="110">
        <f>IF($A158="","",IFERROR($B158*KidemKarsilikOrani,""))</f>
        <v/>
      </c>
      <c r="F158" s="108" t="n"/>
      <c r="G158" s="110">
        <f>IF($A158="","",IFERROR($B158+$C158+$D158+$E158+$F158,""))</f>
        <v/>
      </c>
      <c r="H158" s="110">
        <f>IF($A158="","",IFERROR($G158*AySayisi,""))</f>
        <v/>
      </c>
    </row>
    <row r="159" ht="15" customHeight="1" s="62">
      <c r="A159" s="107" t="n"/>
      <c r="B159" s="110">
        <f>IFERROR(IF($A159="","",IFERROR(INDEX(tblCalisan[Brüt Ücret (₺)],MATCH($A159,tblCalisan[Çalışan Adı],0)),"")),"")</f>
        <v/>
      </c>
      <c r="C159" s="110">
        <f>IF($A159="","",IFERROR($B159*IsverenPayiOrani,""))</f>
        <v/>
      </c>
      <c r="D159" s="110">
        <f>IF($A159="","",IFERROR($B159*IssizlikOrani,""))</f>
        <v/>
      </c>
      <c r="E159" s="110">
        <f>IF($A159="","",IFERROR($B159*KidemKarsilikOrani,""))</f>
        <v/>
      </c>
      <c r="F159" s="108" t="n"/>
      <c r="G159" s="110">
        <f>IF($A159="","",IFERROR($B159+$C159+$D159+$E159+$F159,""))</f>
        <v/>
      </c>
      <c r="H159" s="110">
        <f>IF($A159="","",IFERROR($G159*AySayisi,""))</f>
        <v/>
      </c>
    </row>
    <row r="160" ht="15" customHeight="1" s="62">
      <c r="A160" s="107" t="n"/>
      <c r="B160" s="110">
        <f>IFERROR(IF($A160="","",IFERROR(INDEX(tblCalisan[Brüt Ücret (₺)],MATCH($A160,tblCalisan[Çalışan Adı],0)),"")),"")</f>
        <v/>
      </c>
      <c r="C160" s="110">
        <f>IF($A160="","",IFERROR($B160*IsverenPayiOrani,""))</f>
        <v/>
      </c>
      <c r="D160" s="110">
        <f>IF($A160="","",IFERROR($B160*IssizlikOrani,""))</f>
        <v/>
      </c>
      <c r="E160" s="110">
        <f>IF($A160="","",IFERROR($B160*KidemKarsilikOrani,""))</f>
        <v/>
      </c>
      <c r="F160" s="108" t="n"/>
      <c r="G160" s="110">
        <f>IF($A160="","",IFERROR($B160+$C160+$D160+$E160+$F160,""))</f>
        <v/>
      </c>
      <c r="H160" s="110">
        <f>IF($A160="","",IFERROR($G160*AySayisi,""))</f>
        <v/>
      </c>
    </row>
    <row r="161" ht="15" customHeight="1" s="62">
      <c r="A161" s="107" t="n"/>
      <c r="B161" s="110">
        <f>IFERROR(IF($A161="","",IFERROR(INDEX(tblCalisan[Brüt Ücret (₺)],MATCH($A161,tblCalisan[Çalışan Adı],0)),"")),"")</f>
        <v/>
      </c>
      <c r="C161" s="110">
        <f>IF($A161="","",IFERROR($B161*IsverenPayiOrani,""))</f>
        <v/>
      </c>
      <c r="D161" s="110">
        <f>IF($A161="","",IFERROR($B161*IssizlikOrani,""))</f>
        <v/>
      </c>
      <c r="E161" s="110">
        <f>IF($A161="","",IFERROR($B161*KidemKarsilikOrani,""))</f>
        <v/>
      </c>
      <c r="F161" s="108" t="n"/>
      <c r="G161" s="110">
        <f>IF($A161="","",IFERROR($B161+$C161+$D161+$E161+$F161,""))</f>
        <v/>
      </c>
      <c r="H161" s="110">
        <f>IF($A161="","",IFERROR($G161*AySayisi,""))</f>
        <v/>
      </c>
    </row>
    <row r="162" ht="15" customHeight="1" s="62">
      <c r="A162" s="107" t="n"/>
      <c r="B162" s="110">
        <f>IFERROR(IF($A162="","",IFERROR(INDEX(tblCalisan[Brüt Ücret (₺)],MATCH($A162,tblCalisan[Çalışan Adı],0)),"")),"")</f>
        <v/>
      </c>
      <c r="C162" s="110">
        <f>IF($A162="","",IFERROR($B162*IsverenPayiOrani,""))</f>
        <v/>
      </c>
      <c r="D162" s="110">
        <f>IF($A162="","",IFERROR($B162*IssizlikOrani,""))</f>
        <v/>
      </c>
      <c r="E162" s="110">
        <f>IF($A162="","",IFERROR($B162*KidemKarsilikOrani,""))</f>
        <v/>
      </c>
      <c r="F162" s="108" t="n"/>
      <c r="G162" s="110">
        <f>IF($A162="","",IFERROR($B162+$C162+$D162+$E162+$F162,""))</f>
        <v/>
      </c>
      <c r="H162" s="110">
        <f>IF($A162="","",IFERROR($G162*AySayisi,""))</f>
        <v/>
      </c>
    </row>
    <row r="163" ht="15" customHeight="1" s="62">
      <c r="A163" s="107" t="n"/>
      <c r="B163" s="110">
        <f>IFERROR(IF($A163="","",IFERROR(INDEX(tblCalisan[Brüt Ücret (₺)],MATCH($A163,tblCalisan[Çalışan Adı],0)),"")),"")</f>
        <v/>
      </c>
      <c r="C163" s="110">
        <f>IF($A163="","",IFERROR($B163*IsverenPayiOrani,""))</f>
        <v/>
      </c>
      <c r="D163" s="110">
        <f>IF($A163="","",IFERROR($B163*IssizlikOrani,""))</f>
        <v/>
      </c>
      <c r="E163" s="110">
        <f>IF($A163="","",IFERROR($B163*KidemKarsilikOrani,""))</f>
        <v/>
      </c>
      <c r="F163" s="108" t="n"/>
      <c r="G163" s="110">
        <f>IF($A163="","",IFERROR($B163+$C163+$D163+$E163+$F163,""))</f>
        <v/>
      </c>
      <c r="H163" s="110">
        <f>IF($A163="","",IFERROR($G163*AySayisi,""))</f>
        <v/>
      </c>
    </row>
    <row r="164" ht="15" customHeight="1" s="62">
      <c r="A164" s="107" t="n"/>
      <c r="B164" s="110">
        <f>IFERROR(IF($A164="","",IFERROR(INDEX(tblCalisan[Brüt Ücret (₺)],MATCH($A164,tblCalisan[Çalışan Adı],0)),"")),"")</f>
        <v/>
      </c>
      <c r="C164" s="110">
        <f>IF($A164="","",IFERROR($B164*IsverenPayiOrani,""))</f>
        <v/>
      </c>
      <c r="D164" s="110">
        <f>IF($A164="","",IFERROR($B164*IssizlikOrani,""))</f>
        <v/>
      </c>
      <c r="E164" s="110">
        <f>IF($A164="","",IFERROR($B164*KidemKarsilikOrani,""))</f>
        <v/>
      </c>
      <c r="F164" s="108" t="n"/>
      <c r="G164" s="110">
        <f>IF($A164="","",IFERROR($B164+$C164+$D164+$E164+$F164,""))</f>
        <v/>
      </c>
      <c r="H164" s="110">
        <f>IF($A164="","",IFERROR($G164*AySayisi,""))</f>
        <v/>
      </c>
    </row>
    <row r="165" ht="15" customHeight="1" s="62">
      <c r="A165" s="107" t="n"/>
      <c r="B165" s="110">
        <f>IFERROR(IF($A165="","",IFERROR(INDEX(tblCalisan[Brüt Ücret (₺)],MATCH($A165,tblCalisan[Çalışan Adı],0)),"")),"")</f>
        <v/>
      </c>
      <c r="C165" s="110">
        <f>IF($A165="","",IFERROR($B165*IsverenPayiOrani,""))</f>
        <v/>
      </c>
      <c r="D165" s="110">
        <f>IF($A165="","",IFERROR($B165*IssizlikOrani,""))</f>
        <v/>
      </c>
      <c r="E165" s="110">
        <f>IF($A165="","",IFERROR($B165*KidemKarsilikOrani,""))</f>
        <v/>
      </c>
      <c r="F165" s="108" t="n"/>
      <c r="G165" s="110">
        <f>IF($A165="","",IFERROR($B165+$C165+$D165+$E165+$F165,""))</f>
        <v/>
      </c>
      <c r="H165" s="110">
        <f>IF($A165="","",IFERROR($G165*AySayisi,""))</f>
        <v/>
      </c>
    </row>
    <row r="166" ht="15" customHeight="1" s="62">
      <c r="A166" s="107" t="n"/>
      <c r="B166" s="110">
        <f>IFERROR(IF($A166="","",IFERROR(INDEX(tblCalisan[Brüt Ücret (₺)],MATCH($A166,tblCalisan[Çalışan Adı],0)),"")),"")</f>
        <v/>
      </c>
      <c r="C166" s="110">
        <f>IF($A166="","",IFERROR($B166*IsverenPayiOrani,""))</f>
        <v/>
      </c>
      <c r="D166" s="110">
        <f>IF($A166="","",IFERROR($B166*IssizlikOrani,""))</f>
        <v/>
      </c>
      <c r="E166" s="110">
        <f>IF($A166="","",IFERROR($B166*KidemKarsilikOrani,""))</f>
        <v/>
      </c>
      <c r="F166" s="108" t="n"/>
      <c r="G166" s="110">
        <f>IF($A166="","",IFERROR($B166+$C166+$D166+$E166+$F166,""))</f>
        <v/>
      </c>
      <c r="H166" s="110">
        <f>IF($A166="","",IFERROR($G166*AySayisi,""))</f>
        <v/>
      </c>
    </row>
    <row r="167" ht="15" customHeight="1" s="62">
      <c r="A167" s="107" t="n"/>
      <c r="B167" s="110">
        <f>IFERROR(IF($A167="","",IFERROR(INDEX(tblCalisan[Brüt Ücret (₺)],MATCH($A167,tblCalisan[Çalışan Adı],0)),"")),"")</f>
        <v/>
      </c>
      <c r="C167" s="110">
        <f>IF($A167="","",IFERROR($B167*IsverenPayiOrani,""))</f>
        <v/>
      </c>
      <c r="D167" s="110">
        <f>IF($A167="","",IFERROR($B167*IssizlikOrani,""))</f>
        <v/>
      </c>
      <c r="E167" s="110">
        <f>IF($A167="","",IFERROR($B167*KidemKarsilikOrani,""))</f>
        <v/>
      </c>
      <c r="F167" s="108" t="n"/>
      <c r="G167" s="110">
        <f>IF($A167="","",IFERROR($B167+$C167+$D167+$E167+$F167,""))</f>
        <v/>
      </c>
      <c r="H167" s="110">
        <f>IF($A167="","",IFERROR($G167*AySayisi,""))</f>
        <v/>
      </c>
    </row>
    <row r="168" ht="15" customHeight="1" s="62">
      <c r="A168" s="107" t="n"/>
      <c r="B168" s="110">
        <f>IFERROR(IF($A168="","",IFERROR(INDEX(tblCalisan[Brüt Ücret (₺)],MATCH($A168,tblCalisan[Çalışan Adı],0)),"")),"")</f>
        <v/>
      </c>
      <c r="C168" s="110">
        <f>IF($A168="","",IFERROR($B168*IsverenPayiOrani,""))</f>
        <v/>
      </c>
      <c r="D168" s="110">
        <f>IF($A168="","",IFERROR($B168*IssizlikOrani,""))</f>
        <v/>
      </c>
      <c r="E168" s="110">
        <f>IF($A168="","",IFERROR($B168*KidemKarsilikOrani,""))</f>
        <v/>
      </c>
      <c r="F168" s="108" t="n"/>
      <c r="G168" s="110">
        <f>IF($A168="","",IFERROR($B168+$C168+$D168+$E168+$F168,""))</f>
        <v/>
      </c>
      <c r="H168" s="110">
        <f>IF($A168="","",IFERROR($G168*AySayisi,""))</f>
        <v/>
      </c>
    </row>
    <row r="169" ht="15" customHeight="1" s="62">
      <c r="A169" s="107" t="n"/>
      <c r="B169" s="110">
        <f>IFERROR(IF($A169="","",IFERROR(INDEX(tblCalisan[Brüt Ücret (₺)],MATCH($A169,tblCalisan[Çalışan Adı],0)),"")),"")</f>
        <v/>
      </c>
      <c r="C169" s="110">
        <f>IF($A169="","",IFERROR($B169*IsverenPayiOrani,""))</f>
        <v/>
      </c>
      <c r="D169" s="110">
        <f>IF($A169="","",IFERROR($B169*IssizlikOrani,""))</f>
        <v/>
      </c>
      <c r="E169" s="110">
        <f>IF($A169="","",IFERROR($B169*KidemKarsilikOrani,""))</f>
        <v/>
      </c>
      <c r="F169" s="108" t="n"/>
      <c r="G169" s="110">
        <f>IF($A169="","",IFERROR($B169+$C169+$D169+$E169+$F169,""))</f>
        <v/>
      </c>
      <c r="H169" s="110">
        <f>IF($A169="","",IFERROR($G169*AySayisi,""))</f>
        <v/>
      </c>
    </row>
    <row r="170" ht="15" customHeight="1" s="62">
      <c r="A170" s="107" t="n"/>
      <c r="B170" s="110">
        <f>IFERROR(IF($A170="","",IFERROR(INDEX(tblCalisan[Brüt Ücret (₺)],MATCH($A170,tblCalisan[Çalışan Adı],0)),"")),"")</f>
        <v/>
      </c>
      <c r="C170" s="110">
        <f>IF($A170="","",IFERROR($B170*IsverenPayiOrani,""))</f>
        <v/>
      </c>
      <c r="D170" s="110">
        <f>IF($A170="","",IFERROR($B170*IssizlikOrani,""))</f>
        <v/>
      </c>
      <c r="E170" s="110">
        <f>IF($A170="","",IFERROR($B170*KidemKarsilikOrani,""))</f>
        <v/>
      </c>
      <c r="F170" s="108" t="n"/>
      <c r="G170" s="110">
        <f>IF($A170="","",IFERROR($B170+$C170+$D170+$E170+$F170,""))</f>
        <v/>
      </c>
      <c r="H170" s="110">
        <f>IF($A170="","",IFERROR($G170*AySayisi,""))</f>
        <v/>
      </c>
    </row>
    <row r="171" ht="15" customHeight="1" s="62">
      <c r="A171" s="107" t="n"/>
      <c r="B171" s="110">
        <f>IFERROR(IF($A171="","",IFERROR(INDEX(tblCalisan[Brüt Ücret (₺)],MATCH($A171,tblCalisan[Çalışan Adı],0)),"")),"")</f>
        <v/>
      </c>
      <c r="C171" s="110">
        <f>IF($A171="","",IFERROR($B171*IsverenPayiOrani,""))</f>
        <v/>
      </c>
      <c r="D171" s="110">
        <f>IF($A171="","",IFERROR($B171*IssizlikOrani,""))</f>
        <v/>
      </c>
      <c r="E171" s="110">
        <f>IF($A171="","",IFERROR($B171*KidemKarsilikOrani,""))</f>
        <v/>
      </c>
      <c r="F171" s="108" t="n"/>
      <c r="G171" s="110">
        <f>IF($A171="","",IFERROR($B171+$C171+$D171+$E171+$F171,""))</f>
        <v/>
      </c>
      <c r="H171" s="110">
        <f>IF($A171="","",IFERROR($G171*AySayisi,""))</f>
        <v/>
      </c>
    </row>
    <row r="172" ht="15" customHeight="1" s="62">
      <c r="A172" s="107" t="n"/>
      <c r="B172" s="110">
        <f>IFERROR(IF($A172="","",IFERROR(INDEX(tblCalisan[Brüt Ücret (₺)],MATCH($A172,tblCalisan[Çalışan Adı],0)),"")),"")</f>
        <v/>
      </c>
      <c r="C172" s="110">
        <f>IF($A172="","",IFERROR($B172*IsverenPayiOrani,""))</f>
        <v/>
      </c>
      <c r="D172" s="110">
        <f>IF($A172="","",IFERROR($B172*IssizlikOrani,""))</f>
        <v/>
      </c>
      <c r="E172" s="110">
        <f>IF($A172="","",IFERROR($B172*KidemKarsilikOrani,""))</f>
        <v/>
      </c>
      <c r="F172" s="108" t="n"/>
      <c r="G172" s="110">
        <f>IF($A172="","",IFERROR($B172+$C172+$D172+$E172+$F172,""))</f>
        <v/>
      </c>
      <c r="H172" s="110">
        <f>IF($A172="","",IFERROR($G172*AySayisi,""))</f>
        <v/>
      </c>
    </row>
    <row r="173" ht="15" customHeight="1" s="62">
      <c r="A173" s="107" t="n"/>
      <c r="B173" s="110">
        <f>IFERROR(IF($A173="","",IFERROR(INDEX(tblCalisan[Brüt Ücret (₺)],MATCH($A173,tblCalisan[Çalışan Adı],0)),"")),"")</f>
        <v/>
      </c>
      <c r="C173" s="110">
        <f>IF($A173="","",IFERROR($B173*IsverenPayiOrani,""))</f>
        <v/>
      </c>
      <c r="D173" s="110">
        <f>IF($A173="","",IFERROR($B173*IssizlikOrani,""))</f>
        <v/>
      </c>
      <c r="E173" s="110">
        <f>IF($A173="","",IFERROR($B173*KidemKarsilikOrani,""))</f>
        <v/>
      </c>
      <c r="F173" s="108" t="n"/>
      <c r="G173" s="110">
        <f>IF($A173="","",IFERROR($B173+$C173+$D173+$E173+$F173,""))</f>
        <v/>
      </c>
      <c r="H173" s="110">
        <f>IF($A173="","",IFERROR($G173*AySayisi,""))</f>
        <v/>
      </c>
    </row>
    <row r="174" ht="15" customHeight="1" s="62">
      <c r="A174" s="107" t="n"/>
      <c r="B174" s="110">
        <f>IFERROR(IF($A174="","",IFERROR(INDEX(tblCalisan[Brüt Ücret (₺)],MATCH($A174,tblCalisan[Çalışan Adı],0)),"")),"")</f>
        <v/>
      </c>
      <c r="C174" s="110">
        <f>IF($A174="","",IFERROR($B174*IsverenPayiOrani,""))</f>
        <v/>
      </c>
      <c r="D174" s="110">
        <f>IF($A174="","",IFERROR($B174*IssizlikOrani,""))</f>
        <v/>
      </c>
      <c r="E174" s="110">
        <f>IF($A174="","",IFERROR($B174*KidemKarsilikOrani,""))</f>
        <v/>
      </c>
      <c r="F174" s="108" t="n"/>
      <c r="G174" s="110">
        <f>IF($A174="","",IFERROR($B174+$C174+$D174+$E174+$F174,""))</f>
        <v/>
      </c>
      <c r="H174" s="110">
        <f>IF($A174="","",IFERROR($G174*AySayisi,""))</f>
        <v/>
      </c>
    </row>
    <row r="175" ht="15" customHeight="1" s="62">
      <c r="A175" s="107" t="n"/>
      <c r="B175" s="110">
        <f>IFERROR(IF($A175="","",IFERROR(INDEX(tblCalisan[Brüt Ücret (₺)],MATCH($A175,tblCalisan[Çalışan Adı],0)),"")),"")</f>
        <v/>
      </c>
      <c r="C175" s="110">
        <f>IF($A175="","",IFERROR($B175*IsverenPayiOrani,""))</f>
        <v/>
      </c>
      <c r="D175" s="110">
        <f>IF($A175="","",IFERROR($B175*IssizlikOrani,""))</f>
        <v/>
      </c>
      <c r="E175" s="110">
        <f>IF($A175="","",IFERROR($B175*KidemKarsilikOrani,""))</f>
        <v/>
      </c>
      <c r="F175" s="108" t="n"/>
      <c r="G175" s="110">
        <f>IF($A175="","",IFERROR($B175+$C175+$D175+$E175+$F175,""))</f>
        <v/>
      </c>
      <c r="H175" s="110">
        <f>IF($A175="","",IFERROR($G175*AySayisi,""))</f>
        <v/>
      </c>
    </row>
    <row r="176" ht="15" customHeight="1" s="62">
      <c r="A176" s="107" t="n"/>
      <c r="B176" s="110">
        <f>IFERROR(IF($A176="","",IFERROR(INDEX(tblCalisan[Brüt Ücret (₺)],MATCH($A176,tblCalisan[Çalışan Adı],0)),"")),"")</f>
        <v/>
      </c>
      <c r="C176" s="110">
        <f>IF($A176="","",IFERROR($B176*IsverenPayiOrani,""))</f>
        <v/>
      </c>
      <c r="D176" s="110">
        <f>IF($A176="","",IFERROR($B176*IssizlikOrani,""))</f>
        <v/>
      </c>
      <c r="E176" s="110">
        <f>IF($A176="","",IFERROR($B176*KidemKarsilikOrani,""))</f>
        <v/>
      </c>
      <c r="F176" s="108" t="n"/>
      <c r="G176" s="110">
        <f>IF($A176="","",IFERROR($B176+$C176+$D176+$E176+$F176,""))</f>
        <v/>
      </c>
      <c r="H176" s="110">
        <f>IF($A176="","",IFERROR($G176*AySayisi,""))</f>
        <v/>
      </c>
    </row>
    <row r="177" ht="15" customHeight="1" s="62">
      <c r="A177" s="107" t="n"/>
      <c r="B177" s="110">
        <f>IFERROR(IF($A177="","",IFERROR(INDEX(tblCalisan[Brüt Ücret (₺)],MATCH($A177,tblCalisan[Çalışan Adı],0)),"")),"")</f>
        <v/>
      </c>
      <c r="C177" s="110">
        <f>IF($A177="","",IFERROR($B177*IsverenPayiOrani,""))</f>
        <v/>
      </c>
      <c r="D177" s="110">
        <f>IF($A177="","",IFERROR($B177*IssizlikOrani,""))</f>
        <v/>
      </c>
      <c r="E177" s="110">
        <f>IF($A177="","",IFERROR($B177*KidemKarsilikOrani,""))</f>
        <v/>
      </c>
      <c r="F177" s="108" t="n"/>
      <c r="G177" s="110">
        <f>IF($A177="","",IFERROR($B177+$C177+$D177+$E177+$F177,""))</f>
        <v/>
      </c>
      <c r="H177" s="110">
        <f>IF($A177="","",IFERROR($G177*AySayisi,""))</f>
        <v/>
      </c>
    </row>
    <row r="178" ht="15" customHeight="1" s="62">
      <c r="A178" s="107" t="n"/>
      <c r="B178" s="110">
        <f>IFERROR(IF($A178="","",IFERROR(INDEX(tblCalisan[Brüt Ücret (₺)],MATCH($A178,tblCalisan[Çalışan Adı],0)),"")),"")</f>
        <v/>
      </c>
      <c r="C178" s="110">
        <f>IF($A178="","",IFERROR($B178*IsverenPayiOrani,""))</f>
        <v/>
      </c>
      <c r="D178" s="110">
        <f>IF($A178="","",IFERROR($B178*IssizlikOrani,""))</f>
        <v/>
      </c>
      <c r="E178" s="110">
        <f>IF($A178="","",IFERROR($B178*KidemKarsilikOrani,""))</f>
        <v/>
      </c>
      <c r="F178" s="108" t="n"/>
      <c r="G178" s="110">
        <f>IF($A178="","",IFERROR($B178+$C178+$D178+$E178+$F178,""))</f>
        <v/>
      </c>
      <c r="H178" s="110">
        <f>IF($A178="","",IFERROR($G178*AySayisi,""))</f>
        <v/>
      </c>
    </row>
    <row r="179" ht="15" customHeight="1" s="62">
      <c r="A179" s="107" t="n"/>
      <c r="B179" s="110">
        <f>IFERROR(IF($A179="","",IFERROR(INDEX(tblCalisan[Brüt Ücret (₺)],MATCH($A179,tblCalisan[Çalışan Adı],0)),"")),"")</f>
        <v/>
      </c>
      <c r="C179" s="110">
        <f>IF($A179="","",IFERROR($B179*IsverenPayiOrani,""))</f>
        <v/>
      </c>
      <c r="D179" s="110">
        <f>IF($A179="","",IFERROR($B179*IssizlikOrani,""))</f>
        <v/>
      </c>
      <c r="E179" s="110">
        <f>IF($A179="","",IFERROR($B179*KidemKarsilikOrani,""))</f>
        <v/>
      </c>
      <c r="F179" s="108" t="n"/>
      <c r="G179" s="110">
        <f>IF($A179="","",IFERROR($B179+$C179+$D179+$E179+$F179,""))</f>
        <v/>
      </c>
      <c r="H179" s="110">
        <f>IF($A179="","",IFERROR($G179*AySayisi,""))</f>
        <v/>
      </c>
    </row>
    <row r="180" ht="15" customHeight="1" s="62">
      <c r="A180" s="107" t="n"/>
      <c r="B180" s="110">
        <f>IFERROR(IF($A180="","",IFERROR(INDEX(tblCalisan[Brüt Ücret (₺)],MATCH($A180,tblCalisan[Çalışan Adı],0)),"")),"")</f>
        <v/>
      </c>
      <c r="C180" s="110">
        <f>IF($A180="","",IFERROR($B180*IsverenPayiOrani,""))</f>
        <v/>
      </c>
      <c r="D180" s="110">
        <f>IF($A180="","",IFERROR($B180*IssizlikOrani,""))</f>
        <v/>
      </c>
      <c r="E180" s="110">
        <f>IF($A180="","",IFERROR($B180*KidemKarsilikOrani,""))</f>
        <v/>
      </c>
      <c r="F180" s="108" t="n"/>
      <c r="G180" s="110">
        <f>IF($A180="","",IFERROR($B180+$C180+$D180+$E180+$F180,""))</f>
        <v/>
      </c>
      <c r="H180" s="110">
        <f>IF($A180="","",IFERROR($G180*AySayisi,""))</f>
        <v/>
      </c>
    </row>
    <row r="181" ht="15" customHeight="1" s="62">
      <c r="A181" s="107" t="n"/>
      <c r="B181" s="110">
        <f>IFERROR(IF($A181="","",IFERROR(INDEX(tblCalisan[Brüt Ücret (₺)],MATCH($A181,tblCalisan[Çalışan Adı],0)),"")),"")</f>
        <v/>
      </c>
      <c r="C181" s="110">
        <f>IF($A181="","",IFERROR($B181*IsverenPayiOrani,""))</f>
        <v/>
      </c>
      <c r="D181" s="110">
        <f>IF($A181="","",IFERROR($B181*IssizlikOrani,""))</f>
        <v/>
      </c>
      <c r="E181" s="110">
        <f>IF($A181="","",IFERROR($B181*KidemKarsilikOrani,""))</f>
        <v/>
      </c>
      <c r="F181" s="108" t="n"/>
      <c r="G181" s="110">
        <f>IF($A181="","",IFERROR($B181+$C181+$D181+$E181+$F181,""))</f>
        <v/>
      </c>
      <c r="H181" s="110">
        <f>IF($A181="","",IFERROR($G181*AySayisi,""))</f>
        <v/>
      </c>
    </row>
    <row r="182" ht="15" customHeight="1" s="62">
      <c r="A182" s="107" t="n"/>
      <c r="B182" s="110">
        <f>IFERROR(IF($A182="","",IFERROR(INDEX(tblCalisan[Brüt Ücret (₺)],MATCH($A182,tblCalisan[Çalışan Adı],0)),"")),"")</f>
        <v/>
      </c>
      <c r="C182" s="110">
        <f>IF($A182="","",IFERROR($B182*IsverenPayiOrani,""))</f>
        <v/>
      </c>
      <c r="D182" s="110">
        <f>IF($A182="","",IFERROR($B182*IssizlikOrani,""))</f>
        <v/>
      </c>
      <c r="E182" s="110">
        <f>IF($A182="","",IFERROR($B182*KidemKarsilikOrani,""))</f>
        <v/>
      </c>
      <c r="F182" s="108" t="n"/>
      <c r="G182" s="110">
        <f>IF($A182="","",IFERROR($B182+$C182+$D182+$E182+$F182,""))</f>
        <v/>
      </c>
      <c r="H182" s="110">
        <f>IF($A182="","",IFERROR($G182*AySayisi,""))</f>
        <v/>
      </c>
    </row>
    <row r="183" ht="15" customHeight="1" s="62">
      <c r="A183" s="107" t="n"/>
      <c r="B183" s="110">
        <f>IFERROR(IF($A183="","",IFERROR(INDEX(tblCalisan[Brüt Ücret (₺)],MATCH($A183,tblCalisan[Çalışan Adı],0)),"")),"")</f>
        <v/>
      </c>
      <c r="C183" s="110">
        <f>IF($A183="","",IFERROR($B183*IsverenPayiOrani,""))</f>
        <v/>
      </c>
      <c r="D183" s="110">
        <f>IF($A183="","",IFERROR($B183*IssizlikOrani,""))</f>
        <v/>
      </c>
      <c r="E183" s="110">
        <f>IF($A183="","",IFERROR($B183*KidemKarsilikOrani,""))</f>
        <v/>
      </c>
      <c r="F183" s="108" t="n"/>
      <c r="G183" s="110">
        <f>IF($A183="","",IFERROR($B183+$C183+$D183+$E183+$F183,""))</f>
        <v/>
      </c>
      <c r="H183" s="110">
        <f>IF($A183="","",IFERROR($G183*AySayisi,""))</f>
        <v/>
      </c>
    </row>
    <row r="184" ht="15" customHeight="1" s="62">
      <c r="A184" s="107" t="n"/>
      <c r="B184" s="110">
        <f>IFERROR(IF($A184="","",IFERROR(INDEX(tblCalisan[Brüt Ücret (₺)],MATCH($A184,tblCalisan[Çalışan Adı],0)),"")),"")</f>
        <v/>
      </c>
      <c r="C184" s="110">
        <f>IF($A184="","",IFERROR($B184*IsverenPayiOrani,""))</f>
        <v/>
      </c>
      <c r="D184" s="110">
        <f>IF($A184="","",IFERROR($B184*IssizlikOrani,""))</f>
        <v/>
      </c>
      <c r="E184" s="110">
        <f>IF($A184="","",IFERROR($B184*KidemKarsilikOrani,""))</f>
        <v/>
      </c>
      <c r="F184" s="108" t="n"/>
      <c r="G184" s="110">
        <f>IF($A184="","",IFERROR($B184+$C184+$D184+$E184+$F184,""))</f>
        <v/>
      </c>
      <c r="H184" s="110">
        <f>IF($A184="","",IFERROR($G184*AySayisi,""))</f>
        <v/>
      </c>
    </row>
    <row r="185" ht="15" customHeight="1" s="62">
      <c r="A185" s="107" t="n"/>
      <c r="B185" s="110">
        <f>IFERROR(IF($A185="","",IFERROR(INDEX(tblCalisan[Brüt Ücret (₺)],MATCH($A185,tblCalisan[Çalışan Adı],0)),"")),"")</f>
        <v/>
      </c>
      <c r="C185" s="110">
        <f>IF($A185="","",IFERROR($B185*IsverenPayiOrani,""))</f>
        <v/>
      </c>
      <c r="D185" s="110">
        <f>IF($A185="","",IFERROR($B185*IssizlikOrani,""))</f>
        <v/>
      </c>
      <c r="E185" s="110">
        <f>IF($A185="","",IFERROR($B185*KidemKarsilikOrani,""))</f>
        <v/>
      </c>
      <c r="F185" s="108" t="n"/>
      <c r="G185" s="110">
        <f>IF($A185="","",IFERROR($B185+$C185+$D185+$E185+$F185,""))</f>
        <v/>
      </c>
      <c r="H185" s="110">
        <f>IF($A185="","",IFERROR($G185*AySayisi,""))</f>
        <v/>
      </c>
    </row>
    <row r="186" ht="15" customHeight="1" s="62">
      <c r="A186" s="107" t="n"/>
      <c r="B186" s="110">
        <f>IFERROR(IF($A186="","",IFERROR(INDEX(tblCalisan[Brüt Ücret (₺)],MATCH($A186,tblCalisan[Çalışan Adı],0)),"")),"")</f>
        <v/>
      </c>
      <c r="C186" s="110">
        <f>IF($A186="","",IFERROR($B186*IsverenPayiOrani,""))</f>
        <v/>
      </c>
      <c r="D186" s="110">
        <f>IF($A186="","",IFERROR($B186*IssizlikOrani,""))</f>
        <v/>
      </c>
      <c r="E186" s="110">
        <f>IF($A186="","",IFERROR($B186*KidemKarsilikOrani,""))</f>
        <v/>
      </c>
      <c r="F186" s="108" t="n"/>
      <c r="G186" s="110">
        <f>IF($A186="","",IFERROR($B186+$C186+$D186+$E186+$F186,""))</f>
        <v/>
      </c>
      <c r="H186" s="110">
        <f>IF($A186="","",IFERROR($G186*AySayisi,""))</f>
        <v/>
      </c>
    </row>
    <row r="187" ht="15" customHeight="1" s="62">
      <c r="A187" s="107" t="n"/>
      <c r="B187" s="110">
        <f>IFERROR(IF($A187="","",IFERROR(INDEX(tblCalisan[Brüt Ücret (₺)],MATCH($A187,tblCalisan[Çalışan Adı],0)),"")),"")</f>
        <v/>
      </c>
      <c r="C187" s="110">
        <f>IF($A187="","",IFERROR($B187*IsverenPayiOrani,""))</f>
        <v/>
      </c>
      <c r="D187" s="110">
        <f>IF($A187="","",IFERROR($B187*IssizlikOrani,""))</f>
        <v/>
      </c>
      <c r="E187" s="110">
        <f>IF($A187="","",IFERROR($B187*KidemKarsilikOrani,""))</f>
        <v/>
      </c>
      <c r="F187" s="108" t="n"/>
      <c r="G187" s="110">
        <f>IF($A187="","",IFERROR($B187+$C187+$D187+$E187+$F187,""))</f>
        <v/>
      </c>
      <c r="H187" s="110">
        <f>IF($A187="","",IFERROR($G187*AySayisi,""))</f>
        <v/>
      </c>
    </row>
    <row r="188" ht="15" customHeight="1" s="62">
      <c r="A188" s="107" t="n"/>
      <c r="B188" s="110">
        <f>IFERROR(IF($A188="","",IFERROR(INDEX(tblCalisan[Brüt Ücret (₺)],MATCH($A188,tblCalisan[Çalışan Adı],0)),"")),"")</f>
        <v/>
      </c>
      <c r="C188" s="110">
        <f>IF($A188="","",IFERROR($B188*IsverenPayiOrani,""))</f>
        <v/>
      </c>
      <c r="D188" s="110">
        <f>IF($A188="","",IFERROR($B188*IssizlikOrani,""))</f>
        <v/>
      </c>
      <c r="E188" s="110">
        <f>IF($A188="","",IFERROR($B188*KidemKarsilikOrani,""))</f>
        <v/>
      </c>
      <c r="F188" s="108" t="n"/>
      <c r="G188" s="110">
        <f>IF($A188="","",IFERROR($B188+$C188+$D188+$E188+$F188,""))</f>
        <v/>
      </c>
      <c r="H188" s="110">
        <f>IF($A188="","",IFERROR($G188*AySayisi,""))</f>
        <v/>
      </c>
    </row>
    <row r="189" ht="15" customHeight="1" s="62">
      <c r="A189" s="107" t="n"/>
      <c r="B189" s="110">
        <f>IFERROR(IF($A189="","",IFERROR(INDEX(tblCalisan[Brüt Ücret (₺)],MATCH($A189,tblCalisan[Çalışan Adı],0)),"")),"")</f>
        <v/>
      </c>
      <c r="C189" s="110">
        <f>IF($A189="","",IFERROR($B189*IsverenPayiOrani,""))</f>
        <v/>
      </c>
      <c r="D189" s="110">
        <f>IF($A189="","",IFERROR($B189*IssizlikOrani,""))</f>
        <v/>
      </c>
      <c r="E189" s="110">
        <f>IF($A189="","",IFERROR($B189*KidemKarsilikOrani,""))</f>
        <v/>
      </c>
      <c r="F189" s="108" t="n"/>
      <c r="G189" s="110">
        <f>IF($A189="","",IFERROR($B189+$C189+$D189+$E189+$F189,""))</f>
        <v/>
      </c>
      <c r="H189" s="110">
        <f>IF($A189="","",IFERROR($G189*AySayisi,""))</f>
        <v/>
      </c>
    </row>
    <row r="190" ht="15" customHeight="1" s="62">
      <c r="A190" s="107" t="n"/>
      <c r="B190" s="110">
        <f>IFERROR(IF($A190="","",IFERROR(INDEX(tblCalisan[Brüt Ücret (₺)],MATCH($A190,tblCalisan[Çalışan Adı],0)),"")),"")</f>
        <v/>
      </c>
      <c r="C190" s="110">
        <f>IF($A190="","",IFERROR($B190*IsverenPayiOrani,""))</f>
        <v/>
      </c>
      <c r="D190" s="110">
        <f>IF($A190="","",IFERROR($B190*IssizlikOrani,""))</f>
        <v/>
      </c>
      <c r="E190" s="110">
        <f>IF($A190="","",IFERROR($B190*KidemKarsilikOrani,""))</f>
        <v/>
      </c>
      <c r="F190" s="108" t="n"/>
      <c r="G190" s="110">
        <f>IF($A190="","",IFERROR($B190+$C190+$D190+$E190+$F190,""))</f>
        <v/>
      </c>
      <c r="H190" s="110">
        <f>IF($A190="","",IFERROR($G190*AySayisi,""))</f>
        <v/>
      </c>
    </row>
    <row r="191" ht="15" customHeight="1" s="62">
      <c r="A191" s="107" t="n"/>
      <c r="B191" s="110">
        <f>IFERROR(IF($A191="","",IFERROR(INDEX(tblCalisan[Brüt Ücret (₺)],MATCH($A191,tblCalisan[Çalışan Adı],0)),"")),"")</f>
        <v/>
      </c>
      <c r="C191" s="110">
        <f>IF($A191="","",IFERROR($B191*IsverenPayiOrani,""))</f>
        <v/>
      </c>
      <c r="D191" s="110">
        <f>IF($A191="","",IFERROR($B191*IssizlikOrani,""))</f>
        <v/>
      </c>
      <c r="E191" s="110">
        <f>IF($A191="","",IFERROR($B191*KidemKarsilikOrani,""))</f>
        <v/>
      </c>
      <c r="F191" s="108" t="n"/>
      <c r="G191" s="110">
        <f>IF($A191="","",IFERROR($B191+$C191+$D191+$E191+$F191,""))</f>
        <v/>
      </c>
      <c r="H191" s="110">
        <f>IF($A191="","",IFERROR($G191*AySayisi,""))</f>
        <v/>
      </c>
    </row>
    <row r="192" ht="15" customHeight="1" s="62">
      <c r="A192" s="107" t="n"/>
      <c r="B192" s="110">
        <f>IFERROR(IF($A192="","",IFERROR(INDEX(tblCalisan[Brüt Ücret (₺)],MATCH($A192,tblCalisan[Çalışan Adı],0)),"")),"")</f>
        <v/>
      </c>
      <c r="C192" s="110">
        <f>IF($A192="","",IFERROR($B192*IsverenPayiOrani,""))</f>
        <v/>
      </c>
      <c r="D192" s="110">
        <f>IF($A192="","",IFERROR($B192*IssizlikOrani,""))</f>
        <v/>
      </c>
      <c r="E192" s="110">
        <f>IF($A192="","",IFERROR($B192*KidemKarsilikOrani,""))</f>
        <v/>
      </c>
      <c r="F192" s="108" t="n"/>
      <c r="G192" s="110">
        <f>IF($A192="","",IFERROR($B192+$C192+$D192+$E192+$F192,""))</f>
        <v/>
      </c>
      <c r="H192" s="110">
        <f>IF($A192="","",IFERROR($G192*AySayisi,""))</f>
        <v/>
      </c>
    </row>
    <row r="193" ht="15" customHeight="1" s="62">
      <c r="A193" s="107" t="n"/>
      <c r="B193" s="110">
        <f>IFERROR(IF($A193="","",IFERROR(INDEX(tblCalisan[Brüt Ücret (₺)],MATCH($A193,tblCalisan[Çalışan Adı],0)),"")),"")</f>
        <v/>
      </c>
      <c r="C193" s="110">
        <f>IF($A193="","",IFERROR($B193*IsverenPayiOrani,""))</f>
        <v/>
      </c>
      <c r="D193" s="110">
        <f>IF($A193="","",IFERROR($B193*IssizlikOrani,""))</f>
        <v/>
      </c>
      <c r="E193" s="110">
        <f>IF($A193="","",IFERROR($B193*KidemKarsilikOrani,""))</f>
        <v/>
      </c>
      <c r="F193" s="108" t="n"/>
      <c r="G193" s="110">
        <f>IF($A193="","",IFERROR($B193+$C193+$D193+$E193+$F193,""))</f>
        <v/>
      </c>
      <c r="H193" s="110">
        <f>IF($A193="","",IFERROR($G193*AySayisi,""))</f>
        <v/>
      </c>
    </row>
    <row r="194" ht="15" customHeight="1" s="62">
      <c r="A194" s="107" t="n"/>
      <c r="B194" s="110">
        <f>IFERROR(IF($A194="","",IFERROR(INDEX(tblCalisan[Brüt Ücret (₺)],MATCH($A194,tblCalisan[Çalışan Adı],0)),"")),"")</f>
        <v/>
      </c>
      <c r="C194" s="110">
        <f>IF($A194="","",IFERROR($B194*IsverenPayiOrani,""))</f>
        <v/>
      </c>
      <c r="D194" s="110">
        <f>IF($A194="","",IFERROR($B194*IssizlikOrani,""))</f>
        <v/>
      </c>
      <c r="E194" s="110">
        <f>IF($A194="","",IFERROR($B194*KidemKarsilikOrani,""))</f>
        <v/>
      </c>
      <c r="F194" s="108" t="n"/>
      <c r="G194" s="110">
        <f>IF($A194="","",IFERROR($B194+$C194+$D194+$E194+$F194,""))</f>
        <v/>
      </c>
      <c r="H194" s="110">
        <f>IF($A194="","",IFERROR($G194*AySayisi,""))</f>
        <v/>
      </c>
    </row>
    <row r="195" ht="15" customHeight="1" s="62">
      <c r="A195" s="107" t="n"/>
      <c r="B195" s="110">
        <f>IFERROR(IF($A195="","",IFERROR(INDEX(tblCalisan[Brüt Ücret (₺)],MATCH($A195,tblCalisan[Çalışan Adı],0)),"")),"")</f>
        <v/>
      </c>
      <c r="C195" s="110">
        <f>IF($A195="","",IFERROR($B195*IsverenPayiOrani,""))</f>
        <v/>
      </c>
      <c r="D195" s="110">
        <f>IF($A195="","",IFERROR($B195*IssizlikOrani,""))</f>
        <v/>
      </c>
      <c r="E195" s="110">
        <f>IF($A195="","",IFERROR($B195*KidemKarsilikOrani,""))</f>
        <v/>
      </c>
      <c r="F195" s="108" t="n"/>
      <c r="G195" s="110">
        <f>IF($A195="","",IFERROR($B195+$C195+$D195+$E195+$F195,""))</f>
        <v/>
      </c>
      <c r="H195" s="110">
        <f>IF($A195="","",IFERROR($G195*AySayisi,""))</f>
        <v/>
      </c>
    </row>
    <row r="196" ht="15" customHeight="1" s="62">
      <c r="A196" s="107" t="n"/>
      <c r="B196" s="110">
        <f>IFERROR(IF($A196="","",IFERROR(INDEX(tblCalisan[Brüt Ücret (₺)],MATCH($A196,tblCalisan[Çalışan Adı],0)),"")),"")</f>
        <v/>
      </c>
      <c r="C196" s="110">
        <f>IF($A196="","",IFERROR($B196*IsverenPayiOrani,""))</f>
        <v/>
      </c>
      <c r="D196" s="110">
        <f>IF($A196="","",IFERROR($B196*IssizlikOrani,""))</f>
        <v/>
      </c>
      <c r="E196" s="110">
        <f>IF($A196="","",IFERROR($B196*KidemKarsilikOrani,""))</f>
        <v/>
      </c>
      <c r="F196" s="108" t="n"/>
      <c r="G196" s="110">
        <f>IF($A196="","",IFERROR($B196+$C196+$D196+$E196+$F196,""))</f>
        <v/>
      </c>
      <c r="H196" s="110">
        <f>IF($A196="","",IFERROR($G196*AySayisi,""))</f>
        <v/>
      </c>
    </row>
    <row r="197" ht="15" customHeight="1" s="62">
      <c r="A197" s="107" t="n"/>
      <c r="B197" s="110">
        <f>IFERROR(IF($A197="","",IFERROR(INDEX(tblCalisan[Brüt Ücret (₺)],MATCH($A197,tblCalisan[Çalışan Adı],0)),"")),"")</f>
        <v/>
      </c>
      <c r="C197" s="110">
        <f>IF($A197="","",IFERROR($B197*IsverenPayiOrani,""))</f>
        <v/>
      </c>
      <c r="D197" s="110">
        <f>IF($A197="","",IFERROR($B197*IssizlikOrani,""))</f>
        <v/>
      </c>
      <c r="E197" s="110">
        <f>IF($A197="","",IFERROR($B197*KidemKarsilikOrani,""))</f>
        <v/>
      </c>
      <c r="F197" s="108" t="n"/>
      <c r="G197" s="110">
        <f>IF($A197="","",IFERROR($B197+$C197+$D197+$E197+$F197,""))</f>
        <v/>
      </c>
      <c r="H197" s="110">
        <f>IF($A197="","",IFERROR($G197*AySayisi,""))</f>
        <v/>
      </c>
    </row>
    <row r="198" ht="15" customHeight="1" s="62">
      <c r="A198" s="107" t="n"/>
      <c r="B198" s="110">
        <f>IFERROR(IF($A198="","",IFERROR(INDEX(tblCalisan[Brüt Ücret (₺)],MATCH($A198,tblCalisan[Çalışan Adı],0)),"")),"")</f>
        <v/>
      </c>
      <c r="C198" s="110">
        <f>IF($A198="","",IFERROR($B198*IsverenPayiOrani,""))</f>
        <v/>
      </c>
      <c r="D198" s="110">
        <f>IF($A198="","",IFERROR($B198*IssizlikOrani,""))</f>
        <v/>
      </c>
      <c r="E198" s="110">
        <f>IF($A198="","",IFERROR($B198*KidemKarsilikOrani,""))</f>
        <v/>
      </c>
      <c r="F198" s="108" t="n"/>
      <c r="G198" s="110">
        <f>IF($A198="","",IFERROR($B198+$C198+$D198+$E198+$F198,""))</f>
        <v/>
      </c>
      <c r="H198" s="110">
        <f>IF($A198="","",IFERROR($G198*AySayisi,""))</f>
        <v/>
      </c>
    </row>
    <row r="199" ht="15" customHeight="1" s="62">
      <c r="A199" s="107" t="n"/>
      <c r="B199" s="110">
        <f>IFERROR(IF($A199="","",IFERROR(INDEX(tblCalisan[Brüt Ücret (₺)],MATCH($A199,tblCalisan[Çalışan Adı],0)),"")),"")</f>
        <v/>
      </c>
      <c r="C199" s="110">
        <f>IF($A199="","",IFERROR($B199*IsverenPayiOrani,""))</f>
        <v/>
      </c>
      <c r="D199" s="110">
        <f>IF($A199="","",IFERROR($B199*IssizlikOrani,""))</f>
        <v/>
      </c>
      <c r="E199" s="110">
        <f>IF($A199="","",IFERROR($B199*KidemKarsilikOrani,""))</f>
        <v/>
      </c>
      <c r="F199" s="108" t="n"/>
      <c r="G199" s="110">
        <f>IF($A199="","",IFERROR($B199+$C199+$D199+$E199+$F199,""))</f>
        <v/>
      </c>
      <c r="H199" s="110">
        <f>IF($A199="","",IFERROR($G199*AySayisi,""))</f>
        <v/>
      </c>
    </row>
    <row r="200" ht="15" customHeight="1" s="62">
      <c r="A200" s="107" t="n"/>
      <c r="B200" s="110">
        <f>IFERROR(IF($A200="","",IFERROR(INDEX(tblCalisan[Brüt Ücret (₺)],MATCH($A200,tblCalisan[Çalışan Adı],0)),"")),"")</f>
        <v/>
      </c>
      <c r="C200" s="110">
        <f>IF($A200="","",IFERROR($B200*IsverenPayiOrani,""))</f>
        <v/>
      </c>
      <c r="D200" s="110">
        <f>IF($A200="","",IFERROR($B200*IssizlikOrani,""))</f>
        <v/>
      </c>
      <c r="E200" s="110">
        <f>IF($A200="","",IFERROR($B200*KidemKarsilikOrani,""))</f>
        <v/>
      </c>
      <c r="F200" s="108" t="n"/>
      <c r="G200" s="110">
        <f>IF($A200="","",IFERROR($B200+$C200+$D200+$E200+$F200,""))</f>
        <v/>
      </c>
      <c r="H200" s="110">
        <f>IF($A200="","",IFERROR($G200*AySayisi,""))</f>
        <v/>
      </c>
    </row>
    <row r="201" ht="15" customHeight="1" s="62">
      <c r="A201" s="107" t="n"/>
      <c r="B201" s="110">
        <f>IFERROR(IF($A201="","",IFERROR(INDEX(tblCalisan[Brüt Ücret (₺)],MATCH($A201,tblCalisan[Çalışan Adı],0)),"")),"")</f>
        <v/>
      </c>
      <c r="C201" s="110">
        <f>IF($A201="","",IFERROR($B201*IsverenPayiOrani,""))</f>
        <v/>
      </c>
      <c r="D201" s="110">
        <f>IF($A201="","",IFERROR($B201*IssizlikOrani,""))</f>
        <v/>
      </c>
      <c r="E201" s="110">
        <f>IF($A201="","",IFERROR($B201*KidemKarsilikOrani,""))</f>
        <v/>
      </c>
      <c r="F201" s="108" t="n"/>
      <c r="G201" s="110">
        <f>IF($A201="","",IFERROR($B201+$C201+$D201+$E201+$F201,""))</f>
        <v/>
      </c>
      <c r="H201" s="110">
        <f>IF($A201="","",IFERROR($G201*AySayisi,""))</f>
        <v/>
      </c>
    </row>
    <row r="202" ht="15" customHeight="1" s="62">
      <c r="A202" s="107" t="n"/>
      <c r="B202" s="110">
        <f>IFERROR(IF($A202="","",IFERROR(INDEX(tblCalisan[Brüt Ücret (₺)],MATCH($A202,tblCalisan[Çalışan Adı],0)),"")),"")</f>
        <v/>
      </c>
      <c r="C202" s="110">
        <f>IF($A202="","",IFERROR($B202*IsverenPayiOrani,""))</f>
        <v/>
      </c>
      <c r="D202" s="110">
        <f>IF($A202="","",IFERROR($B202*IssizlikOrani,""))</f>
        <v/>
      </c>
      <c r="E202" s="110">
        <f>IF($A202="","",IFERROR($B202*KidemKarsilikOrani,""))</f>
        <v/>
      </c>
      <c r="F202" s="108" t="n"/>
      <c r="G202" s="110">
        <f>IF($A202="","",IFERROR($B202+$C202+$D202+$E202+$F202,""))</f>
        <v/>
      </c>
      <c r="H202" s="110">
        <f>IF($A202="","",IFERROR($G202*AySayisi,""))</f>
        <v/>
      </c>
    </row>
    <row r="203" ht="15" customHeight="1" s="62">
      <c r="A203" s="107" t="n"/>
      <c r="B203" s="110">
        <f>IFERROR(IF($A203="","",IFERROR(INDEX(tblCalisan[Brüt Ücret (₺)],MATCH($A203,tblCalisan[Çalışan Adı],0)),"")),"")</f>
        <v/>
      </c>
      <c r="C203" s="110">
        <f>IF($A203="","",IFERROR($B203*IsverenPayiOrani,""))</f>
        <v/>
      </c>
      <c r="D203" s="110">
        <f>IF($A203="","",IFERROR($B203*IssizlikOrani,""))</f>
        <v/>
      </c>
      <c r="E203" s="110">
        <f>IF($A203="","",IFERROR($B203*KidemKarsilikOrani,""))</f>
        <v/>
      </c>
      <c r="F203" s="108" t="n"/>
      <c r="G203" s="110">
        <f>IF($A203="","",IFERROR($B203+$C203+$D203+$E203+$F203,""))</f>
        <v/>
      </c>
      <c r="H203" s="110">
        <f>IF($A203="","",IFERROR($G203*AySayisi,""))</f>
        <v/>
      </c>
    </row>
    <row r="204" ht="15" customHeight="1" s="62">
      <c r="A204" s="107" t="n"/>
      <c r="B204" s="110">
        <f>IFERROR(IF($A204="","",IFERROR(INDEX(tblCalisan[Brüt Ücret (₺)],MATCH($A204,tblCalisan[Çalışan Adı],0)),"")),"")</f>
        <v/>
      </c>
      <c r="C204" s="110">
        <f>IF($A204="","",IFERROR($B204*IsverenPayiOrani,""))</f>
        <v/>
      </c>
      <c r="D204" s="110">
        <f>IF($A204="","",IFERROR($B204*IssizlikOrani,""))</f>
        <v/>
      </c>
      <c r="E204" s="110">
        <f>IF($A204="","",IFERROR($B204*KidemKarsilikOrani,""))</f>
        <v/>
      </c>
      <c r="F204" s="108" t="n"/>
      <c r="G204" s="110">
        <f>IF($A204="","",IFERROR($B204+$C204+$D204+$E204+$F204,""))</f>
        <v/>
      </c>
      <c r="H204" s="110">
        <f>IF($A204="","",IFERROR($G204*AySayisi,""))</f>
        <v/>
      </c>
    </row>
    <row r="205" ht="15" customHeight="1" s="62">
      <c r="A205" s="107" t="n"/>
      <c r="B205" s="110">
        <f>IFERROR(IF($A205="","",IFERROR(INDEX(tblCalisan[Brüt Ücret (₺)],MATCH($A205,tblCalisan[Çalışan Adı],0)),"")),"")</f>
        <v/>
      </c>
      <c r="C205" s="110">
        <f>IF($A205="","",IFERROR($B205*IsverenPayiOrani,""))</f>
        <v/>
      </c>
      <c r="D205" s="110">
        <f>IF($A205="","",IFERROR($B205*IssizlikOrani,""))</f>
        <v/>
      </c>
      <c r="E205" s="110">
        <f>IF($A205="","",IFERROR($B205*KidemKarsilikOrani,""))</f>
        <v/>
      </c>
      <c r="F205" s="108" t="n"/>
      <c r="G205" s="110">
        <f>IF($A205="","",IFERROR($B205+$C205+$D205+$E205+$F205,""))</f>
        <v/>
      </c>
      <c r="H205" s="110">
        <f>IF($A205="","",IFERROR($G205*AySayisi,""))</f>
        <v/>
      </c>
    </row>
    <row r="206" ht="15" customHeight="1" s="62">
      <c r="A206" s="107" t="n"/>
      <c r="B206" s="110">
        <f>IFERROR(IF($A206="","",IFERROR(INDEX(tblCalisan[Brüt Ücret (₺)],MATCH($A206,tblCalisan[Çalışan Adı],0)),"")),"")</f>
        <v/>
      </c>
      <c r="C206" s="110">
        <f>IF($A206="","",IFERROR($B206*IsverenPayiOrani,""))</f>
        <v/>
      </c>
      <c r="D206" s="110">
        <f>IF($A206="","",IFERROR($B206*IssizlikOrani,""))</f>
        <v/>
      </c>
      <c r="E206" s="110">
        <f>IF($A206="","",IFERROR($B206*KidemKarsilikOrani,""))</f>
        <v/>
      </c>
      <c r="F206" s="108" t="n"/>
      <c r="G206" s="110">
        <f>IF($A206="","",IFERROR($B206+$C206+$D206+$E206+$F206,""))</f>
        <v/>
      </c>
      <c r="H206" s="110">
        <f>IF($A206="","",IFERROR($G206*AySayisi,""))</f>
        <v/>
      </c>
    </row>
    <row r="207" ht="15" customHeight="1" s="62">
      <c r="A207" s="107" t="n"/>
      <c r="B207" s="110">
        <f>IFERROR(IF($A207="","",IFERROR(INDEX(tblCalisan[Brüt Ücret (₺)],MATCH($A207,tblCalisan[Çalışan Adı],0)),"")),"")</f>
        <v/>
      </c>
      <c r="C207" s="110">
        <f>IF($A207="","",IFERROR($B207*IsverenPayiOrani,""))</f>
        <v/>
      </c>
      <c r="D207" s="110">
        <f>IF($A207="","",IFERROR($B207*IssizlikOrani,""))</f>
        <v/>
      </c>
      <c r="E207" s="110">
        <f>IF($A207="","",IFERROR($B207*KidemKarsilikOrani,""))</f>
        <v/>
      </c>
      <c r="F207" s="108" t="n"/>
      <c r="G207" s="110">
        <f>IF($A207="","",IFERROR($B207+$C207+$D207+$E207+$F207,""))</f>
        <v/>
      </c>
      <c r="H207" s="110">
        <f>IF($A207="","",IFERROR($G207*AySayisi,""))</f>
        <v/>
      </c>
    </row>
    <row r="208" ht="15" customHeight="1" s="62">
      <c r="A208" s="107" t="n"/>
      <c r="B208" s="110">
        <f>IFERROR(IF($A208="","",IFERROR(INDEX(tblCalisan[Brüt Ücret (₺)],MATCH($A208,tblCalisan[Çalışan Adı],0)),"")),"")</f>
        <v/>
      </c>
      <c r="C208" s="110">
        <f>IF($A208="","",IFERROR($B208*IsverenPayiOrani,""))</f>
        <v/>
      </c>
      <c r="D208" s="110">
        <f>IF($A208="","",IFERROR($B208*IssizlikOrani,""))</f>
        <v/>
      </c>
      <c r="E208" s="110">
        <f>IF($A208="","",IFERROR($B208*KidemKarsilikOrani,""))</f>
        <v/>
      </c>
      <c r="F208" s="108" t="n"/>
      <c r="G208" s="110">
        <f>IF($A208="","",IFERROR($B208+$C208+$D208+$E208+$F208,""))</f>
        <v/>
      </c>
      <c r="H208" s="110">
        <f>IF($A208="","",IFERROR($G208*AySayisi,""))</f>
        <v/>
      </c>
    </row>
    <row r="209" ht="15" customHeight="1" s="62">
      <c r="A209" s="107" t="n"/>
      <c r="B209" s="110">
        <f>IFERROR(IF($A209="","",IFERROR(INDEX(tblCalisan[Brüt Ücret (₺)],MATCH($A209,tblCalisan[Çalışan Adı],0)),"")),"")</f>
        <v/>
      </c>
      <c r="C209" s="110">
        <f>IF($A209="","",IFERROR($B209*IsverenPayiOrani,""))</f>
        <v/>
      </c>
      <c r="D209" s="110">
        <f>IF($A209="","",IFERROR($B209*IssizlikOrani,""))</f>
        <v/>
      </c>
      <c r="E209" s="110">
        <f>IF($A209="","",IFERROR($B209*KidemKarsilikOrani,""))</f>
        <v/>
      </c>
      <c r="F209" s="108" t="n"/>
      <c r="G209" s="110">
        <f>IF($A209="","",IFERROR($B209+$C209+$D209+$E209+$F209,""))</f>
        <v/>
      </c>
      <c r="H209" s="110">
        <f>IF($A209="","",IFERROR($G209*AySayisi,""))</f>
        <v/>
      </c>
    </row>
    <row r="210" ht="15" customHeight="1" s="62">
      <c r="A210" s="107" t="n"/>
      <c r="B210" s="110">
        <f>IFERROR(IF($A210="","",IFERROR(INDEX(tblCalisan[Brüt Ücret (₺)],MATCH($A210,tblCalisan[Çalışan Adı],0)),"")),"")</f>
        <v/>
      </c>
      <c r="C210" s="110">
        <f>IF($A210="","",IFERROR($B210*IsverenPayiOrani,""))</f>
        <v/>
      </c>
      <c r="D210" s="110">
        <f>IF($A210="","",IFERROR($B210*IssizlikOrani,""))</f>
        <v/>
      </c>
      <c r="E210" s="110">
        <f>IF($A210="","",IFERROR($B210*KidemKarsilikOrani,""))</f>
        <v/>
      </c>
      <c r="F210" s="108" t="n"/>
      <c r="G210" s="110">
        <f>IF($A210="","",IFERROR($B210+$C210+$D210+$E210+$F210,""))</f>
        <v/>
      </c>
      <c r="H210" s="110">
        <f>IF($A210="","",IFERROR($G210*AySayisi,""))</f>
        <v/>
      </c>
    </row>
    <row r="211" ht="15" customHeight="1" s="62">
      <c r="A211" s="107" t="n"/>
      <c r="B211" s="110">
        <f>IFERROR(IF($A211="","",IFERROR(INDEX(tblCalisan[Brüt Ücret (₺)],MATCH($A211,tblCalisan[Çalışan Adı],0)),"")),"")</f>
        <v/>
      </c>
      <c r="C211" s="110">
        <f>IF($A211="","",IFERROR($B211*IsverenPayiOrani,""))</f>
        <v/>
      </c>
      <c r="D211" s="110">
        <f>IF($A211="","",IFERROR($B211*IssizlikOrani,""))</f>
        <v/>
      </c>
      <c r="E211" s="110">
        <f>IF($A211="","",IFERROR($B211*KidemKarsilikOrani,""))</f>
        <v/>
      </c>
      <c r="F211" s="108" t="n"/>
      <c r="G211" s="110">
        <f>IF($A211="","",IFERROR($B211+$C211+$D211+$E211+$F211,""))</f>
        <v/>
      </c>
      <c r="H211" s="110">
        <f>IF($A211="","",IFERROR($G211*AySayisi,""))</f>
        <v/>
      </c>
    </row>
    <row r="212" ht="15" customHeight="1" s="62">
      <c r="A212" s="107" t="n"/>
      <c r="B212" s="110">
        <f>IFERROR(IF($A212="","",IFERROR(INDEX(tblCalisan[Brüt Ücret (₺)],MATCH($A212,tblCalisan[Çalışan Adı],0)),"")),"")</f>
        <v/>
      </c>
      <c r="C212" s="110">
        <f>IF($A212="","",IFERROR($B212*IsverenPayiOrani,""))</f>
        <v/>
      </c>
      <c r="D212" s="110">
        <f>IF($A212="","",IFERROR($B212*IssizlikOrani,""))</f>
        <v/>
      </c>
      <c r="E212" s="110">
        <f>IF($A212="","",IFERROR($B212*KidemKarsilikOrani,""))</f>
        <v/>
      </c>
      <c r="F212" s="108" t="n"/>
      <c r="G212" s="110">
        <f>IF($A212="","",IFERROR($B212+$C212+$D212+$E212+$F212,""))</f>
        <v/>
      </c>
      <c r="H212" s="110">
        <f>IF($A212="","",IFERROR($G212*AySayisi,""))</f>
        <v/>
      </c>
    </row>
    <row r="213" ht="15" customHeight="1" s="62">
      <c r="A213" s="107" t="n"/>
      <c r="B213" s="110">
        <f>IFERROR(IF($A213="","",IFERROR(INDEX(tblCalisan[Brüt Ücret (₺)],MATCH($A213,tblCalisan[Çalışan Adı],0)),"")),"")</f>
        <v/>
      </c>
      <c r="C213" s="110">
        <f>IF($A213="","",IFERROR($B213*IsverenPayiOrani,""))</f>
        <v/>
      </c>
      <c r="D213" s="110">
        <f>IF($A213="","",IFERROR($B213*IssizlikOrani,""))</f>
        <v/>
      </c>
      <c r="E213" s="110">
        <f>IF($A213="","",IFERROR($B213*KidemKarsilikOrani,""))</f>
        <v/>
      </c>
      <c r="F213" s="108" t="n"/>
      <c r="G213" s="110">
        <f>IF($A213="","",IFERROR($B213+$C213+$D213+$E213+$F213,""))</f>
        <v/>
      </c>
      <c r="H213" s="110">
        <f>IF($A213="","",IFERROR($G213*AySayisi,""))</f>
        <v/>
      </c>
    </row>
    <row r="214" ht="15" customHeight="1" s="62">
      <c r="A214" s="107" t="n"/>
      <c r="B214" s="110">
        <f>IFERROR(IF($A214="","",IFERROR(INDEX(tblCalisan[Brüt Ücret (₺)],MATCH($A214,tblCalisan[Çalışan Adı],0)),"")),"")</f>
        <v/>
      </c>
      <c r="C214" s="110">
        <f>IF($A214="","",IFERROR($B214*IsverenPayiOrani,""))</f>
        <v/>
      </c>
      <c r="D214" s="110">
        <f>IF($A214="","",IFERROR($B214*IssizlikOrani,""))</f>
        <v/>
      </c>
      <c r="E214" s="110">
        <f>IF($A214="","",IFERROR($B214*KidemKarsilikOrani,""))</f>
        <v/>
      </c>
      <c r="F214" s="108" t="n"/>
      <c r="G214" s="110">
        <f>IF($A214="","",IFERROR($B214+$C214+$D214+$E214+$F214,""))</f>
        <v/>
      </c>
      <c r="H214" s="110">
        <f>IF($A214="","",IFERROR($G214*AySayisi,""))</f>
        <v/>
      </c>
    </row>
    <row r="215" ht="15" customHeight="1" s="62">
      <c r="A215" s="107" t="n"/>
      <c r="B215" s="110">
        <f>IFERROR(IF($A215="","",IFERROR(INDEX(tblCalisan[Brüt Ücret (₺)],MATCH($A215,tblCalisan[Çalışan Adı],0)),"")),"")</f>
        <v/>
      </c>
      <c r="C215" s="110">
        <f>IF($A215="","",IFERROR($B215*IsverenPayiOrani,""))</f>
        <v/>
      </c>
      <c r="D215" s="110">
        <f>IF($A215="","",IFERROR($B215*IssizlikOrani,""))</f>
        <v/>
      </c>
      <c r="E215" s="110">
        <f>IF($A215="","",IFERROR($B215*KidemKarsilikOrani,""))</f>
        <v/>
      </c>
      <c r="F215" s="108" t="n"/>
      <c r="G215" s="110">
        <f>IF($A215="","",IFERROR($B215+$C215+$D215+$E215+$F215,""))</f>
        <v/>
      </c>
      <c r="H215" s="110">
        <f>IF($A215="","",IFERROR($G215*AySayisi,""))</f>
        <v/>
      </c>
    </row>
    <row r="216" ht="15" customHeight="1" s="62">
      <c r="A216" s="107" t="n"/>
      <c r="B216" s="110">
        <f>IFERROR(IF($A216="","",IFERROR(INDEX(tblCalisan[Brüt Ücret (₺)],MATCH($A216,tblCalisan[Çalışan Adı],0)),"")),"")</f>
        <v/>
      </c>
      <c r="C216" s="110">
        <f>IF($A216="","",IFERROR($B216*IsverenPayiOrani,""))</f>
        <v/>
      </c>
      <c r="D216" s="110">
        <f>IF($A216="","",IFERROR($B216*IssizlikOrani,""))</f>
        <v/>
      </c>
      <c r="E216" s="110">
        <f>IF($A216="","",IFERROR($B216*KidemKarsilikOrani,""))</f>
        <v/>
      </c>
      <c r="F216" s="108" t="n"/>
      <c r="G216" s="110">
        <f>IF($A216="","",IFERROR($B216+$C216+$D216+$E216+$F216,""))</f>
        <v/>
      </c>
      <c r="H216" s="110">
        <f>IF($A216="","",IFERROR($G216*AySayisi,""))</f>
        <v/>
      </c>
    </row>
    <row r="217" ht="15" customHeight="1" s="62">
      <c r="A217" s="107" t="n"/>
      <c r="B217" s="110">
        <f>IFERROR(IF($A217="","",IFERROR(INDEX(tblCalisan[Brüt Ücret (₺)],MATCH($A217,tblCalisan[Çalışan Adı],0)),"")),"")</f>
        <v/>
      </c>
      <c r="C217" s="110">
        <f>IF($A217="","",IFERROR($B217*IsverenPayiOrani,""))</f>
        <v/>
      </c>
      <c r="D217" s="110">
        <f>IF($A217="","",IFERROR($B217*IssizlikOrani,""))</f>
        <v/>
      </c>
      <c r="E217" s="110">
        <f>IF($A217="","",IFERROR($B217*KidemKarsilikOrani,""))</f>
        <v/>
      </c>
      <c r="F217" s="108" t="n"/>
      <c r="G217" s="110">
        <f>IF($A217="","",IFERROR($B217+$C217+$D217+$E217+$F217,""))</f>
        <v/>
      </c>
      <c r="H217" s="110">
        <f>IF($A217="","",IFERROR($G217*AySayisi,""))</f>
        <v/>
      </c>
    </row>
    <row r="218" ht="15" customHeight="1" s="62">
      <c r="A218" s="107" t="n"/>
      <c r="B218" s="110">
        <f>IFERROR(IF($A218="","",IFERROR(INDEX(tblCalisan[Brüt Ücret (₺)],MATCH($A218,tblCalisan[Çalışan Adı],0)),"")),"")</f>
        <v/>
      </c>
      <c r="C218" s="110">
        <f>IF($A218="","",IFERROR($B218*IsverenPayiOrani,""))</f>
        <v/>
      </c>
      <c r="D218" s="110">
        <f>IF($A218="","",IFERROR($B218*IssizlikOrani,""))</f>
        <v/>
      </c>
      <c r="E218" s="110">
        <f>IF($A218="","",IFERROR($B218*KidemKarsilikOrani,""))</f>
        <v/>
      </c>
      <c r="F218" s="108" t="n"/>
      <c r="G218" s="110">
        <f>IF($A218="","",IFERROR($B218+$C218+$D218+$E218+$F218,""))</f>
        <v/>
      </c>
      <c r="H218" s="110">
        <f>IF($A218="","",IFERROR($G218*AySayisi,""))</f>
        <v/>
      </c>
    </row>
    <row r="219" ht="15" customHeight="1" s="62">
      <c r="A219" s="107" t="n"/>
      <c r="B219" s="110">
        <f>IFERROR(IF($A219="","",IFERROR(INDEX(tblCalisan[Brüt Ücret (₺)],MATCH($A219,tblCalisan[Çalışan Adı],0)),"")),"")</f>
        <v/>
      </c>
      <c r="C219" s="110">
        <f>IF($A219="","",IFERROR($B219*IsverenPayiOrani,""))</f>
        <v/>
      </c>
      <c r="D219" s="110">
        <f>IF($A219="","",IFERROR($B219*IssizlikOrani,""))</f>
        <v/>
      </c>
      <c r="E219" s="110">
        <f>IF($A219="","",IFERROR($B219*KidemKarsilikOrani,""))</f>
        <v/>
      </c>
      <c r="F219" s="108" t="n"/>
      <c r="G219" s="110">
        <f>IF($A219="","",IFERROR($B219+$C219+$D219+$E219+$F219,""))</f>
        <v/>
      </c>
      <c r="H219" s="110">
        <f>IF($A219="","",IFERROR($G219*AySayisi,""))</f>
        <v/>
      </c>
    </row>
    <row r="220" ht="15" customHeight="1" s="62">
      <c r="A220" s="107" t="n"/>
      <c r="B220" s="110">
        <f>IFERROR(IF($A220="","",IFERROR(INDEX(tblCalisan[Brüt Ücret (₺)],MATCH($A220,tblCalisan[Çalışan Adı],0)),"")),"")</f>
        <v/>
      </c>
      <c r="C220" s="110">
        <f>IF($A220="","",IFERROR($B220*IsverenPayiOrani,""))</f>
        <v/>
      </c>
      <c r="D220" s="110">
        <f>IF($A220="","",IFERROR($B220*IssizlikOrani,""))</f>
        <v/>
      </c>
      <c r="E220" s="110">
        <f>IF($A220="","",IFERROR($B220*KidemKarsilikOrani,""))</f>
        <v/>
      </c>
      <c r="F220" s="108" t="n"/>
      <c r="G220" s="110">
        <f>IF($A220="","",IFERROR($B220+$C220+$D220+$E220+$F220,""))</f>
        <v/>
      </c>
      <c r="H220" s="110">
        <f>IF($A220="","",IFERROR($G220*AySayisi,""))</f>
        <v/>
      </c>
    </row>
    <row r="221" ht="15" customHeight="1" s="62">
      <c r="A221" s="107" t="n"/>
      <c r="B221" s="110">
        <f>IFERROR(IF($A221="","",IFERROR(INDEX(tblCalisan[Brüt Ücret (₺)],MATCH($A221,tblCalisan[Çalışan Adı],0)),"")),"")</f>
        <v/>
      </c>
      <c r="C221" s="110">
        <f>IF($A221="","",IFERROR($B221*IsverenPayiOrani,""))</f>
        <v/>
      </c>
      <c r="D221" s="110">
        <f>IF($A221="","",IFERROR($B221*IssizlikOrani,""))</f>
        <v/>
      </c>
      <c r="E221" s="110">
        <f>IF($A221="","",IFERROR($B221*KidemKarsilikOrani,""))</f>
        <v/>
      </c>
      <c r="F221" s="108" t="n"/>
      <c r="G221" s="110">
        <f>IF($A221="","",IFERROR($B221+$C221+$D221+$E221+$F221,""))</f>
        <v/>
      </c>
      <c r="H221" s="110">
        <f>IF($A221="","",IFERROR($G221*AySayisi,""))</f>
        <v/>
      </c>
    </row>
    <row r="222" ht="15" customHeight="1" s="62">
      <c r="A222" s="107" t="n"/>
      <c r="B222" s="110">
        <f>IFERROR(IF($A222="","",IFERROR(INDEX(tblCalisan[Brüt Ücret (₺)],MATCH($A222,tblCalisan[Çalışan Adı],0)),"")),"")</f>
        <v/>
      </c>
      <c r="C222" s="110">
        <f>IF($A222="","",IFERROR($B222*IsverenPayiOrani,""))</f>
        <v/>
      </c>
      <c r="D222" s="110">
        <f>IF($A222="","",IFERROR($B222*IssizlikOrani,""))</f>
        <v/>
      </c>
      <c r="E222" s="110">
        <f>IF($A222="","",IFERROR($B222*KidemKarsilikOrani,""))</f>
        <v/>
      </c>
      <c r="F222" s="108" t="n"/>
      <c r="G222" s="110">
        <f>IF($A222="","",IFERROR($B222+$C222+$D222+$E222+$F222,""))</f>
        <v/>
      </c>
      <c r="H222" s="110">
        <f>IF($A222="","",IFERROR($G222*AySayisi,""))</f>
        <v/>
      </c>
    </row>
    <row r="223" ht="15" customHeight="1" s="62">
      <c r="A223" s="107" t="n"/>
      <c r="B223" s="110">
        <f>IFERROR(IF($A223="","",IFERROR(INDEX(tblCalisan[Brüt Ücret (₺)],MATCH($A223,tblCalisan[Çalışan Adı],0)),"")),"")</f>
        <v/>
      </c>
      <c r="C223" s="110">
        <f>IF($A223="","",IFERROR($B223*IsverenPayiOrani,""))</f>
        <v/>
      </c>
      <c r="D223" s="110">
        <f>IF($A223="","",IFERROR($B223*IssizlikOrani,""))</f>
        <v/>
      </c>
      <c r="E223" s="110">
        <f>IF($A223="","",IFERROR($B223*KidemKarsilikOrani,""))</f>
        <v/>
      </c>
      <c r="F223" s="108" t="n"/>
      <c r="G223" s="110">
        <f>IF($A223="","",IFERROR($B223+$C223+$D223+$E223+$F223,""))</f>
        <v/>
      </c>
      <c r="H223" s="110">
        <f>IF($A223="","",IFERROR($G223*AySayisi,""))</f>
        <v/>
      </c>
    </row>
    <row r="224" ht="15" customHeight="1" s="62">
      <c r="A224" s="107" t="n"/>
      <c r="B224" s="110">
        <f>IFERROR(IF($A224="","",IFERROR(INDEX(tblCalisan[Brüt Ücret (₺)],MATCH($A224,tblCalisan[Çalışan Adı],0)),"")),"")</f>
        <v/>
      </c>
      <c r="C224" s="110">
        <f>IF($A224="","",IFERROR($B224*IsverenPayiOrani,""))</f>
        <v/>
      </c>
      <c r="D224" s="110">
        <f>IF($A224="","",IFERROR($B224*IssizlikOrani,""))</f>
        <v/>
      </c>
      <c r="E224" s="110">
        <f>IF($A224="","",IFERROR($B224*KidemKarsilikOrani,""))</f>
        <v/>
      </c>
      <c r="F224" s="108" t="n"/>
      <c r="G224" s="110">
        <f>IF($A224="","",IFERROR($B224+$C224+$D224+$E224+$F224,""))</f>
        <v/>
      </c>
      <c r="H224" s="110">
        <f>IF($A224="","",IFERROR($G224*AySayisi,""))</f>
        <v/>
      </c>
    </row>
    <row r="225" ht="15" customHeight="1" s="62">
      <c r="A225" s="107" t="n"/>
      <c r="B225" s="110">
        <f>IFERROR(IF($A225="","",IFERROR(INDEX(tblCalisan[Brüt Ücret (₺)],MATCH($A225,tblCalisan[Çalışan Adı],0)),"")),"")</f>
        <v/>
      </c>
      <c r="C225" s="110">
        <f>IF($A225="","",IFERROR($B225*IsverenPayiOrani,""))</f>
        <v/>
      </c>
      <c r="D225" s="110">
        <f>IF($A225="","",IFERROR($B225*IssizlikOrani,""))</f>
        <v/>
      </c>
      <c r="E225" s="110">
        <f>IF($A225="","",IFERROR($B225*KidemKarsilikOrani,""))</f>
        <v/>
      </c>
      <c r="F225" s="108" t="n"/>
      <c r="G225" s="110">
        <f>IF($A225="","",IFERROR($B225+$C225+$D225+$E225+$F225,""))</f>
        <v/>
      </c>
      <c r="H225" s="110">
        <f>IF($A225="","",IFERROR($G225*AySayisi,""))</f>
        <v/>
      </c>
    </row>
    <row r="226" ht="15" customHeight="1" s="62">
      <c r="A226" s="107" t="n"/>
      <c r="B226" s="110">
        <f>IFERROR(IF($A226="","",IFERROR(INDEX(tblCalisan[Brüt Ücret (₺)],MATCH($A226,tblCalisan[Çalışan Adı],0)),"")),"")</f>
        <v/>
      </c>
      <c r="C226" s="110">
        <f>IF($A226="","",IFERROR($B226*IsverenPayiOrani,""))</f>
        <v/>
      </c>
      <c r="D226" s="110">
        <f>IF($A226="","",IFERROR($B226*IssizlikOrani,""))</f>
        <v/>
      </c>
      <c r="E226" s="110">
        <f>IF($A226="","",IFERROR($B226*KidemKarsilikOrani,""))</f>
        <v/>
      </c>
      <c r="F226" s="108" t="n"/>
      <c r="G226" s="110">
        <f>IF($A226="","",IFERROR($B226+$C226+$D226+$E226+$F226,""))</f>
        <v/>
      </c>
      <c r="H226" s="110">
        <f>IF($A226="","",IFERROR($G226*AySayisi,""))</f>
        <v/>
      </c>
    </row>
    <row r="227" ht="15" customHeight="1" s="62">
      <c r="A227" s="107" t="n"/>
      <c r="B227" s="110">
        <f>IFERROR(IF($A227="","",IFERROR(INDEX(tblCalisan[Brüt Ücret (₺)],MATCH($A227,tblCalisan[Çalışan Adı],0)),"")),"")</f>
        <v/>
      </c>
      <c r="C227" s="110">
        <f>IF($A227="","",IFERROR($B227*IsverenPayiOrani,""))</f>
        <v/>
      </c>
      <c r="D227" s="110">
        <f>IF($A227="","",IFERROR($B227*IssizlikOrani,""))</f>
        <v/>
      </c>
      <c r="E227" s="110">
        <f>IF($A227="","",IFERROR($B227*KidemKarsilikOrani,""))</f>
        <v/>
      </c>
      <c r="F227" s="108" t="n"/>
      <c r="G227" s="110">
        <f>IF($A227="","",IFERROR($B227+$C227+$D227+$E227+$F227,""))</f>
        <v/>
      </c>
      <c r="H227" s="110">
        <f>IF($A227="","",IFERROR($G227*AySayisi,""))</f>
        <v/>
      </c>
    </row>
    <row r="228" ht="15" customHeight="1" s="62">
      <c r="A228" s="107" t="n"/>
      <c r="B228" s="110">
        <f>IFERROR(IF($A228="","",IFERROR(INDEX(tblCalisan[Brüt Ücret (₺)],MATCH($A228,tblCalisan[Çalışan Adı],0)),"")),"")</f>
        <v/>
      </c>
      <c r="C228" s="110">
        <f>IF($A228="","",IFERROR($B228*IsverenPayiOrani,""))</f>
        <v/>
      </c>
      <c r="D228" s="110">
        <f>IF($A228="","",IFERROR($B228*IssizlikOrani,""))</f>
        <v/>
      </c>
      <c r="E228" s="110">
        <f>IF($A228="","",IFERROR($B228*KidemKarsilikOrani,""))</f>
        <v/>
      </c>
      <c r="F228" s="108" t="n"/>
      <c r="G228" s="110">
        <f>IF($A228="","",IFERROR($B228+$C228+$D228+$E228+$F228,""))</f>
        <v/>
      </c>
      <c r="H228" s="110">
        <f>IF($A228="","",IFERROR($G228*AySayisi,""))</f>
        <v/>
      </c>
    </row>
    <row r="229" ht="15" customHeight="1" s="62">
      <c r="A229" s="107" t="n"/>
      <c r="B229" s="110">
        <f>IFERROR(IF($A229="","",IFERROR(INDEX(tblCalisan[Brüt Ücret (₺)],MATCH($A229,tblCalisan[Çalışan Adı],0)),"")),"")</f>
        <v/>
      </c>
      <c r="C229" s="110">
        <f>IF($A229="","",IFERROR($B229*IsverenPayiOrani,""))</f>
        <v/>
      </c>
      <c r="D229" s="110">
        <f>IF($A229="","",IFERROR($B229*IssizlikOrani,""))</f>
        <v/>
      </c>
      <c r="E229" s="110">
        <f>IF($A229="","",IFERROR($B229*KidemKarsilikOrani,""))</f>
        <v/>
      </c>
      <c r="F229" s="108" t="n"/>
      <c r="G229" s="110">
        <f>IF($A229="","",IFERROR($B229+$C229+$D229+$E229+$F229,""))</f>
        <v/>
      </c>
      <c r="H229" s="110">
        <f>IF($A229="","",IFERROR($G229*AySayisi,""))</f>
        <v/>
      </c>
    </row>
    <row r="230" ht="15" customHeight="1" s="62">
      <c r="A230" s="107" t="n"/>
      <c r="B230" s="110">
        <f>IFERROR(IF($A230="","",IFERROR(INDEX(tblCalisan[Brüt Ücret (₺)],MATCH($A230,tblCalisan[Çalışan Adı],0)),"")),"")</f>
        <v/>
      </c>
      <c r="C230" s="110">
        <f>IF($A230="","",IFERROR($B230*IsverenPayiOrani,""))</f>
        <v/>
      </c>
      <c r="D230" s="110">
        <f>IF($A230="","",IFERROR($B230*IssizlikOrani,""))</f>
        <v/>
      </c>
      <c r="E230" s="110">
        <f>IF($A230="","",IFERROR($B230*KidemKarsilikOrani,""))</f>
        <v/>
      </c>
      <c r="F230" s="108" t="n"/>
      <c r="G230" s="110">
        <f>IF($A230="","",IFERROR($B230+$C230+$D230+$E230+$F230,""))</f>
        <v/>
      </c>
      <c r="H230" s="110">
        <f>IF($A230="","",IFERROR($G230*AySayisi,""))</f>
        <v/>
      </c>
    </row>
    <row r="231" ht="15" customHeight="1" s="62">
      <c r="A231" s="107" t="n"/>
      <c r="B231" s="110">
        <f>IFERROR(IF($A231="","",IFERROR(INDEX(tblCalisan[Brüt Ücret (₺)],MATCH($A231,tblCalisan[Çalışan Adı],0)),"")),"")</f>
        <v/>
      </c>
      <c r="C231" s="110">
        <f>IF($A231="","",IFERROR($B231*IsverenPayiOrani,""))</f>
        <v/>
      </c>
      <c r="D231" s="110">
        <f>IF($A231="","",IFERROR($B231*IssizlikOrani,""))</f>
        <v/>
      </c>
      <c r="E231" s="110">
        <f>IF($A231="","",IFERROR($B231*KidemKarsilikOrani,""))</f>
        <v/>
      </c>
      <c r="F231" s="108" t="n"/>
      <c r="G231" s="110">
        <f>IF($A231="","",IFERROR($B231+$C231+$D231+$E231+$F231,""))</f>
        <v/>
      </c>
      <c r="H231" s="110">
        <f>IF($A231="","",IFERROR($G231*AySayisi,""))</f>
        <v/>
      </c>
    </row>
    <row r="232" ht="15" customHeight="1" s="62">
      <c r="A232" s="107" t="n"/>
      <c r="B232" s="110">
        <f>IFERROR(IF($A232="","",IFERROR(INDEX(tblCalisan[Brüt Ücret (₺)],MATCH($A232,tblCalisan[Çalışan Adı],0)),"")),"")</f>
        <v/>
      </c>
      <c r="C232" s="110">
        <f>IF($A232="","",IFERROR($B232*IsverenPayiOrani,""))</f>
        <v/>
      </c>
      <c r="D232" s="110">
        <f>IF($A232="","",IFERROR($B232*IssizlikOrani,""))</f>
        <v/>
      </c>
      <c r="E232" s="110">
        <f>IF($A232="","",IFERROR($B232*KidemKarsilikOrani,""))</f>
        <v/>
      </c>
      <c r="F232" s="108" t="n"/>
      <c r="G232" s="110">
        <f>IF($A232="","",IFERROR($B232+$C232+$D232+$E232+$F232,""))</f>
        <v/>
      </c>
      <c r="H232" s="110">
        <f>IF($A232="","",IFERROR($G232*AySayisi,""))</f>
        <v/>
      </c>
    </row>
    <row r="233" ht="15" customHeight="1" s="62">
      <c r="A233" s="107" t="n"/>
      <c r="B233" s="110">
        <f>IFERROR(IF($A233="","",IFERROR(INDEX(tblCalisan[Brüt Ücret (₺)],MATCH($A233,tblCalisan[Çalışan Adı],0)),"")),"")</f>
        <v/>
      </c>
      <c r="C233" s="110">
        <f>IF($A233="","",IFERROR($B233*IsverenPayiOrani,""))</f>
        <v/>
      </c>
      <c r="D233" s="110">
        <f>IF($A233="","",IFERROR($B233*IssizlikOrani,""))</f>
        <v/>
      </c>
      <c r="E233" s="110">
        <f>IF($A233="","",IFERROR($B233*KidemKarsilikOrani,""))</f>
        <v/>
      </c>
      <c r="F233" s="108" t="n"/>
      <c r="G233" s="110">
        <f>IF($A233="","",IFERROR($B233+$C233+$D233+$E233+$F233,""))</f>
        <v/>
      </c>
      <c r="H233" s="110">
        <f>IF($A233="","",IFERROR($G233*AySayisi,""))</f>
        <v/>
      </c>
    </row>
    <row r="234" ht="15" customHeight="1" s="62">
      <c r="A234" s="107" t="n"/>
      <c r="B234" s="110">
        <f>IFERROR(IF($A234="","",IFERROR(INDEX(tblCalisan[Brüt Ücret (₺)],MATCH($A234,tblCalisan[Çalışan Adı],0)),"")),"")</f>
        <v/>
      </c>
      <c r="C234" s="110">
        <f>IF($A234="","",IFERROR($B234*IsverenPayiOrani,""))</f>
        <v/>
      </c>
      <c r="D234" s="110">
        <f>IF($A234="","",IFERROR($B234*IssizlikOrani,""))</f>
        <v/>
      </c>
      <c r="E234" s="110">
        <f>IF($A234="","",IFERROR($B234*KidemKarsilikOrani,""))</f>
        <v/>
      </c>
      <c r="F234" s="108" t="n"/>
      <c r="G234" s="110">
        <f>IF($A234="","",IFERROR($B234+$C234+$D234+$E234+$F234,""))</f>
        <v/>
      </c>
      <c r="H234" s="110">
        <f>IF($A234="","",IFERROR($G234*AySayisi,""))</f>
        <v/>
      </c>
    </row>
    <row r="235" ht="15" customHeight="1" s="62">
      <c r="A235" s="107" t="n"/>
      <c r="B235" s="110">
        <f>IFERROR(IF($A235="","",IFERROR(INDEX(tblCalisan[Brüt Ücret (₺)],MATCH($A235,tblCalisan[Çalışan Adı],0)),"")),"")</f>
        <v/>
      </c>
      <c r="C235" s="110">
        <f>IF($A235="","",IFERROR($B235*IsverenPayiOrani,""))</f>
        <v/>
      </c>
      <c r="D235" s="110">
        <f>IF($A235="","",IFERROR($B235*IssizlikOrani,""))</f>
        <v/>
      </c>
      <c r="E235" s="110">
        <f>IF($A235="","",IFERROR($B235*KidemKarsilikOrani,""))</f>
        <v/>
      </c>
      <c r="F235" s="108" t="n"/>
      <c r="G235" s="110">
        <f>IF($A235="","",IFERROR($B235+$C235+$D235+$E235+$F235,""))</f>
        <v/>
      </c>
      <c r="H235" s="110">
        <f>IF($A235="","",IFERROR($G235*AySayisi,""))</f>
        <v/>
      </c>
    </row>
    <row r="236" ht="15" customHeight="1" s="62">
      <c r="A236" s="107" t="n"/>
      <c r="B236" s="110">
        <f>IFERROR(IF($A236="","",IFERROR(INDEX(tblCalisan[Brüt Ücret (₺)],MATCH($A236,tblCalisan[Çalışan Adı],0)),"")),"")</f>
        <v/>
      </c>
      <c r="C236" s="110">
        <f>IF($A236="","",IFERROR($B236*IsverenPayiOrani,""))</f>
        <v/>
      </c>
      <c r="D236" s="110">
        <f>IF($A236="","",IFERROR($B236*IssizlikOrani,""))</f>
        <v/>
      </c>
      <c r="E236" s="110">
        <f>IF($A236="","",IFERROR($B236*KidemKarsilikOrani,""))</f>
        <v/>
      </c>
      <c r="F236" s="108" t="n"/>
      <c r="G236" s="110">
        <f>IF($A236="","",IFERROR($B236+$C236+$D236+$E236+$F236,""))</f>
        <v/>
      </c>
      <c r="H236" s="110">
        <f>IF($A236="","",IFERROR($G236*AySayisi,""))</f>
        <v/>
      </c>
    </row>
    <row r="237" ht="15" customHeight="1" s="62">
      <c r="A237" s="107" t="n"/>
      <c r="B237" s="110">
        <f>IFERROR(IF($A237="","",IFERROR(INDEX(tblCalisan[Brüt Ücret (₺)],MATCH($A237,tblCalisan[Çalışan Adı],0)),"")),"")</f>
        <v/>
      </c>
      <c r="C237" s="110">
        <f>IF($A237="","",IFERROR($B237*IsverenPayiOrani,""))</f>
        <v/>
      </c>
      <c r="D237" s="110">
        <f>IF($A237="","",IFERROR($B237*IssizlikOrani,""))</f>
        <v/>
      </c>
      <c r="E237" s="110">
        <f>IF($A237="","",IFERROR($B237*KidemKarsilikOrani,""))</f>
        <v/>
      </c>
      <c r="F237" s="108" t="n"/>
      <c r="G237" s="110">
        <f>IF($A237="","",IFERROR($B237+$C237+$D237+$E237+$F237,""))</f>
        <v/>
      </c>
      <c r="H237" s="110">
        <f>IF($A237="","",IFERROR($G237*AySayisi,""))</f>
        <v/>
      </c>
    </row>
    <row r="238" ht="15" customHeight="1" s="62">
      <c r="A238" s="107" t="n"/>
      <c r="B238" s="110">
        <f>IFERROR(IF($A238="","",IFERROR(INDEX(tblCalisan[Brüt Ücret (₺)],MATCH($A238,tblCalisan[Çalışan Adı],0)),"")),"")</f>
        <v/>
      </c>
      <c r="C238" s="110">
        <f>IF($A238="","",IFERROR($B238*IsverenPayiOrani,""))</f>
        <v/>
      </c>
      <c r="D238" s="110">
        <f>IF($A238="","",IFERROR($B238*IssizlikOrani,""))</f>
        <v/>
      </c>
      <c r="E238" s="110">
        <f>IF($A238="","",IFERROR($B238*KidemKarsilikOrani,""))</f>
        <v/>
      </c>
      <c r="F238" s="108" t="n"/>
      <c r="G238" s="110">
        <f>IF($A238="","",IFERROR($B238+$C238+$D238+$E238+$F238,""))</f>
        <v/>
      </c>
      <c r="H238" s="110">
        <f>IF($A238="","",IFERROR($G238*AySayisi,""))</f>
        <v/>
      </c>
    </row>
    <row r="239" ht="15" customHeight="1" s="62">
      <c r="A239" s="107" t="n"/>
      <c r="B239" s="110">
        <f>IFERROR(IF($A239="","",IFERROR(INDEX(tblCalisan[Brüt Ücret (₺)],MATCH($A239,tblCalisan[Çalışan Adı],0)),"")),"")</f>
        <v/>
      </c>
      <c r="C239" s="110">
        <f>IF($A239="","",IFERROR($B239*IsverenPayiOrani,""))</f>
        <v/>
      </c>
      <c r="D239" s="110">
        <f>IF($A239="","",IFERROR($B239*IssizlikOrani,""))</f>
        <v/>
      </c>
      <c r="E239" s="110">
        <f>IF($A239="","",IFERROR($B239*KidemKarsilikOrani,""))</f>
        <v/>
      </c>
      <c r="F239" s="108" t="n"/>
      <c r="G239" s="110">
        <f>IF($A239="","",IFERROR($B239+$C239+$D239+$E239+$F239,""))</f>
        <v/>
      </c>
      <c r="H239" s="110">
        <f>IF($A239="","",IFERROR($G239*AySayisi,""))</f>
        <v/>
      </c>
    </row>
    <row r="240" ht="15" customHeight="1" s="62">
      <c r="A240" s="107" t="n"/>
      <c r="B240" s="110">
        <f>IFERROR(IF($A240="","",IFERROR(INDEX(tblCalisan[Brüt Ücret (₺)],MATCH($A240,tblCalisan[Çalışan Adı],0)),"")),"")</f>
        <v/>
      </c>
      <c r="C240" s="110">
        <f>IF($A240="","",IFERROR($B240*IsverenPayiOrani,""))</f>
        <v/>
      </c>
      <c r="D240" s="110">
        <f>IF($A240="","",IFERROR($B240*IssizlikOrani,""))</f>
        <v/>
      </c>
      <c r="E240" s="110">
        <f>IF($A240="","",IFERROR($B240*KidemKarsilikOrani,""))</f>
        <v/>
      </c>
      <c r="F240" s="108" t="n"/>
      <c r="G240" s="110">
        <f>IF($A240="","",IFERROR($B240+$C240+$D240+$E240+$F240,""))</f>
        <v/>
      </c>
      <c r="H240" s="110">
        <f>IF($A240="","",IFERROR($G240*AySayisi,""))</f>
        <v/>
      </c>
    </row>
    <row r="241" ht="15" customHeight="1" s="62">
      <c r="A241" s="107" t="n"/>
      <c r="B241" s="110">
        <f>IFERROR(IF($A241="","",IFERROR(INDEX(tblCalisan[Brüt Ücret (₺)],MATCH($A241,tblCalisan[Çalışan Adı],0)),"")),"")</f>
        <v/>
      </c>
      <c r="C241" s="110">
        <f>IF($A241="","",IFERROR($B241*IsverenPayiOrani,""))</f>
        <v/>
      </c>
      <c r="D241" s="110">
        <f>IF($A241="","",IFERROR($B241*IssizlikOrani,""))</f>
        <v/>
      </c>
      <c r="E241" s="110">
        <f>IF($A241="","",IFERROR($B241*KidemKarsilikOrani,""))</f>
        <v/>
      </c>
      <c r="F241" s="108" t="n"/>
      <c r="G241" s="110">
        <f>IF($A241="","",IFERROR($B241+$C241+$D241+$E241+$F241,""))</f>
        <v/>
      </c>
      <c r="H241" s="110">
        <f>IF($A241="","",IFERROR($G241*AySayisi,""))</f>
        <v/>
      </c>
    </row>
    <row r="242" ht="15" customHeight="1" s="62">
      <c r="A242" s="107" t="n"/>
      <c r="B242" s="110">
        <f>IFERROR(IF($A242="","",IFERROR(INDEX(tblCalisan[Brüt Ücret (₺)],MATCH($A242,tblCalisan[Çalışan Adı],0)),"")),"")</f>
        <v/>
      </c>
      <c r="C242" s="110">
        <f>IF($A242="","",IFERROR($B242*IsverenPayiOrani,""))</f>
        <v/>
      </c>
      <c r="D242" s="110">
        <f>IF($A242="","",IFERROR($B242*IssizlikOrani,""))</f>
        <v/>
      </c>
      <c r="E242" s="110">
        <f>IF($A242="","",IFERROR($B242*KidemKarsilikOrani,""))</f>
        <v/>
      </c>
      <c r="F242" s="108" t="n"/>
      <c r="G242" s="110">
        <f>IF($A242="","",IFERROR($B242+$C242+$D242+$E242+$F242,""))</f>
        <v/>
      </c>
      <c r="H242" s="110">
        <f>IF($A242="","",IFERROR($G242*AySayisi,""))</f>
        <v/>
      </c>
    </row>
    <row r="243" ht="15" customHeight="1" s="62">
      <c r="A243" s="107" t="n"/>
      <c r="B243" s="110">
        <f>IFERROR(IF($A243="","",IFERROR(INDEX(tblCalisan[Brüt Ücret (₺)],MATCH($A243,tblCalisan[Çalışan Adı],0)),"")),"")</f>
        <v/>
      </c>
      <c r="C243" s="110">
        <f>IF($A243="","",IFERROR($B243*IsverenPayiOrani,""))</f>
        <v/>
      </c>
      <c r="D243" s="110">
        <f>IF($A243="","",IFERROR($B243*IssizlikOrani,""))</f>
        <v/>
      </c>
      <c r="E243" s="110">
        <f>IF($A243="","",IFERROR($B243*KidemKarsilikOrani,""))</f>
        <v/>
      </c>
      <c r="F243" s="108" t="n"/>
      <c r="G243" s="110">
        <f>IF($A243="","",IFERROR($B243+$C243+$D243+$E243+$F243,""))</f>
        <v/>
      </c>
      <c r="H243" s="110">
        <f>IF($A243="","",IFERROR($G243*AySayisi,""))</f>
        <v/>
      </c>
    </row>
    <row r="244" ht="15" customHeight="1" s="62">
      <c r="A244" s="107" t="n"/>
      <c r="B244" s="110">
        <f>IFERROR(IF($A244="","",IFERROR(INDEX(tblCalisan[Brüt Ücret (₺)],MATCH($A244,tblCalisan[Çalışan Adı],0)),"")),"")</f>
        <v/>
      </c>
      <c r="C244" s="110">
        <f>IF($A244="","",IFERROR($B244*IsverenPayiOrani,""))</f>
        <v/>
      </c>
      <c r="D244" s="110">
        <f>IF($A244="","",IFERROR($B244*IssizlikOrani,""))</f>
        <v/>
      </c>
      <c r="E244" s="110">
        <f>IF($A244="","",IFERROR($B244*KidemKarsilikOrani,""))</f>
        <v/>
      </c>
      <c r="F244" s="108" t="n"/>
      <c r="G244" s="110">
        <f>IF($A244="","",IFERROR($B244+$C244+$D244+$E244+$F244,""))</f>
        <v/>
      </c>
      <c r="H244" s="110">
        <f>IF($A244="","",IFERROR($G244*AySayisi,""))</f>
        <v/>
      </c>
    </row>
    <row r="245" ht="15" customHeight="1" s="62">
      <c r="A245" s="107" t="n"/>
      <c r="B245" s="110">
        <f>IFERROR(IF($A245="","",IFERROR(INDEX(tblCalisan[Brüt Ücret (₺)],MATCH($A245,tblCalisan[Çalışan Adı],0)),"")),"")</f>
        <v/>
      </c>
      <c r="C245" s="110">
        <f>IF($A245="","",IFERROR($B245*IsverenPayiOrani,""))</f>
        <v/>
      </c>
      <c r="D245" s="110">
        <f>IF($A245="","",IFERROR($B245*IssizlikOrani,""))</f>
        <v/>
      </c>
      <c r="E245" s="110">
        <f>IF($A245="","",IFERROR($B245*KidemKarsilikOrani,""))</f>
        <v/>
      </c>
      <c r="F245" s="108" t="n"/>
      <c r="G245" s="110">
        <f>IF($A245="","",IFERROR($B245+$C245+$D245+$E245+$F245,""))</f>
        <v/>
      </c>
      <c r="H245" s="110">
        <f>IF($A245="","",IFERROR($G245*AySayisi,""))</f>
        <v/>
      </c>
    </row>
    <row r="246" ht="15" customHeight="1" s="62">
      <c r="A246" s="107" t="n"/>
      <c r="B246" s="110">
        <f>IFERROR(IF($A246="","",IFERROR(INDEX(tblCalisan[Brüt Ücret (₺)],MATCH($A246,tblCalisan[Çalışan Adı],0)),"")),"")</f>
        <v/>
      </c>
      <c r="C246" s="110">
        <f>IF($A246="","",IFERROR($B246*IsverenPayiOrani,""))</f>
        <v/>
      </c>
      <c r="D246" s="110">
        <f>IF($A246="","",IFERROR($B246*IssizlikOrani,""))</f>
        <v/>
      </c>
      <c r="E246" s="110">
        <f>IF($A246="","",IFERROR($B246*KidemKarsilikOrani,""))</f>
        <v/>
      </c>
      <c r="F246" s="108" t="n"/>
      <c r="G246" s="110">
        <f>IF($A246="","",IFERROR($B246+$C246+$D246+$E246+$F246,""))</f>
        <v/>
      </c>
      <c r="H246" s="110">
        <f>IF($A246="","",IFERROR($G246*AySayisi,""))</f>
        <v/>
      </c>
    </row>
    <row r="247" ht="15" customHeight="1" s="62">
      <c r="A247" s="107" t="n"/>
      <c r="B247" s="110">
        <f>IFERROR(IF($A247="","",IFERROR(INDEX(tblCalisan[Brüt Ücret (₺)],MATCH($A247,tblCalisan[Çalışan Adı],0)),"")),"")</f>
        <v/>
      </c>
      <c r="C247" s="110">
        <f>IF($A247="","",IFERROR($B247*IsverenPayiOrani,""))</f>
        <v/>
      </c>
      <c r="D247" s="110">
        <f>IF($A247="","",IFERROR($B247*IssizlikOrani,""))</f>
        <v/>
      </c>
      <c r="E247" s="110">
        <f>IF($A247="","",IFERROR($B247*KidemKarsilikOrani,""))</f>
        <v/>
      </c>
      <c r="F247" s="108" t="n"/>
      <c r="G247" s="110">
        <f>IF($A247="","",IFERROR($B247+$C247+$D247+$E247+$F247,""))</f>
        <v/>
      </c>
      <c r="H247" s="110">
        <f>IF($A247="","",IFERROR($G247*AySayisi,""))</f>
        <v/>
      </c>
    </row>
    <row r="248" ht="15" customHeight="1" s="62">
      <c r="A248" s="107" t="n"/>
      <c r="B248" s="110">
        <f>IFERROR(IF($A248="","",IFERROR(INDEX(tblCalisan[Brüt Ücret (₺)],MATCH($A248,tblCalisan[Çalışan Adı],0)),"")),"")</f>
        <v/>
      </c>
      <c r="C248" s="110">
        <f>IF($A248="","",IFERROR($B248*IsverenPayiOrani,""))</f>
        <v/>
      </c>
      <c r="D248" s="110">
        <f>IF($A248="","",IFERROR($B248*IssizlikOrani,""))</f>
        <v/>
      </c>
      <c r="E248" s="110">
        <f>IF($A248="","",IFERROR($B248*KidemKarsilikOrani,""))</f>
        <v/>
      </c>
      <c r="F248" s="108" t="n"/>
      <c r="G248" s="110">
        <f>IF($A248="","",IFERROR($B248+$C248+$D248+$E248+$F248,""))</f>
        <v/>
      </c>
      <c r="H248" s="110">
        <f>IF($A248="","",IFERROR($G248*AySayisi,""))</f>
        <v/>
      </c>
    </row>
    <row r="249" ht="15" customHeight="1" s="62">
      <c r="A249" s="107" t="n"/>
      <c r="B249" s="110">
        <f>IFERROR(IF($A249="","",IFERROR(INDEX(tblCalisan[Brüt Ücret (₺)],MATCH($A249,tblCalisan[Çalışan Adı],0)),"")),"")</f>
        <v/>
      </c>
      <c r="C249" s="110">
        <f>IF($A249="","",IFERROR($B249*IsverenPayiOrani,""))</f>
        <v/>
      </c>
      <c r="D249" s="110">
        <f>IF($A249="","",IFERROR($B249*IssizlikOrani,""))</f>
        <v/>
      </c>
      <c r="E249" s="110">
        <f>IF($A249="","",IFERROR($B249*KidemKarsilikOrani,""))</f>
        <v/>
      </c>
      <c r="F249" s="108" t="n"/>
      <c r="G249" s="110">
        <f>IF($A249="","",IFERROR($B249+$C249+$D249+$E249+$F249,""))</f>
        <v/>
      </c>
      <c r="H249" s="110">
        <f>IF($A249="","",IFERROR($G249*AySayisi,""))</f>
        <v/>
      </c>
    </row>
    <row r="250" ht="15" customHeight="1" s="62">
      <c r="A250" s="107" t="n"/>
      <c r="B250" s="110">
        <f>IFERROR(IF($A250="","",IFERROR(INDEX(tblCalisan[Brüt Ücret (₺)],MATCH($A250,tblCalisan[Çalışan Adı],0)),"")),"")</f>
        <v/>
      </c>
      <c r="C250" s="110">
        <f>IF($A250="","",IFERROR($B250*IsverenPayiOrani,""))</f>
        <v/>
      </c>
      <c r="D250" s="110">
        <f>IF($A250="","",IFERROR($B250*IssizlikOrani,""))</f>
        <v/>
      </c>
      <c r="E250" s="110">
        <f>IF($A250="","",IFERROR($B250*KidemKarsilikOrani,""))</f>
        <v/>
      </c>
      <c r="F250" s="108" t="n"/>
      <c r="G250" s="110">
        <f>IF($A250="","",IFERROR($B250+$C250+$D250+$E250+$F250,""))</f>
        <v/>
      </c>
      <c r="H250" s="110">
        <f>IF($A250="","",IFERROR($G250*AySayisi,""))</f>
        <v/>
      </c>
    </row>
    <row r="251" ht="15" customHeight="1" s="62">
      <c r="A251" s="107" t="n"/>
      <c r="B251" s="110">
        <f>IFERROR(IF($A251="","",IFERROR(INDEX(tblCalisan[Brüt Ücret (₺)],MATCH($A251,tblCalisan[Çalışan Adı],0)),"")),"")</f>
        <v/>
      </c>
      <c r="C251" s="110">
        <f>IF($A251="","",IFERROR($B251*IsverenPayiOrani,""))</f>
        <v/>
      </c>
      <c r="D251" s="110">
        <f>IF($A251="","",IFERROR($B251*IssizlikOrani,""))</f>
        <v/>
      </c>
      <c r="E251" s="110">
        <f>IF($A251="","",IFERROR($B251*KidemKarsilikOrani,""))</f>
        <v/>
      </c>
      <c r="F251" s="108" t="n"/>
      <c r="G251" s="110">
        <f>IF($A251="","",IFERROR($B251+$C251+$D251+$E251+$F251,""))</f>
        <v/>
      </c>
      <c r="H251" s="110">
        <f>IF($A251="","",IFERROR($G251*AySayisi,""))</f>
        <v/>
      </c>
    </row>
    <row r="252" ht="15" customHeight="1" s="62">
      <c r="A252" s="107" t="n"/>
      <c r="B252" s="110">
        <f>IFERROR(IF($A252="","",IFERROR(INDEX(tblCalisan[Brüt Ücret (₺)],MATCH($A252,tblCalisan[Çalışan Adı],0)),"")),"")</f>
        <v/>
      </c>
      <c r="C252" s="110">
        <f>IF($A252="","",IFERROR($B252*IsverenPayiOrani,""))</f>
        <v/>
      </c>
      <c r="D252" s="110">
        <f>IF($A252="","",IFERROR($B252*IssizlikOrani,""))</f>
        <v/>
      </c>
      <c r="E252" s="110">
        <f>IF($A252="","",IFERROR($B252*KidemKarsilikOrani,""))</f>
        <v/>
      </c>
      <c r="F252" s="108" t="n"/>
      <c r="G252" s="110">
        <f>IF($A252="","",IFERROR($B252+$C252+$D252+$E252+$F252,""))</f>
        <v/>
      </c>
      <c r="H252" s="110">
        <f>IF($A252="","",IFERROR($G252*AySayisi,""))</f>
        <v/>
      </c>
    </row>
    <row r="253" ht="15" customHeight="1" s="62">
      <c r="A253" s="107" t="n"/>
      <c r="B253" s="110">
        <f>IFERROR(IF($A253="","",IFERROR(INDEX(tblCalisan[Brüt Ücret (₺)],MATCH($A253,tblCalisan[Çalışan Adı],0)),"")),"")</f>
        <v/>
      </c>
      <c r="C253" s="110">
        <f>IF($A253="","",IFERROR($B253*IsverenPayiOrani,""))</f>
        <v/>
      </c>
      <c r="D253" s="110">
        <f>IF($A253="","",IFERROR($B253*IssizlikOrani,""))</f>
        <v/>
      </c>
      <c r="E253" s="110">
        <f>IF($A253="","",IFERROR($B253*KidemKarsilikOrani,""))</f>
        <v/>
      </c>
      <c r="F253" s="108" t="n"/>
      <c r="G253" s="110">
        <f>IF($A253="","",IFERROR($B253+$C253+$D253+$E253+$F253,""))</f>
        <v/>
      </c>
      <c r="H253" s="110">
        <f>IF($A253="","",IFERROR($G253*AySayisi,""))</f>
        <v/>
      </c>
    </row>
    <row r="254" ht="15" customHeight="1" s="62">
      <c r="A254" s="107" t="n"/>
      <c r="B254" s="110">
        <f>IFERROR(IF($A254="","",IFERROR(INDEX(tblCalisan[Brüt Ücret (₺)],MATCH($A254,tblCalisan[Çalışan Adı],0)),"")),"")</f>
        <v/>
      </c>
      <c r="C254" s="110">
        <f>IF($A254="","",IFERROR($B254*IsverenPayiOrani,""))</f>
        <v/>
      </c>
      <c r="D254" s="110">
        <f>IF($A254="","",IFERROR($B254*IssizlikOrani,""))</f>
        <v/>
      </c>
      <c r="E254" s="110">
        <f>IF($A254="","",IFERROR($B254*KidemKarsilikOrani,""))</f>
        <v/>
      </c>
      <c r="F254" s="108" t="n"/>
      <c r="G254" s="110">
        <f>IF($A254="","",IFERROR($B254+$C254+$D254+$E254+$F254,""))</f>
        <v/>
      </c>
      <c r="H254" s="110">
        <f>IF($A254="","",IFERROR($G254*AySayisi,""))</f>
        <v/>
      </c>
    </row>
    <row r="255" ht="15" customHeight="1" s="62">
      <c r="A255" s="107" t="n"/>
      <c r="B255" s="110">
        <f>IFERROR(IF($A255="","",IFERROR(INDEX(tblCalisan[Brüt Ücret (₺)],MATCH($A255,tblCalisan[Çalışan Adı],0)),"")),"")</f>
        <v/>
      </c>
      <c r="C255" s="110">
        <f>IF($A255="","",IFERROR($B255*IsverenPayiOrani,""))</f>
        <v/>
      </c>
      <c r="D255" s="110">
        <f>IF($A255="","",IFERROR($B255*IssizlikOrani,""))</f>
        <v/>
      </c>
      <c r="E255" s="110">
        <f>IF($A255="","",IFERROR($B255*KidemKarsilikOrani,""))</f>
        <v/>
      </c>
      <c r="F255" s="108" t="n"/>
      <c r="G255" s="110">
        <f>IF($A255="","",IFERROR($B255+$C255+$D255+$E255+$F255,""))</f>
        <v/>
      </c>
      <c r="H255" s="110">
        <f>IF($A255="","",IFERROR($G255*AySayisi,""))</f>
        <v/>
      </c>
    </row>
    <row r="256" ht="15" customHeight="1" s="62">
      <c r="A256" s="107" t="n"/>
      <c r="B256" s="110">
        <f>IFERROR(IF($A256="","",IFERROR(INDEX(tblCalisan[Brüt Ücret (₺)],MATCH($A256,tblCalisan[Çalışan Adı],0)),"")),"")</f>
        <v/>
      </c>
      <c r="C256" s="110">
        <f>IF($A256="","",IFERROR($B256*IsverenPayiOrani,""))</f>
        <v/>
      </c>
      <c r="D256" s="110">
        <f>IF($A256="","",IFERROR($B256*IssizlikOrani,""))</f>
        <v/>
      </c>
      <c r="E256" s="110">
        <f>IF($A256="","",IFERROR($B256*KidemKarsilikOrani,""))</f>
        <v/>
      </c>
      <c r="F256" s="108" t="n"/>
      <c r="G256" s="110">
        <f>IF($A256="","",IFERROR($B256+$C256+$D256+$E256+$F256,""))</f>
        <v/>
      </c>
      <c r="H256" s="110">
        <f>IF($A256="","",IFERROR($G256*AySayisi,""))</f>
        <v/>
      </c>
    </row>
    <row r="257" ht="15" customHeight="1" s="62">
      <c r="A257" s="107" t="n"/>
      <c r="B257" s="110">
        <f>IFERROR(IF($A257="","",IFERROR(INDEX(tblCalisan[Brüt Ücret (₺)],MATCH($A257,tblCalisan[Çalışan Adı],0)),"")),"")</f>
        <v/>
      </c>
      <c r="C257" s="110">
        <f>IF($A257="","",IFERROR($B257*IsverenPayiOrani,""))</f>
        <v/>
      </c>
      <c r="D257" s="110">
        <f>IF($A257="","",IFERROR($B257*IssizlikOrani,""))</f>
        <v/>
      </c>
      <c r="E257" s="110">
        <f>IF($A257="","",IFERROR($B257*KidemKarsilikOrani,""))</f>
        <v/>
      </c>
      <c r="F257" s="108" t="n"/>
      <c r="G257" s="110">
        <f>IF($A257="","",IFERROR($B257+$C257+$D257+$E257+$F257,""))</f>
        <v/>
      </c>
      <c r="H257" s="110">
        <f>IF($A257="","",IFERROR($G257*AySayisi,""))</f>
        <v/>
      </c>
    </row>
    <row r="258" ht="15" customHeight="1" s="62">
      <c r="A258" s="107" t="n"/>
      <c r="B258" s="110">
        <f>IFERROR(IF($A258="","",IFERROR(INDEX(tblCalisan[Brüt Ücret (₺)],MATCH($A258,tblCalisan[Çalışan Adı],0)),"")),"")</f>
        <v/>
      </c>
      <c r="C258" s="110">
        <f>IF($A258="","",IFERROR($B258*IsverenPayiOrani,""))</f>
        <v/>
      </c>
      <c r="D258" s="110">
        <f>IF($A258="","",IFERROR($B258*IssizlikOrani,""))</f>
        <v/>
      </c>
      <c r="E258" s="110">
        <f>IF($A258="","",IFERROR($B258*KidemKarsilikOrani,""))</f>
        <v/>
      </c>
      <c r="F258" s="108" t="n"/>
      <c r="G258" s="110">
        <f>IF($A258="","",IFERROR($B258+$C258+$D258+$E258+$F258,""))</f>
        <v/>
      </c>
      <c r="H258" s="110">
        <f>IF($A258="","",IFERROR($G258*AySayisi,""))</f>
        <v/>
      </c>
    </row>
    <row r="259" ht="15" customHeight="1" s="62">
      <c r="A259" s="107" t="n"/>
      <c r="B259" s="110">
        <f>IFERROR(IF($A259="","",IFERROR(INDEX(tblCalisan[Brüt Ücret (₺)],MATCH($A259,tblCalisan[Çalışan Adı],0)),"")),"")</f>
        <v/>
      </c>
      <c r="C259" s="110">
        <f>IF($A259="","",IFERROR($B259*IsverenPayiOrani,""))</f>
        <v/>
      </c>
      <c r="D259" s="110">
        <f>IF($A259="","",IFERROR($B259*IssizlikOrani,""))</f>
        <v/>
      </c>
      <c r="E259" s="110">
        <f>IF($A259="","",IFERROR($B259*KidemKarsilikOrani,""))</f>
        <v/>
      </c>
      <c r="F259" s="108" t="n"/>
      <c r="G259" s="110">
        <f>IF($A259="","",IFERROR($B259+$C259+$D259+$E259+$F259,""))</f>
        <v/>
      </c>
      <c r="H259" s="110">
        <f>IF($A259="","",IFERROR($G259*AySayisi,""))</f>
        <v/>
      </c>
    </row>
    <row r="260" ht="15" customHeight="1" s="62">
      <c r="A260" s="107" t="n"/>
      <c r="B260" s="110">
        <f>IFERROR(IF($A260="","",IFERROR(INDEX(tblCalisan[Brüt Ücret (₺)],MATCH($A260,tblCalisan[Çalışan Adı],0)),"")),"")</f>
        <v/>
      </c>
      <c r="C260" s="110">
        <f>IF($A260="","",IFERROR($B260*IsverenPayiOrani,""))</f>
        <v/>
      </c>
      <c r="D260" s="110">
        <f>IF($A260="","",IFERROR($B260*IssizlikOrani,""))</f>
        <v/>
      </c>
      <c r="E260" s="110">
        <f>IF($A260="","",IFERROR($B260*KidemKarsilikOrani,""))</f>
        <v/>
      </c>
      <c r="F260" s="108" t="n"/>
      <c r="G260" s="110">
        <f>IF($A260="","",IFERROR($B260+$C260+$D260+$E260+$F260,""))</f>
        <v/>
      </c>
      <c r="H260" s="110">
        <f>IF($A260="","",IFERROR($G260*AySayisi,""))</f>
        <v/>
      </c>
    </row>
    <row r="261" ht="15" customHeight="1" s="62">
      <c r="A261" s="107" t="n"/>
      <c r="B261" s="110">
        <f>IFERROR(IF($A261="","",IFERROR(INDEX(tblCalisan[Brüt Ücret (₺)],MATCH($A261,tblCalisan[Çalışan Adı],0)),"")),"")</f>
        <v/>
      </c>
      <c r="C261" s="110">
        <f>IF($A261="","",IFERROR($B261*IsverenPayiOrani,""))</f>
        <v/>
      </c>
      <c r="D261" s="110">
        <f>IF($A261="","",IFERROR($B261*IssizlikOrani,""))</f>
        <v/>
      </c>
      <c r="E261" s="110">
        <f>IF($A261="","",IFERROR($B261*KidemKarsilikOrani,""))</f>
        <v/>
      </c>
      <c r="F261" s="108" t="n"/>
      <c r="G261" s="110">
        <f>IF($A261="","",IFERROR($B261+$C261+$D261+$E261+$F261,""))</f>
        <v/>
      </c>
      <c r="H261" s="110">
        <f>IF($A261="","",IFERROR($G261*AySayisi,""))</f>
        <v/>
      </c>
    </row>
    <row r="262" ht="15" customHeight="1" s="62">
      <c r="A262" s="107" t="n"/>
      <c r="B262" s="110">
        <f>IFERROR(IF($A262="","",IFERROR(INDEX(tblCalisan[Brüt Ücret (₺)],MATCH($A262,tblCalisan[Çalışan Adı],0)),"")),"")</f>
        <v/>
      </c>
      <c r="C262" s="110">
        <f>IF($A262="","",IFERROR($B262*IsverenPayiOrani,""))</f>
        <v/>
      </c>
      <c r="D262" s="110">
        <f>IF($A262="","",IFERROR($B262*IssizlikOrani,""))</f>
        <v/>
      </c>
      <c r="E262" s="110">
        <f>IF($A262="","",IFERROR($B262*KidemKarsilikOrani,""))</f>
        <v/>
      </c>
      <c r="F262" s="108" t="n"/>
      <c r="G262" s="110">
        <f>IF($A262="","",IFERROR($B262+$C262+$D262+$E262+$F262,""))</f>
        <v/>
      </c>
      <c r="H262" s="110">
        <f>IF($A262="","",IFERROR($G262*AySayisi,""))</f>
        <v/>
      </c>
    </row>
    <row r="263" ht="15" customHeight="1" s="62">
      <c r="A263" s="107" t="n"/>
      <c r="B263" s="110">
        <f>IFERROR(IF($A263="","",IFERROR(INDEX(tblCalisan[Brüt Ücret (₺)],MATCH($A263,tblCalisan[Çalışan Adı],0)),"")),"")</f>
        <v/>
      </c>
      <c r="C263" s="110">
        <f>IF($A263="","",IFERROR($B263*IsverenPayiOrani,""))</f>
        <v/>
      </c>
      <c r="D263" s="110">
        <f>IF($A263="","",IFERROR($B263*IssizlikOrani,""))</f>
        <v/>
      </c>
      <c r="E263" s="110">
        <f>IF($A263="","",IFERROR($B263*KidemKarsilikOrani,""))</f>
        <v/>
      </c>
      <c r="F263" s="108" t="n"/>
      <c r="G263" s="110">
        <f>IF($A263="","",IFERROR($B263+$C263+$D263+$E263+$F263,""))</f>
        <v/>
      </c>
      <c r="H263" s="110">
        <f>IF($A263="","",IFERROR($G263*AySayisi,""))</f>
        <v/>
      </c>
    </row>
    <row r="264" ht="15" customHeight="1" s="62">
      <c r="A264" s="107" t="n"/>
      <c r="B264" s="110">
        <f>IFERROR(IF($A264="","",IFERROR(INDEX(tblCalisan[Brüt Ücret (₺)],MATCH($A264,tblCalisan[Çalışan Adı],0)),"")),"")</f>
        <v/>
      </c>
      <c r="C264" s="110">
        <f>IF($A264="","",IFERROR($B264*IsverenPayiOrani,""))</f>
        <v/>
      </c>
      <c r="D264" s="110">
        <f>IF($A264="","",IFERROR($B264*IssizlikOrani,""))</f>
        <v/>
      </c>
      <c r="E264" s="110">
        <f>IF($A264="","",IFERROR($B264*KidemKarsilikOrani,""))</f>
        <v/>
      </c>
      <c r="F264" s="108" t="n"/>
      <c r="G264" s="110">
        <f>IF($A264="","",IFERROR($B264+$C264+$D264+$E264+$F264,""))</f>
        <v/>
      </c>
      <c r="H264" s="110">
        <f>IF($A264="","",IFERROR($G264*AySayisi,""))</f>
        <v/>
      </c>
    </row>
    <row r="265" ht="15" customHeight="1" s="62">
      <c r="A265" s="107" t="n"/>
      <c r="B265" s="110">
        <f>IFERROR(IF($A265="","",IFERROR(INDEX(tblCalisan[Brüt Ücret (₺)],MATCH($A265,tblCalisan[Çalışan Adı],0)),"")),"")</f>
        <v/>
      </c>
      <c r="C265" s="110">
        <f>IF($A265="","",IFERROR($B265*IsverenPayiOrani,""))</f>
        <v/>
      </c>
      <c r="D265" s="110">
        <f>IF($A265="","",IFERROR($B265*IssizlikOrani,""))</f>
        <v/>
      </c>
      <c r="E265" s="110">
        <f>IF($A265="","",IFERROR($B265*KidemKarsilikOrani,""))</f>
        <v/>
      </c>
      <c r="F265" s="108" t="n"/>
      <c r="G265" s="110">
        <f>IF($A265="","",IFERROR($B265+$C265+$D265+$E265+$F265,""))</f>
        <v/>
      </c>
      <c r="H265" s="110">
        <f>IF($A265="","",IFERROR($G265*AySayisi,""))</f>
        <v/>
      </c>
    </row>
    <row r="266" ht="15" customHeight="1" s="62">
      <c r="A266" s="107" t="n"/>
      <c r="B266" s="110">
        <f>IFERROR(IF($A266="","",IFERROR(INDEX(tblCalisan[Brüt Ücret (₺)],MATCH($A266,tblCalisan[Çalışan Adı],0)),"")),"")</f>
        <v/>
      </c>
      <c r="C266" s="110">
        <f>IF($A266="","",IFERROR($B266*IsverenPayiOrani,""))</f>
        <v/>
      </c>
      <c r="D266" s="110">
        <f>IF($A266="","",IFERROR($B266*IssizlikOrani,""))</f>
        <v/>
      </c>
      <c r="E266" s="110">
        <f>IF($A266="","",IFERROR($B266*KidemKarsilikOrani,""))</f>
        <v/>
      </c>
      <c r="F266" s="108" t="n"/>
      <c r="G266" s="110">
        <f>IF($A266="","",IFERROR($B266+$C266+$D266+$E266+$F266,""))</f>
        <v/>
      </c>
      <c r="H266" s="110">
        <f>IF($A266="","",IFERROR($G266*AySayisi,""))</f>
        <v/>
      </c>
    </row>
    <row r="267" ht="15" customHeight="1" s="62">
      <c r="A267" s="107" t="n"/>
      <c r="B267" s="110">
        <f>IFERROR(IF($A267="","",IFERROR(INDEX(tblCalisan[Brüt Ücret (₺)],MATCH($A267,tblCalisan[Çalışan Adı],0)),"")),"")</f>
        <v/>
      </c>
      <c r="C267" s="110">
        <f>IF($A267="","",IFERROR($B267*IsverenPayiOrani,""))</f>
        <v/>
      </c>
      <c r="D267" s="110">
        <f>IF($A267="","",IFERROR($B267*IssizlikOrani,""))</f>
        <v/>
      </c>
      <c r="E267" s="110">
        <f>IF($A267="","",IFERROR($B267*KidemKarsilikOrani,""))</f>
        <v/>
      </c>
      <c r="F267" s="108" t="n"/>
      <c r="G267" s="110">
        <f>IF($A267="","",IFERROR($B267+$C267+$D267+$E267+$F267,""))</f>
        <v/>
      </c>
      <c r="H267" s="110">
        <f>IF($A267="","",IFERROR($G267*AySayisi,""))</f>
        <v/>
      </c>
    </row>
    <row r="268" ht="15" customHeight="1" s="62">
      <c r="A268" s="107" t="n"/>
      <c r="B268" s="110">
        <f>IFERROR(IF($A268="","",IFERROR(INDEX(tblCalisan[Brüt Ücret (₺)],MATCH($A268,tblCalisan[Çalışan Adı],0)),"")),"")</f>
        <v/>
      </c>
      <c r="C268" s="110">
        <f>IF($A268="","",IFERROR($B268*IsverenPayiOrani,""))</f>
        <v/>
      </c>
      <c r="D268" s="110">
        <f>IF($A268="","",IFERROR($B268*IssizlikOrani,""))</f>
        <v/>
      </c>
      <c r="E268" s="110">
        <f>IF($A268="","",IFERROR($B268*KidemKarsilikOrani,""))</f>
        <v/>
      </c>
      <c r="F268" s="108" t="n"/>
      <c r="G268" s="110">
        <f>IF($A268="","",IFERROR($B268+$C268+$D268+$E268+$F268,""))</f>
        <v/>
      </c>
      <c r="H268" s="110">
        <f>IF($A268="","",IFERROR($G268*AySayisi,""))</f>
        <v/>
      </c>
    </row>
    <row r="269" ht="15" customHeight="1" s="62">
      <c r="A269" s="107" t="n"/>
      <c r="B269" s="110">
        <f>IFERROR(IF($A269="","",IFERROR(INDEX(tblCalisan[Brüt Ücret (₺)],MATCH($A269,tblCalisan[Çalışan Adı],0)),"")),"")</f>
        <v/>
      </c>
      <c r="C269" s="110">
        <f>IF($A269="","",IFERROR($B269*IsverenPayiOrani,""))</f>
        <v/>
      </c>
      <c r="D269" s="110">
        <f>IF($A269="","",IFERROR($B269*IssizlikOrani,""))</f>
        <v/>
      </c>
      <c r="E269" s="110">
        <f>IF($A269="","",IFERROR($B269*KidemKarsilikOrani,""))</f>
        <v/>
      </c>
      <c r="F269" s="108" t="n"/>
      <c r="G269" s="110">
        <f>IF($A269="","",IFERROR($B269+$C269+$D269+$E269+$F269,""))</f>
        <v/>
      </c>
      <c r="H269" s="110">
        <f>IF($A269="","",IFERROR($G269*AySayisi,""))</f>
        <v/>
      </c>
    </row>
    <row r="270" ht="15" customHeight="1" s="62">
      <c r="A270" s="107" t="n"/>
      <c r="B270" s="110">
        <f>IFERROR(IF($A270="","",IFERROR(INDEX(tblCalisan[Brüt Ücret (₺)],MATCH($A270,tblCalisan[Çalışan Adı],0)),"")),"")</f>
        <v/>
      </c>
      <c r="C270" s="110">
        <f>IF($A270="","",IFERROR($B270*IsverenPayiOrani,""))</f>
        <v/>
      </c>
      <c r="D270" s="110">
        <f>IF($A270="","",IFERROR($B270*IssizlikOrani,""))</f>
        <v/>
      </c>
      <c r="E270" s="110">
        <f>IF($A270="","",IFERROR($B270*KidemKarsilikOrani,""))</f>
        <v/>
      </c>
      <c r="F270" s="108" t="n"/>
      <c r="G270" s="110">
        <f>IF($A270="","",IFERROR($B270+$C270+$D270+$E270+$F270,""))</f>
        <v/>
      </c>
      <c r="H270" s="110">
        <f>IF($A270="","",IFERROR($G270*AySayisi,""))</f>
        <v/>
      </c>
    </row>
    <row r="271" ht="15" customHeight="1" s="62">
      <c r="A271" s="107" t="n"/>
      <c r="B271" s="110">
        <f>IFERROR(IF($A271="","",IFERROR(INDEX(tblCalisan[Brüt Ücret (₺)],MATCH($A271,tblCalisan[Çalışan Adı],0)),"")),"")</f>
        <v/>
      </c>
      <c r="C271" s="110">
        <f>IF($A271="","",IFERROR($B271*IsverenPayiOrani,""))</f>
        <v/>
      </c>
      <c r="D271" s="110">
        <f>IF($A271="","",IFERROR($B271*IssizlikOrani,""))</f>
        <v/>
      </c>
      <c r="E271" s="110">
        <f>IF($A271="","",IFERROR($B271*KidemKarsilikOrani,""))</f>
        <v/>
      </c>
      <c r="F271" s="108" t="n"/>
      <c r="G271" s="110">
        <f>IF($A271="","",IFERROR($B271+$C271+$D271+$E271+$F271,""))</f>
        <v/>
      </c>
      <c r="H271" s="110">
        <f>IF($A271="","",IFERROR($G271*AySayisi,""))</f>
        <v/>
      </c>
    </row>
    <row r="272" ht="15" customHeight="1" s="62">
      <c r="A272" s="107" t="n"/>
      <c r="B272" s="110">
        <f>IFERROR(IF($A272="","",IFERROR(INDEX(tblCalisan[Brüt Ücret (₺)],MATCH($A272,tblCalisan[Çalışan Adı],0)),"")),"")</f>
        <v/>
      </c>
      <c r="C272" s="110">
        <f>IF($A272="","",IFERROR($B272*IsverenPayiOrani,""))</f>
        <v/>
      </c>
      <c r="D272" s="110">
        <f>IF($A272="","",IFERROR($B272*IssizlikOrani,""))</f>
        <v/>
      </c>
      <c r="E272" s="110">
        <f>IF($A272="","",IFERROR($B272*KidemKarsilikOrani,""))</f>
        <v/>
      </c>
      <c r="F272" s="108" t="n"/>
      <c r="G272" s="110">
        <f>IF($A272="","",IFERROR($B272+$C272+$D272+$E272+$F272,""))</f>
        <v/>
      </c>
      <c r="H272" s="110">
        <f>IF($A272="","",IFERROR($G272*AySayisi,""))</f>
        <v/>
      </c>
    </row>
    <row r="273" ht="15" customHeight="1" s="62">
      <c r="A273" s="107" t="n"/>
      <c r="B273" s="110">
        <f>IFERROR(IF($A273="","",IFERROR(INDEX(tblCalisan[Brüt Ücret (₺)],MATCH($A273,tblCalisan[Çalışan Adı],0)),"")),"")</f>
        <v/>
      </c>
      <c r="C273" s="110">
        <f>IF($A273="","",IFERROR($B273*IsverenPayiOrani,""))</f>
        <v/>
      </c>
      <c r="D273" s="110">
        <f>IF($A273="","",IFERROR($B273*IssizlikOrani,""))</f>
        <v/>
      </c>
      <c r="E273" s="110">
        <f>IF($A273="","",IFERROR($B273*KidemKarsilikOrani,""))</f>
        <v/>
      </c>
      <c r="F273" s="108" t="n"/>
      <c r="G273" s="110">
        <f>IF($A273="","",IFERROR($B273+$C273+$D273+$E273+$F273,""))</f>
        <v/>
      </c>
      <c r="H273" s="110">
        <f>IF($A273="","",IFERROR($G273*AySayisi,""))</f>
        <v/>
      </c>
    </row>
    <row r="274" ht="15" customHeight="1" s="62">
      <c r="A274" s="107" t="n"/>
      <c r="B274" s="110">
        <f>IFERROR(IF($A274="","",IFERROR(INDEX(tblCalisan[Brüt Ücret (₺)],MATCH($A274,tblCalisan[Çalışan Adı],0)),"")),"")</f>
        <v/>
      </c>
      <c r="C274" s="110">
        <f>IF($A274="","",IFERROR($B274*IsverenPayiOrani,""))</f>
        <v/>
      </c>
      <c r="D274" s="110">
        <f>IF($A274="","",IFERROR($B274*IssizlikOrani,""))</f>
        <v/>
      </c>
      <c r="E274" s="110">
        <f>IF($A274="","",IFERROR($B274*KidemKarsilikOrani,""))</f>
        <v/>
      </c>
      <c r="F274" s="108" t="n"/>
      <c r="G274" s="110">
        <f>IF($A274="","",IFERROR($B274+$C274+$D274+$E274+$F274,""))</f>
        <v/>
      </c>
      <c r="H274" s="110">
        <f>IF($A274="","",IFERROR($G274*AySayisi,""))</f>
        <v/>
      </c>
    </row>
    <row r="275" ht="15" customHeight="1" s="62">
      <c r="A275" s="107" t="n"/>
      <c r="B275" s="110">
        <f>IFERROR(IF($A275="","",IFERROR(INDEX(tblCalisan[Brüt Ücret (₺)],MATCH($A275,tblCalisan[Çalışan Adı],0)),"")),"")</f>
        <v/>
      </c>
      <c r="C275" s="110">
        <f>IF($A275="","",IFERROR($B275*IsverenPayiOrani,""))</f>
        <v/>
      </c>
      <c r="D275" s="110">
        <f>IF($A275="","",IFERROR($B275*IssizlikOrani,""))</f>
        <v/>
      </c>
      <c r="E275" s="110">
        <f>IF($A275="","",IFERROR($B275*KidemKarsilikOrani,""))</f>
        <v/>
      </c>
      <c r="F275" s="108" t="n"/>
      <c r="G275" s="110">
        <f>IF($A275="","",IFERROR($B275+$C275+$D275+$E275+$F275,""))</f>
        <v/>
      </c>
      <c r="H275" s="110">
        <f>IF($A275="","",IFERROR($G275*AySayisi,""))</f>
        <v/>
      </c>
    </row>
    <row r="276" ht="15" customHeight="1" s="62">
      <c r="A276" s="107" t="n"/>
      <c r="B276" s="110">
        <f>IFERROR(IF($A276="","",IFERROR(INDEX(tblCalisan[Brüt Ücret (₺)],MATCH($A276,tblCalisan[Çalışan Adı],0)),"")),"")</f>
        <v/>
      </c>
      <c r="C276" s="110">
        <f>IF($A276="","",IFERROR($B276*IsverenPayiOrani,""))</f>
        <v/>
      </c>
      <c r="D276" s="110">
        <f>IF($A276="","",IFERROR($B276*IssizlikOrani,""))</f>
        <v/>
      </c>
      <c r="E276" s="110">
        <f>IF($A276="","",IFERROR($B276*KidemKarsilikOrani,""))</f>
        <v/>
      </c>
      <c r="F276" s="108" t="n"/>
      <c r="G276" s="110">
        <f>IF($A276="","",IFERROR($B276+$C276+$D276+$E276+$F276,""))</f>
        <v/>
      </c>
      <c r="H276" s="110">
        <f>IF($A276="","",IFERROR($G276*AySayisi,""))</f>
        <v/>
      </c>
    </row>
    <row r="277" ht="15" customHeight="1" s="62">
      <c r="A277" s="107" t="n"/>
      <c r="B277" s="110">
        <f>IFERROR(IF($A277="","",IFERROR(INDEX(tblCalisan[Brüt Ücret (₺)],MATCH($A277,tblCalisan[Çalışan Adı],0)),"")),"")</f>
        <v/>
      </c>
      <c r="C277" s="110">
        <f>IF($A277="","",IFERROR($B277*IsverenPayiOrani,""))</f>
        <v/>
      </c>
      <c r="D277" s="110">
        <f>IF($A277="","",IFERROR($B277*IssizlikOrani,""))</f>
        <v/>
      </c>
      <c r="E277" s="110">
        <f>IF($A277="","",IFERROR($B277*KidemKarsilikOrani,""))</f>
        <v/>
      </c>
      <c r="F277" s="108" t="n"/>
      <c r="G277" s="110">
        <f>IF($A277="","",IFERROR($B277+$C277+$D277+$E277+$F277,""))</f>
        <v/>
      </c>
      <c r="H277" s="110">
        <f>IF($A277="","",IFERROR($G277*AySayisi,""))</f>
        <v/>
      </c>
    </row>
    <row r="278" ht="15" customHeight="1" s="62">
      <c r="A278" s="107" t="n"/>
      <c r="B278" s="110">
        <f>IFERROR(IF($A278="","",IFERROR(INDEX(tblCalisan[Brüt Ücret (₺)],MATCH($A278,tblCalisan[Çalışan Adı],0)),"")),"")</f>
        <v/>
      </c>
      <c r="C278" s="110">
        <f>IF($A278="","",IFERROR($B278*IsverenPayiOrani,""))</f>
        <v/>
      </c>
      <c r="D278" s="110">
        <f>IF($A278="","",IFERROR($B278*IssizlikOrani,""))</f>
        <v/>
      </c>
      <c r="E278" s="110">
        <f>IF($A278="","",IFERROR($B278*KidemKarsilikOrani,""))</f>
        <v/>
      </c>
      <c r="F278" s="108" t="n"/>
      <c r="G278" s="110">
        <f>IF($A278="","",IFERROR($B278+$C278+$D278+$E278+$F278,""))</f>
        <v/>
      </c>
      <c r="H278" s="110">
        <f>IF($A278="","",IFERROR($G278*AySayisi,""))</f>
        <v/>
      </c>
    </row>
    <row r="279" ht="15" customHeight="1" s="62">
      <c r="A279" s="107" t="n"/>
      <c r="B279" s="110">
        <f>IFERROR(IF($A279="","",IFERROR(INDEX(tblCalisan[Brüt Ücret (₺)],MATCH($A279,tblCalisan[Çalışan Adı],0)),"")),"")</f>
        <v/>
      </c>
      <c r="C279" s="110">
        <f>IF($A279="","",IFERROR($B279*IsverenPayiOrani,""))</f>
        <v/>
      </c>
      <c r="D279" s="110">
        <f>IF($A279="","",IFERROR($B279*IssizlikOrani,""))</f>
        <v/>
      </c>
      <c r="E279" s="110">
        <f>IF($A279="","",IFERROR($B279*KidemKarsilikOrani,""))</f>
        <v/>
      </c>
      <c r="F279" s="108" t="n"/>
      <c r="G279" s="110">
        <f>IF($A279="","",IFERROR($B279+$C279+$D279+$E279+$F279,""))</f>
        <v/>
      </c>
      <c r="H279" s="110">
        <f>IF($A279="","",IFERROR($G279*AySayisi,""))</f>
        <v/>
      </c>
    </row>
    <row r="280" ht="15" customHeight="1" s="62">
      <c r="A280" s="107" t="n"/>
      <c r="B280" s="110">
        <f>IFERROR(IF($A280="","",IFERROR(INDEX(tblCalisan[Brüt Ücret (₺)],MATCH($A280,tblCalisan[Çalışan Adı],0)),"")),"")</f>
        <v/>
      </c>
      <c r="C280" s="110">
        <f>IF($A280="","",IFERROR($B280*IsverenPayiOrani,""))</f>
        <v/>
      </c>
      <c r="D280" s="110">
        <f>IF($A280="","",IFERROR($B280*IssizlikOrani,""))</f>
        <v/>
      </c>
      <c r="E280" s="110">
        <f>IF($A280="","",IFERROR($B280*KidemKarsilikOrani,""))</f>
        <v/>
      </c>
      <c r="F280" s="108" t="n"/>
      <c r="G280" s="110">
        <f>IF($A280="","",IFERROR($B280+$C280+$D280+$E280+$F280,""))</f>
        <v/>
      </c>
      <c r="H280" s="110">
        <f>IF($A280="","",IFERROR($G280*AySayisi,""))</f>
        <v/>
      </c>
    </row>
    <row r="281" ht="15" customHeight="1" s="62">
      <c r="A281" s="107" t="n"/>
      <c r="B281" s="110">
        <f>IFERROR(IF($A281="","",IFERROR(INDEX(tblCalisan[Brüt Ücret (₺)],MATCH($A281,tblCalisan[Çalışan Adı],0)),"")),"")</f>
        <v/>
      </c>
      <c r="C281" s="110">
        <f>IF($A281="","",IFERROR($B281*IsverenPayiOrani,""))</f>
        <v/>
      </c>
      <c r="D281" s="110">
        <f>IF($A281="","",IFERROR($B281*IssizlikOrani,""))</f>
        <v/>
      </c>
      <c r="E281" s="110">
        <f>IF($A281="","",IFERROR($B281*KidemKarsilikOrani,""))</f>
        <v/>
      </c>
      <c r="F281" s="108" t="n"/>
      <c r="G281" s="110">
        <f>IF($A281="","",IFERROR($B281+$C281+$D281+$E281+$F281,""))</f>
        <v/>
      </c>
      <c r="H281" s="110">
        <f>IF($A281="","",IFERROR($G281*AySayisi,""))</f>
        <v/>
      </c>
    </row>
    <row r="282" ht="15" customHeight="1" s="62">
      <c r="A282" s="107" t="n"/>
      <c r="B282" s="110">
        <f>IFERROR(IF($A282="","",IFERROR(INDEX(tblCalisan[Brüt Ücret (₺)],MATCH($A282,tblCalisan[Çalışan Adı],0)),"")),"")</f>
        <v/>
      </c>
      <c r="C282" s="110">
        <f>IF($A282="","",IFERROR($B282*IsverenPayiOrani,""))</f>
        <v/>
      </c>
      <c r="D282" s="110">
        <f>IF($A282="","",IFERROR($B282*IssizlikOrani,""))</f>
        <v/>
      </c>
      <c r="E282" s="110">
        <f>IF($A282="","",IFERROR($B282*KidemKarsilikOrani,""))</f>
        <v/>
      </c>
      <c r="F282" s="108" t="n"/>
      <c r="G282" s="110">
        <f>IF($A282="","",IFERROR($B282+$C282+$D282+$E282+$F282,""))</f>
        <v/>
      </c>
      <c r="H282" s="110">
        <f>IF($A282="","",IFERROR($G282*AySayisi,""))</f>
        <v/>
      </c>
    </row>
    <row r="283" ht="15" customHeight="1" s="62">
      <c r="A283" s="107" t="n"/>
      <c r="B283" s="110">
        <f>IFERROR(IF($A283="","",IFERROR(INDEX(tblCalisan[Brüt Ücret (₺)],MATCH($A283,tblCalisan[Çalışan Adı],0)),"")),"")</f>
        <v/>
      </c>
      <c r="C283" s="110">
        <f>IF($A283="","",IFERROR($B283*IsverenPayiOrani,""))</f>
        <v/>
      </c>
      <c r="D283" s="110">
        <f>IF($A283="","",IFERROR($B283*IssizlikOrani,""))</f>
        <v/>
      </c>
      <c r="E283" s="110">
        <f>IF($A283="","",IFERROR($B283*KidemKarsilikOrani,""))</f>
        <v/>
      </c>
      <c r="F283" s="108" t="n"/>
      <c r="G283" s="110">
        <f>IF($A283="","",IFERROR($B283+$C283+$D283+$E283+$F283,""))</f>
        <v/>
      </c>
      <c r="H283" s="110">
        <f>IF($A283="","",IFERROR($G283*AySayisi,""))</f>
        <v/>
      </c>
    </row>
    <row r="284" ht="15" customHeight="1" s="62">
      <c r="A284" s="107" t="n"/>
      <c r="B284" s="110">
        <f>IFERROR(IF($A284="","",IFERROR(INDEX(tblCalisan[Brüt Ücret (₺)],MATCH($A284,tblCalisan[Çalışan Adı],0)),"")),"")</f>
        <v/>
      </c>
      <c r="C284" s="110">
        <f>IF($A284="","",IFERROR($B284*IsverenPayiOrani,""))</f>
        <v/>
      </c>
      <c r="D284" s="110">
        <f>IF($A284="","",IFERROR($B284*IssizlikOrani,""))</f>
        <v/>
      </c>
      <c r="E284" s="110">
        <f>IF($A284="","",IFERROR($B284*KidemKarsilikOrani,""))</f>
        <v/>
      </c>
      <c r="F284" s="108" t="n"/>
      <c r="G284" s="110">
        <f>IF($A284="","",IFERROR($B284+$C284+$D284+$E284+$F284,""))</f>
        <v/>
      </c>
      <c r="H284" s="110">
        <f>IF($A284="","",IFERROR($G284*AySayisi,""))</f>
        <v/>
      </c>
    </row>
    <row r="285" ht="15" customHeight="1" s="62">
      <c r="A285" s="107" t="n"/>
      <c r="B285" s="110">
        <f>IFERROR(IF($A285="","",IFERROR(INDEX(tblCalisan[Brüt Ücret (₺)],MATCH($A285,tblCalisan[Çalışan Adı],0)),"")),"")</f>
        <v/>
      </c>
      <c r="C285" s="110">
        <f>IF($A285="","",IFERROR($B285*IsverenPayiOrani,""))</f>
        <v/>
      </c>
      <c r="D285" s="110">
        <f>IF($A285="","",IFERROR($B285*IssizlikOrani,""))</f>
        <v/>
      </c>
      <c r="E285" s="110">
        <f>IF($A285="","",IFERROR($B285*KidemKarsilikOrani,""))</f>
        <v/>
      </c>
      <c r="F285" s="108" t="n"/>
      <c r="G285" s="110">
        <f>IF($A285="","",IFERROR($B285+$C285+$D285+$E285+$F285,""))</f>
        <v/>
      </c>
      <c r="H285" s="110">
        <f>IF($A285="","",IFERROR($G285*AySayisi,""))</f>
        <v/>
      </c>
    </row>
    <row r="286" ht="15" customHeight="1" s="62">
      <c r="A286" s="107" t="n"/>
      <c r="B286" s="110">
        <f>IFERROR(IF($A286="","",IFERROR(INDEX(tblCalisan[Brüt Ücret (₺)],MATCH($A286,tblCalisan[Çalışan Adı],0)),"")),"")</f>
        <v/>
      </c>
      <c r="C286" s="110">
        <f>IF($A286="","",IFERROR($B286*IsverenPayiOrani,""))</f>
        <v/>
      </c>
      <c r="D286" s="110">
        <f>IF($A286="","",IFERROR($B286*IssizlikOrani,""))</f>
        <v/>
      </c>
      <c r="E286" s="110">
        <f>IF($A286="","",IFERROR($B286*KidemKarsilikOrani,""))</f>
        <v/>
      </c>
      <c r="F286" s="108" t="n"/>
      <c r="G286" s="110">
        <f>IF($A286="","",IFERROR($B286+$C286+$D286+$E286+$F286,""))</f>
        <v/>
      </c>
      <c r="H286" s="110">
        <f>IF($A286="","",IFERROR($G286*AySayisi,""))</f>
        <v/>
      </c>
    </row>
    <row r="287" ht="15" customHeight="1" s="62">
      <c r="A287" s="107" t="n"/>
      <c r="B287" s="110">
        <f>IFERROR(IF($A287="","",IFERROR(INDEX(tblCalisan[Brüt Ücret (₺)],MATCH($A287,tblCalisan[Çalışan Adı],0)),"")),"")</f>
        <v/>
      </c>
      <c r="C287" s="110">
        <f>IF($A287="","",IFERROR($B287*IsverenPayiOrani,""))</f>
        <v/>
      </c>
      <c r="D287" s="110">
        <f>IF($A287="","",IFERROR($B287*IssizlikOrani,""))</f>
        <v/>
      </c>
      <c r="E287" s="110">
        <f>IF($A287="","",IFERROR($B287*KidemKarsilikOrani,""))</f>
        <v/>
      </c>
      <c r="F287" s="108" t="n"/>
      <c r="G287" s="110">
        <f>IF($A287="","",IFERROR($B287+$C287+$D287+$E287+$F287,""))</f>
        <v/>
      </c>
      <c r="H287" s="110">
        <f>IF($A287="","",IFERROR($G287*AySayisi,""))</f>
        <v/>
      </c>
    </row>
    <row r="288" ht="15" customHeight="1" s="62">
      <c r="A288" s="107" t="n"/>
      <c r="B288" s="110">
        <f>IFERROR(IF($A288="","",IFERROR(INDEX(tblCalisan[Brüt Ücret (₺)],MATCH($A288,tblCalisan[Çalışan Adı],0)),"")),"")</f>
        <v/>
      </c>
      <c r="C288" s="110">
        <f>IF($A288="","",IFERROR($B288*IsverenPayiOrani,""))</f>
        <v/>
      </c>
      <c r="D288" s="110">
        <f>IF($A288="","",IFERROR($B288*IssizlikOrani,""))</f>
        <v/>
      </c>
      <c r="E288" s="110">
        <f>IF($A288="","",IFERROR($B288*KidemKarsilikOrani,""))</f>
        <v/>
      </c>
      <c r="F288" s="108" t="n"/>
      <c r="G288" s="110">
        <f>IF($A288="","",IFERROR($B288+$C288+$D288+$E288+$F288,""))</f>
        <v/>
      </c>
      <c r="H288" s="110">
        <f>IF($A288="","",IFERROR($G288*AySayisi,""))</f>
        <v/>
      </c>
    </row>
    <row r="289" ht="15" customHeight="1" s="62">
      <c r="A289" s="107" t="n"/>
      <c r="B289" s="110">
        <f>IFERROR(IF($A289="","",IFERROR(INDEX(tblCalisan[Brüt Ücret (₺)],MATCH($A289,tblCalisan[Çalışan Adı],0)),"")),"")</f>
        <v/>
      </c>
      <c r="C289" s="110">
        <f>IF($A289="","",IFERROR($B289*IsverenPayiOrani,""))</f>
        <v/>
      </c>
      <c r="D289" s="110">
        <f>IF($A289="","",IFERROR($B289*IssizlikOrani,""))</f>
        <v/>
      </c>
      <c r="E289" s="110">
        <f>IF($A289="","",IFERROR($B289*KidemKarsilikOrani,""))</f>
        <v/>
      </c>
      <c r="F289" s="108" t="n"/>
      <c r="G289" s="110">
        <f>IF($A289="","",IFERROR($B289+$C289+$D289+$E289+$F289,""))</f>
        <v/>
      </c>
      <c r="H289" s="110">
        <f>IF($A289="","",IFERROR($G289*AySayisi,""))</f>
        <v/>
      </c>
    </row>
    <row r="290" ht="15" customHeight="1" s="62">
      <c r="A290" s="107" t="n"/>
      <c r="B290" s="110">
        <f>IFERROR(IF($A290="","",IFERROR(INDEX(tblCalisan[Brüt Ücret (₺)],MATCH($A290,tblCalisan[Çalışan Adı],0)),"")),"")</f>
        <v/>
      </c>
      <c r="C290" s="110">
        <f>IF($A290="","",IFERROR($B290*IsverenPayiOrani,""))</f>
        <v/>
      </c>
      <c r="D290" s="110">
        <f>IF($A290="","",IFERROR($B290*IssizlikOrani,""))</f>
        <v/>
      </c>
      <c r="E290" s="110">
        <f>IF($A290="","",IFERROR($B290*KidemKarsilikOrani,""))</f>
        <v/>
      </c>
      <c r="F290" s="108" t="n"/>
      <c r="G290" s="110">
        <f>IF($A290="","",IFERROR($B290+$C290+$D290+$E290+$F290,""))</f>
        <v/>
      </c>
      <c r="H290" s="110">
        <f>IF($A290="","",IFERROR($G290*AySayisi,""))</f>
        <v/>
      </c>
    </row>
    <row r="291" ht="15" customHeight="1" s="62">
      <c r="A291" s="107" t="n"/>
      <c r="B291" s="110">
        <f>IFERROR(IF($A291="","",IFERROR(INDEX(tblCalisan[Brüt Ücret (₺)],MATCH($A291,tblCalisan[Çalışan Adı],0)),"")),"")</f>
        <v/>
      </c>
      <c r="C291" s="110">
        <f>IF($A291="","",IFERROR($B291*IsverenPayiOrani,""))</f>
        <v/>
      </c>
      <c r="D291" s="110">
        <f>IF($A291="","",IFERROR($B291*IssizlikOrani,""))</f>
        <v/>
      </c>
      <c r="E291" s="110">
        <f>IF($A291="","",IFERROR($B291*KidemKarsilikOrani,""))</f>
        <v/>
      </c>
      <c r="F291" s="108" t="n"/>
      <c r="G291" s="110">
        <f>IF($A291="","",IFERROR($B291+$C291+$D291+$E291+$F291,""))</f>
        <v/>
      </c>
      <c r="H291" s="110">
        <f>IF($A291="","",IFERROR($G291*AySayisi,""))</f>
        <v/>
      </c>
    </row>
    <row r="292" ht="15" customHeight="1" s="62">
      <c r="A292" s="107" t="n"/>
      <c r="B292" s="110">
        <f>IFERROR(IF($A292="","",IFERROR(INDEX(tblCalisan[Brüt Ücret (₺)],MATCH($A292,tblCalisan[Çalışan Adı],0)),"")),"")</f>
        <v/>
      </c>
      <c r="C292" s="110">
        <f>IF($A292="","",IFERROR($B292*IsverenPayiOrani,""))</f>
        <v/>
      </c>
      <c r="D292" s="110">
        <f>IF($A292="","",IFERROR($B292*IssizlikOrani,""))</f>
        <v/>
      </c>
      <c r="E292" s="110">
        <f>IF($A292="","",IFERROR($B292*KidemKarsilikOrani,""))</f>
        <v/>
      </c>
      <c r="F292" s="108" t="n"/>
      <c r="G292" s="110">
        <f>IF($A292="","",IFERROR($B292+$C292+$D292+$E292+$F292,""))</f>
        <v/>
      </c>
      <c r="H292" s="110">
        <f>IF($A292="","",IFERROR($G292*AySayisi,""))</f>
        <v/>
      </c>
    </row>
    <row r="293" ht="15" customHeight="1" s="62">
      <c r="A293" s="107" t="n"/>
      <c r="B293" s="110">
        <f>IFERROR(IF($A293="","",IFERROR(INDEX(tblCalisan[Brüt Ücret (₺)],MATCH($A293,tblCalisan[Çalışan Adı],0)),"")),"")</f>
        <v/>
      </c>
      <c r="C293" s="110">
        <f>IF($A293="","",IFERROR($B293*IsverenPayiOrani,""))</f>
        <v/>
      </c>
      <c r="D293" s="110">
        <f>IF($A293="","",IFERROR($B293*IssizlikOrani,""))</f>
        <v/>
      </c>
      <c r="E293" s="110">
        <f>IF($A293="","",IFERROR($B293*KidemKarsilikOrani,""))</f>
        <v/>
      </c>
      <c r="F293" s="108" t="n"/>
      <c r="G293" s="110">
        <f>IF($A293="","",IFERROR($B293+$C293+$D293+$E293+$F293,""))</f>
        <v/>
      </c>
      <c r="H293" s="110">
        <f>IF($A293="","",IFERROR($G293*AySayisi,""))</f>
        <v/>
      </c>
    </row>
    <row r="294" ht="15" customHeight="1" s="62">
      <c r="A294" s="107" t="n"/>
      <c r="B294" s="110">
        <f>IFERROR(IF($A294="","",IFERROR(INDEX(tblCalisan[Brüt Ücret (₺)],MATCH($A294,tblCalisan[Çalışan Adı],0)),"")),"")</f>
        <v/>
      </c>
      <c r="C294" s="110">
        <f>IF($A294="","",IFERROR($B294*IsverenPayiOrani,""))</f>
        <v/>
      </c>
      <c r="D294" s="110">
        <f>IF($A294="","",IFERROR($B294*IssizlikOrani,""))</f>
        <v/>
      </c>
      <c r="E294" s="110">
        <f>IF($A294="","",IFERROR($B294*KidemKarsilikOrani,""))</f>
        <v/>
      </c>
      <c r="F294" s="108" t="n"/>
      <c r="G294" s="110">
        <f>IF($A294="","",IFERROR($B294+$C294+$D294+$E294+$F294,""))</f>
        <v/>
      </c>
      <c r="H294" s="110">
        <f>IF($A294="","",IFERROR($G294*AySayisi,""))</f>
        <v/>
      </c>
    </row>
    <row r="295" ht="15" customHeight="1" s="62">
      <c r="A295" s="107" t="n"/>
      <c r="B295" s="110">
        <f>IFERROR(IF($A295="","",IFERROR(INDEX(tblCalisan[Brüt Ücret (₺)],MATCH($A295,tblCalisan[Çalışan Adı],0)),"")),"")</f>
        <v/>
      </c>
      <c r="C295" s="110">
        <f>IF($A295="","",IFERROR($B295*IsverenPayiOrani,""))</f>
        <v/>
      </c>
      <c r="D295" s="110">
        <f>IF($A295="","",IFERROR($B295*IssizlikOrani,""))</f>
        <v/>
      </c>
      <c r="E295" s="110">
        <f>IF($A295="","",IFERROR($B295*KidemKarsilikOrani,""))</f>
        <v/>
      </c>
      <c r="F295" s="108" t="n"/>
      <c r="G295" s="110">
        <f>IF($A295="","",IFERROR($B295+$C295+$D295+$E295+$F295,""))</f>
        <v/>
      </c>
      <c r="H295" s="110">
        <f>IF($A295="","",IFERROR($G295*AySayisi,""))</f>
        <v/>
      </c>
    </row>
    <row r="296" ht="15" customHeight="1" s="62">
      <c r="A296" s="107" t="n"/>
      <c r="B296" s="110">
        <f>IFERROR(IF($A296="","",IFERROR(INDEX(tblCalisan[Brüt Ücret (₺)],MATCH($A296,tblCalisan[Çalışan Adı],0)),"")),"")</f>
        <v/>
      </c>
      <c r="C296" s="110">
        <f>IF($A296="","",IFERROR($B296*IsverenPayiOrani,""))</f>
        <v/>
      </c>
      <c r="D296" s="110">
        <f>IF($A296="","",IFERROR($B296*IssizlikOrani,""))</f>
        <v/>
      </c>
      <c r="E296" s="110">
        <f>IF($A296="","",IFERROR($B296*KidemKarsilikOrani,""))</f>
        <v/>
      </c>
      <c r="F296" s="108" t="n"/>
      <c r="G296" s="110">
        <f>IF($A296="","",IFERROR($B296+$C296+$D296+$E296+$F296,""))</f>
        <v/>
      </c>
      <c r="H296" s="110">
        <f>IF($A296="","",IFERROR($G296*AySayisi,""))</f>
        <v/>
      </c>
    </row>
    <row r="297" ht="15" customHeight="1" s="62">
      <c r="A297" s="107" t="n"/>
      <c r="B297" s="110">
        <f>IFERROR(IF($A297="","",IFERROR(INDEX(tblCalisan[Brüt Ücret (₺)],MATCH($A297,tblCalisan[Çalışan Adı],0)),"")),"")</f>
        <v/>
      </c>
      <c r="C297" s="110">
        <f>IF($A297="","",IFERROR($B297*IsverenPayiOrani,""))</f>
        <v/>
      </c>
      <c r="D297" s="110">
        <f>IF($A297="","",IFERROR($B297*IssizlikOrani,""))</f>
        <v/>
      </c>
      <c r="E297" s="110">
        <f>IF($A297="","",IFERROR($B297*KidemKarsilikOrani,""))</f>
        <v/>
      </c>
      <c r="F297" s="108" t="n"/>
      <c r="G297" s="110">
        <f>IF($A297="","",IFERROR($B297+$C297+$D297+$E297+$F297,""))</f>
        <v/>
      </c>
      <c r="H297" s="110">
        <f>IF($A297="","",IFERROR($G297*AySayisi,""))</f>
        <v/>
      </c>
    </row>
    <row r="298" ht="15" customHeight="1" s="62">
      <c r="A298" s="107" t="n"/>
      <c r="B298" s="110">
        <f>IFERROR(IF($A298="","",IFERROR(INDEX(tblCalisan[Brüt Ücret (₺)],MATCH($A298,tblCalisan[Çalışan Adı],0)),"")),"")</f>
        <v/>
      </c>
      <c r="C298" s="110">
        <f>IF($A298="","",IFERROR($B298*IsverenPayiOrani,""))</f>
        <v/>
      </c>
      <c r="D298" s="110">
        <f>IF($A298="","",IFERROR($B298*IssizlikOrani,""))</f>
        <v/>
      </c>
      <c r="E298" s="110">
        <f>IF($A298="","",IFERROR($B298*KidemKarsilikOrani,""))</f>
        <v/>
      </c>
      <c r="F298" s="108" t="n"/>
      <c r="G298" s="110">
        <f>IF($A298="","",IFERROR($B298+$C298+$D298+$E298+$F298,""))</f>
        <v/>
      </c>
      <c r="H298" s="110">
        <f>IF($A298="","",IFERROR($G298*AySayisi,""))</f>
        <v/>
      </c>
    </row>
    <row r="299" ht="15" customHeight="1" s="62">
      <c r="A299" s="107" t="n"/>
      <c r="B299" s="110">
        <f>IFERROR(IF($A299="","",IFERROR(INDEX(tblCalisan[Brüt Ücret (₺)],MATCH($A299,tblCalisan[Çalışan Adı],0)),"")),"")</f>
        <v/>
      </c>
      <c r="C299" s="110">
        <f>IF($A299="","",IFERROR($B299*IsverenPayiOrani,""))</f>
        <v/>
      </c>
      <c r="D299" s="110">
        <f>IF($A299="","",IFERROR($B299*IssizlikOrani,""))</f>
        <v/>
      </c>
      <c r="E299" s="110">
        <f>IF($A299="","",IFERROR($B299*KidemKarsilikOrani,""))</f>
        <v/>
      </c>
      <c r="F299" s="108" t="n"/>
      <c r="G299" s="110">
        <f>IF($A299="","",IFERROR($B299+$C299+$D299+$E299+$F299,""))</f>
        <v/>
      </c>
      <c r="H299" s="110">
        <f>IF($A299="","",IFERROR($G299*AySayisi,""))</f>
        <v/>
      </c>
    </row>
    <row r="300" ht="15" customHeight="1" s="62">
      <c r="A300" s="107" t="n"/>
      <c r="B300" s="110">
        <f>IFERROR(IF($A300="","",IFERROR(INDEX(tblCalisan[Brüt Ücret (₺)],MATCH($A300,tblCalisan[Çalışan Adı],0)),"")),"")</f>
        <v/>
      </c>
      <c r="C300" s="110">
        <f>IF($A300="","",IFERROR($B300*IsverenPayiOrani,""))</f>
        <v/>
      </c>
      <c r="D300" s="110">
        <f>IF($A300="","",IFERROR($B300*IssizlikOrani,""))</f>
        <v/>
      </c>
      <c r="E300" s="110">
        <f>IF($A300="","",IFERROR($B300*KidemKarsilikOrani,""))</f>
        <v/>
      </c>
      <c r="F300" s="108" t="n"/>
      <c r="G300" s="110">
        <f>IF($A300="","",IFERROR($B300+$C300+$D300+$E300+$F300,""))</f>
        <v/>
      </c>
      <c r="H300" s="110">
        <f>IF($A300="","",IFERROR($G300*AySayisi,""))</f>
        <v/>
      </c>
    </row>
    <row r="301" ht="15" customHeight="1" s="62">
      <c r="A301" s="107" t="n"/>
      <c r="B301" s="110">
        <f>IFERROR(IF($A301="","",IFERROR(INDEX(tblCalisan[Brüt Ücret (₺)],MATCH($A301,tblCalisan[Çalışan Adı],0)),"")),"")</f>
        <v/>
      </c>
      <c r="C301" s="110">
        <f>IF($A301="","",IFERROR($B301*IsverenPayiOrani,""))</f>
        <v/>
      </c>
      <c r="D301" s="110">
        <f>IF($A301="","",IFERROR($B301*IssizlikOrani,""))</f>
        <v/>
      </c>
      <c r="E301" s="110">
        <f>IF($A301="","",IFERROR($B301*KidemKarsilikOrani,""))</f>
        <v/>
      </c>
      <c r="F301" s="108" t="n"/>
      <c r="G301" s="110">
        <f>IF($A301="","",IFERROR($B301+$C301+$D301+$E301+$F301,""))</f>
        <v/>
      </c>
      <c r="H301" s="110">
        <f>IF($A301="","",IFERROR($G301*AySayisi,""))</f>
        <v/>
      </c>
    </row>
    <row r="302" ht="15" customHeight="1" s="62">
      <c r="A302" s="107" t="n"/>
      <c r="B302" s="110">
        <f>IFERROR(IF($A302="","",IFERROR(INDEX(tblCalisan[Brüt Ücret (₺)],MATCH($A302,tblCalisan[Çalışan Adı],0)),"")),"")</f>
        <v/>
      </c>
      <c r="C302" s="110">
        <f>IF($A302="","",IFERROR($B302*IsverenPayiOrani,""))</f>
        <v/>
      </c>
      <c r="D302" s="110">
        <f>IF($A302="","",IFERROR($B302*IssizlikOrani,""))</f>
        <v/>
      </c>
      <c r="E302" s="110">
        <f>IF($A302="","",IFERROR($B302*KidemKarsilikOrani,""))</f>
        <v/>
      </c>
      <c r="F302" s="108" t="n"/>
      <c r="G302" s="110">
        <f>IF($A302="","",IFERROR($B302+$C302+$D302+$E302+$F302,""))</f>
        <v/>
      </c>
      <c r="H302" s="110">
        <f>IF($A302="","",IFERROR($G302*AySayisi,""))</f>
        <v/>
      </c>
    </row>
    <row r="303" ht="15" customHeight="1" s="62">
      <c r="A303" s="107" t="n"/>
      <c r="B303" s="110">
        <f>IFERROR(IF($A303="","",IFERROR(INDEX(tblCalisan[Brüt Ücret (₺)],MATCH($A303,tblCalisan[Çalışan Adı],0)),"")),"")</f>
        <v/>
      </c>
      <c r="C303" s="110">
        <f>IF($A303="","",IFERROR($B303*IsverenPayiOrani,""))</f>
        <v/>
      </c>
      <c r="D303" s="110">
        <f>IF($A303="","",IFERROR($B303*IssizlikOrani,""))</f>
        <v/>
      </c>
      <c r="E303" s="110">
        <f>IF($A303="","",IFERROR($B303*KidemKarsilikOrani,""))</f>
        <v/>
      </c>
      <c r="F303" s="108" t="n"/>
      <c r="G303" s="110">
        <f>IF($A303="","",IFERROR($B303+$C303+$D303+$E303+$F303,""))</f>
        <v/>
      </c>
      <c r="H303" s="110">
        <f>IF($A303="","",IFERROR($G303*AySayisi,""))</f>
        <v/>
      </c>
    </row>
    <row r="304" ht="15" customHeight="1" s="62">
      <c r="A304" s="107" t="n"/>
      <c r="B304" s="110">
        <f>IFERROR(IF($A304="","",IFERROR(INDEX(tblCalisan[Brüt Ücret (₺)],MATCH($A304,tblCalisan[Çalışan Adı],0)),"")),"")</f>
        <v/>
      </c>
      <c r="C304" s="110">
        <f>IF($A304="","",IFERROR($B304*IsverenPayiOrani,""))</f>
        <v/>
      </c>
      <c r="D304" s="110">
        <f>IF($A304="","",IFERROR($B304*IssizlikOrani,""))</f>
        <v/>
      </c>
      <c r="E304" s="110">
        <f>IF($A304="","",IFERROR($B304*KidemKarsilikOrani,""))</f>
        <v/>
      </c>
      <c r="F304" s="108" t="n"/>
      <c r="G304" s="110">
        <f>IF($A304="","",IFERROR($B304+$C304+$D304+$E304+$F304,""))</f>
        <v/>
      </c>
      <c r="H304" s="110">
        <f>IF($A304="","",IFERROR($G304*AySayisi,""))</f>
        <v/>
      </c>
    </row>
    <row r="305" ht="15" customHeight="1" s="62">
      <c r="A305" s="107" t="n"/>
      <c r="B305" s="110">
        <f>IFERROR(IF($A305="","",IFERROR(INDEX(tblCalisan[Brüt Ücret (₺)],MATCH($A305,tblCalisan[Çalışan Adı],0)),"")),"")</f>
        <v/>
      </c>
      <c r="C305" s="110">
        <f>IF($A305="","",IFERROR($B305*IsverenPayiOrani,""))</f>
        <v/>
      </c>
      <c r="D305" s="110">
        <f>IF($A305="","",IFERROR($B305*IssizlikOrani,""))</f>
        <v/>
      </c>
      <c r="E305" s="110">
        <f>IF($A305="","",IFERROR($B305*KidemKarsilikOrani,""))</f>
        <v/>
      </c>
      <c r="F305" s="108" t="n"/>
      <c r="G305" s="110">
        <f>IF($A305="","",IFERROR($B305+$C305+$D305+$E305+$F305,""))</f>
        <v/>
      </c>
      <c r="H305" s="110">
        <f>IF($A305="","",IFERROR($G305*AySayisi,""))</f>
        <v/>
      </c>
    </row>
    <row r="306" ht="15" customHeight="1" s="62">
      <c r="A306" s="107" t="n"/>
      <c r="B306" s="110">
        <f>IFERROR(IF($A306="","",IFERROR(INDEX(tblCalisan[Brüt Ücret (₺)],MATCH($A306,tblCalisan[Çalışan Adı],0)),"")),"")</f>
        <v/>
      </c>
      <c r="C306" s="110">
        <f>IF($A306="","",IFERROR($B306*IsverenPayiOrani,""))</f>
        <v/>
      </c>
      <c r="D306" s="110">
        <f>IF($A306="","",IFERROR($B306*IssizlikOrani,""))</f>
        <v/>
      </c>
      <c r="E306" s="110">
        <f>IF($A306="","",IFERROR($B306*KidemKarsilikOrani,""))</f>
        <v/>
      </c>
      <c r="F306" s="108" t="n"/>
      <c r="G306" s="110">
        <f>IF($A306="","",IFERROR($B306+$C306+$D306+$E306+$F306,""))</f>
        <v/>
      </c>
      <c r="H306" s="110">
        <f>IF($A306="","",IFERROR($G306*AySayisi,""))</f>
        <v/>
      </c>
    </row>
    <row r="307" ht="15" customHeight="1" s="62">
      <c r="A307" s="107" t="n"/>
      <c r="B307" s="110">
        <f>IFERROR(IF($A307="","",IFERROR(INDEX(tblCalisan[Brüt Ücret (₺)],MATCH($A307,tblCalisan[Çalışan Adı],0)),"")),"")</f>
        <v/>
      </c>
      <c r="C307" s="110">
        <f>IF($A307="","",IFERROR($B307*IsverenPayiOrani,""))</f>
        <v/>
      </c>
      <c r="D307" s="110">
        <f>IF($A307="","",IFERROR($B307*IssizlikOrani,""))</f>
        <v/>
      </c>
      <c r="E307" s="110">
        <f>IF($A307="","",IFERROR($B307*KidemKarsilikOrani,""))</f>
        <v/>
      </c>
      <c r="F307" s="108" t="n"/>
      <c r="G307" s="110">
        <f>IF($A307="","",IFERROR($B307+$C307+$D307+$E307+$F307,""))</f>
        <v/>
      </c>
      <c r="H307" s="110">
        <f>IF($A307="","",IFERROR($G307*AySayisi,""))</f>
        <v/>
      </c>
    </row>
    <row r="308" ht="15" customHeight="1" s="62">
      <c r="A308" s="107" t="n"/>
      <c r="B308" s="110">
        <f>IFERROR(IF($A308="","",IFERROR(INDEX(tblCalisan[Brüt Ücret (₺)],MATCH($A308,tblCalisan[Çalışan Adı],0)),"")),"")</f>
        <v/>
      </c>
      <c r="C308" s="110">
        <f>IF($A308="","",IFERROR($B308*IsverenPayiOrani,""))</f>
        <v/>
      </c>
      <c r="D308" s="110">
        <f>IF($A308="","",IFERROR($B308*IssizlikOrani,""))</f>
        <v/>
      </c>
      <c r="E308" s="110">
        <f>IF($A308="","",IFERROR($B308*KidemKarsilikOrani,""))</f>
        <v/>
      </c>
      <c r="F308" s="108" t="n"/>
      <c r="G308" s="110">
        <f>IF($A308="","",IFERROR($B308+$C308+$D308+$E308+$F308,""))</f>
        <v/>
      </c>
      <c r="H308" s="110">
        <f>IF($A308="","",IFERROR($G308*AySayisi,""))</f>
        <v/>
      </c>
    </row>
    <row r="309" ht="15" customHeight="1" s="62">
      <c r="A309" s="107" t="n"/>
      <c r="B309" s="110">
        <f>IFERROR(IF($A309="","",IFERROR(INDEX(tblCalisan[Brüt Ücret (₺)],MATCH($A309,tblCalisan[Çalışan Adı],0)),"")),"")</f>
        <v/>
      </c>
      <c r="C309" s="110">
        <f>IF($A309="","",IFERROR($B309*IsverenPayiOrani,""))</f>
        <v/>
      </c>
      <c r="D309" s="110">
        <f>IF($A309="","",IFERROR($B309*IssizlikOrani,""))</f>
        <v/>
      </c>
      <c r="E309" s="110">
        <f>IF($A309="","",IFERROR($B309*KidemKarsilikOrani,""))</f>
        <v/>
      </c>
      <c r="F309" s="108" t="n"/>
      <c r="G309" s="110">
        <f>IF($A309="","",IFERROR($B309+$C309+$D309+$E309+$F309,""))</f>
        <v/>
      </c>
      <c r="H309" s="110">
        <f>IF($A309="","",IFERROR($G309*AySayisi,""))</f>
        <v/>
      </c>
    </row>
    <row r="310" ht="15" customHeight="1" s="62">
      <c r="A310" s="107" t="n"/>
      <c r="B310" s="110">
        <f>IFERROR(IF($A310="","",IFERROR(INDEX(tblCalisan[Brüt Ücret (₺)],MATCH($A310,tblCalisan[Çalışan Adı],0)),"")),"")</f>
        <v/>
      </c>
      <c r="C310" s="110">
        <f>IF($A310="","",IFERROR($B310*IsverenPayiOrani,""))</f>
        <v/>
      </c>
      <c r="D310" s="110">
        <f>IF($A310="","",IFERROR($B310*IssizlikOrani,""))</f>
        <v/>
      </c>
      <c r="E310" s="110">
        <f>IF($A310="","",IFERROR($B310*KidemKarsilikOrani,""))</f>
        <v/>
      </c>
      <c r="F310" s="108" t="n"/>
      <c r="G310" s="110">
        <f>IF($A310="","",IFERROR($B310+$C310+$D310+$E310+$F310,""))</f>
        <v/>
      </c>
      <c r="H310" s="110">
        <f>IF($A310="","",IFERROR($G310*AySayisi,""))</f>
        <v/>
      </c>
    </row>
    <row r="311" ht="15" customHeight="1" s="62">
      <c r="A311" s="107" t="n"/>
      <c r="B311" s="110">
        <f>IFERROR(IF($A311="","",IFERROR(INDEX(tblCalisan[Brüt Ücret (₺)],MATCH($A311,tblCalisan[Çalışan Adı],0)),"")),"")</f>
        <v/>
      </c>
      <c r="C311" s="110">
        <f>IF($A311="","",IFERROR($B311*IsverenPayiOrani,""))</f>
        <v/>
      </c>
      <c r="D311" s="110">
        <f>IF($A311="","",IFERROR($B311*IssizlikOrani,""))</f>
        <v/>
      </c>
      <c r="E311" s="110">
        <f>IF($A311="","",IFERROR($B311*KidemKarsilikOrani,""))</f>
        <v/>
      </c>
      <c r="F311" s="108" t="n"/>
      <c r="G311" s="110">
        <f>IF($A311="","",IFERROR($B311+$C311+$D311+$E311+$F311,""))</f>
        <v/>
      </c>
      <c r="H311" s="110">
        <f>IF($A311="","",IFERROR($G311*AySayisi,""))</f>
        <v/>
      </c>
    </row>
    <row r="312" ht="15" customHeight="1" s="62">
      <c r="A312" s="107" t="n"/>
      <c r="B312" s="110">
        <f>IFERROR(IF($A312="","",IFERROR(INDEX(tblCalisan[Brüt Ücret (₺)],MATCH($A312,tblCalisan[Çalışan Adı],0)),"")),"")</f>
        <v/>
      </c>
      <c r="C312" s="110">
        <f>IF($A312="","",IFERROR($B312*IsverenPayiOrani,""))</f>
        <v/>
      </c>
      <c r="D312" s="110">
        <f>IF($A312="","",IFERROR($B312*IssizlikOrani,""))</f>
        <v/>
      </c>
      <c r="E312" s="110">
        <f>IF($A312="","",IFERROR($B312*KidemKarsilikOrani,""))</f>
        <v/>
      </c>
      <c r="F312" s="108" t="n"/>
      <c r="G312" s="110">
        <f>IF($A312="","",IFERROR($B312+$C312+$D312+$E312+$F312,""))</f>
        <v/>
      </c>
      <c r="H312" s="110">
        <f>IF($A312="","",IFERROR($G312*AySayisi,""))</f>
        <v/>
      </c>
    </row>
    <row r="313" ht="15" customHeight="1" s="62">
      <c r="A313" s="107" t="n"/>
      <c r="B313" s="110">
        <f>IFERROR(IF($A313="","",IFERROR(INDEX(tblCalisan[Brüt Ücret (₺)],MATCH($A313,tblCalisan[Çalışan Adı],0)),"")),"")</f>
        <v/>
      </c>
      <c r="C313" s="110">
        <f>IF($A313="","",IFERROR($B313*IsverenPayiOrani,""))</f>
        <v/>
      </c>
      <c r="D313" s="110">
        <f>IF($A313="","",IFERROR($B313*IssizlikOrani,""))</f>
        <v/>
      </c>
      <c r="E313" s="110">
        <f>IF($A313="","",IFERROR($B313*KidemKarsilikOrani,""))</f>
        <v/>
      </c>
      <c r="F313" s="108" t="n"/>
      <c r="G313" s="110">
        <f>IF($A313="","",IFERROR($B313+$C313+$D313+$E313+$F313,""))</f>
        <v/>
      </c>
      <c r="H313" s="110">
        <f>IF($A313="","",IFERROR($G313*AySayisi,""))</f>
        <v/>
      </c>
    </row>
    <row r="314" ht="15" customHeight="1" s="62">
      <c r="A314" s="107" t="n"/>
      <c r="B314" s="110">
        <f>IFERROR(IF($A314="","",IFERROR(INDEX(tblCalisan[Brüt Ücret (₺)],MATCH($A314,tblCalisan[Çalışan Adı],0)),"")),"")</f>
        <v/>
      </c>
      <c r="C314" s="110">
        <f>IF($A314="","",IFERROR($B314*IsverenPayiOrani,""))</f>
        <v/>
      </c>
      <c r="D314" s="110">
        <f>IF($A314="","",IFERROR($B314*IssizlikOrani,""))</f>
        <v/>
      </c>
      <c r="E314" s="110">
        <f>IF($A314="","",IFERROR($B314*KidemKarsilikOrani,""))</f>
        <v/>
      </c>
      <c r="F314" s="108" t="n"/>
      <c r="G314" s="110">
        <f>IF($A314="","",IFERROR($B314+$C314+$D314+$E314+$F314,""))</f>
        <v/>
      </c>
      <c r="H314" s="110">
        <f>IF($A314="","",IFERROR($G314*AySayisi,""))</f>
        <v/>
      </c>
    </row>
    <row r="315" ht="15" customHeight="1" s="62">
      <c r="A315" s="107" t="n"/>
      <c r="B315" s="110">
        <f>IFERROR(IF($A315="","",IFERROR(INDEX(tblCalisan[Brüt Ücret (₺)],MATCH($A315,tblCalisan[Çalışan Adı],0)),"")),"")</f>
        <v/>
      </c>
      <c r="C315" s="110">
        <f>IF($A315="","",IFERROR($B315*IsverenPayiOrani,""))</f>
        <v/>
      </c>
      <c r="D315" s="110">
        <f>IF($A315="","",IFERROR($B315*IssizlikOrani,""))</f>
        <v/>
      </c>
      <c r="E315" s="110">
        <f>IF($A315="","",IFERROR($B315*KidemKarsilikOrani,""))</f>
        <v/>
      </c>
      <c r="F315" s="108" t="n"/>
      <c r="G315" s="110">
        <f>IF($A315="","",IFERROR($B315+$C315+$D315+$E315+$F315,""))</f>
        <v/>
      </c>
      <c r="H315" s="110">
        <f>IF($A315="","",IFERROR($G315*AySayisi,""))</f>
        <v/>
      </c>
    </row>
    <row r="316" ht="15" customHeight="1" s="62">
      <c r="A316" s="107" t="n"/>
      <c r="B316" s="110">
        <f>IFERROR(IF($A316="","",IFERROR(INDEX(tblCalisan[Brüt Ücret (₺)],MATCH($A316,tblCalisan[Çalışan Adı],0)),"")),"")</f>
        <v/>
      </c>
      <c r="C316" s="110">
        <f>IF($A316="","",IFERROR($B316*IsverenPayiOrani,""))</f>
        <v/>
      </c>
      <c r="D316" s="110">
        <f>IF($A316="","",IFERROR($B316*IssizlikOrani,""))</f>
        <v/>
      </c>
      <c r="E316" s="110">
        <f>IF($A316="","",IFERROR($B316*KidemKarsilikOrani,""))</f>
        <v/>
      </c>
      <c r="F316" s="108" t="n"/>
      <c r="G316" s="110">
        <f>IF($A316="","",IFERROR($B316+$C316+$D316+$E316+$F316,""))</f>
        <v/>
      </c>
      <c r="H316" s="110">
        <f>IF($A316="","",IFERROR($G316*AySayisi,""))</f>
        <v/>
      </c>
    </row>
    <row r="317" ht="15" customHeight="1" s="62">
      <c r="A317" s="107" t="n"/>
      <c r="B317" s="110">
        <f>IFERROR(IF($A317="","",IFERROR(INDEX(tblCalisan[Brüt Ücret (₺)],MATCH($A317,tblCalisan[Çalışan Adı],0)),"")),"")</f>
        <v/>
      </c>
      <c r="C317" s="110">
        <f>IF($A317="","",IFERROR($B317*IsverenPayiOrani,""))</f>
        <v/>
      </c>
      <c r="D317" s="110">
        <f>IF($A317="","",IFERROR($B317*IssizlikOrani,""))</f>
        <v/>
      </c>
      <c r="E317" s="110">
        <f>IF($A317="","",IFERROR($B317*KidemKarsilikOrani,""))</f>
        <v/>
      </c>
      <c r="F317" s="108" t="n"/>
      <c r="G317" s="110">
        <f>IF($A317="","",IFERROR($B317+$C317+$D317+$E317+$F317,""))</f>
        <v/>
      </c>
      <c r="H317" s="110">
        <f>IF($A317="","",IFERROR($G317*AySayisi,""))</f>
        <v/>
      </c>
    </row>
    <row r="318" ht="15" customHeight="1" s="62">
      <c r="A318" s="107" t="n"/>
      <c r="B318" s="110">
        <f>IFERROR(IF($A318="","",IFERROR(INDEX(tblCalisan[Brüt Ücret (₺)],MATCH($A318,tblCalisan[Çalışan Adı],0)),"")),"")</f>
        <v/>
      </c>
      <c r="C318" s="110">
        <f>IF($A318="","",IFERROR($B318*IsverenPayiOrani,""))</f>
        <v/>
      </c>
      <c r="D318" s="110">
        <f>IF($A318="","",IFERROR($B318*IssizlikOrani,""))</f>
        <v/>
      </c>
      <c r="E318" s="110">
        <f>IF($A318="","",IFERROR($B318*KidemKarsilikOrani,""))</f>
        <v/>
      </c>
      <c r="F318" s="108" t="n"/>
      <c r="G318" s="110">
        <f>IF($A318="","",IFERROR($B318+$C318+$D318+$E318+$F318,""))</f>
        <v/>
      </c>
      <c r="H318" s="110">
        <f>IF($A318="","",IFERROR($G318*AySayisi,""))</f>
        <v/>
      </c>
    </row>
    <row r="319" ht="15" customHeight="1" s="62">
      <c r="A319" s="107" t="n"/>
      <c r="B319" s="110">
        <f>IFERROR(IF($A319="","",IFERROR(INDEX(tblCalisan[Brüt Ücret (₺)],MATCH($A319,tblCalisan[Çalışan Adı],0)),"")),"")</f>
        <v/>
      </c>
      <c r="C319" s="110">
        <f>IF($A319="","",IFERROR($B319*IsverenPayiOrani,""))</f>
        <v/>
      </c>
      <c r="D319" s="110">
        <f>IF($A319="","",IFERROR($B319*IssizlikOrani,""))</f>
        <v/>
      </c>
      <c r="E319" s="110">
        <f>IF($A319="","",IFERROR($B319*KidemKarsilikOrani,""))</f>
        <v/>
      </c>
      <c r="F319" s="108" t="n"/>
      <c r="G319" s="110">
        <f>IF($A319="","",IFERROR($B319+$C319+$D319+$E319+$F319,""))</f>
        <v/>
      </c>
      <c r="H319" s="110">
        <f>IF($A319="","",IFERROR($G319*AySayisi,""))</f>
        <v/>
      </c>
    </row>
    <row r="320" ht="15" customHeight="1" s="62">
      <c r="A320" s="107" t="n"/>
      <c r="B320" s="110">
        <f>IFERROR(IF($A320="","",IFERROR(INDEX(tblCalisan[Brüt Ücret (₺)],MATCH($A320,tblCalisan[Çalışan Adı],0)),"")),"")</f>
        <v/>
      </c>
      <c r="C320" s="110">
        <f>IF($A320="","",IFERROR($B320*IsverenPayiOrani,""))</f>
        <v/>
      </c>
      <c r="D320" s="110">
        <f>IF($A320="","",IFERROR($B320*IssizlikOrani,""))</f>
        <v/>
      </c>
      <c r="E320" s="110">
        <f>IF($A320="","",IFERROR($B320*KidemKarsilikOrani,""))</f>
        <v/>
      </c>
      <c r="F320" s="108" t="n"/>
      <c r="G320" s="110">
        <f>IF($A320="","",IFERROR($B320+$C320+$D320+$E320+$F320,""))</f>
        <v/>
      </c>
      <c r="H320" s="110">
        <f>IF($A320="","",IFERROR($G320*AySayisi,""))</f>
        <v/>
      </c>
    </row>
    <row r="321" ht="15" customHeight="1" s="62">
      <c r="A321" s="107" t="n"/>
      <c r="B321" s="110">
        <f>IFERROR(IF($A321="","",IFERROR(INDEX(tblCalisan[Brüt Ücret (₺)],MATCH($A321,tblCalisan[Çalışan Adı],0)),"")),"")</f>
        <v/>
      </c>
      <c r="C321" s="110">
        <f>IF($A321="","",IFERROR($B321*IsverenPayiOrani,""))</f>
        <v/>
      </c>
      <c r="D321" s="110">
        <f>IF($A321="","",IFERROR($B321*IssizlikOrani,""))</f>
        <v/>
      </c>
      <c r="E321" s="110">
        <f>IF($A321="","",IFERROR($B321*KidemKarsilikOrani,""))</f>
        <v/>
      </c>
      <c r="F321" s="108" t="n"/>
      <c r="G321" s="110">
        <f>IF($A321="","",IFERROR($B321+$C321+$D321+$E321+$F321,""))</f>
        <v/>
      </c>
      <c r="H321" s="110">
        <f>IF($A321="","",IFERROR($G321*AySayisi,""))</f>
        <v/>
      </c>
    </row>
    <row r="322" ht="15" customHeight="1" s="62">
      <c r="A322" s="107" t="n"/>
      <c r="B322" s="110">
        <f>IFERROR(IF($A322="","",IFERROR(INDEX(tblCalisan[Brüt Ücret (₺)],MATCH($A322,tblCalisan[Çalışan Adı],0)),"")),"")</f>
        <v/>
      </c>
      <c r="C322" s="110">
        <f>IF($A322="","",IFERROR($B322*IsverenPayiOrani,""))</f>
        <v/>
      </c>
      <c r="D322" s="110">
        <f>IF($A322="","",IFERROR($B322*IssizlikOrani,""))</f>
        <v/>
      </c>
      <c r="E322" s="110">
        <f>IF($A322="","",IFERROR($B322*KidemKarsilikOrani,""))</f>
        <v/>
      </c>
      <c r="F322" s="108" t="n"/>
      <c r="G322" s="110">
        <f>IF($A322="","",IFERROR($B322+$C322+$D322+$E322+$F322,""))</f>
        <v/>
      </c>
      <c r="H322" s="110">
        <f>IF($A322="","",IFERROR($G322*AySayisi,""))</f>
        <v/>
      </c>
    </row>
    <row r="323" ht="15" customHeight="1" s="62">
      <c r="A323" s="107" t="n"/>
      <c r="B323" s="110">
        <f>IFERROR(IF($A323="","",IFERROR(INDEX(tblCalisan[Brüt Ücret (₺)],MATCH($A323,tblCalisan[Çalışan Adı],0)),"")),"")</f>
        <v/>
      </c>
      <c r="C323" s="110">
        <f>IF($A323="","",IFERROR($B323*IsverenPayiOrani,""))</f>
        <v/>
      </c>
      <c r="D323" s="110">
        <f>IF($A323="","",IFERROR($B323*IssizlikOrani,""))</f>
        <v/>
      </c>
      <c r="E323" s="110">
        <f>IF($A323="","",IFERROR($B323*KidemKarsilikOrani,""))</f>
        <v/>
      </c>
      <c r="F323" s="108" t="n"/>
      <c r="G323" s="110">
        <f>IF($A323="","",IFERROR($B323+$C323+$D323+$E323+$F323,""))</f>
        <v/>
      </c>
      <c r="H323" s="110">
        <f>IF($A323="","",IFERROR($G323*AySayisi,""))</f>
        <v/>
      </c>
    </row>
    <row r="324" ht="15" customHeight="1" s="62">
      <c r="A324" s="107" t="n"/>
      <c r="B324" s="110">
        <f>IFERROR(IF($A324="","",IFERROR(INDEX(tblCalisan[Brüt Ücret (₺)],MATCH($A324,tblCalisan[Çalışan Adı],0)),"")),"")</f>
        <v/>
      </c>
      <c r="C324" s="110">
        <f>IF($A324="","",IFERROR($B324*IsverenPayiOrani,""))</f>
        <v/>
      </c>
      <c r="D324" s="110">
        <f>IF($A324="","",IFERROR($B324*IssizlikOrani,""))</f>
        <v/>
      </c>
      <c r="E324" s="110">
        <f>IF($A324="","",IFERROR($B324*KidemKarsilikOrani,""))</f>
        <v/>
      </c>
      <c r="F324" s="108" t="n"/>
      <c r="G324" s="110">
        <f>IF($A324="","",IFERROR($B324+$C324+$D324+$E324+$F324,""))</f>
        <v/>
      </c>
      <c r="H324" s="110">
        <f>IF($A324="","",IFERROR($G324*AySayisi,""))</f>
        <v/>
      </c>
    </row>
    <row r="325" ht="15" customHeight="1" s="62">
      <c r="A325" s="107" t="n"/>
      <c r="B325" s="110">
        <f>IFERROR(IF($A325="","",IFERROR(INDEX(tblCalisan[Brüt Ücret (₺)],MATCH($A325,tblCalisan[Çalışan Adı],0)),"")),"")</f>
        <v/>
      </c>
      <c r="C325" s="110">
        <f>IF($A325="","",IFERROR($B325*IsverenPayiOrani,""))</f>
        <v/>
      </c>
      <c r="D325" s="110">
        <f>IF($A325="","",IFERROR($B325*IssizlikOrani,""))</f>
        <v/>
      </c>
      <c r="E325" s="110">
        <f>IF($A325="","",IFERROR($B325*KidemKarsilikOrani,""))</f>
        <v/>
      </c>
      <c r="F325" s="108" t="n"/>
      <c r="G325" s="110">
        <f>IF($A325="","",IFERROR($B325+$C325+$D325+$E325+$F325,""))</f>
        <v/>
      </c>
      <c r="H325" s="110">
        <f>IF($A325="","",IFERROR($G325*AySayisi,""))</f>
        <v/>
      </c>
    </row>
    <row r="326" ht="15" customHeight="1" s="62">
      <c r="A326" s="107" t="n"/>
      <c r="B326" s="110">
        <f>IFERROR(IF($A326="","",IFERROR(INDEX(tblCalisan[Brüt Ücret (₺)],MATCH($A326,tblCalisan[Çalışan Adı],0)),"")),"")</f>
        <v/>
      </c>
      <c r="C326" s="110">
        <f>IF($A326="","",IFERROR($B326*IsverenPayiOrani,""))</f>
        <v/>
      </c>
      <c r="D326" s="110">
        <f>IF($A326="","",IFERROR($B326*IssizlikOrani,""))</f>
        <v/>
      </c>
      <c r="E326" s="110">
        <f>IF($A326="","",IFERROR($B326*KidemKarsilikOrani,""))</f>
        <v/>
      </c>
      <c r="F326" s="108" t="n"/>
      <c r="G326" s="110">
        <f>IF($A326="","",IFERROR($B326+$C326+$D326+$E326+$F326,""))</f>
        <v/>
      </c>
      <c r="H326" s="110">
        <f>IF($A326="","",IFERROR($G326*AySayisi,""))</f>
        <v/>
      </c>
    </row>
    <row r="327" ht="15" customHeight="1" s="62">
      <c r="A327" s="107" t="n"/>
      <c r="B327" s="110">
        <f>IFERROR(IF($A327="","",IFERROR(INDEX(tblCalisan[Brüt Ücret (₺)],MATCH($A327,tblCalisan[Çalışan Adı],0)),"")),"")</f>
        <v/>
      </c>
      <c r="C327" s="110">
        <f>IF($A327="","",IFERROR($B327*IsverenPayiOrani,""))</f>
        <v/>
      </c>
      <c r="D327" s="110">
        <f>IF($A327="","",IFERROR($B327*IssizlikOrani,""))</f>
        <v/>
      </c>
      <c r="E327" s="110">
        <f>IF($A327="","",IFERROR($B327*KidemKarsilikOrani,""))</f>
        <v/>
      </c>
      <c r="F327" s="108" t="n"/>
      <c r="G327" s="110">
        <f>IF($A327="","",IFERROR($B327+$C327+$D327+$E327+$F327,""))</f>
        <v/>
      </c>
      <c r="H327" s="110">
        <f>IF($A327="","",IFERROR($G327*AySayisi,""))</f>
        <v/>
      </c>
    </row>
    <row r="328" ht="15" customHeight="1" s="62">
      <c r="A328" s="107" t="n"/>
      <c r="B328" s="110">
        <f>IFERROR(IF($A328="","",IFERROR(INDEX(tblCalisan[Brüt Ücret (₺)],MATCH($A328,tblCalisan[Çalışan Adı],0)),"")),"")</f>
        <v/>
      </c>
      <c r="C328" s="110">
        <f>IF($A328="","",IFERROR($B328*IsverenPayiOrani,""))</f>
        <v/>
      </c>
      <c r="D328" s="110">
        <f>IF($A328="","",IFERROR($B328*IssizlikOrani,""))</f>
        <v/>
      </c>
      <c r="E328" s="110">
        <f>IF($A328="","",IFERROR($B328*KidemKarsilikOrani,""))</f>
        <v/>
      </c>
      <c r="F328" s="108" t="n"/>
      <c r="G328" s="110">
        <f>IF($A328="","",IFERROR($B328+$C328+$D328+$E328+$F328,""))</f>
        <v/>
      </c>
      <c r="H328" s="110">
        <f>IF($A328="","",IFERROR($G328*AySayisi,""))</f>
        <v/>
      </c>
    </row>
    <row r="329" ht="15" customHeight="1" s="62">
      <c r="A329" s="107" t="n"/>
      <c r="B329" s="110">
        <f>IFERROR(IF($A329="","",IFERROR(INDEX(tblCalisan[Brüt Ücret (₺)],MATCH($A329,tblCalisan[Çalışan Adı],0)),"")),"")</f>
        <v/>
      </c>
      <c r="C329" s="110">
        <f>IF($A329="","",IFERROR($B329*IsverenPayiOrani,""))</f>
        <v/>
      </c>
      <c r="D329" s="110">
        <f>IF($A329="","",IFERROR($B329*IssizlikOrani,""))</f>
        <v/>
      </c>
      <c r="E329" s="110">
        <f>IF($A329="","",IFERROR($B329*KidemKarsilikOrani,""))</f>
        <v/>
      </c>
      <c r="F329" s="108" t="n"/>
      <c r="G329" s="110">
        <f>IF($A329="","",IFERROR($B329+$C329+$D329+$E329+$F329,""))</f>
        <v/>
      </c>
      <c r="H329" s="110">
        <f>IF($A329="","",IFERROR($G329*AySayisi,""))</f>
        <v/>
      </c>
    </row>
    <row r="330" ht="15" customHeight="1" s="62">
      <c r="A330" s="107" t="n"/>
      <c r="B330" s="110">
        <f>IFERROR(IF($A330="","",IFERROR(INDEX(tblCalisan[Brüt Ücret (₺)],MATCH($A330,tblCalisan[Çalışan Adı],0)),"")),"")</f>
        <v/>
      </c>
      <c r="C330" s="110">
        <f>IF($A330="","",IFERROR($B330*IsverenPayiOrani,""))</f>
        <v/>
      </c>
      <c r="D330" s="110">
        <f>IF($A330="","",IFERROR($B330*IssizlikOrani,""))</f>
        <v/>
      </c>
      <c r="E330" s="110">
        <f>IF($A330="","",IFERROR($B330*KidemKarsilikOrani,""))</f>
        <v/>
      </c>
      <c r="F330" s="108" t="n"/>
      <c r="G330" s="110">
        <f>IF($A330="","",IFERROR($B330+$C330+$D330+$E330+$F330,""))</f>
        <v/>
      </c>
      <c r="H330" s="110">
        <f>IF($A330="","",IFERROR($G330*AySayisi,""))</f>
        <v/>
      </c>
    </row>
    <row r="331" ht="15" customHeight="1" s="62">
      <c r="A331" s="107" t="n"/>
      <c r="B331" s="110">
        <f>IFERROR(IF($A331="","",IFERROR(INDEX(tblCalisan[Brüt Ücret (₺)],MATCH($A331,tblCalisan[Çalışan Adı],0)),"")),"")</f>
        <v/>
      </c>
      <c r="C331" s="110">
        <f>IF($A331="","",IFERROR($B331*IsverenPayiOrani,""))</f>
        <v/>
      </c>
      <c r="D331" s="110">
        <f>IF($A331="","",IFERROR($B331*IssizlikOrani,""))</f>
        <v/>
      </c>
      <c r="E331" s="110">
        <f>IF($A331="","",IFERROR($B331*KidemKarsilikOrani,""))</f>
        <v/>
      </c>
      <c r="F331" s="108" t="n"/>
      <c r="G331" s="110">
        <f>IF($A331="","",IFERROR($B331+$C331+$D331+$E331+$F331,""))</f>
        <v/>
      </c>
      <c r="H331" s="110">
        <f>IF($A331="","",IFERROR($G331*AySayisi,""))</f>
        <v/>
      </c>
    </row>
    <row r="332" ht="15" customHeight="1" s="62">
      <c r="A332" s="107" t="n"/>
      <c r="B332" s="110">
        <f>IFERROR(IF($A332="","",IFERROR(INDEX(tblCalisan[Brüt Ücret (₺)],MATCH($A332,tblCalisan[Çalışan Adı],0)),"")),"")</f>
        <v/>
      </c>
      <c r="C332" s="110">
        <f>IF($A332="","",IFERROR($B332*IsverenPayiOrani,""))</f>
        <v/>
      </c>
      <c r="D332" s="110">
        <f>IF($A332="","",IFERROR($B332*IssizlikOrani,""))</f>
        <v/>
      </c>
      <c r="E332" s="110">
        <f>IF($A332="","",IFERROR($B332*KidemKarsilikOrani,""))</f>
        <v/>
      </c>
      <c r="F332" s="108" t="n"/>
      <c r="G332" s="110">
        <f>IF($A332="","",IFERROR($B332+$C332+$D332+$E332+$F332,""))</f>
        <v/>
      </c>
      <c r="H332" s="110">
        <f>IF($A332="","",IFERROR($G332*AySayisi,""))</f>
        <v/>
      </c>
    </row>
    <row r="333" ht="15" customHeight="1" s="62">
      <c r="A333" s="107" t="n"/>
      <c r="B333" s="110">
        <f>IFERROR(IF($A333="","",IFERROR(INDEX(tblCalisan[Brüt Ücret (₺)],MATCH($A333,tblCalisan[Çalışan Adı],0)),"")),"")</f>
        <v/>
      </c>
      <c r="C333" s="110">
        <f>IF($A333="","",IFERROR($B333*IsverenPayiOrani,""))</f>
        <v/>
      </c>
      <c r="D333" s="110">
        <f>IF($A333="","",IFERROR($B333*IssizlikOrani,""))</f>
        <v/>
      </c>
      <c r="E333" s="110">
        <f>IF($A333="","",IFERROR($B333*KidemKarsilikOrani,""))</f>
        <v/>
      </c>
      <c r="F333" s="108" t="n"/>
      <c r="G333" s="110">
        <f>IF($A333="","",IFERROR($B333+$C333+$D333+$E333+$F333,""))</f>
        <v/>
      </c>
      <c r="H333" s="110">
        <f>IF($A333="","",IFERROR($G333*AySayisi,""))</f>
        <v/>
      </c>
    </row>
    <row r="334" ht="15" customHeight="1" s="62">
      <c r="A334" s="107" t="n"/>
      <c r="B334" s="110">
        <f>IFERROR(IF($A334="","",IFERROR(INDEX(tblCalisan[Brüt Ücret (₺)],MATCH($A334,tblCalisan[Çalışan Adı],0)),"")),"")</f>
        <v/>
      </c>
      <c r="C334" s="110">
        <f>IF($A334="","",IFERROR($B334*IsverenPayiOrani,""))</f>
        <v/>
      </c>
      <c r="D334" s="110">
        <f>IF($A334="","",IFERROR($B334*IssizlikOrani,""))</f>
        <v/>
      </c>
      <c r="E334" s="110">
        <f>IF($A334="","",IFERROR($B334*KidemKarsilikOrani,""))</f>
        <v/>
      </c>
      <c r="F334" s="108" t="n"/>
      <c r="G334" s="110">
        <f>IF($A334="","",IFERROR($B334+$C334+$D334+$E334+$F334,""))</f>
        <v/>
      </c>
      <c r="H334" s="110">
        <f>IF($A334="","",IFERROR($G334*AySayisi,""))</f>
        <v/>
      </c>
    </row>
    <row r="335" ht="15" customHeight="1" s="62">
      <c r="A335" s="107" t="n"/>
      <c r="B335" s="110">
        <f>IFERROR(IF($A335="","",IFERROR(INDEX(tblCalisan[Brüt Ücret (₺)],MATCH($A335,tblCalisan[Çalışan Adı],0)),"")),"")</f>
        <v/>
      </c>
      <c r="C335" s="110">
        <f>IF($A335="","",IFERROR($B335*IsverenPayiOrani,""))</f>
        <v/>
      </c>
      <c r="D335" s="110">
        <f>IF($A335="","",IFERROR($B335*IssizlikOrani,""))</f>
        <v/>
      </c>
      <c r="E335" s="110">
        <f>IF($A335="","",IFERROR($B335*KidemKarsilikOrani,""))</f>
        <v/>
      </c>
      <c r="F335" s="108" t="n"/>
      <c r="G335" s="110">
        <f>IF($A335="","",IFERROR($B335+$C335+$D335+$E335+$F335,""))</f>
        <v/>
      </c>
      <c r="H335" s="110">
        <f>IF($A335="","",IFERROR($G335*AySayisi,""))</f>
        <v/>
      </c>
    </row>
    <row r="336" ht="15" customHeight="1" s="62">
      <c r="A336" s="107" t="n"/>
      <c r="B336" s="110">
        <f>IFERROR(IF($A336="","",IFERROR(INDEX(tblCalisan[Brüt Ücret (₺)],MATCH($A336,tblCalisan[Çalışan Adı],0)),"")),"")</f>
        <v/>
      </c>
      <c r="C336" s="110">
        <f>IF($A336="","",IFERROR($B336*IsverenPayiOrani,""))</f>
        <v/>
      </c>
      <c r="D336" s="110">
        <f>IF($A336="","",IFERROR($B336*IssizlikOrani,""))</f>
        <v/>
      </c>
      <c r="E336" s="110">
        <f>IF($A336="","",IFERROR($B336*KidemKarsilikOrani,""))</f>
        <v/>
      </c>
      <c r="F336" s="108" t="n"/>
      <c r="G336" s="110">
        <f>IF($A336="","",IFERROR($B336+$C336+$D336+$E336+$F336,""))</f>
        <v/>
      </c>
      <c r="H336" s="110">
        <f>IF($A336="","",IFERROR($G336*AySayisi,""))</f>
        <v/>
      </c>
    </row>
    <row r="337" ht="15" customHeight="1" s="62">
      <c r="A337" s="107" t="n"/>
      <c r="B337" s="110">
        <f>IFERROR(IF($A337="","",IFERROR(INDEX(tblCalisan[Brüt Ücret (₺)],MATCH($A337,tblCalisan[Çalışan Adı],0)),"")),"")</f>
        <v/>
      </c>
      <c r="C337" s="110">
        <f>IF($A337="","",IFERROR($B337*IsverenPayiOrani,""))</f>
        <v/>
      </c>
      <c r="D337" s="110">
        <f>IF($A337="","",IFERROR($B337*IssizlikOrani,""))</f>
        <v/>
      </c>
      <c r="E337" s="110">
        <f>IF($A337="","",IFERROR($B337*KidemKarsilikOrani,""))</f>
        <v/>
      </c>
      <c r="F337" s="108" t="n"/>
      <c r="G337" s="110">
        <f>IF($A337="","",IFERROR($B337+$C337+$D337+$E337+$F337,""))</f>
        <v/>
      </c>
      <c r="H337" s="110">
        <f>IF($A337="","",IFERROR($G337*AySayisi,""))</f>
        <v/>
      </c>
    </row>
    <row r="338" ht="15" customHeight="1" s="62">
      <c r="A338" s="107" t="n"/>
      <c r="B338" s="110">
        <f>IFERROR(IF($A338="","",IFERROR(INDEX(tblCalisan[Brüt Ücret (₺)],MATCH($A338,tblCalisan[Çalışan Adı],0)),"")),"")</f>
        <v/>
      </c>
      <c r="C338" s="110">
        <f>IF($A338="","",IFERROR($B338*IsverenPayiOrani,""))</f>
        <v/>
      </c>
      <c r="D338" s="110">
        <f>IF($A338="","",IFERROR($B338*IssizlikOrani,""))</f>
        <v/>
      </c>
      <c r="E338" s="110">
        <f>IF($A338="","",IFERROR($B338*KidemKarsilikOrani,""))</f>
        <v/>
      </c>
      <c r="F338" s="108" t="n"/>
      <c r="G338" s="110">
        <f>IF($A338="","",IFERROR($B338+$C338+$D338+$E338+$F338,""))</f>
        <v/>
      </c>
      <c r="H338" s="110">
        <f>IF($A338="","",IFERROR($G338*AySayisi,""))</f>
        <v/>
      </c>
    </row>
    <row r="339" ht="15" customHeight="1" s="62">
      <c r="A339" s="107" t="n"/>
      <c r="B339" s="110">
        <f>IFERROR(IF($A339="","",IFERROR(INDEX(tblCalisan[Brüt Ücret (₺)],MATCH($A339,tblCalisan[Çalışan Adı],0)),"")),"")</f>
        <v/>
      </c>
      <c r="C339" s="110">
        <f>IF($A339="","",IFERROR($B339*IsverenPayiOrani,""))</f>
        <v/>
      </c>
      <c r="D339" s="110">
        <f>IF($A339="","",IFERROR($B339*IssizlikOrani,""))</f>
        <v/>
      </c>
      <c r="E339" s="110">
        <f>IF($A339="","",IFERROR($B339*KidemKarsilikOrani,""))</f>
        <v/>
      </c>
      <c r="F339" s="108" t="n"/>
      <c r="G339" s="110">
        <f>IF($A339="","",IFERROR($B339+$C339+$D339+$E339+$F339,""))</f>
        <v/>
      </c>
      <c r="H339" s="110">
        <f>IF($A339="","",IFERROR($G339*AySayisi,""))</f>
        <v/>
      </c>
    </row>
    <row r="340" ht="15" customHeight="1" s="62">
      <c r="A340" s="107" t="n"/>
      <c r="B340" s="110">
        <f>IFERROR(IF($A340="","",IFERROR(INDEX(tblCalisan[Brüt Ücret (₺)],MATCH($A340,tblCalisan[Çalışan Adı],0)),"")),"")</f>
        <v/>
      </c>
      <c r="C340" s="110">
        <f>IF($A340="","",IFERROR($B340*IsverenPayiOrani,""))</f>
        <v/>
      </c>
      <c r="D340" s="110">
        <f>IF($A340="","",IFERROR($B340*IssizlikOrani,""))</f>
        <v/>
      </c>
      <c r="E340" s="110">
        <f>IF($A340="","",IFERROR($B340*KidemKarsilikOrani,""))</f>
        <v/>
      </c>
      <c r="F340" s="108" t="n"/>
      <c r="G340" s="110">
        <f>IF($A340="","",IFERROR($B340+$C340+$D340+$E340+$F340,""))</f>
        <v/>
      </c>
      <c r="H340" s="110">
        <f>IF($A340="","",IFERROR($G340*AySayisi,""))</f>
        <v/>
      </c>
    </row>
    <row r="341" ht="15" customHeight="1" s="62">
      <c r="A341" s="107" t="n"/>
      <c r="B341" s="110">
        <f>IFERROR(IF($A341="","",IFERROR(INDEX(tblCalisan[Brüt Ücret (₺)],MATCH($A341,tblCalisan[Çalışan Adı],0)),"")),"")</f>
        <v/>
      </c>
      <c r="C341" s="110">
        <f>IF($A341="","",IFERROR($B341*IsverenPayiOrani,""))</f>
        <v/>
      </c>
      <c r="D341" s="110">
        <f>IF($A341="","",IFERROR($B341*IssizlikOrani,""))</f>
        <v/>
      </c>
      <c r="E341" s="110">
        <f>IF($A341="","",IFERROR($B341*KidemKarsilikOrani,""))</f>
        <v/>
      </c>
      <c r="F341" s="108" t="n"/>
      <c r="G341" s="110">
        <f>IF($A341="","",IFERROR($B341+$C341+$D341+$E341+$F341,""))</f>
        <v/>
      </c>
      <c r="H341" s="110">
        <f>IF($A341="","",IFERROR($G341*AySayisi,""))</f>
        <v/>
      </c>
    </row>
    <row r="342" ht="15" customHeight="1" s="62">
      <c r="A342" s="107" t="n"/>
      <c r="B342" s="110">
        <f>IFERROR(IF($A342="","",IFERROR(INDEX(tblCalisan[Brüt Ücret (₺)],MATCH($A342,tblCalisan[Çalışan Adı],0)),"")),"")</f>
        <v/>
      </c>
      <c r="C342" s="110">
        <f>IF($A342="","",IFERROR($B342*IsverenPayiOrani,""))</f>
        <v/>
      </c>
      <c r="D342" s="110">
        <f>IF($A342="","",IFERROR($B342*IssizlikOrani,""))</f>
        <v/>
      </c>
      <c r="E342" s="110">
        <f>IF($A342="","",IFERROR($B342*KidemKarsilikOrani,""))</f>
        <v/>
      </c>
      <c r="F342" s="108" t="n"/>
      <c r="G342" s="110">
        <f>IF($A342="","",IFERROR($B342+$C342+$D342+$E342+$F342,""))</f>
        <v/>
      </c>
      <c r="H342" s="110">
        <f>IF($A342="","",IFERROR($G342*AySayisi,""))</f>
        <v/>
      </c>
    </row>
    <row r="343" ht="15" customHeight="1" s="62">
      <c r="A343" s="107" t="n"/>
      <c r="B343" s="110">
        <f>IFERROR(IF($A343="","",IFERROR(INDEX(tblCalisan[Brüt Ücret (₺)],MATCH($A343,tblCalisan[Çalışan Adı],0)),"")),"")</f>
        <v/>
      </c>
      <c r="C343" s="110">
        <f>IF($A343="","",IFERROR($B343*IsverenPayiOrani,""))</f>
        <v/>
      </c>
      <c r="D343" s="110">
        <f>IF($A343="","",IFERROR($B343*IssizlikOrani,""))</f>
        <v/>
      </c>
      <c r="E343" s="110">
        <f>IF($A343="","",IFERROR($B343*KidemKarsilikOrani,""))</f>
        <v/>
      </c>
      <c r="F343" s="108" t="n"/>
      <c r="G343" s="110">
        <f>IF($A343="","",IFERROR($B343+$C343+$D343+$E343+$F343,""))</f>
        <v/>
      </c>
      <c r="H343" s="110">
        <f>IF($A343="","",IFERROR($G343*AySayisi,""))</f>
        <v/>
      </c>
    </row>
    <row r="344" ht="15" customHeight="1" s="62">
      <c r="A344" s="107" t="n"/>
      <c r="B344" s="110">
        <f>IFERROR(IF($A344="","",IFERROR(INDEX(tblCalisan[Brüt Ücret (₺)],MATCH($A344,tblCalisan[Çalışan Adı],0)),"")),"")</f>
        <v/>
      </c>
      <c r="C344" s="110">
        <f>IF($A344="","",IFERROR($B344*IsverenPayiOrani,""))</f>
        <v/>
      </c>
      <c r="D344" s="110">
        <f>IF($A344="","",IFERROR($B344*IssizlikOrani,""))</f>
        <v/>
      </c>
      <c r="E344" s="110">
        <f>IF($A344="","",IFERROR($B344*KidemKarsilikOrani,""))</f>
        <v/>
      </c>
      <c r="F344" s="108" t="n"/>
      <c r="G344" s="110">
        <f>IF($A344="","",IFERROR($B344+$C344+$D344+$E344+$F344,""))</f>
        <v/>
      </c>
      <c r="H344" s="110">
        <f>IF($A344="","",IFERROR($G344*AySayisi,""))</f>
        <v/>
      </c>
    </row>
    <row r="345" ht="15" customHeight="1" s="62">
      <c r="A345" s="107" t="n"/>
      <c r="B345" s="110">
        <f>IFERROR(IF($A345="","",IFERROR(INDEX(tblCalisan[Brüt Ücret (₺)],MATCH($A345,tblCalisan[Çalışan Adı],0)),"")),"")</f>
        <v/>
      </c>
      <c r="C345" s="110">
        <f>IF($A345="","",IFERROR($B345*IsverenPayiOrani,""))</f>
        <v/>
      </c>
      <c r="D345" s="110">
        <f>IF($A345="","",IFERROR($B345*IssizlikOrani,""))</f>
        <v/>
      </c>
      <c r="E345" s="110">
        <f>IF($A345="","",IFERROR($B345*KidemKarsilikOrani,""))</f>
        <v/>
      </c>
      <c r="F345" s="108" t="n"/>
      <c r="G345" s="110">
        <f>IF($A345="","",IFERROR($B345+$C345+$D345+$E345+$F345,""))</f>
        <v/>
      </c>
      <c r="H345" s="110">
        <f>IF($A345="","",IFERROR($G345*AySayisi,""))</f>
        <v/>
      </c>
    </row>
    <row r="346" ht="15" customHeight="1" s="62">
      <c r="A346" s="107" t="n"/>
      <c r="B346" s="110">
        <f>IFERROR(IF($A346="","",IFERROR(INDEX(tblCalisan[Brüt Ücret (₺)],MATCH($A346,tblCalisan[Çalışan Adı],0)),"")),"")</f>
        <v/>
      </c>
      <c r="C346" s="110">
        <f>IF($A346="","",IFERROR($B346*IsverenPayiOrani,""))</f>
        <v/>
      </c>
      <c r="D346" s="110">
        <f>IF($A346="","",IFERROR($B346*IssizlikOrani,""))</f>
        <v/>
      </c>
      <c r="E346" s="110">
        <f>IF($A346="","",IFERROR($B346*KidemKarsilikOrani,""))</f>
        <v/>
      </c>
      <c r="F346" s="108" t="n"/>
      <c r="G346" s="110">
        <f>IF($A346="","",IFERROR($B346+$C346+$D346+$E346+$F346,""))</f>
        <v/>
      </c>
      <c r="H346" s="110">
        <f>IF($A346="","",IFERROR($G346*AySayisi,""))</f>
        <v/>
      </c>
    </row>
    <row r="347" ht="15" customHeight="1" s="62">
      <c r="A347" s="107" t="n"/>
      <c r="B347" s="110">
        <f>IFERROR(IF($A347="","",IFERROR(INDEX(tblCalisan[Brüt Ücret (₺)],MATCH($A347,tblCalisan[Çalışan Adı],0)),"")),"")</f>
        <v/>
      </c>
      <c r="C347" s="110">
        <f>IF($A347="","",IFERROR($B347*IsverenPayiOrani,""))</f>
        <v/>
      </c>
      <c r="D347" s="110">
        <f>IF($A347="","",IFERROR($B347*IssizlikOrani,""))</f>
        <v/>
      </c>
      <c r="E347" s="110">
        <f>IF($A347="","",IFERROR($B347*KidemKarsilikOrani,""))</f>
        <v/>
      </c>
      <c r="F347" s="108" t="n"/>
      <c r="G347" s="110">
        <f>IF($A347="","",IFERROR($B347+$C347+$D347+$E347+$F347,""))</f>
        <v/>
      </c>
      <c r="H347" s="110">
        <f>IF($A347="","",IFERROR($G347*AySayisi,""))</f>
        <v/>
      </c>
    </row>
    <row r="348" ht="15" customHeight="1" s="62">
      <c r="A348" s="107" t="n"/>
      <c r="B348" s="110">
        <f>IFERROR(IF($A348="","",IFERROR(INDEX(tblCalisan[Brüt Ücret (₺)],MATCH($A348,tblCalisan[Çalışan Adı],0)),"")),"")</f>
        <v/>
      </c>
      <c r="C348" s="110">
        <f>IF($A348="","",IFERROR($B348*IsverenPayiOrani,""))</f>
        <v/>
      </c>
      <c r="D348" s="110">
        <f>IF($A348="","",IFERROR($B348*IssizlikOrani,""))</f>
        <v/>
      </c>
      <c r="E348" s="110">
        <f>IF($A348="","",IFERROR($B348*KidemKarsilikOrani,""))</f>
        <v/>
      </c>
      <c r="F348" s="108" t="n"/>
      <c r="G348" s="110">
        <f>IF($A348="","",IFERROR($B348+$C348+$D348+$E348+$F348,""))</f>
        <v/>
      </c>
      <c r="H348" s="110">
        <f>IF($A348="","",IFERROR($G348*AySayisi,""))</f>
        <v/>
      </c>
    </row>
    <row r="349" ht="15" customHeight="1" s="62">
      <c r="A349" s="107" t="n"/>
      <c r="B349" s="110">
        <f>IFERROR(IF($A349="","",IFERROR(INDEX(tblCalisan[Brüt Ücret (₺)],MATCH($A349,tblCalisan[Çalışan Adı],0)),"")),"")</f>
        <v/>
      </c>
      <c r="C349" s="110">
        <f>IF($A349="","",IFERROR($B349*IsverenPayiOrani,""))</f>
        <v/>
      </c>
      <c r="D349" s="110">
        <f>IF($A349="","",IFERROR($B349*IssizlikOrani,""))</f>
        <v/>
      </c>
      <c r="E349" s="110">
        <f>IF($A349="","",IFERROR($B349*KidemKarsilikOrani,""))</f>
        <v/>
      </c>
      <c r="F349" s="108" t="n"/>
      <c r="G349" s="110">
        <f>IF($A349="","",IFERROR($B349+$C349+$D349+$E349+$F349,""))</f>
        <v/>
      </c>
      <c r="H349" s="110">
        <f>IF($A349="","",IFERROR($G349*AySayisi,""))</f>
        <v/>
      </c>
    </row>
    <row r="350" ht="15" customHeight="1" s="62">
      <c r="A350" s="107" t="n"/>
      <c r="B350" s="110">
        <f>IFERROR(IF($A350="","",IFERROR(INDEX(tblCalisan[Brüt Ücret (₺)],MATCH($A350,tblCalisan[Çalışan Adı],0)),"")),"")</f>
        <v/>
      </c>
      <c r="C350" s="110">
        <f>IF($A350="","",IFERROR($B350*IsverenPayiOrani,""))</f>
        <v/>
      </c>
      <c r="D350" s="110">
        <f>IF($A350="","",IFERROR($B350*IssizlikOrani,""))</f>
        <v/>
      </c>
      <c r="E350" s="110">
        <f>IF($A350="","",IFERROR($B350*KidemKarsilikOrani,""))</f>
        <v/>
      </c>
      <c r="F350" s="108" t="n"/>
      <c r="G350" s="110">
        <f>IF($A350="","",IFERROR($B350+$C350+$D350+$E350+$F350,""))</f>
        <v/>
      </c>
      <c r="H350" s="110">
        <f>IF($A350="","",IFERROR($G350*AySayisi,""))</f>
        <v/>
      </c>
    </row>
    <row r="351" ht="15" customHeight="1" s="62">
      <c r="A351" s="107" t="n"/>
      <c r="B351" s="110">
        <f>IFERROR(IF($A351="","",IFERROR(INDEX(tblCalisan[Brüt Ücret (₺)],MATCH($A351,tblCalisan[Çalışan Adı],0)),"")),"")</f>
        <v/>
      </c>
      <c r="C351" s="110">
        <f>IF($A351="","",IFERROR($B351*IsverenPayiOrani,""))</f>
        <v/>
      </c>
      <c r="D351" s="110">
        <f>IF($A351="","",IFERROR($B351*IssizlikOrani,""))</f>
        <v/>
      </c>
      <c r="E351" s="110">
        <f>IF($A351="","",IFERROR($B351*KidemKarsilikOrani,""))</f>
        <v/>
      </c>
      <c r="F351" s="108" t="n"/>
      <c r="G351" s="110">
        <f>IF($A351="","",IFERROR($B351+$C351+$D351+$E351+$F351,""))</f>
        <v/>
      </c>
      <c r="H351" s="110">
        <f>IF($A351="","",IFERROR($G351*AySayisi,""))</f>
        <v/>
      </c>
    </row>
    <row r="352" ht="15" customHeight="1" s="62">
      <c r="A352" s="107" t="n"/>
      <c r="B352" s="110">
        <f>IFERROR(IF($A352="","",IFERROR(INDEX(tblCalisan[Brüt Ücret (₺)],MATCH($A352,tblCalisan[Çalışan Adı],0)),"")),"")</f>
        <v/>
      </c>
      <c r="C352" s="110">
        <f>IF($A352="","",IFERROR($B352*IsverenPayiOrani,""))</f>
        <v/>
      </c>
      <c r="D352" s="110">
        <f>IF($A352="","",IFERROR($B352*IssizlikOrani,""))</f>
        <v/>
      </c>
      <c r="E352" s="110">
        <f>IF($A352="","",IFERROR($B352*KidemKarsilikOrani,""))</f>
        <v/>
      </c>
      <c r="F352" s="108" t="n"/>
      <c r="G352" s="110">
        <f>IF($A352="","",IFERROR($B352+$C352+$D352+$E352+$F352,""))</f>
        <v/>
      </c>
      <c r="H352" s="110">
        <f>IF($A352="","",IFERROR($G352*AySayisi,""))</f>
        <v/>
      </c>
    </row>
    <row r="353" ht="15" customHeight="1" s="62">
      <c r="A353" s="107" t="n"/>
      <c r="B353" s="110">
        <f>IFERROR(IF($A353="","",IFERROR(INDEX(tblCalisan[Brüt Ücret (₺)],MATCH($A353,tblCalisan[Çalışan Adı],0)),"")),"")</f>
        <v/>
      </c>
      <c r="C353" s="110">
        <f>IF($A353="","",IFERROR($B353*IsverenPayiOrani,""))</f>
        <v/>
      </c>
      <c r="D353" s="110">
        <f>IF($A353="","",IFERROR($B353*IssizlikOrani,""))</f>
        <v/>
      </c>
      <c r="E353" s="110">
        <f>IF($A353="","",IFERROR($B353*KidemKarsilikOrani,""))</f>
        <v/>
      </c>
      <c r="F353" s="108" t="n"/>
      <c r="G353" s="110">
        <f>IF($A353="","",IFERROR($B353+$C353+$D353+$E353+$F353,""))</f>
        <v/>
      </c>
      <c r="H353" s="110">
        <f>IF($A353="","",IFERROR($G353*AySayisi,""))</f>
        <v/>
      </c>
    </row>
    <row r="354" ht="15" customHeight="1" s="62">
      <c r="A354" s="107" t="n"/>
      <c r="B354" s="110">
        <f>IFERROR(IF($A354="","",IFERROR(INDEX(tblCalisan[Brüt Ücret (₺)],MATCH($A354,tblCalisan[Çalışan Adı],0)),"")),"")</f>
        <v/>
      </c>
      <c r="C354" s="110">
        <f>IF($A354="","",IFERROR($B354*IsverenPayiOrani,""))</f>
        <v/>
      </c>
      <c r="D354" s="110">
        <f>IF($A354="","",IFERROR($B354*IssizlikOrani,""))</f>
        <v/>
      </c>
      <c r="E354" s="110">
        <f>IF($A354="","",IFERROR($B354*KidemKarsilikOrani,""))</f>
        <v/>
      </c>
      <c r="F354" s="108" t="n"/>
      <c r="G354" s="110">
        <f>IF($A354="","",IFERROR($B354+$C354+$D354+$E354+$F354,""))</f>
        <v/>
      </c>
      <c r="H354" s="110">
        <f>IF($A354="","",IFERROR($G354*AySayisi,""))</f>
        <v/>
      </c>
    </row>
    <row r="355" ht="15" customHeight="1" s="62">
      <c r="A355" s="107" t="n"/>
      <c r="B355" s="110">
        <f>IFERROR(IF($A355="","",IFERROR(INDEX(tblCalisan[Brüt Ücret (₺)],MATCH($A355,tblCalisan[Çalışan Adı],0)),"")),"")</f>
        <v/>
      </c>
      <c r="C355" s="110">
        <f>IF($A355="","",IFERROR($B355*IsverenPayiOrani,""))</f>
        <v/>
      </c>
      <c r="D355" s="110">
        <f>IF($A355="","",IFERROR($B355*IssizlikOrani,""))</f>
        <v/>
      </c>
      <c r="E355" s="110">
        <f>IF($A355="","",IFERROR($B355*KidemKarsilikOrani,""))</f>
        <v/>
      </c>
      <c r="F355" s="108" t="n"/>
      <c r="G355" s="110">
        <f>IF($A355="","",IFERROR($B355+$C355+$D355+$E355+$F355,""))</f>
        <v/>
      </c>
      <c r="H355" s="110">
        <f>IF($A355="","",IFERROR($G355*AySayisi,""))</f>
        <v/>
      </c>
    </row>
    <row r="356" ht="15" customHeight="1" s="62">
      <c r="A356" s="107" t="n"/>
      <c r="B356" s="110">
        <f>IFERROR(IF($A356="","",IFERROR(INDEX(tblCalisan[Brüt Ücret (₺)],MATCH($A356,tblCalisan[Çalışan Adı],0)),"")),"")</f>
        <v/>
      </c>
      <c r="C356" s="110">
        <f>IF($A356="","",IFERROR($B356*IsverenPayiOrani,""))</f>
        <v/>
      </c>
      <c r="D356" s="110">
        <f>IF($A356="","",IFERROR($B356*IssizlikOrani,""))</f>
        <v/>
      </c>
      <c r="E356" s="110">
        <f>IF($A356="","",IFERROR($B356*KidemKarsilikOrani,""))</f>
        <v/>
      </c>
      <c r="F356" s="108" t="n"/>
      <c r="G356" s="110">
        <f>IF($A356="","",IFERROR($B356+$C356+$D356+$E356+$F356,""))</f>
        <v/>
      </c>
      <c r="H356" s="110">
        <f>IF($A356="","",IFERROR($G356*AySayisi,""))</f>
        <v/>
      </c>
    </row>
    <row r="357" ht="15" customHeight="1" s="62">
      <c r="A357" s="107" t="n"/>
      <c r="B357" s="110">
        <f>IFERROR(IF($A357="","",IFERROR(INDEX(tblCalisan[Brüt Ücret (₺)],MATCH($A357,tblCalisan[Çalışan Adı],0)),"")),"")</f>
        <v/>
      </c>
      <c r="C357" s="110">
        <f>IF($A357="","",IFERROR($B357*IsverenPayiOrani,""))</f>
        <v/>
      </c>
      <c r="D357" s="110">
        <f>IF($A357="","",IFERROR($B357*IssizlikOrani,""))</f>
        <v/>
      </c>
      <c r="E357" s="110">
        <f>IF($A357="","",IFERROR($B357*KidemKarsilikOrani,""))</f>
        <v/>
      </c>
      <c r="F357" s="108" t="n"/>
      <c r="G357" s="110">
        <f>IF($A357="","",IFERROR($B357+$C357+$D357+$E357+$F357,""))</f>
        <v/>
      </c>
      <c r="H357" s="110">
        <f>IF($A357="","",IFERROR($G357*AySayisi,""))</f>
        <v/>
      </c>
    </row>
    <row r="358" ht="15" customHeight="1" s="62">
      <c r="A358" s="107" t="n"/>
      <c r="B358" s="110">
        <f>IFERROR(IF($A358="","",IFERROR(INDEX(tblCalisan[Brüt Ücret (₺)],MATCH($A358,tblCalisan[Çalışan Adı],0)),"")),"")</f>
        <v/>
      </c>
      <c r="C358" s="110">
        <f>IF($A358="","",IFERROR($B358*IsverenPayiOrani,""))</f>
        <v/>
      </c>
      <c r="D358" s="110">
        <f>IF($A358="","",IFERROR($B358*IssizlikOrani,""))</f>
        <v/>
      </c>
      <c r="E358" s="110">
        <f>IF($A358="","",IFERROR($B358*KidemKarsilikOrani,""))</f>
        <v/>
      </c>
      <c r="F358" s="108" t="n"/>
      <c r="G358" s="110">
        <f>IF($A358="","",IFERROR($B358+$C358+$D358+$E358+$F358,""))</f>
        <v/>
      </c>
      <c r="H358" s="110">
        <f>IF($A358="","",IFERROR($G358*AySayisi,""))</f>
        <v/>
      </c>
    </row>
    <row r="359" ht="15" customHeight="1" s="62">
      <c r="A359" s="107" t="n"/>
      <c r="B359" s="110">
        <f>IFERROR(IF($A359="","",IFERROR(INDEX(tblCalisan[Brüt Ücret (₺)],MATCH($A359,tblCalisan[Çalışan Adı],0)),"")),"")</f>
        <v/>
      </c>
      <c r="C359" s="110">
        <f>IF($A359="","",IFERROR($B359*IsverenPayiOrani,""))</f>
        <v/>
      </c>
      <c r="D359" s="110">
        <f>IF($A359="","",IFERROR($B359*IssizlikOrani,""))</f>
        <v/>
      </c>
      <c r="E359" s="110">
        <f>IF($A359="","",IFERROR($B359*KidemKarsilikOrani,""))</f>
        <v/>
      </c>
      <c r="F359" s="108" t="n"/>
      <c r="G359" s="110">
        <f>IF($A359="","",IFERROR($B359+$C359+$D359+$E359+$F359,""))</f>
        <v/>
      </c>
      <c r="H359" s="110">
        <f>IF($A359="","",IFERROR($G359*AySayisi,""))</f>
        <v/>
      </c>
    </row>
    <row r="360" ht="15" customHeight="1" s="62">
      <c r="A360" s="107" t="n"/>
      <c r="B360" s="110">
        <f>IFERROR(IF($A360="","",IFERROR(INDEX(tblCalisan[Brüt Ücret (₺)],MATCH($A360,tblCalisan[Çalışan Adı],0)),"")),"")</f>
        <v/>
      </c>
      <c r="C360" s="110">
        <f>IF($A360="","",IFERROR($B360*IsverenPayiOrani,""))</f>
        <v/>
      </c>
      <c r="D360" s="110">
        <f>IF($A360="","",IFERROR($B360*IssizlikOrani,""))</f>
        <v/>
      </c>
      <c r="E360" s="110">
        <f>IF($A360="","",IFERROR($B360*KidemKarsilikOrani,""))</f>
        <v/>
      </c>
      <c r="F360" s="108" t="n"/>
      <c r="G360" s="110">
        <f>IF($A360="","",IFERROR($B360+$C360+$D360+$E360+$F360,""))</f>
        <v/>
      </c>
      <c r="H360" s="110">
        <f>IF($A360="","",IFERROR($G360*AySayisi,""))</f>
        <v/>
      </c>
    </row>
    <row r="361" ht="15" customHeight="1" s="62">
      <c r="A361" s="107" t="n"/>
      <c r="B361" s="110">
        <f>IFERROR(IF($A361="","",IFERROR(INDEX(tblCalisan[Brüt Ücret (₺)],MATCH($A361,tblCalisan[Çalışan Adı],0)),"")),"")</f>
        <v/>
      </c>
      <c r="C361" s="110">
        <f>IF($A361="","",IFERROR($B361*IsverenPayiOrani,""))</f>
        <v/>
      </c>
      <c r="D361" s="110">
        <f>IF($A361="","",IFERROR($B361*IssizlikOrani,""))</f>
        <v/>
      </c>
      <c r="E361" s="110">
        <f>IF($A361="","",IFERROR($B361*KidemKarsilikOrani,""))</f>
        <v/>
      </c>
      <c r="F361" s="108" t="n"/>
      <c r="G361" s="110">
        <f>IF($A361="","",IFERROR($B361+$C361+$D361+$E361+$F361,""))</f>
        <v/>
      </c>
      <c r="H361" s="110">
        <f>IF($A361="","",IFERROR($G361*AySayisi,""))</f>
        <v/>
      </c>
    </row>
    <row r="362" ht="15" customHeight="1" s="62">
      <c r="A362" s="107" t="n"/>
      <c r="B362" s="110">
        <f>IFERROR(IF($A362="","",IFERROR(INDEX(tblCalisan[Brüt Ücret (₺)],MATCH($A362,tblCalisan[Çalışan Adı],0)),"")),"")</f>
        <v/>
      </c>
      <c r="C362" s="110">
        <f>IF($A362="","",IFERROR($B362*IsverenPayiOrani,""))</f>
        <v/>
      </c>
      <c r="D362" s="110">
        <f>IF($A362="","",IFERROR($B362*IssizlikOrani,""))</f>
        <v/>
      </c>
      <c r="E362" s="110">
        <f>IF($A362="","",IFERROR($B362*KidemKarsilikOrani,""))</f>
        <v/>
      </c>
      <c r="F362" s="108" t="n"/>
      <c r="G362" s="110">
        <f>IF($A362="","",IFERROR($B362+$C362+$D362+$E362+$F362,""))</f>
        <v/>
      </c>
      <c r="H362" s="110">
        <f>IF($A362="","",IFERROR($G362*AySayisi,""))</f>
        <v/>
      </c>
    </row>
    <row r="363" ht="15" customHeight="1" s="62">
      <c r="A363" s="107" t="n"/>
      <c r="B363" s="110">
        <f>IFERROR(IF($A363="","",IFERROR(INDEX(tblCalisan[Brüt Ücret (₺)],MATCH($A363,tblCalisan[Çalışan Adı],0)),"")),"")</f>
        <v/>
      </c>
      <c r="C363" s="110">
        <f>IF($A363="","",IFERROR($B363*IsverenPayiOrani,""))</f>
        <v/>
      </c>
      <c r="D363" s="110">
        <f>IF($A363="","",IFERROR($B363*IssizlikOrani,""))</f>
        <v/>
      </c>
      <c r="E363" s="110">
        <f>IF($A363="","",IFERROR($B363*KidemKarsilikOrani,""))</f>
        <v/>
      </c>
      <c r="F363" s="108" t="n"/>
      <c r="G363" s="110">
        <f>IF($A363="","",IFERROR($B363+$C363+$D363+$E363+$F363,""))</f>
        <v/>
      </c>
      <c r="H363" s="110">
        <f>IF($A363="","",IFERROR($G363*AySayisi,""))</f>
        <v/>
      </c>
    </row>
    <row r="364" ht="15" customHeight="1" s="62">
      <c r="A364" s="107" t="n"/>
      <c r="B364" s="110">
        <f>IFERROR(IF($A364="","",IFERROR(INDEX(tblCalisan[Brüt Ücret (₺)],MATCH($A364,tblCalisan[Çalışan Adı],0)),"")),"")</f>
        <v/>
      </c>
      <c r="C364" s="110">
        <f>IF($A364="","",IFERROR($B364*IsverenPayiOrani,""))</f>
        <v/>
      </c>
      <c r="D364" s="110">
        <f>IF($A364="","",IFERROR($B364*IssizlikOrani,""))</f>
        <v/>
      </c>
      <c r="E364" s="110">
        <f>IF($A364="","",IFERROR($B364*KidemKarsilikOrani,""))</f>
        <v/>
      </c>
      <c r="F364" s="108" t="n"/>
      <c r="G364" s="110">
        <f>IF($A364="","",IFERROR($B364+$C364+$D364+$E364+$F364,""))</f>
        <v/>
      </c>
      <c r="H364" s="110">
        <f>IF($A364="","",IFERROR($G364*AySayisi,""))</f>
        <v/>
      </c>
    </row>
    <row r="365" ht="15" customHeight="1" s="62">
      <c r="A365" s="107" t="n"/>
      <c r="B365" s="110">
        <f>IFERROR(IF($A365="","",IFERROR(INDEX(tblCalisan[Brüt Ücret (₺)],MATCH($A365,tblCalisan[Çalışan Adı],0)),"")),"")</f>
        <v/>
      </c>
      <c r="C365" s="110">
        <f>IF($A365="","",IFERROR($B365*IsverenPayiOrani,""))</f>
        <v/>
      </c>
      <c r="D365" s="110">
        <f>IF($A365="","",IFERROR($B365*IssizlikOrani,""))</f>
        <v/>
      </c>
      <c r="E365" s="110">
        <f>IF($A365="","",IFERROR($B365*KidemKarsilikOrani,""))</f>
        <v/>
      </c>
      <c r="F365" s="108" t="n"/>
      <c r="G365" s="110">
        <f>IF($A365="","",IFERROR($B365+$C365+$D365+$E365+$F365,""))</f>
        <v/>
      </c>
      <c r="H365" s="110">
        <f>IF($A365="","",IFERROR($G365*AySayisi,""))</f>
        <v/>
      </c>
    </row>
    <row r="366" ht="15" customHeight="1" s="62">
      <c r="A366" s="107" t="n"/>
      <c r="B366" s="110">
        <f>IFERROR(IF($A366="","",IFERROR(INDEX(tblCalisan[Brüt Ücret (₺)],MATCH($A366,tblCalisan[Çalışan Adı],0)),"")),"")</f>
        <v/>
      </c>
      <c r="C366" s="110">
        <f>IF($A366="","",IFERROR($B366*IsverenPayiOrani,""))</f>
        <v/>
      </c>
      <c r="D366" s="110">
        <f>IF($A366="","",IFERROR($B366*IssizlikOrani,""))</f>
        <v/>
      </c>
      <c r="E366" s="110">
        <f>IF($A366="","",IFERROR($B366*KidemKarsilikOrani,""))</f>
        <v/>
      </c>
      <c r="F366" s="108" t="n"/>
      <c r="G366" s="110">
        <f>IF($A366="","",IFERROR($B366+$C366+$D366+$E366+$F366,""))</f>
        <v/>
      </c>
      <c r="H366" s="110">
        <f>IF($A366="","",IFERROR($G366*AySayisi,""))</f>
        <v/>
      </c>
    </row>
    <row r="367" ht="15" customHeight="1" s="62">
      <c r="A367" s="107" t="n"/>
      <c r="B367" s="110">
        <f>IFERROR(IF($A367="","",IFERROR(INDEX(tblCalisan[Brüt Ücret (₺)],MATCH($A367,tblCalisan[Çalışan Adı],0)),"")),"")</f>
        <v/>
      </c>
      <c r="C367" s="110">
        <f>IF($A367="","",IFERROR($B367*IsverenPayiOrani,""))</f>
        <v/>
      </c>
      <c r="D367" s="110">
        <f>IF($A367="","",IFERROR($B367*IssizlikOrani,""))</f>
        <v/>
      </c>
      <c r="E367" s="110">
        <f>IF($A367="","",IFERROR($B367*KidemKarsilikOrani,""))</f>
        <v/>
      </c>
      <c r="F367" s="108" t="n"/>
      <c r="G367" s="110">
        <f>IF($A367="","",IFERROR($B367+$C367+$D367+$E367+$F367,""))</f>
        <v/>
      </c>
      <c r="H367" s="110">
        <f>IF($A367="","",IFERROR($G367*AySayisi,""))</f>
        <v/>
      </c>
    </row>
    <row r="368" ht="15" customHeight="1" s="62">
      <c r="A368" s="107" t="n"/>
      <c r="B368" s="110">
        <f>IFERROR(IF($A368="","",IFERROR(INDEX(tblCalisan[Brüt Ücret (₺)],MATCH($A368,tblCalisan[Çalışan Adı],0)),"")),"")</f>
        <v/>
      </c>
      <c r="C368" s="110">
        <f>IF($A368="","",IFERROR($B368*IsverenPayiOrani,""))</f>
        <v/>
      </c>
      <c r="D368" s="110">
        <f>IF($A368="","",IFERROR($B368*IssizlikOrani,""))</f>
        <v/>
      </c>
      <c r="E368" s="110">
        <f>IF($A368="","",IFERROR($B368*KidemKarsilikOrani,""))</f>
        <v/>
      </c>
      <c r="F368" s="108" t="n"/>
      <c r="G368" s="110">
        <f>IF($A368="","",IFERROR($B368+$C368+$D368+$E368+$F368,""))</f>
        <v/>
      </c>
      <c r="H368" s="110">
        <f>IF($A368="","",IFERROR($G368*AySayisi,""))</f>
        <v/>
      </c>
    </row>
    <row r="369" ht="15" customHeight="1" s="62">
      <c r="A369" s="107" t="n"/>
      <c r="B369" s="110">
        <f>IFERROR(IF($A369="","",IFERROR(INDEX(tblCalisan[Brüt Ücret (₺)],MATCH($A369,tblCalisan[Çalışan Adı],0)),"")),"")</f>
        <v/>
      </c>
      <c r="C369" s="110">
        <f>IF($A369="","",IFERROR($B369*IsverenPayiOrani,""))</f>
        <v/>
      </c>
      <c r="D369" s="110">
        <f>IF($A369="","",IFERROR($B369*IssizlikOrani,""))</f>
        <v/>
      </c>
      <c r="E369" s="110">
        <f>IF($A369="","",IFERROR($B369*KidemKarsilikOrani,""))</f>
        <v/>
      </c>
      <c r="F369" s="108" t="n"/>
      <c r="G369" s="110">
        <f>IF($A369="","",IFERROR($B369+$C369+$D369+$E369+$F369,""))</f>
        <v/>
      </c>
      <c r="H369" s="110">
        <f>IF($A369="","",IFERROR($G369*AySayisi,""))</f>
        <v/>
      </c>
    </row>
    <row r="370" ht="15" customHeight="1" s="62">
      <c r="A370" s="107" t="n"/>
      <c r="B370" s="110">
        <f>IFERROR(IF($A370="","",IFERROR(INDEX(tblCalisan[Brüt Ücret (₺)],MATCH($A370,tblCalisan[Çalışan Adı],0)),"")),"")</f>
        <v/>
      </c>
      <c r="C370" s="110">
        <f>IF($A370="","",IFERROR($B370*IsverenPayiOrani,""))</f>
        <v/>
      </c>
      <c r="D370" s="110">
        <f>IF($A370="","",IFERROR($B370*IssizlikOrani,""))</f>
        <v/>
      </c>
      <c r="E370" s="110">
        <f>IF($A370="","",IFERROR($B370*KidemKarsilikOrani,""))</f>
        <v/>
      </c>
      <c r="F370" s="108" t="n"/>
      <c r="G370" s="110">
        <f>IF($A370="","",IFERROR($B370+$C370+$D370+$E370+$F370,""))</f>
        <v/>
      </c>
      <c r="H370" s="110">
        <f>IF($A370="","",IFERROR($G370*AySayisi,""))</f>
        <v/>
      </c>
    </row>
    <row r="371" ht="15" customHeight="1" s="62">
      <c r="A371" s="107" t="n"/>
      <c r="B371" s="110">
        <f>IFERROR(IF($A371="","",IFERROR(INDEX(tblCalisan[Brüt Ücret (₺)],MATCH($A371,tblCalisan[Çalışan Adı],0)),"")),"")</f>
        <v/>
      </c>
      <c r="C371" s="110">
        <f>IF($A371="","",IFERROR($B371*IsverenPayiOrani,""))</f>
        <v/>
      </c>
      <c r="D371" s="110">
        <f>IF($A371="","",IFERROR($B371*IssizlikOrani,""))</f>
        <v/>
      </c>
      <c r="E371" s="110">
        <f>IF($A371="","",IFERROR($B371*KidemKarsilikOrani,""))</f>
        <v/>
      </c>
      <c r="F371" s="108" t="n"/>
      <c r="G371" s="110">
        <f>IF($A371="","",IFERROR($B371+$C371+$D371+$E371+$F371,""))</f>
        <v/>
      </c>
      <c r="H371" s="110">
        <f>IF($A371="","",IFERROR($G371*AySayisi,""))</f>
        <v/>
      </c>
    </row>
    <row r="372" ht="15" customHeight="1" s="62">
      <c r="A372" s="107" t="n"/>
      <c r="B372" s="110">
        <f>IFERROR(IF($A372="","",IFERROR(INDEX(tblCalisan[Brüt Ücret (₺)],MATCH($A372,tblCalisan[Çalışan Adı],0)),"")),"")</f>
        <v/>
      </c>
      <c r="C372" s="110">
        <f>IF($A372="","",IFERROR($B372*IsverenPayiOrani,""))</f>
        <v/>
      </c>
      <c r="D372" s="110">
        <f>IF($A372="","",IFERROR($B372*IssizlikOrani,""))</f>
        <v/>
      </c>
      <c r="E372" s="110">
        <f>IF($A372="","",IFERROR($B372*KidemKarsilikOrani,""))</f>
        <v/>
      </c>
      <c r="F372" s="108" t="n"/>
      <c r="G372" s="110">
        <f>IF($A372="","",IFERROR($B372+$C372+$D372+$E372+$F372,""))</f>
        <v/>
      </c>
      <c r="H372" s="110">
        <f>IF($A372="","",IFERROR($G372*AySayisi,""))</f>
        <v/>
      </c>
    </row>
    <row r="373" ht="15" customHeight="1" s="62">
      <c r="A373" s="107" t="n"/>
      <c r="B373" s="110">
        <f>IFERROR(IF($A373="","",IFERROR(INDEX(tblCalisan[Brüt Ücret (₺)],MATCH($A373,tblCalisan[Çalışan Adı],0)),"")),"")</f>
        <v/>
      </c>
      <c r="C373" s="110">
        <f>IF($A373="","",IFERROR($B373*IsverenPayiOrani,""))</f>
        <v/>
      </c>
      <c r="D373" s="110">
        <f>IF($A373="","",IFERROR($B373*IssizlikOrani,""))</f>
        <v/>
      </c>
      <c r="E373" s="110">
        <f>IF($A373="","",IFERROR($B373*KidemKarsilikOrani,""))</f>
        <v/>
      </c>
      <c r="F373" s="108" t="n"/>
      <c r="G373" s="110">
        <f>IF($A373="","",IFERROR($B373+$C373+$D373+$E373+$F373,""))</f>
        <v/>
      </c>
      <c r="H373" s="110">
        <f>IF($A373="","",IFERROR($G373*AySayisi,""))</f>
        <v/>
      </c>
    </row>
    <row r="374" ht="15" customHeight="1" s="62">
      <c r="A374" s="107" t="n"/>
      <c r="B374" s="110">
        <f>IFERROR(IF($A374="","",IFERROR(INDEX(tblCalisan[Brüt Ücret (₺)],MATCH($A374,tblCalisan[Çalışan Adı],0)),"")),"")</f>
        <v/>
      </c>
      <c r="C374" s="110">
        <f>IF($A374="","",IFERROR($B374*IsverenPayiOrani,""))</f>
        <v/>
      </c>
      <c r="D374" s="110">
        <f>IF($A374="","",IFERROR($B374*IssizlikOrani,""))</f>
        <v/>
      </c>
      <c r="E374" s="110">
        <f>IF($A374="","",IFERROR($B374*KidemKarsilikOrani,""))</f>
        <v/>
      </c>
      <c r="F374" s="108" t="n"/>
      <c r="G374" s="110">
        <f>IF($A374="","",IFERROR($B374+$C374+$D374+$E374+$F374,""))</f>
        <v/>
      </c>
      <c r="H374" s="110">
        <f>IF($A374="","",IFERROR($G374*AySayisi,""))</f>
        <v/>
      </c>
    </row>
    <row r="375" ht="15" customHeight="1" s="62">
      <c r="A375" s="107" t="n"/>
      <c r="B375" s="110">
        <f>IFERROR(IF($A375="","",IFERROR(INDEX(tblCalisan[Brüt Ücret (₺)],MATCH($A375,tblCalisan[Çalışan Adı],0)),"")),"")</f>
        <v/>
      </c>
      <c r="C375" s="110">
        <f>IF($A375="","",IFERROR($B375*IsverenPayiOrani,""))</f>
        <v/>
      </c>
      <c r="D375" s="110">
        <f>IF($A375="","",IFERROR($B375*IssizlikOrani,""))</f>
        <v/>
      </c>
      <c r="E375" s="110">
        <f>IF($A375="","",IFERROR($B375*KidemKarsilikOrani,""))</f>
        <v/>
      </c>
      <c r="F375" s="108" t="n"/>
      <c r="G375" s="110">
        <f>IF($A375="","",IFERROR($B375+$C375+$D375+$E375+$F375,""))</f>
        <v/>
      </c>
      <c r="H375" s="110">
        <f>IF($A375="","",IFERROR($G375*AySayisi,""))</f>
        <v/>
      </c>
    </row>
    <row r="376" ht="15" customHeight="1" s="62">
      <c r="A376" s="107" t="n"/>
      <c r="B376" s="110">
        <f>IFERROR(IF($A376="","",IFERROR(INDEX(tblCalisan[Brüt Ücret (₺)],MATCH($A376,tblCalisan[Çalışan Adı],0)),"")),"")</f>
        <v/>
      </c>
      <c r="C376" s="110">
        <f>IF($A376="","",IFERROR($B376*IsverenPayiOrani,""))</f>
        <v/>
      </c>
      <c r="D376" s="110">
        <f>IF($A376="","",IFERROR($B376*IssizlikOrani,""))</f>
        <v/>
      </c>
      <c r="E376" s="110">
        <f>IF($A376="","",IFERROR($B376*KidemKarsilikOrani,""))</f>
        <v/>
      </c>
      <c r="F376" s="108" t="n"/>
      <c r="G376" s="110">
        <f>IF($A376="","",IFERROR($B376+$C376+$D376+$E376+$F376,""))</f>
        <v/>
      </c>
      <c r="H376" s="110">
        <f>IF($A376="","",IFERROR($G376*AySayisi,""))</f>
        <v/>
      </c>
    </row>
    <row r="377" ht="15" customHeight="1" s="62">
      <c r="A377" s="107" t="n"/>
      <c r="B377" s="110">
        <f>IFERROR(IF($A377="","",IFERROR(INDEX(tblCalisan[Brüt Ücret (₺)],MATCH($A377,tblCalisan[Çalışan Adı],0)),"")),"")</f>
        <v/>
      </c>
      <c r="C377" s="110">
        <f>IF($A377="","",IFERROR($B377*IsverenPayiOrani,""))</f>
        <v/>
      </c>
      <c r="D377" s="110">
        <f>IF($A377="","",IFERROR($B377*IssizlikOrani,""))</f>
        <v/>
      </c>
      <c r="E377" s="110">
        <f>IF($A377="","",IFERROR($B377*KidemKarsilikOrani,""))</f>
        <v/>
      </c>
      <c r="F377" s="108" t="n"/>
      <c r="G377" s="110">
        <f>IF($A377="","",IFERROR($B377+$C377+$D377+$E377+$F377,""))</f>
        <v/>
      </c>
      <c r="H377" s="110">
        <f>IF($A377="","",IFERROR($G377*AySayisi,""))</f>
        <v/>
      </c>
    </row>
    <row r="378" ht="15" customHeight="1" s="62">
      <c r="A378" s="107" t="n"/>
      <c r="B378" s="110">
        <f>IFERROR(IF($A378="","",IFERROR(INDEX(tblCalisan[Brüt Ücret (₺)],MATCH($A378,tblCalisan[Çalışan Adı],0)),"")),"")</f>
        <v/>
      </c>
      <c r="C378" s="110">
        <f>IF($A378="","",IFERROR($B378*IsverenPayiOrani,""))</f>
        <v/>
      </c>
      <c r="D378" s="110">
        <f>IF($A378="","",IFERROR($B378*IssizlikOrani,""))</f>
        <v/>
      </c>
      <c r="E378" s="110">
        <f>IF($A378="","",IFERROR($B378*KidemKarsilikOrani,""))</f>
        <v/>
      </c>
      <c r="F378" s="108" t="n"/>
      <c r="G378" s="110">
        <f>IF($A378="","",IFERROR($B378+$C378+$D378+$E378+$F378,""))</f>
        <v/>
      </c>
      <c r="H378" s="110">
        <f>IF($A378="","",IFERROR($G378*AySayisi,""))</f>
        <v/>
      </c>
    </row>
    <row r="379" ht="15" customHeight="1" s="62">
      <c r="A379" s="107" t="n"/>
      <c r="B379" s="110">
        <f>IFERROR(IF($A379="","",IFERROR(INDEX(tblCalisan[Brüt Ücret (₺)],MATCH($A379,tblCalisan[Çalışan Adı],0)),"")),"")</f>
        <v/>
      </c>
      <c r="C379" s="110">
        <f>IF($A379="","",IFERROR($B379*IsverenPayiOrani,""))</f>
        <v/>
      </c>
      <c r="D379" s="110">
        <f>IF($A379="","",IFERROR($B379*IssizlikOrani,""))</f>
        <v/>
      </c>
      <c r="E379" s="110">
        <f>IF($A379="","",IFERROR($B379*KidemKarsilikOrani,""))</f>
        <v/>
      </c>
      <c r="F379" s="108" t="n"/>
      <c r="G379" s="110">
        <f>IF($A379="","",IFERROR($B379+$C379+$D379+$E379+$F379,""))</f>
        <v/>
      </c>
      <c r="H379" s="110">
        <f>IF($A379="","",IFERROR($G379*AySayisi,""))</f>
        <v/>
      </c>
    </row>
    <row r="380" ht="15" customHeight="1" s="62">
      <c r="A380" s="107" t="n"/>
      <c r="B380" s="110">
        <f>IFERROR(IF($A380="","",IFERROR(INDEX(tblCalisan[Brüt Ücret (₺)],MATCH($A380,tblCalisan[Çalışan Adı],0)),"")),"")</f>
        <v/>
      </c>
      <c r="C380" s="110">
        <f>IF($A380="","",IFERROR($B380*IsverenPayiOrani,""))</f>
        <v/>
      </c>
      <c r="D380" s="110">
        <f>IF($A380="","",IFERROR($B380*IssizlikOrani,""))</f>
        <v/>
      </c>
      <c r="E380" s="110">
        <f>IF($A380="","",IFERROR($B380*KidemKarsilikOrani,""))</f>
        <v/>
      </c>
      <c r="F380" s="108" t="n"/>
      <c r="G380" s="110">
        <f>IF($A380="","",IFERROR($B380+$C380+$D380+$E380+$F380,""))</f>
        <v/>
      </c>
      <c r="H380" s="110">
        <f>IF($A380="","",IFERROR($G380*AySayisi,""))</f>
        <v/>
      </c>
    </row>
    <row r="381" ht="15" customHeight="1" s="62">
      <c r="A381" s="107" t="n"/>
      <c r="B381" s="110">
        <f>IFERROR(IF($A381="","",IFERROR(INDEX(tblCalisan[Brüt Ücret (₺)],MATCH($A381,tblCalisan[Çalışan Adı],0)),"")),"")</f>
        <v/>
      </c>
      <c r="C381" s="110">
        <f>IF($A381="","",IFERROR($B381*IsverenPayiOrani,""))</f>
        <v/>
      </c>
      <c r="D381" s="110">
        <f>IF($A381="","",IFERROR($B381*IssizlikOrani,""))</f>
        <v/>
      </c>
      <c r="E381" s="110">
        <f>IF($A381="","",IFERROR($B381*KidemKarsilikOrani,""))</f>
        <v/>
      </c>
      <c r="F381" s="108" t="n"/>
      <c r="G381" s="110">
        <f>IF($A381="","",IFERROR($B381+$C381+$D381+$E381+$F381,""))</f>
        <v/>
      </c>
      <c r="H381" s="110">
        <f>IF($A381="","",IFERROR($G381*AySayisi,""))</f>
        <v/>
      </c>
    </row>
    <row r="382" ht="15" customHeight="1" s="62">
      <c r="A382" s="107" t="n"/>
      <c r="B382" s="110">
        <f>IFERROR(IF($A382="","",IFERROR(INDEX(tblCalisan[Brüt Ücret (₺)],MATCH($A382,tblCalisan[Çalışan Adı],0)),"")),"")</f>
        <v/>
      </c>
      <c r="C382" s="110">
        <f>IF($A382="","",IFERROR($B382*IsverenPayiOrani,""))</f>
        <v/>
      </c>
      <c r="D382" s="110">
        <f>IF($A382="","",IFERROR($B382*IssizlikOrani,""))</f>
        <v/>
      </c>
      <c r="E382" s="110">
        <f>IF($A382="","",IFERROR($B382*KidemKarsilikOrani,""))</f>
        <v/>
      </c>
      <c r="F382" s="108" t="n"/>
      <c r="G382" s="110">
        <f>IF($A382="","",IFERROR($B382+$C382+$D382+$E382+$F382,""))</f>
        <v/>
      </c>
      <c r="H382" s="110">
        <f>IF($A382="","",IFERROR($G382*AySayisi,""))</f>
        <v/>
      </c>
    </row>
    <row r="383" ht="15" customHeight="1" s="62">
      <c r="A383" s="107" t="n"/>
      <c r="B383" s="110">
        <f>IFERROR(IF($A383="","",IFERROR(INDEX(tblCalisan[Brüt Ücret (₺)],MATCH($A383,tblCalisan[Çalışan Adı],0)),"")),"")</f>
        <v/>
      </c>
      <c r="C383" s="110">
        <f>IF($A383="","",IFERROR($B383*IsverenPayiOrani,""))</f>
        <v/>
      </c>
      <c r="D383" s="110">
        <f>IF($A383="","",IFERROR($B383*IssizlikOrani,""))</f>
        <v/>
      </c>
      <c r="E383" s="110">
        <f>IF($A383="","",IFERROR($B383*KidemKarsilikOrani,""))</f>
        <v/>
      </c>
      <c r="F383" s="108" t="n"/>
      <c r="G383" s="110">
        <f>IF($A383="","",IFERROR($B383+$C383+$D383+$E383+$F383,""))</f>
        <v/>
      </c>
      <c r="H383" s="110">
        <f>IF($A383="","",IFERROR($G383*AySayisi,""))</f>
        <v/>
      </c>
    </row>
    <row r="384" ht="15" customHeight="1" s="62">
      <c r="A384" s="107" t="n"/>
      <c r="B384" s="110">
        <f>IFERROR(IF($A384="","",IFERROR(INDEX(tblCalisan[Brüt Ücret (₺)],MATCH($A384,tblCalisan[Çalışan Adı],0)),"")),"")</f>
        <v/>
      </c>
      <c r="C384" s="110">
        <f>IF($A384="","",IFERROR($B384*IsverenPayiOrani,""))</f>
        <v/>
      </c>
      <c r="D384" s="110">
        <f>IF($A384="","",IFERROR($B384*IssizlikOrani,""))</f>
        <v/>
      </c>
      <c r="E384" s="110">
        <f>IF($A384="","",IFERROR($B384*KidemKarsilikOrani,""))</f>
        <v/>
      </c>
      <c r="F384" s="108" t="n"/>
      <c r="G384" s="110">
        <f>IF($A384="","",IFERROR($B384+$C384+$D384+$E384+$F384,""))</f>
        <v/>
      </c>
      <c r="H384" s="110">
        <f>IF($A384="","",IFERROR($G384*AySayisi,""))</f>
        <v/>
      </c>
    </row>
    <row r="385" ht="15" customHeight="1" s="62">
      <c r="A385" s="107" t="n"/>
      <c r="B385" s="110">
        <f>IFERROR(IF($A385="","",IFERROR(INDEX(tblCalisan[Brüt Ücret (₺)],MATCH($A385,tblCalisan[Çalışan Adı],0)),"")),"")</f>
        <v/>
      </c>
      <c r="C385" s="110">
        <f>IF($A385="","",IFERROR($B385*IsverenPayiOrani,""))</f>
        <v/>
      </c>
      <c r="D385" s="110">
        <f>IF($A385="","",IFERROR($B385*IssizlikOrani,""))</f>
        <v/>
      </c>
      <c r="E385" s="110">
        <f>IF($A385="","",IFERROR($B385*KidemKarsilikOrani,""))</f>
        <v/>
      </c>
      <c r="F385" s="108" t="n"/>
      <c r="G385" s="110">
        <f>IF($A385="","",IFERROR($B385+$C385+$D385+$E385+$F385,""))</f>
        <v/>
      </c>
      <c r="H385" s="110">
        <f>IF($A385="","",IFERROR($G385*AySayisi,""))</f>
        <v/>
      </c>
    </row>
    <row r="386" ht="15" customHeight="1" s="62">
      <c r="A386" s="107" t="n"/>
      <c r="B386" s="110">
        <f>IFERROR(IF($A386="","",IFERROR(INDEX(tblCalisan[Brüt Ücret (₺)],MATCH($A386,tblCalisan[Çalışan Adı],0)),"")),"")</f>
        <v/>
      </c>
      <c r="C386" s="110">
        <f>IF($A386="","",IFERROR($B386*IsverenPayiOrani,""))</f>
        <v/>
      </c>
      <c r="D386" s="110">
        <f>IF($A386="","",IFERROR($B386*IssizlikOrani,""))</f>
        <v/>
      </c>
      <c r="E386" s="110">
        <f>IF($A386="","",IFERROR($B386*KidemKarsilikOrani,""))</f>
        <v/>
      </c>
      <c r="F386" s="108" t="n"/>
      <c r="G386" s="110">
        <f>IF($A386="","",IFERROR($B386+$C386+$D386+$E386+$F386,""))</f>
        <v/>
      </c>
      <c r="H386" s="110">
        <f>IF($A386="","",IFERROR($G386*AySayisi,""))</f>
        <v/>
      </c>
    </row>
    <row r="387" ht="15" customHeight="1" s="62">
      <c r="A387" s="107" t="n"/>
      <c r="B387" s="110">
        <f>IFERROR(IF($A387="","",IFERROR(INDEX(tblCalisan[Brüt Ücret (₺)],MATCH($A387,tblCalisan[Çalışan Adı],0)),"")),"")</f>
        <v/>
      </c>
      <c r="C387" s="110">
        <f>IF($A387="","",IFERROR($B387*IsverenPayiOrani,""))</f>
        <v/>
      </c>
      <c r="D387" s="110">
        <f>IF($A387="","",IFERROR($B387*IssizlikOrani,""))</f>
        <v/>
      </c>
      <c r="E387" s="110">
        <f>IF($A387="","",IFERROR($B387*KidemKarsilikOrani,""))</f>
        <v/>
      </c>
      <c r="F387" s="108" t="n"/>
      <c r="G387" s="110">
        <f>IF($A387="","",IFERROR($B387+$C387+$D387+$E387+$F387,""))</f>
        <v/>
      </c>
      <c r="H387" s="110">
        <f>IF($A387="","",IFERROR($G387*AySayisi,""))</f>
        <v/>
      </c>
    </row>
    <row r="388" ht="15" customHeight="1" s="62">
      <c r="A388" s="107" t="n"/>
      <c r="B388" s="110">
        <f>IFERROR(IF($A388="","",IFERROR(INDEX(tblCalisan[Brüt Ücret (₺)],MATCH($A388,tblCalisan[Çalışan Adı],0)),"")),"")</f>
        <v/>
      </c>
      <c r="C388" s="110">
        <f>IF($A388="","",IFERROR($B388*IsverenPayiOrani,""))</f>
        <v/>
      </c>
      <c r="D388" s="110">
        <f>IF($A388="","",IFERROR($B388*IssizlikOrani,""))</f>
        <v/>
      </c>
      <c r="E388" s="110">
        <f>IF($A388="","",IFERROR($B388*KidemKarsilikOrani,""))</f>
        <v/>
      </c>
      <c r="F388" s="108" t="n"/>
      <c r="G388" s="110">
        <f>IF($A388="","",IFERROR($B388+$C388+$D388+$E388+$F388,""))</f>
        <v/>
      </c>
      <c r="H388" s="110">
        <f>IF($A388="","",IFERROR($G388*AySayisi,""))</f>
        <v/>
      </c>
    </row>
    <row r="389" ht="15" customHeight="1" s="62">
      <c r="A389" s="107" t="n"/>
      <c r="B389" s="110">
        <f>IFERROR(IF($A389="","",IFERROR(INDEX(tblCalisan[Brüt Ücret (₺)],MATCH($A389,tblCalisan[Çalışan Adı],0)),"")),"")</f>
        <v/>
      </c>
      <c r="C389" s="110">
        <f>IF($A389="","",IFERROR($B389*IsverenPayiOrani,""))</f>
        <v/>
      </c>
      <c r="D389" s="110">
        <f>IF($A389="","",IFERROR($B389*IssizlikOrani,""))</f>
        <v/>
      </c>
      <c r="E389" s="110">
        <f>IF($A389="","",IFERROR($B389*KidemKarsilikOrani,""))</f>
        <v/>
      </c>
      <c r="F389" s="108" t="n"/>
      <c r="G389" s="110">
        <f>IF($A389="","",IFERROR($B389+$C389+$D389+$E389+$F389,""))</f>
        <v/>
      </c>
      <c r="H389" s="110">
        <f>IF($A389="","",IFERROR($G389*AySayisi,""))</f>
        <v/>
      </c>
    </row>
    <row r="390" ht="15" customHeight="1" s="62">
      <c r="A390" s="107" t="n"/>
      <c r="B390" s="110">
        <f>IFERROR(IF($A390="","",IFERROR(INDEX(tblCalisan[Brüt Ücret (₺)],MATCH($A390,tblCalisan[Çalışan Adı],0)),"")),"")</f>
        <v/>
      </c>
      <c r="C390" s="110">
        <f>IF($A390="","",IFERROR($B390*IsverenPayiOrani,""))</f>
        <v/>
      </c>
      <c r="D390" s="110">
        <f>IF($A390="","",IFERROR($B390*IssizlikOrani,""))</f>
        <v/>
      </c>
      <c r="E390" s="110">
        <f>IF($A390="","",IFERROR($B390*KidemKarsilikOrani,""))</f>
        <v/>
      </c>
      <c r="F390" s="108" t="n"/>
      <c r="G390" s="110">
        <f>IF($A390="","",IFERROR($B390+$C390+$D390+$E390+$F390,""))</f>
        <v/>
      </c>
      <c r="H390" s="110">
        <f>IF($A390="","",IFERROR($G390*AySayisi,""))</f>
        <v/>
      </c>
    </row>
    <row r="391" ht="15" customHeight="1" s="62">
      <c r="A391" s="107" t="n"/>
      <c r="B391" s="110">
        <f>IFERROR(IF($A391="","",IFERROR(INDEX(tblCalisan[Brüt Ücret (₺)],MATCH($A391,tblCalisan[Çalışan Adı],0)),"")),"")</f>
        <v/>
      </c>
      <c r="C391" s="110">
        <f>IF($A391="","",IFERROR($B391*IsverenPayiOrani,""))</f>
        <v/>
      </c>
      <c r="D391" s="110">
        <f>IF($A391="","",IFERROR($B391*IssizlikOrani,""))</f>
        <v/>
      </c>
      <c r="E391" s="110">
        <f>IF($A391="","",IFERROR($B391*KidemKarsilikOrani,""))</f>
        <v/>
      </c>
      <c r="F391" s="108" t="n"/>
      <c r="G391" s="110">
        <f>IF($A391="","",IFERROR($B391+$C391+$D391+$E391+$F391,""))</f>
        <v/>
      </c>
      <c r="H391" s="110">
        <f>IF($A391="","",IFERROR($G391*AySayisi,""))</f>
        <v/>
      </c>
    </row>
    <row r="392" ht="15" customHeight="1" s="62">
      <c r="A392" s="107" t="n"/>
      <c r="B392" s="110">
        <f>IFERROR(IF($A392="","",IFERROR(INDEX(tblCalisan[Brüt Ücret (₺)],MATCH($A392,tblCalisan[Çalışan Adı],0)),"")),"")</f>
        <v/>
      </c>
      <c r="C392" s="110">
        <f>IF($A392="","",IFERROR($B392*IsverenPayiOrani,""))</f>
        <v/>
      </c>
      <c r="D392" s="110">
        <f>IF($A392="","",IFERROR($B392*IssizlikOrani,""))</f>
        <v/>
      </c>
      <c r="E392" s="110">
        <f>IF($A392="","",IFERROR($B392*KidemKarsilikOrani,""))</f>
        <v/>
      </c>
      <c r="F392" s="108" t="n"/>
      <c r="G392" s="110">
        <f>IF($A392="","",IFERROR($B392+$C392+$D392+$E392+$F392,""))</f>
        <v/>
      </c>
      <c r="H392" s="110">
        <f>IF($A392="","",IFERROR($G392*AySayisi,""))</f>
        <v/>
      </c>
    </row>
    <row r="393" ht="15" customHeight="1" s="62">
      <c r="A393" s="107" t="n"/>
      <c r="B393" s="110">
        <f>IFERROR(IF($A393="","",IFERROR(INDEX(tblCalisan[Brüt Ücret (₺)],MATCH($A393,tblCalisan[Çalışan Adı],0)),"")),"")</f>
        <v/>
      </c>
      <c r="C393" s="110">
        <f>IF($A393="","",IFERROR($B393*IsverenPayiOrani,""))</f>
        <v/>
      </c>
      <c r="D393" s="110">
        <f>IF($A393="","",IFERROR($B393*IssizlikOrani,""))</f>
        <v/>
      </c>
      <c r="E393" s="110">
        <f>IF($A393="","",IFERROR($B393*KidemKarsilikOrani,""))</f>
        <v/>
      </c>
      <c r="F393" s="108" t="n"/>
      <c r="G393" s="110">
        <f>IF($A393="","",IFERROR($B393+$C393+$D393+$E393+$F393,""))</f>
        <v/>
      </c>
      <c r="H393" s="110">
        <f>IF($A393="","",IFERROR($G393*AySayisi,""))</f>
        <v/>
      </c>
    </row>
    <row r="394" ht="15" customHeight="1" s="62">
      <c r="A394" s="107" t="n"/>
      <c r="B394" s="110">
        <f>IFERROR(IF($A394="","",IFERROR(INDEX(tblCalisan[Brüt Ücret (₺)],MATCH($A394,tblCalisan[Çalışan Adı],0)),"")),"")</f>
        <v/>
      </c>
      <c r="C394" s="110">
        <f>IF($A394="","",IFERROR($B394*IsverenPayiOrani,""))</f>
        <v/>
      </c>
      <c r="D394" s="110">
        <f>IF($A394="","",IFERROR($B394*IssizlikOrani,""))</f>
        <v/>
      </c>
      <c r="E394" s="110">
        <f>IF($A394="","",IFERROR($B394*KidemKarsilikOrani,""))</f>
        <v/>
      </c>
      <c r="F394" s="108" t="n"/>
      <c r="G394" s="110">
        <f>IF($A394="","",IFERROR($B394+$C394+$D394+$E394+$F394,""))</f>
        <v/>
      </c>
      <c r="H394" s="110">
        <f>IF($A394="","",IFERROR($G394*AySayisi,""))</f>
        <v/>
      </c>
    </row>
    <row r="395" ht="15" customHeight="1" s="62">
      <c r="A395" s="107" t="n"/>
      <c r="B395" s="110">
        <f>IFERROR(IF($A395="","",IFERROR(INDEX(tblCalisan[Brüt Ücret (₺)],MATCH($A395,tblCalisan[Çalışan Adı],0)),"")),"")</f>
        <v/>
      </c>
      <c r="C395" s="110">
        <f>IF($A395="","",IFERROR($B395*IsverenPayiOrani,""))</f>
        <v/>
      </c>
      <c r="D395" s="110">
        <f>IF($A395="","",IFERROR($B395*IssizlikOrani,""))</f>
        <v/>
      </c>
      <c r="E395" s="110">
        <f>IF($A395="","",IFERROR($B395*KidemKarsilikOrani,""))</f>
        <v/>
      </c>
      <c r="F395" s="108" t="n"/>
      <c r="G395" s="110">
        <f>IF($A395="","",IFERROR($B395+$C395+$D395+$E395+$F395,""))</f>
        <v/>
      </c>
      <c r="H395" s="110">
        <f>IF($A395="","",IFERROR($G395*AySayisi,""))</f>
        <v/>
      </c>
    </row>
    <row r="396" ht="15" customHeight="1" s="62">
      <c r="A396" s="107" t="n"/>
      <c r="B396" s="110">
        <f>IFERROR(IF($A396="","",IFERROR(INDEX(tblCalisan[Brüt Ücret (₺)],MATCH($A396,tblCalisan[Çalışan Adı],0)),"")),"")</f>
        <v/>
      </c>
      <c r="C396" s="110">
        <f>IF($A396="","",IFERROR($B396*IsverenPayiOrani,""))</f>
        <v/>
      </c>
      <c r="D396" s="110">
        <f>IF($A396="","",IFERROR($B396*IssizlikOrani,""))</f>
        <v/>
      </c>
      <c r="E396" s="110">
        <f>IF($A396="","",IFERROR($B396*KidemKarsilikOrani,""))</f>
        <v/>
      </c>
      <c r="F396" s="108" t="n"/>
      <c r="G396" s="110">
        <f>IF($A396="","",IFERROR($B396+$C396+$D396+$E396+$F396,""))</f>
        <v/>
      </c>
      <c r="H396" s="110">
        <f>IF($A396="","",IFERROR($G396*AySayisi,""))</f>
        <v/>
      </c>
    </row>
    <row r="397" ht="15" customHeight="1" s="62">
      <c r="A397" s="107" t="n"/>
      <c r="B397" s="110">
        <f>IFERROR(IF($A397="","",IFERROR(INDEX(tblCalisan[Brüt Ücret (₺)],MATCH($A397,tblCalisan[Çalışan Adı],0)),"")),"")</f>
        <v/>
      </c>
      <c r="C397" s="110">
        <f>IF($A397="","",IFERROR($B397*IsverenPayiOrani,""))</f>
        <v/>
      </c>
      <c r="D397" s="110">
        <f>IF($A397="","",IFERROR($B397*IssizlikOrani,""))</f>
        <v/>
      </c>
      <c r="E397" s="110">
        <f>IF($A397="","",IFERROR($B397*KidemKarsilikOrani,""))</f>
        <v/>
      </c>
      <c r="F397" s="108" t="n"/>
      <c r="G397" s="110">
        <f>IF($A397="","",IFERROR($B397+$C397+$D397+$E397+$F397,""))</f>
        <v/>
      </c>
      <c r="H397" s="110">
        <f>IF($A397="","",IFERROR($G397*AySayisi,""))</f>
        <v/>
      </c>
    </row>
    <row r="398" ht="15" customHeight="1" s="62">
      <c r="A398" s="107" t="n"/>
      <c r="B398" s="110">
        <f>IFERROR(IF($A398="","",IFERROR(INDEX(tblCalisan[Brüt Ücret (₺)],MATCH($A398,tblCalisan[Çalışan Adı],0)),"")),"")</f>
        <v/>
      </c>
      <c r="C398" s="110">
        <f>IF($A398="","",IFERROR($B398*IsverenPayiOrani,""))</f>
        <v/>
      </c>
      <c r="D398" s="110">
        <f>IF($A398="","",IFERROR($B398*IssizlikOrani,""))</f>
        <v/>
      </c>
      <c r="E398" s="110">
        <f>IF($A398="","",IFERROR($B398*KidemKarsilikOrani,""))</f>
        <v/>
      </c>
      <c r="F398" s="108" t="n"/>
      <c r="G398" s="110">
        <f>IF($A398="","",IFERROR($B398+$C398+$D398+$E398+$F398,""))</f>
        <v/>
      </c>
      <c r="H398" s="110">
        <f>IF($A398="","",IFERROR($G398*AySayisi,""))</f>
        <v/>
      </c>
    </row>
    <row r="399" ht="15" customHeight="1" s="62">
      <c r="A399" s="107" t="n"/>
      <c r="B399" s="110">
        <f>IFERROR(IF($A399="","",IFERROR(INDEX(tblCalisan[Brüt Ücret (₺)],MATCH($A399,tblCalisan[Çalışan Adı],0)),"")),"")</f>
        <v/>
      </c>
      <c r="C399" s="110">
        <f>IF($A399="","",IFERROR($B399*IsverenPayiOrani,""))</f>
        <v/>
      </c>
      <c r="D399" s="110">
        <f>IF($A399="","",IFERROR($B399*IssizlikOrani,""))</f>
        <v/>
      </c>
      <c r="E399" s="110">
        <f>IF($A399="","",IFERROR($B399*KidemKarsilikOrani,""))</f>
        <v/>
      </c>
      <c r="F399" s="108" t="n"/>
      <c r="G399" s="110">
        <f>IF($A399="","",IFERROR($B399+$C399+$D399+$E399+$F399,""))</f>
        <v/>
      </c>
      <c r="H399" s="110">
        <f>IF($A399="","",IFERROR($G399*AySayisi,""))</f>
        <v/>
      </c>
    </row>
    <row r="400" ht="15" customHeight="1" s="62">
      <c r="A400" s="107" t="n"/>
      <c r="B400" s="110">
        <f>IFERROR(IF($A400="","",IFERROR(INDEX(tblCalisan[Brüt Ücret (₺)],MATCH($A400,tblCalisan[Çalışan Adı],0)),"")),"")</f>
        <v/>
      </c>
      <c r="C400" s="110">
        <f>IF($A400="","",IFERROR($B400*IsverenPayiOrani,""))</f>
        <v/>
      </c>
      <c r="D400" s="110">
        <f>IF($A400="","",IFERROR($B400*IssizlikOrani,""))</f>
        <v/>
      </c>
      <c r="E400" s="110">
        <f>IF($A400="","",IFERROR($B400*KidemKarsilikOrani,""))</f>
        <v/>
      </c>
      <c r="F400" s="108" t="n"/>
      <c r="G400" s="110">
        <f>IF($A400="","",IFERROR($B400+$C400+$D400+$E400+$F400,""))</f>
        <v/>
      </c>
      <c r="H400" s="110">
        <f>IF($A400="","",IFERROR($G400*AySayisi,""))</f>
        <v/>
      </c>
    </row>
    <row r="401" ht="15" customHeight="1" s="62">
      <c r="A401" s="107" t="n"/>
      <c r="B401" s="110">
        <f>IFERROR(IF($A401="","",IFERROR(INDEX(tblCalisan[Brüt Ücret (₺)],MATCH($A401,tblCalisan[Çalışan Adı],0)),"")),"")</f>
        <v/>
      </c>
      <c r="C401" s="110">
        <f>IF($A401="","",IFERROR($B401*IsverenPayiOrani,""))</f>
        <v/>
      </c>
      <c r="D401" s="110">
        <f>IF($A401="","",IFERROR($B401*IssizlikOrani,""))</f>
        <v/>
      </c>
      <c r="E401" s="110">
        <f>IF($A401="","",IFERROR($B401*KidemKarsilikOrani,""))</f>
        <v/>
      </c>
      <c r="F401" s="108" t="n"/>
      <c r="G401" s="110">
        <f>IF($A401="","",IFERROR($B401+$C401+$D401+$E401+$F401,""))</f>
        <v/>
      </c>
      <c r="H401" s="110">
        <f>IF($A401="","",IFERROR($G401*AySayisi,""))</f>
        <v/>
      </c>
    </row>
    <row r="402" ht="15" customHeight="1" s="62">
      <c r="A402" s="107" t="n"/>
      <c r="B402" s="110">
        <f>IFERROR(IF($A402="","",IFERROR(INDEX(tblCalisan[Brüt Ücret (₺)],MATCH($A402,tblCalisan[Çalışan Adı],0)),"")),"")</f>
        <v/>
      </c>
      <c r="C402" s="110">
        <f>IF($A402="","",IFERROR($B402*IsverenPayiOrani,""))</f>
        <v/>
      </c>
      <c r="D402" s="110">
        <f>IF($A402="","",IFERROR($B402*IssizlikOrani,""))</f>
        <v/>
      </c>
      <c r="E402" s="110">
        <f>IF($A402="","",IFERROR($B402*KidemKarsilikOrani,""))</f>
        <v/>
      </c>
      <c r="F402" s="108" t="n"/>
      <c r="G402" s="110">
        <f>IF($A402="","",IFERROR($B402+$C402+$D402+$E402+$F402,""))</f>
        <v/>
      </c>
      <c r="H402" s="110">
        <f>IF($A402="","",IFERROR($G402*AySayisi,""))</f>
        <v/>
      </c>
    </row>
    <row r="403" ht="15" customHeight="1" s="62">
      <c r="A403" s="107" t="n"/>
      <c r="B403" s="110">
        <f>IFERROR(IF($A403="","",IFERROR(INDEX(tblCalisan[Brüt Ücret (₺)],MATCH($A403,tblCalisan[Çalışan Adı],0)),"")),"")</f>
        <v/>
      </c>
      <c r="C403" s="110">
        <f>IF($A403="","",IFERROR($B403*IsverenPayiOrani,""))</f>
        <v/>
      </c>
      <c r="D403" s="110">
        <f>IF($A403="","",IFERROR($B403*IssizlikOrani,""))</f>
        <v/>
      </c>
      <c r="E403" s="110">
        <f>IF($A403="","",IFERROR($B403*KidemKarsilikOrani,""))</f>
        <v/>
      </c>
      <c r="F403" s="108" t="n"/>
      <c r="G403" s="110">
        <f>IF($A403="","",IFERROR($B403+$C403+$D403+$E403+$F403,""))</f>
        <v/>
      </c>
      <c r="H403" s="110">
        <f>IF($A403="","",IFERROR($G403*AySayisi,""))</f>
        <v/>
      </c>
    </row>
    <row r="404" ht="15" customHeight="1" s="62">
      <c r="A404" s="107" t="n"/>
      <c r="B404" s="110">
        <f>IFERROR(IF($A404="","",IFERROR(INDEX(tblCalisan[Brüt Ücret (₺)],MATCH($A404,tblCalisan[Çalışan Adı],0)),"")),"")</f>
        <v/>
      </c>
      <c r="C404" s="110">
        <f>IF($A404="","",IFERROR($B404*IsverenPayiOrani,""))</f>
        <v/>
      </c>
      <c r="D404" s="110">
        <f>IF($A404="","",IFERROR($B404*IssizlikOrani,""))</f>
        <v/>
      </c>
      <c r="E404" s="110">
        <f>IF($A404="","",IFERROR($B404*KidemKarsilikOrani,""))</f>
        <v/>
      </c>
      <c r="F404" s="108" t="n"/>
      <c r="G404" s="110">
        <f>IF($A404="","",IFERROR($B404+$C404+$D404+$E404+$F404,""))</f>
        <v/>
      </c>
      <c r="H404" s="110">
        <f>IF($A404="","",IFERROR($G404*AySayisi,""))</f>
        <v/>
      </c>
    </row>
    <row r="405" ht="15" customHeight="1" s="62">
      <c r="A405" s="107" t="n"/>
      <c r="B405" s="110">
        <f>IFERROR(IF($A405="","",IFERROR(INDEX(tblCalisan[Brüt Ücret (₺)],MATCH($A405,tblCalisan[Çalışan Adı],0)),"")),"")</f>
        <v/>
      </c>
      <c r="C405" s="110">
        <f>IF($A405="","",IFERROR($B405*IsverenPayiOrani,""))</f>
        <v/>
      </c>
      <c r="D405" s="110">
        <f>IF($A405="","",IFERROR($B405*IssizlikOrani,""))</f>
        <v/>
      </c>
      <c r="E405" s="110">
        <f>IF($A405="","",IFERROR($B405*KidemKarsilikOrani,""))</f>
        <v/>
      </c>
      <c r="F405" s="108" t="n"/>
      <c r="G405" s="110">
        <f>IF($A405="","",IFERROR($B405+$C405+$D405+$E405+$F405,""))</f>
        <v/>
      </c>
      <c r="H405" s="110">
        <f>IF($A405="","",IFERROR($G405*AySayisi,""))</f>
        <v/>
      </c>
    </row>
    <row r="406" ht="15" customHeight="1" s="62">
      <c r="A406" s="107" t="n"/>
      <c r="B406" s="110">
        <f>IFERROR(IF($A406="","",IFERROR(INDEX(tblCalisan[Brüt Ücret (₺)],MATCH($A406,tblCalisan[Çalışan Adı],0)),"")),"")</f>
        <v/>
      </c>
      <c r="C406" s="110">
        <f>IF($A406="","",IFERROR($B406*IsverenPayiOrani,""))</f>
        <v/>
      </c>
      <c r="D406" s="110">
        <f>IF($A406="","",IFERROR($B406*IssizlikOrani,""))</f>
        <v/>
      </c>
      <c r="E406" s="110">
        <f>IF($A406="","",IFERROR($B406*KidemKarsilikOrani,""))</f>
        <v/>
      </c>
      <c r="F406" s="108" t="n"/>
      <c r="G406" s="110">
        <f>IF($A406="","",IFERROR($B406+$C406+$D406+$E406+$F406,""))</f>
        <v/>
      </c>
      <c r="H406" s="110">
        <f>IF($A406="","",IFERROR($G406*AySayisi,""))</f>
        <v/>
      </c>
    </row>
    <row r="407" ht="15" customHeight="1" s="62">
      <c r="A407" s="107" t="n"/>
      <c r="B407" s="110">
        <f>IFERROR(IF($A407="","",IFERROR(INDEX(tblCalisan[Brüt Ücret (₺)],MATCH($A407,tblCalisan[Çalışan Adı],0)),"")),"")</f>
        <v/>
      </c>
      <c r="C407" s="110">
        <f>IF($A407="","",IFERROR($B407*IsverenPayiOrani,""))</f>
        <v/>
      </c>
      <c r="D407" s="110">
        <f>IF($A407="","",IFERROR($B407*IssizlikOrani,""))</f>
        <v/>
      </c>
      <c r="E407" s="110">
        <f>IF($A407="","",IFERROR($B407*KidemKarsilikOrani,""))</f>
        <v/>
      </c>
      <c r="F407" s="108" t="n"/>
      <c r="G407" s="110">
        <f>IF($A407="","",IFERROR($B407+$C407+$D407+$E407+$F407,""))</f>
        <v/>
      </c>
      <c r="H407" s="110">
        <f>IF($A407="","",IFERROR($G407*AySayisi,""))</f>
        <v/>
      </c>
    </row>
    <row r="408" ht="15" customHeight="1" s="62">
      <c r="A408" s="107" t="n"/>
      <c r="B408" s="110">
        <f>IFERROR(IF($A408="","",IFERROR(INDEX(tblCalisan[Brüt Ücret (₺)],MATCH($A408,tblCalisan[Çalışan Adı],0)),"")),"")</f>
        <v/>
      </c>
      <c r="C408" s="110">
        <f>IF($A408="","",IFERROR($B408*IsverenPayiOrani,""))</f>
        <v/>
      </c>
      <c r="D408" s="110">
        <f>IF($A408="","",IFERROR($B408*IssizlikOrani,""))</f>
        <v/>
      </c>
      <c r="E408" s="110">
        <f>IF($A408="","",IFERROR($B408*KidemKarsilikOrani,""))</f>
        <v/>
      </c>
      <c r="F408" s="108" t="n"/>
      <c r="G408" s="110">
        <f>IF($A408="","",IFERROR($B408+$C408+$D408+$E408+$F408,""))</f>
        <v/>
      </c>
      <c r="H408" s="110">
        <f>IF($A408="","",IFERROR($G408*AySayisi,""))</f>
        <v/>
      </c>
    </row>
    <row r="409" ht="15" customHeight="1" s="62">
      <c r="A409" s="107" t="n"/>
      <c r="B409" s="110">
        <f>IFERROR(IF($A409="","",IFERROR(INDEX(tblCalisan[Brüt Ücret (₺)],MATCH($A409,tblCalisan[Çalışan Adı],0)),"")),"")</f>
        <v/>
      </c>
      <c r="C409" s="110">
        <f>IF($A409="","",IFERROR($B409*IsverenPayiOrani,""))</f>
        <v/>
      </c>
      <c r="D409" s="110">
        <f>IF($A409="","",IFERROR($B409*IssizlikOrani,""))</f>
        <v/>
      </c>
      <c r="E409" s="110">
        <f>IF($A409="","",IFERROR($B409*KidemKarsilikOrani,""))</f>
        <v/>
      </c>
      <c r="F409" s="108" t="n"/>
      <c r="G409" s="110">
        <f>IF($A409="","",IFERROR($B409+$C409+$D409+$E409+$F409,""))</f>
        <v/>
      </c>
      <c r="H409" s="110">
        <f>IF($A409="","",IFERROR($G409*AySayisi,""))</f>
        <v/>
      </c>
    </row>
    <row r="410" ht="15" customHeight="1" s="62">
      <c r="A410" s="107" t="n"/>
      <c r="B410" s="110">
        <f>IFERROR(IF($A410="","",IFERROR(INDEX(tblCalisan[Brüt Ücret (₺)],MATCH($A410,tblCalisan[Çalışan Adı],0)),"")),"")</f>
        <v/>
      </c>
      <c r="C410" s="110">
        <f>IF($A410="","",IFERROR($B410*IsverenPayiOrani,""))</f>
        <v/>
      </c>
      <c r="D410" s="110">
        <f>IF($A410="","",IFERROR($B410*IssizlikOrani,""))</f>
        <v/>
      </c>
      <c r="E410" s="110">
        <f>IF($A410="","",IFERROR($B410*KidemKarsilikOrani,""))</f>
        <v/>
      </c>
      <c r="F410" s="108" t="n"/>
      <c r="G410" s="110">
        <f>IF($A410="","",IFERROR($B410+$C410+$D410+$E410+$F410,""))</f>
        <v/>
      </c>
      <c r="H410" s="110">
        <f>IF($A410="","",IFERROR($G410*AySayisi,""))</f>
        <v/>
      </c>
    </row>
    <row r="411" ht="15" customHeight="1" s="62">
      <c r="A411" s="107" t="n"/>
      <c r="B411" s="110">
        <f>IFERROR(IF($A411="","",IFERROR(INDEX(tblCalisan[Brüt Ücret (₺)],MATCH($A411,tblCalisan[Çalışan Adı],0)),"")),"")</f>
        <v/>
      </c>
      <c r="C411" s="110">
        <f>IF($A411="","",IFERROR($B411*IsverenPayiOrani,""))</f>
        <v/>
      </c>
      <c r="D411" s="110">
        <f>IF($A411="","",IFERROR($B411*IssizlikOrani,""))</f>
        <v/>
      </c>
      <c r="E411" s="110">
        <f>IF($A411="","",IFERROR($B411*KidemKarsilikOrani,""))</f>
        <v/>
      </c>
      <c r="F411" s="108" t="n"/>
      <c r="G411" s="110">
        <f>IF($A411="","",IFERROR($B411+$C411+$D411+$E411+$F411,""))</f>
        <v/>
      </c>
      <c r="H411" s="110">
        <f>IF($A411="","",IFERROR($G411*AySayisi,""))</f>
        <v/>
      </c>
    </row>
    <row r="412" ht="15" customHeight="1" s="62">
      <c r="A412" s="107" t="n"/>
      <c r="B412" s="110">
        <f>IFERROR(IF($A412="","",IFERROR(INDEX(tblCalisan[Brüt Ücret (₺)],MATCH($A412,tblCalisan[Çalışan Adı],0)),"")),"")</f>
        <v/>
      </c>
      <c r="C412" s="110">
        <f>IF($A412="","",IFERROR($B412*IsverenPayiOrani,""))</f>
        <v/>
      </c>
      <c r="D412" s="110">
        <f>IF($A412="","",IFERROR($B412*IssizlikOrani,""))</f>
        <v/>
      </c>
      <c r="E412" s="110">
        <f>IF($A412="","",IFERROR($B412*KidemKarsilikOrani,""))</f>
        <v/>
      </c>
      <c r="F412" s="108" t="n"/>
      <c r="G412" s="110">
        <f>IF($A412="","",IFERROR($B412+$C412+$D412+$E412+$F412,""))</f>
        <v/>
      </c>
      <c r="H412" s="110">
        <f>IF($A412="","",IFERROR($G412*AySayisi,""))</f>
        <v/>
      </c>
    </row>
    <row r="413" ht="15" customHeight="1" s="62">
      <c r="A413" s="107" t="n"/>
      <c r="B413" s="110">
        <f>IFERROR(IF($A413="","",IFERROR(INDEX(tblCalisan[Brüt Ücret (₺)],MATCH($A413,tblCalisan[Çalışan Adı],0)),"")),"")</f>
        <v/>
      </c>
      <c r="C413" s="110">
        <f>IF($A413="","",IFERROR($B413*IsverenPayiOrani,""))</f>
        <v/>
      </c>
      <c r="D413" s="110">
        <f>IF($A413="","",IFERROR($B413*IssizlikOrani,""))</f>
        <v/>
      </c>
      <c r="E413" s="110">
        <f>IF($A413="","",IFERROR($B413*KidemKarsilikOrani,""))</f>
        <v/>
      </c>
      <c r="F413" s="108" t="n"/>
      <c r="G413" s="110">
        <f>IF($A413="","",IFERROR($B413+$C413+$D413+$E413+$F413,""))</f>
        <v/>
      </c>
      <c r="H413" s="110">
        <f>IF($A413="","",IFERROR($G413*AySayisi,""))</f>
        <v/>
      </c>
    </row>
    <row r="414" ht="15" customHeight="1" s="62">
      <c r="A414" s="107" t="n"/>
      <c r="B414" s="110">
        <f>IFERROR(IF($A414="","",IFERROR(INDEX(tblCalisan[Brüt Ücret (₺)],MATCH($A414,tblCalisan[Çalışan Adı],0)),"")),"")</f>
        <v/>
      </c>
      <c r="C414" s="110">
        <f>IF($A414="","",IFERROR($B414*IsverenPayiOrani,""))</f>
        <v/>
      </c>
      <c r="D414" s="110">
        <f>IF($A414="","",IFERROR($B414*IssizlikOrani,""))</f>
        <v/>
      </c>
      <c r="E414" s="110">
        <f>IF($A414="","",IFERROR($B414*KidemKarsilikOrani,""))</f>
        <v/>
      </c>
      <c r="F414" s="108" t="n"/>
      <c r="G414" s="110">
        <f>IF($A414="","",IFERROR($B414+$C414+$D414+$E414+$F414,""))</f>
        <v/>
      </c>
      <c r="H414" s="110">
        <f>IF($A414="","",IFERROR($G414*AySayisi,""))</f>
        <v/>
      </c>
    </row>
    <row r="415" ht="15" customHeight="1" s="62">
      <c r="A415" s="107" t="n"/>
      <c r="B415" s="110">
        <f>IFERROR(IF($A415="","",IFERROR(INDEX(tblCalisan[Brüt Ücret (₺)],MATCH($A415,tblCalisan[Çalışan Adı],0)),"")),"")</f>
        <v/>
      </c>
      <c r="C415" s="110">
        <f>IF($A415="","",IFERROR($B415*IsverenPayiOrani,""))</f>
        <v/>
      </c>
      <c r="D415" s="110">
        <f>IF($A415="","",IFERROR($B415*IssizlikOrani,""))</f>
        <v/>
      </c>
      <c r="E415" s="110">
        <f>IF($A415="","",IFERROR($B415*KidemKarsilikOrani,""))</f>
        <v/>
      </c>
      <c r="F415" s="108" t="n"/>
      <c r="G415" s="110">
        <f>IF($A415="","",IFERROR($B415+$C415+$D415+$E415+$F415,""))</f>
        <v/>
      </c>
      <c r="H415" s="110">
        <f>IF($A415="","",IFERROR($G415*AySayisi,""))</f>
        <v/>
      </c>
    </row>
    <row r="416" ht="15" customHeight="1" s="62">
      <c r="A416" s="107" t="n"/>
      <c r="B416" s="110">
        <f>IFERROR(IF($A416="","",IFERROR(INDEX(tblCalisan[Brüt Ücret (₺)],MATCH($A416,tblCalisan[Çalışan Adı],0)),"")),"")</f>
        <v/>
      </c>
      <c r="C416" s="110">
        <f>IF($A416="","",IFERROR($B416*IsverenPayiOrani,""))</f>
        <v/>
      </c>
      <c r="D416" s="110">
        <f>IF($A416="","",IFERROR($B416*IssizlikOrani,""))</f>
        <v/>
      </c>
      <c r="E416" s="110">
        <f>IF($A416="","",IFERROR($B416*KidemKarsilikOrani,""))</f>
        <v/>
      </c>
      <c r="F416" s="108" t="n"/>
      <c r="G416" s="110">
        <f>IF($A416="","",IFERROR($B416+$C416+$D416+$E416+$F416,""))</f>
        <v/>
      </c>
      <c r="H416" s="110">
        <f>IF($A416="","",IFERROR($G416*AySayisi,""))</f>
        <v/>
      </c>
    </row>
    <row r="417" ht="15" customHeight="1" s="62">
      <c r="A417" s="107" t="n"/>
      <c r="B417" s="110">
        <f>IFERROR(IF($A417="","",IFERROR(INDEX(tblCalisan[Brüt Ücret (₺)],MATCH($A417,tblCalisan[Çalışan Adı],0)),"")),"")</f>
        <v/>
      </c>
      <c r="C417" s="110">
        <f>IF($A417="","",IFERROR($B417*IsverenPayiOrani,""))</f>
        <v/>
      </c>
      <c r="D417" s="110">
        <f>IF($A417="","",IFERROR($B417*IssizlikOrani,""))</f>
        <v/>
      </c>
      <c r="E417" s="110">
        <f>IF($A417="","",IFERROR($B417*KidemKarsilikOrani,""))</f>
        <v/>
      </c>
      <c r="F417" s="108" t="n"/>
      <c r="G417" s="110">
        <f>IF($A417="","",IFERROR($B417+$C417+$D417+$E417+$F417,""))</f>
        <v/>
      </c>
      <c r="H417" s="110">
        <f>IF($A417="","",IFERROR($G417*AySayisi,""))</f>
        <v/>
      </c>
    </row>
    <row r="418" ht="15" customHeight="1" s="62">
      <c r="A418" s="107" t="n"/>
      <c r="B418" s="110">
        <f>IFERROR(IF($A418="","",IFERROR(INDEX(tblCalisan[Brüt Ücret (₺)],MATCH($A418,tblCalisan[Çalışan Adı],0)),"")),"")</f>
        <v/>
      </c>
      <c r="C418" s="110">
        <f>IF($A418="","",IFERROR($B418*IsverenPayiOrani,""))</f>
        <v/>
      </c>
      <c r="D418" s="110">
        <f>IF($A418="","",IFERROR($B418*IssizlikOrani,""))</f>
        <v/>
      </c>
      <c r="E418" s="110">
        <f>IF($A418="","",IFERROR($B418*KidemKarsilikOrani,""))</f>
        <v/>
      </c>
      <c r="F418" s="108" t="n"/>
      <c r="G418" s="110">
        <f>IF($A418="","",IFERROR($B418+$C418+$D418+$E418+$F418,""))</f>
        <v/>
      </c>
      <c r="H418" s="110">
        <f>IF($A418="","",IFERROR($G418*AySayisi,""))</f>
        <v/>
      </c>
    </row>
    <row r="419" ht="15" customHeight="1" s="62">
      <c r="A419" s="107" t="n"/>
      <c r="B419" s="110">
        <f>IFERROR(IF($A419="","",IFERROR(INDEX(tblCalisan[Brüt Ücret (₺)],MATCH($A419,tblCalisan[Çalışan Adı],0)),"")),"")</f>
        <v/>
      </c>
      <c r="C419" s="110">
        <f>IF($A419="","",IFERROR($B419*IsverenPayiOrani,""))</f>
        <v/>
      </c>
      <c r="D419" s="110">
        <f>IF($A419="","",IFERROR($B419*IssizlikOrani,""))</f>
        <v/>
      </c>
      <c r="E419" s="110">
        <f>IF($A419="","",IFERROR($B419*KidemKarsilikOrani,""))</f>
        <v/>
      </c>
      <c r="F419" s="108" t="n"/>
      <c r="G419" s="110">
        <f>IF($A419="","",IFERROR($B419+$C419+$D419+$E419+$F419,""))</f>
        <v/>
      </c>
      <c r="H419" s="110">
        <f>IF($A419="","",IFERROR($G419*AySayisi,""))</f>
        <v/>
      </c>
    </row>
    <row r="420" ht="15" customHeight="1" s="62">
      <c r="A420" s="107" t="n"/>
      <c r="B420" s="110">
        <f>IFERROR(IF($A420="","",IFERROR(INDEX(tblCalisan[Brüt Ücret (₺)],MATCH($A420,tblCalisan[Çalışan Adı],0)),"")),"")</f>
        <v/>
      </c>
      <c r="C420" s="110">
        <f>IF($A420="","",IFERROR($B420*IsverenPayiOrani,""))</f>
        <v/>
      </c>
      <c r="D420" s="110">
        <f>IF($A420="","",IFERROR($B420*IssizlikOrani,""))</f>
        <v/>
      </c>
      <c r="E420" s="110">
        <f>IF($A420="","",IFERROR($B420*KidemKarsilikOrani,""))</f>
        <v/>
      </c>
      <c r="F420" s="108" t="n"/>
      <c r="G420" s="110">
        <f>IF($A420="","",IFERROR($B420+$C420+$D420+$E420+$F420,""))</f>
        <v/>
      </c>
      <c r="H420" s="110">
        <f>IF($A420="","",IFERROR($G420*AySayisi,""))</f>
        <v/>
      </c>
    </row>
    <row r="421" ht="15" customHeight="1" s="62">
      <c r="A421" s="107" t="n"/>
      <c r="B421" s="110">
        <f>IFERROR(IF($A421="","",IFERROR(INDEX(tblCalisan[Brüt Ücret (₺)],MATCH($A421,tblCalisan[Çalışan Adı],0)),"")),"")</f>
        <v/>
      </c>
      <c r="C421" s="110">
        <f>IF($A421="","",IFERROR($B421*IsverenPayiOrani,""))</f>
        <v/>
      </c>
      <c r="D421" s="110">
        <f>IF($A421="","",IFERROR($B421*IssizlikOrani,""))</f>
        <v/>
      </c>
      <c r="E421" s="110">
        <f>IF($A421="","",IFERROR($B421*KidemKarsilikOrani,""))</f>
        <v/>
      </c>
      <c r="F421" s="108" t="n"/>
      <c r="G421" s="110">
        <f>IF($A421="","",IFERROR($B421+$C421+$D421+$E421+$F421,""))</f>
        <v/>
      </c>
      <c r="H421" s="110">
        <f>IF($A421="","",IFERROR($G421*AySayisi,""))</f>
        <v/>
      </c>
    </row>
    <row r="422" ht="15" customHeight="1" s="62">
      <c r="A422" s="107" t="n"/>
      <c r="B422" s="110">
        <f>IFERROR(IF($A422="","",IFERROR(INDEX(tblCalisan[Brüt Ücret (₺)],MATCH($A422,tblCalisan[Çalışan Adı],0)),"")),"")</f>
        <v/>
      </c>
      <c r="C422" s="110">
        <f>IF($A422="","",IFERROR($B422*IsverenPayiOrani,""))</f>
        <v/>
      </c>
      <c r="D422" s="110">
        <f>IF($A422="","",IFERROR($B422*IssizlikOrani,""))</f>
        <v/>
      </c>
      <c r="E422" s="110">
        <f>IF($A422="","",IFERROR($B422*KidemKarsilikOrani,""))</f>
        <v/>
      </c>
      <c r="F422" s="108" t="n"/>
      <c r="G422" s="110">
        <f>IF($A422="","",IFERROR($B422+$C422+$D422+$E422+$F422,""))</f>
        <v/>
      </c>
      <c r="H422" s="110">
        <f>IF($A422="","",IFERROR($G422*AySayisi,""))</f>
        <v/>
      </c>
    </row>
    <row r="423" ht="15" customHeight="1" s="62">
      <c r="A423" s="107" t="n"/>
      <c r="B423" s="110">
        <f>IFERROR(IF($A423="","",IFERROR(INDEX(tblCalisan[Brüt Ücret (₺)],MATCH($A423,tblCalisan[Çalışan Adı],0)),"")),"")</f>
        <v/>
      </c>
      <c r="C423" s="110">
        <f>IF($A423="","",IFERROR($B423*IsverenPayiOrani,""))</f>
        <v/>
      </c>
      <c r="D423" s="110">
        <f>IF($A423="","",IFERROR($B423*IssizlikOrani,""))</f>
        <v/>
      </c>
      <c r="E423" s="110">
        <f>IF($A423="","",IFERROR($B423*KidemKarsilikOrani,""))</f>
        <v/>
      </c>
      <c r="F423" s="108" t="n"/>
      <c r="G423" s="110">
        <f>IF($A423="","",IFERROR($B423+$C423+$D423+$E423+$F423,""))</f>
        <v/>
      </c>
      <c r="H423" s="110">
        <f>IF($A423="","",IFERROR($G423*AySayisi,""))</f>
        <v/>
      </c>
    </row>
    <row r="424" ht="15" customHeight="1" s="62">
      <c r="A424" s="107" t="n"/>
      <c r="B424" s="110">
        <f>IFERROR(IF($A424="","",IFERROR(INDEX(tblCalisan[Brüt Ücret (₺)],MATCH($A424,tblCalisan[Çalışan Adı],0)),"")),"")</f>
        <v/>
      </c>
      <c r="C424" s="110">
        <f>IF($A424="","",IFERROR($B424*IsverenPayiOrani,""))</f>
        <v/>
      </c>
      <c r="D424" s="110">
        <f>IF($A424="","",IFERROR($B424*IssizlikOrani,""))</f>
        <v/>
      </c>
      <c r="E424" s="110">
        <f>IF($A424="","",IFERROR($B424*KidemKarsilikOrani,""))</f>
        <v/>
      </c>
      <c r="F424" s="108" t="n"/>
      <c r="G424" s="110">
        <f>IF($A424="","",IFERROR($B424+$C424+$D424+$E424+$F424,""))</f>
        <v/>
      </c>
      <c r="H424" s="110">
        <f>IF($A424="","",IFERROR($G424*AySayisi,""))</f>
        <v/>
      </c>
    </row>
    <row r="425" ht="15" customHeight="1" s="62">
      <c r="A425" s="107" t="n"/>
      <c r="B425" s="110">
        <f>IFERROR(IF($A425="","",IFERROR(INDEX(tblCalisan[Brüt Ücret (₺)],MATCH($A425,tblCalisan[Çalışan Adı],0)),"")),"")</f>
        <v/>
      </c>
      <c r="C425" s="110">
        <f>IF($A425="","",IFERROR($B425*IsverenPayiOrani,""))</f>
        <v/>
      </c>
      <c r="D425" s="110">
        <f>IF($A425="","",IFERROR($B425*IssizlikOrani,""))</f>
        <v/>
      </c>
      <c r="E425" s="110">
        <f>IF($A425="","",IFERROR($B425*KidemKarsilikOrani,""))</f>
        <v/>
      </c>
      <c r="F425" s="108" t="n"/>
      <c r="G425" s="110">
        <f>IF($A425="","",IFERROR($B425+$C425+$D425+$E425+$F425,""))</f>
        <v/>
      </c>
      <c r="H425" s="110">
        <f>IF($A425="","",IFERROR($G425*AySayisi,""))</f>
        <v/>
      </c>
    </row>
    <row r="426" ht="15" customHeight="1" s="62">
      <c r="A426" s="107" t="n"/>
      <c r="B426" s="110">
        <f>IFERROR(IF($A426="","",IFERROR(INDEX(tblCalisan[Brüt Ücret (₺)],MATCH($A426,tblCalisan[Çalışan Adı],0)),"")),"")</f>
        <v/>
      </c>
      <c r="C426" s="110">
        <f>IF($A426="","",IFERROR($B426*IsverenPayiOrani,""))</f>
        <v/>
      </c>
      <c r="D426" s="110">
        <f>IF($A426="","",IFERROR($B426*IssizlikOrani,""))</f>
        <v/>
      </c>
      <c r="E426" s="110">
        <f>IF($A426="","",IFERROR($B426*KidemKarsilikOrani,""))</f>
        <v/>
      </c>
      <c r="F426" s="108" t="n"/>
      <c r="G426" s="110">
        <f>IF($A426="","",IFERROR($B426+$C426+$D426+$E426+$F426,""))</f>
        <v/>
      </c>
      <c r="H426" s="110">
        <f>IF($A426="","",IFERROR($G426*AySayisi,""))</f>
        <v/>
      </c>
    </row>
    <row r="427" ht="15" customHeight="1" s="62">
      <c r="A427" s="107" t="n"/>
      <c r="B427" s="110">
        <f>IFERROR(IF($A427="","",IFERROR(INDEX(tblCalisan[Brüt Ücret (₺)],MATCH($A427,tblCalisan[Çalışan Adı],0)),"")),"")</f>
        <v/>
      </c>
      <c r="C427" s="110">
        <f>IF($A427="","",IFERROR($B427*IsverenPayiOrani,""))</f>
        <v/>
      </c>
      <c r="D427" s="110">
        <f>IF($A427="","",IFERROR($B427*IssizlikOrani,""))</f>
        <v/>
      </c>
      <c r="E427" s="110">
        <f>IF($A427="","",IFERROR($B427*KidemKarsilikOrani,""))</f>
        <v/>
      </c>
      <c r="F427" s="108" t="n"/>
      <c r="G427" s="110">
        <f>IF($A427="","",IFERROR($B427+$C427+$D427+$E427+$F427,""))</f>
        <v/>
      </c>
      <c r="H427" s="110">
        <f>IF($A427="","",IFERROR($G427*AySayisi,""))</f>
        <v/>
      </c>
    </row>
    <row r="428" ht="15" customHeight="1" s="62">
      <c r="A428" s="107" t="n"/>
      <c r="B428" s="110">
        <f>IFERROR(IF($A428="","",IFERROR(INDEX(tblCalisan[Brüt Ücret (₺)],MATCH($A428,tblCalisan[Çalışan Adı],0)),"")),"")</f>
        <v/>
      </c>
      <c r="C428" s="110">
        <f>IF($A428="","",IFERROR($B428*IsverenPayiOrani,""))</f>
        <v/>
      </c>
      <c r="D428" s="110">
        <f>IF($A428="","",IFERROR($B428*IssizlikOrani,""))</f>
        <v/>
      </c>
      <c r="E428" s="110">
        <f>IF($A428="","",IFERROR($B428*KidemKarsilikOrani,""))</f>
        <v/>
      </c>
      <c r="F428" s="108" t="n"/>
      <c r="G428" s="110">
        <f>IF($A428="","",IFERROR($B428+$C428+$D428+$E428+$F428,""))</f>
        <v/>
      </c>
      <c r="H428" s="110">
        <f>IF($A428="","",IFERROR($G428*AySayisi,""))</f>
        <v/>
      </c>
    </row>
    <row r="429" ht="15" customHeight="1" s="62">
      <c r="A429" s="107" t="n"/>
      <c r="B429" s="110">
        <f>IFERROR(IF($A429="","",IFERROR(INDEX(tblCalisan[Brüt Ücret (₺)],MATCH($A429,tblCalisan[Çalışan Adı],0)),"")),"")</f>
        <v/>
      </c>
      <c r="C429" s="110">
        <f>IF($A429="","",IFERROR($B429*IsverenPayiOrani,""))</f>
        <v/>
      </c>
      <c r="D429" s="110">
        <f>IF($A429="","",IFERROR($B429*IssizlikOrani,""))</f>
        <v/>
      </c>
      <c r="E429" s="110">
        <f>IF($A429="","",IFERROR($B429*KidemKarsilikOrani,""))</f>
        <v/>
      </c>
      <c r="F429" s="108" t="n"/>
      <c r="G429" s="110">
        <f>IF($A429="","",IFERROR($B429+$C429+$D429+$E429+$F429,""))</f>
        <v/>
      </c>
      <c r="H429" s="110">
        <f>IF($A429="","",IFERROR($G429*AySayisi,""))</f>
        <v/>
      </c>
    </row>
    <row r="430" ht="15" customHeight="1" s="62">
      <c r="A430" s="107" t="n"/>
      <c r="B430" s="110">
        <f>IFERROR(IF($A430="","",IFERROR(INDEX(tblCalisan[Brüt Ücret (₺)],MATCH($A430,tblCalisan[Çalışan Adı],0)),"")),"")</f>
        <v/>
      </c>
      <c r="C430" s="110">
        <f>IF($A430="","",IFERROR($B430*IsverenPayiOrani,""))</f>
        <v/>
      </c>
      <c r="D430" s="110">
        <f>IF($A430="","",IFERROR($B430*IssizlikOrani,""))</f>
        <v/>
      </c>
      <c r="E430" s="110">
        <f>IF($A430="","",IFERROR($B430*KidemKarsilikOrani,""))</f>
        <v/>
      </c>
      <c r="F430" s="108" t="n"/>
      <c r="G430" s="110">
        <f>IF($A430="","",IFERROR($B430+$C430+$D430+$E430+$F430,""))</f>
        <v/>
      </c>
      <c r="H430" s="110">
        <f>IF($A430="","",IFERROR($G430*AySayisi,""))</f>
        <v/>
      </c>
    </row>
    <row r="431" ht="15" customHeight="1" s="62">
      <c r="A431" s="107" t="n"/>
      <c r="B431" s="110">
        <f>IFERROR(IF($A431="","",IFERROR(INDEX(tblCalisan[Brüt Ücret (₺)],MATCH($A431,tblCalisan[Çalışan Adı],0)),"")),"")</f>
        <v/>
      </c>
      <c r="C431" s="110">
        <f>IF($A431="","",IFERROR($B431*IsverenPayiOrani,""))</f>
        <v/>
      </c>
      <c r="D431" s="110">
        <f>IF($A431="","",IFERROR($B431*IssizlikOrani,""))</f>
        <v/>
      </c>
      <c r="E431" s="110">
        <f>IF($A431="","",IFERROR($B431*KidemKarsilikOrani,""))</f>
        <v/>
      </c>
      <c r="F431" s="108" t="n"/>
      <c r="G431" s="110">
        <f>IF($A431="","",IFERROR($B431+$C431+$D431+$E431+$F431,""))</f>
        <v/>
      </c>
      <c r="H431" s="110">
        <f>IF($A431="","",IFERROR($G431*AySayisi,""))</f>
        <v/>
      </c>
    </row>
    <row r="432" ht="15" customHeight="1" s="62">
      <c r="A432" s="107" t="n"/>
      <c r="B432" s="110">
        <f>IFERROR(IF($A432="","",IFERROR(INDEX(tblCalisan[Brüt Ücret (₺)],MATCH($A432,tblCalisan[Çalışan Adı],0)),"")),"")</f>
        <v/>
      </c>
      <c r="C432" s="110">
        <f>IF($A432="","",IFERROR($B432*IsverenPayiOrani,""))</f>
        <v/>
      </c>
      <c r="D432" s="110">
        <f>IF($A432="","",IFERROR($B432*IssizlikOrani,""))</f>
        <v/>
      </c>
      <c r="E432" s="110">
        <f>IF($A432="","",IFERROR($B432*KidemKarsilikOrani,""))</f>
        <v/>
      </c>
      <c r="F432" s="108" t="n"/>
      <c r="G432" s="110">
        <f>IF($A432="","",IFERROR($B432+$C432+$D432+$E432+$F432,""))</f>
        <v/>
      </c>
      <c r="H432" s="110">
        <f>IF($A432="","",IFERROR($G432*AySayisi,""))</f>
        <v/>
      </c>
    </row>
    <row r="433" ht="15" customHeight="1" s="62">
      <c r="A433" s="107" t="n"/>
      <c r="B433" s="110">
        <f>IFERROR(IF($A433="","",IFERROR(INDEX(tblCalisan[Brüt Ücret (₺)],MATCH($A433,tblCalisan[Çalışan Adı],0)),"")),"")</f>
        <v/>
      </c>
      <c r="C433" s="110">
        <f>IF($A433="","",IFERROR($B433*IsverenPayiOrani,""))</f>
        <v/>
      </c>
      <c r="D433" s="110">
        <f>IF($A433="","",IFERROR($B433*IssizlikOrani,""))</f>
        <v/>
      </c>
      <c r="E433" s="110">
        <f>IF($A433="","",IFERROR($B433*KidemKarsilikOrani,""))</f>
        <v/>
      </c>
      <c r="F433" s="108" t="n"/>
      <c r="G433" s="110">
        <f>IF($A433="","",IFERROR($B433+$C433+$D433+$E433+$F433,""))</f>
        <v/>
      </c>
      <c r="H433" s="110">
        <f>IF($A433="","",IFERROR($G433*AySayisi,""))</f>
        <v/>
      </c>
    </row>
    <row r="434" ht="15" customHeight="1" s="62">
      <c r="A434" s="107" t="n"/>
      <c r="B434" s="110">
        <f>IFERROR(IF($A434="","",IFERROR(INDEX(tblCalisan[Brüt Ücret (₺)],MATCH($A434,tblCalisan[Çalışan Adı],0)),"")),"")</f>
        <v/>
      </c>
      <c r="C434" s="110">
        <f>IF($A434="","",IFERROR($B434*IsverenPayiOrani,""))</f>
        <v/>
      </c>
      <c r="D434" s="110">
        <f>IF($A434="","",IFERROR($B434*IssizlikOrani,""))</f>
        <v/>
      </c>
      <c r="E434" s="110">
        <f>IF($A434="","",IFERROR($B434*KidemKarsilikOrani,""))</f>
        <v/>
      </c>
      <c r="F434" s="108" t="n"/>
      <c r="G434" s="110">
        <f>IF($A434="","",IFERROR($B434+$C434+$D434+$E434+$F434,""))</f>
        <v/>
      </c>
      <c r="H434" s="110">
        <f>IF($A434="","",IFERROR($G434*AySayisi,""))</f>
        <v/>
      </c>
    </row>
    <row r="435" ht="15" customHeight="1" s="62">
      <c r="A435" s="107" t="n"/>
      <c r="B435" s="110">
        <f>IFERROR(IF($A435="","",IFERROR(INDEX(tblCalisan[Brüt Ücret (₺)],MATCH($A435,tblCalisan[Çalışan Adı],0)),"")),"")</f>
        <v/>
      </c>
      <c r="C435" s="110">
        <f>IF($A435="","",IFERROR($B435*IsverenPayiOrani,""))</f>
        <v/>
      </c>
      <c r="D435" s="110">
        <f>IF($A435="","",IFERROR($B435*IssizlikOrani,""))</f>
        <v/>
      </c>
      <c r="E435" s="110">
        <f>IF($A435="","",IFERROR($B435*KidemKarsilikOrani,""))</f>
        <v/>
      </c>
      <c r="F435" s="108" t="n"/>
      <c r="G435" s="110">
        <f>IF($A435="","",IFERROR($B435+$C435+$D435+$E435+$F435,""))</f>
        <v/>
      </c>
      <c r="H435" s="110">
        <f>IF($A435="","",IFERROR($G435*AySayisi,""))</f>
        <v/>
      </c>
    </row>
    <row r="436" ht="15" customHeight="1" s="62">
      <c r="A436" s="107" t="n"/>
      <c r="B436" s="110">
        <f>IFERROR(IF($A436="","",IFERROR(INDEX(tblCalisan[Brüt Ücret (₺)],MATCH($A436,tblCalisan[Çalışan Adı],0)),"")),"")</f>
        <v/>
      </c>
      <c r="C436" s="110">
        <f>IF($A436="","",IFERROR($B436*IsverenPayiOrani,""))</f>
        <v/>
      </c>
      <c r="D436" s="110">
        <f>IF($A436="","",IFERROR($B436*IssizlikOrani,""))</f>
        <v/>
      </c>
      <c r="E436" s="110">
        <f>IF($A436="","",IFERROR($B436*KidemKarsilikOrani,""))</f>
        <v/>
      </c>
      <c r="F436" s="108" t="n"/>
      <c r="G436" s="110">
        <f>IF($A436="","",IFERROR($B436+$C436+$D436+$E436+$F436,""))</f>
        <v/>
      </c>
      <c r="H436" s="110">
        <f>IF($A436="","",IFERROR($G436*AySayisi,""))</f>
        <v/>
      </c>
    </row>
    <row r="437" ht="15" customHeight="1" s="62">
      <c r="A437" s="107" t="n"/>
      <c r="B437" s="110">
        <f>IFERROR(IF($A437="","",IFERROR(INDEX(tblCalisan[Brüt Ücret (₺)],MATCH($A437,tblCalisan[Çalışan Adı],0)),"")),"")</f>
        <v/>
      </c>
      <c r="C437" s="110">
        <f>IF($A437="","",IFERROR($B437*IsverenPayiOrani,""))</f>
        <v/>
      </c>
      <c r="D437" s="110">
        <f>IF($A437="","",IFERROR($B437*IssizlikOrani,""))</f>
        <v/>
      </c>
      <c r="E437" s="110">
        <f>IF($A437="","",IFERROR($B437*KidemKarsilikOrani,""))</f>
        <v/>
      </c>
      <c r="F437" s="108" t="n"/>
      <c r="G437" s="110">
        <f>IF($A437="","",IFERROR($B437+$C437+$D437+$E437+$F437,""))</f>
        <v/>
      </c>
      <c r="H437" s="110">
        <f>IF($A437="","",IFERROR($G437*AySayisi,""))</f>
        <v/>
      </c>
    </row>
    <row r="438" ht="15" customHeight="1" s="62">
      <c r="A438" s="107" t="n"/>
      <c r="B438" s="110">
        <f>IFERROR(IF($A438="","",IFERROR(INDEX(tblCalisan[Brüt Ücret (₺)],MATCH($A438,tblCalisan[Çalışan Adı],0)),"")),"")</f>
        <v/>
      </c>
      <c r="C438" s="110">
        <f>IF($A438="","",IFERROR($B438*IsverenPayiOrani,""))</f>
        <v/>
      </c>
      <c r="D438" s="110">
        <f>IF($A438="","",IFERROR($B438*IssizlikOrani,""))</f>
        <v/>
      </c>
      <c r="E438" s="110">
        <f>IF($A438="","",IFERROR($B438*KidemKarsilikOrani,""))</f>
        <v/>
      </c>
      <c r="F438" s="108" t="n"/>
      <c r="G438" s="110">
        <f>IF($A438="","",IFERROR($B438+$C438+$D438+$E438+$F438,""))</f>
        <v/>
      </c>
      <c r="H438" s="110">
        <f>IF($A438="","",IFERROR($G438*AySayisi,""))</f>
        <v/>
      </c>
    </row>
    <row r="439" ht="15" customHeight="1" s="62">
      <c r="A439" s="107" t="n"/>
      <c r="B439" s="110">
        <f>IFERROR(IF($A439="","",IFERROR(INDEX(tblCalisan[Brüt Ücret (₺)],MATCH($A439,tblCalisan[Çalışan Adı],0)),"")),"")</f>
        <v/>
      </c>
      <c r="C439" s="110">
        <f>IF($A439="","",IFERROR($B439*IsverenPayiOrani,""))</f>
        <v/>
      </c>
      <c r="D439" s="110">
        <f>IF($A439="","",IFERROR($B439*IssizlikOrani,""))</f>
        <v/>
      </c>
      <c r="E439" s="110">
        <f>IF($A439="","",IFERROR($B439*KidemKarsilikOrani,""))</f>
        <v/>
      </c>
      <c r="F439" s="108" t="n"/>
      <c r="G439" s="110">
        <f>IF($A439="","",IFERROR($B439+$C439+$D439+$E439+$F439,""))</f>
        <v/>
      </c>
      <c r="H439" s="110">
        <f>IF($A439="","",IFERROR($G439*AySayisi,""))</f>
        <v/>
      </c>
    </row>
    <row r="440" ht="15" customHeight="1" s="62">
      <c r="A440" s="107" t="n"/>
      <c r="B440" s="110">
        <f>IFERROR(IF($A440="","",IFERROR(INDEX(tblCalisan[Brüt Ücret (₺)],MATCH($A440,tblCalisan[Çalışan Adı],0)),"")),"")</f>
        <v/>
      </c>
      <c r="C440" s="110">
        <f>IF($A440="","",IFERROR($B440*IsverenPayiOrani,""))</f>
        <v/>
      </c>
      <c r="D440" s="110">
        <f>IF($A440="","",IFERROR($B440*IssizlikOrani,""))</f>
        <v/>
      </c>
      <c r="E440" s="110">
        <f>IF($A440="","",IFERROR($B440*KidemKarsilikOrani,""))</f>
        <v/>
      </c>
      <c r="F440" s="108" t="n"/>
      <c r="G440" s="110">
        <f>IF($A440="","",IFERROR($B440+$C440+$D440+$E440+$F440,""))</f>
        <v/>
      </c>
      <c r="H440" s="110">
        <f>IF($A440="","",IFERROR($G440*AySayisi,""))</f>
        <v/>
      </c>
    </row>
    <row r="441" ht="15" customHeight="1" s="62">
      <c r="A441" s="107" t="n"/>
      <c r="B441" s="110">
        <f>IFERROR(IF($A441="","",IFERROR(INDEX(tblCalisan[Brüt Ücret (₺)],MATCH($A441,tblCalisan[Çalışan Adı],0)),"")),"")</f>
        <v/>
      </c>
      <c r="C441" s="110">
        <f>IF($A441="","",IFERROR($B441*IsverenPayiOrani,""))</f>
        <v/>
      </c>
      <c r="D441" s="110">
        <f>IF($A441="","",IFERROR($B441*IssizlikOrani,""))</f>
        <v/>
      </c>
      <c r="E441" s="110">
        <f>IF($A441="","",IFERROR($B441*KidemKarsilikOrani,""))</f>
        <v/>
      </c>
      <c r="F441" s="108" t="n"/>
      <c r="G441" s="110">
        <f>IF($A441="","",IFERROR($B441+$C441+$D441+$E441+$F441,""))</f>
        <v/>
      </c>
      <c r="H441" s="110">
        <f>IF($A441="","",IFERROR($G441*AySayisi,""))</f>
        <v/>
      </c>
    </row>
    <row r="442" ht="15" customHeight="1" s="62">
      <c r="A442" s="107" t="n"/>
      <c r="B442" s="110">
        <f>IFERROR(IF($A442="","",IFERROR(INDEX(tblCalisan[Brüt Ücret (₺)],MATCH($A442,tblCalisan[Çalışan Adı],0)),"")),"")</f>
        <v/>
      </c>
      <c r="C442" s="110">
        <f>IF($A442="","",IFERROR($B442*IsverenPayiOrani,""))</f>
        <v/>
      </c>
      <c r="D442" s="110">
        <f>IF($A442="","",IFERROR($B442*IssizlikOrani,""))</f>
        <v/>
      </c>
      <c r="E442" s="110">
        <f>IF($A442="","",IFERROR($B442*KidemKarsilikOrani,""))</f>
        <v/>
      </c>
      <c r="F442" s="108" t="n"/>
      <c r="G442" s="110">
        <f>IF($A442="","",IFERROR($B442+$C442+$D442+$E442+$F442,""))</f>
        <v/>
      </c>
      <c r="H442" s="110">
        <f>IF($A442="","",IFERROR($G442*AySayisi,""))</f>
        <v/>
      </c>
    </row>
    <row r="443" ht="15" customHeight="1" s="62">
      <c r="A443" s="107" t="n"/>
      <c r="B443" s="110">
        <f>IFERROR(IF($A443="","",IFERROR(INDEX(tblCalisan[Brüt Ücret (₺)],MATCH($A443,tblCalisan[Çalışan Adı],0)),"")),"")</f>
        <v/>
      </c>
      <c r="C443" s="110">
        <f>IF($A443="","",IFERROR($B443*IsverenPayiOrani,""))</f>
        <v/>
      </c>
      <c r="D443" s="110">
        <f>IF($A443="","",IFERROR($B443*IssizlikOrani,""))</f>
        <v/>
      </c>
      <c r="E443" s="110">
        <f>IF($A443="","",IFERROR($B443*KidemKarsilikOrani,""))</f>
        <v/>
      </c>
      <c r="F443" s="108" t="n"/>
      <c r="G443" s="110">
        <f>IF($A443="","",IFERROR($B443+$C443+$D443+$E443+$F443,""))</f>
        <v/>
      </c>
      <c r="H443" s="110">
        <f>IF($A443="","",IFERROR($G443*AySayisi,""))</f>
        <v/>
      </c>
    </row>
    <row r="444" ht="15" customHeight="1" s="62">
      <c r="A444" s="107" t="n"/>
      <c r="B444" s="110">
        <f>IFERROR(IF($A444="","",IFERROR(INDEX(tblCalisan[Brüt Ücret (₺)],MATCH($A444,tblCalisan[Çalışan Adı],0)),"")),"")</f>
        <v/>
      </c>
      <c r="C444" s="110">
        <f>IF($A444="","",IFERROR($B444*IsverenPayiOrani,""))</f>
        <v/>
      </c>
      <c r="D444" s="110">
        <f>IF($A444="","",IFERROR($B444*IssizlikOrani,""))</f>
        <v/>
      </c>
      <c r="E444" s="110">
        <f>IF($A444="","",IFERROR($B444*KidemKarsilikOrani,""))</f>
        <v/>
      </c>
      <c r="F444" s="108" t="n"/>
      <c r="G444" s="110">
        <f>IF($A444="","",IFERROR($B444+$C444+$D444+$E444+$F444,""))</f>
        <v/>
      </c>
      <c r="H444" s="110">
        <f>IF($A444="","",IFERROR($G444*AySayisi,""))</f>
        <v/>
      </c>
    </row>
    <row r="445" ht="15" customHeight="1" s="62">
      <c r="A445" s="107" t="n"/>
      <c r="B445" s="110">
        <f>IFERROR(IF($A445="","",IFERROR(INDEX(tblCalisan[Brüt Ücret (₺)],MATCH($A445,tblCalisan[Çalışan Adı],0)),"")),"")</f>
        <v/>
      </c>
      <c r="C445" s="110">
        <f>IF($A445="","",IFERROR($B445*IsverenPayiOrani,""))</f>
        <v/>
      </c>
      <c r="D445" s="110">
        <f>IF($A445="","",IFERROR($B445*IssizlikOrani,""))</f>
        <v/>
      </c>
      <c r="E445" s="110">
        <f>IF($A445="","",IFERROR($B445*KidemKarsilikOrani,""))</f>
        <v/>
      </c>
      <c r="F445" s="108" t="n"/>
      <c r="G445" s="110">
        <f>IF($A445="","",IFERROR($B445+$C445+$D445+$E445+$F445,""))</f>
        <v/>
      </c>
      <c r="H445" s="110">
        <f>IF($A445="","",IFERROR($G445*AySayisi,""))</f>
        <v/>
      </c>
    </row>
    <row r="446" ht="15" customHeight="1" s="62">
      <c r="A446" s="107" t="n"/>
      <c r="B446" s="110">
        <f>IFERROR(IF($A446="","",IFERROR(INDEX(tblCalisan[Brüt Ücret (₺)],MATCH($A446,tblCalisan[Çalışan Adı],0)),"")),"")</f>
        <v/>
      </c>
      <c r="C446" s="110">
        <f>IF($A446="","",IFERROR($B446*IsverenPayiOrani,""))</f>
        <v/>
      </c>
      <c r="D446" s="110">
        <f>IF($A446="","",IFERROR($B446*IssizlikOrani,""))</f>
        <v/>
      </c>
      <c r="E446" s="110">
        <f>IF($A446="","",IFERROR($B446*KidemKarsilikOrani,""))</f>
        <v/>
      </c>
      <c r="F446" s="108" t="n"/>
      <c r="G446" s="110">
        <f>IF($A446="","",IFERROR($B446+$C446+$D446+$E446+$F446,""))</f>
        <v/>
      </c>
      <c r="H446" s="110">
        <f>IF($A446="","",IFERROR($G446*AySayisi,""))</f>
        <v/>
      </c>
    </row>
    <row r="447" ht="15" customHeight="1" s="62">
      <c r="A447" s="107" t="n"/>
      <c r="B447" s="110">
        <f>IFERROR(IF($A447="","",IFERROR(INDEX(tblCalisan[Brüt Ücret (₺)],MATCH($A447,tblCalisan[Çalışan Adı],0)),"")),"")</f>
        <v/>
      </c>
      <c r="C447" s="110">
        <f>IF($A447="","",IFERROR($B447*IsverenPayiOrani,""))</f>
        <v/>
      </c>
      <c r="D447" s="110">
        <f>IF($A447="","",IFERROR($B447*IssizlikOrani,""))</f>
        <v/>
      </c>
      <c r="E447" s="110">
        <f>IF($A447="","",IFERROR($B447*KidemKarsilikOrani,""))</f>
        <v/>
      </c>
      <c r="F447" s="108" t="n"/>
      <c r="G447" s="110">
        <f>IF($A447="","",IFERROR($B447+$C447+$D447+$E447+$F447,""))</f>
        <v/>
      </c>
      <c r="H447" s="110">
        <f>IF($A447="","",IFERROR($G447*AySayisi,""))</f>
        <v/>
      </c>
    </row>
    <row r="448" ht="15" customHeight="1" s="62">
      <c r="A448" s="107" t="n"/>
      <c r="B448" s="110">
        <f>IFERROR(IF($A448="","",IFERROR(INDEX(tblCalisan[Brüt Ücret (₺)],MATCH($A448,tblCalisan[Çalışan Adı],0)),"")),"")</f>
        <v/>
      </c>
      <c r="C448" s="110">
        <f>IF($A448="","",IFERROR($B448*IsverenPayiOrani,""))</f>
        <v/>
      </c>
      <c r="D448" s="110">
        <f>IF($A448="","",IFERROR($B448*IssizlikOrani,""))</f>
        <v/>
      </c>
      <c r="E448" s="110">
        <f>IF($A448="","",IFERROR($B448*KidemKarsilikOrani,""))</f>
        <v/>
      </c>
      <c r="F448" s="108" t="n"/>
      <c r="G448" s="110">
        <f>IF($A448="","",IFERROR($B448+$C448+$D448+$E448+$F448,""))</f>
        <v/>
      </c>
      <c r="H448" s="110">
        <f>IF($A448="","",IFERROR($G448*AySayisi,""))</f>
        <v/>
      </c>
    </row>
    <row r="449" ht="15" customHeight="1" s="62">
      <c r="A449" s="107" t="n"/>
      <c r="B449" s="110">
        <f>IFERROR(IF($A449="","",IFERROR(INDEX(tblCalisan[Brüt Ücret (₺)],MATCH($A449,tblCalisan[Çalışan Adı],0)),"")),"")</f>
        <v/>
      </c>
      <c r="C449" s="110">
        <f>IF($A449="","",IFERROR($B449*IsverenPayiOrani,""))</f>
        <v/>
      </c>
      <c r="D449" s="110">
        <f>IF($A449="","",IFERROR($B449*IssizlikOrani,""))</f>
        <v/>
      </c>
      <c r="E449" s="110">
        <f>IF($A449="","",IFERROR($B449*KidemKarsilikOrani,""))</f>
        <v/>
      </c>
      <c r="F449" s="108" t="n"/>
      <c r="G449" s="110">
        <f>IF($A449="","",IFERROR($B449+$C449+$D449+$E449+$F449,""))</f>
        <v/>
      </c>
      <c r="H449" s="110">
        <f>IF($A449="","",IFERROR($G449*AySayisi,""))</f>
        <v/>
      </c>
    </row>
    <row r="450" ht="15" customHeight="1" s="62">
      <c r="A450" s="107" t="n"/>
      <c r="B450" s="110">
        <f>IFERROR(IF($A450="","",IFERROR(INDEX(tblCalisan[Brüt Ücret (₺)],MATCH($A450,tblCalisan[Çalışan Adı],0)),"")),"")</f>
        <v/>
      </c>
      <c r="C450" s="110">
        <f>IF($A450="","",IFERROR($B450*IsverenPayiOrani,""))</f>
        <v/>
      </c>
      <c r="D450" s="110">
        <f>IF($A450="","",IFERROR($B450*IssizlikOrani,""))</f>
        <v/>
      </c>
      <c r="E450" s="110">
        <f>IF($A450="","",IFERROR($B450*KidemKarsilikOrani,""))</f>
        <v/>
      </c>
      <c r="F450" s="108" t="n"/>
      <c r="G450" s="110">
        <f>IF($A450="","",IFERROR($B450+$C450+$D450+$E450+$F450,""))</f>
        <v/>
      </c>
      <c r="H450" s="110">
        <f>IF($A450="","",IFERROR($G450*AySayisi,""))</f>
        <v/>
      </c>
    </row>
    <row r="451" ht="15" customHeight="1" s="62">
      <c r="A451" s="107" t="n"/>
      <c r="B451" s="110">
        <f>IFERROR(IF($A451="","",IFERROR(INDEX(tblCalisan[Brüt Ücret (₺)],MATCH($A451,tblCalisan[Çalışan Adı],0)),"")),"")</f>
        <v/>
      </c>
      <c r="C451" s="110">
        <f>IF($A451="","",IFERROR($B451*IsverenPayiOrani,""))</f>
        <v/>
      </c>
      <c r="D451" s="110">
        <f>IF($A451="","",IFERROR($B451*IssizlikOrani,""))</f>
        <v/>
      </c>
      <c r="E451" s="110">
        <f>IF($A451="","",IFERROR($B451*KidemKarsilikOrani,""))</f>
        <v/>
      </c>
      <c r="F451" s="108" t="n"/>
      <c r="G451" s="110">
        <f>IF($A451="","",IFERROR($B451+$C451+$D451+$E451+$F451,""))</f>
        <v/>
      </c>
      <c r="H451" s="110">
        <f>IF($A451="","",IFERROR($G451*AySayisi,""))</f>
        <v/>
      </c>
    </row>
    <row r="452" ht="15" customHeight="1" s="62">
      <c r="A452" s="107" t="n"/>
      <c r="B452" s="110">
        <f>IFERROR(IF($A452="","",IFERROR(INDEX(tblCalisan[Brüt Ücret (₺)],MATCH($A452,tblCalisan[Çalışan Adı],0)),"")),"")</f>
        <v/>
      </c>
      <c r="C452" s="110">
        <f>IF($A452="","",IFERROR($B452*IsverenPayiOrani,""))</f>
        <v/>
      </c>
      <c r="D452" s="110">
        <f>IF($A452="","",IFERROR($B452*IssizlikOrani,""))</f>
        <v/>
      </c>
      <c r="E452" s="110">
        <f>IF($A452="","",IFERROR($B452*KidemKarsilikOrani,""))</f>
        <v/>
      </c>
      <c r="F452" s="108" t="n"/>
      <c r="G452" s="110">
        <f>IF($A452="","",IFERROR($B452+$C452+$D452+$E452+$F452,""))</f>
        <v/>
      </c>
      <c r="H452" s="110">
        <f>IF($A452="","",IFERROR($G452*AySayisi,""))</f>
        <v/>
      </c>
    </row>
    <row r="453" ht="15" customHeight="1" s="62">
      <c r="A453" s="107" t="n"/>
      <c r="B453" s="110">
        <f>IFERROR(IF($A453="","",IFERROR(INDEX(tblCalisan[Brüt Ücret (₺)],MATCH($A453,tblCalisan[Çalışan Adı],0)),"")),"")</f>
        <v/>
      </c>
      <c r="C453" s="110">
        <f>IF($A453="","",IFERROR($B453*IsverenPayiOrani,""))</f>
        <v/>
      </c>
      <c r="D453" s="110">
        <f>IF($A453="","",IFERROR($B453*IssizlikOrani,""))</f>
        <v/>
      </c>
      <c r="E453" s="110">
        <f>IF($A453="","",IFERROR($B453*KidemKarsilikOrani,""))</f>
        <v/>
      </c>
      <c r="F453" s="108" t="n"/>
      <c r="G453" s="110">
        <f>IF($A453="","",IFERROR($B453+$C453+$D453+$E453+$F453,""))</f>
        <v/>
      </c>
      <c r="H453" s="110">
        <f>IF($A453="","",IFERROR($G453*AySayisi,""))</f>
        <v/>
      </c>
    </row>
    <row r="454" ht="15" customHeight="1" s="62">
      <c r="A454" s="107" t="n"/>
      <c r="B454" s="110">
        <f>IFERROR(IF($A454="","",IFERROR(INDEX(tblCalisan[Brüt Ücret (₺)],MATCH($A454,tblCalisan[Çalışan Adı],0)),"")),"")</f>
        <v/>
      </c>
      <c r="C454" s="110">
        <f>IF($A454="","",IFERROR($B454*IsverenPayiOrani,""))</f>
        <v/>
      </c>
      <c r="D454" s="110">
        <f>IF($A454="","",IFERROR($B454*IssizlikOrani,""))</f>
        <v/>
      </c>
      <c r="E454" s="110">
        <f>IF($A454="","",IFERROR($B454*KidemKarsilikOrani,""))</f>
        <v/>
      </c>
      <c r="F454" s="108" t="n"/>
      <c r="G454" s="110">
        <f>IF($A454="","",IFERROR($B454+$C454+$D454+$E454+$F454,""))</f>
        <v/>
      </c>
      <c r="H454" s="110">
        <f>IF($A454="","",IFERROR($G454*AySayisi,""))</f>
        <v/>
      </c>
    </row>
    <row r="455" ht="15" customHeight="1" s="62">
      <c r="A455" s="107" t="n"/>
      <c r="B455" s="110">
        <f>IFERROR(IF($A455="","",IFERROR(INDEX(tblCalisan[Brüt Ücret (₺)],MATCH($A455,tblCalisan[Çalışan Adı],0)),"")),"")</f>
        <v/>
      </c>
      <c r="C455" s="110">
        <f>IF($A455="","",IFERROR($B455*IsverenPayiOrani,""))</f>
        <v/>
      </c>
      <c r="D455" s="110">
        <f>IF($A455="","",IFERROR($B455*IssizlikOrani,""))</f>
        <v/>
      </c>
      <c r="E455" s="110">
        <f>IF($A455="","",IFERROR($B455*KidemKarsilikOrani,""))</f>
        <v/>
      </c>
      <c r="F455" s="108" t="n"/>
      <c r="G455" s="110">
        <f>IF($A455="","",IFERROR($B455+$C455+$D455+$E455+$F455,""))</f>
        <v/>
      </c>
      <c r="H455" s="110">
        <f>IF($A455="","",IFERROR($G455*AySayisi,""))</f>
        <v/>
      </c>
    </row>
    <row r="456" ht="15" customHeight="1" s="62">
      <c r="A456" s="107" t="n"/>
      <c r="B456" s="110">
        <f>IFERROR(IF($A456="","",IFERROR(INDEX(tblCalisan[Brüt Ücret (₺)],MATCH($A456,tblCalisan[Çalışan Adı],0)),"")),"")</f>
        <v/>
      </c>
      <c r="C456" s="110">
        <f>IF($A456="","",IFERROR($B456*IsverenPayiOrani,""))</f>
        <v/>
      </c>
      <c r="D456" s="110">
        <f>IF($A456="","",IFERROR($B456*IssizlikOrani,""))</f>
        <v/>
      </c>
      <c r="E456" s="110">
        <f>IF($A456="","",IFERROR($B456*KidemKarsilikOrani,""))</f>
        <v/>
      </c>
      <c r="F456" s="108" t="n"/>
      <c r="G456" s="110">
        <f>IF($A456="","",IFERROR($B456+$C456+$D456+$E456+$F456,""))</f>
        <v/>
      </c>
      <c r="H456" s="110">
        <f>IF($A456="","",IFERROR($G456*AySayisi,""))</f>
        <v/>
      </c>
    </row>
    <row r="457" ht="15" customHeight="1" s="62">
      <c r="A457" s="107" t="n"/>
      <c r="B457" s="110">
        <f>IFERROR(IF($A457="","",IFERROR(INDEX(tblCalisan[Brüt Ücret (₺)],MATCH($A457,tblCalisan[Çalışan Adı],0)),"")),"")</f>
        <v/>
      </c>
      <c r="C457" s="110">
        <f>IF($A457="","",IFERROR($B457*IsverenPayiOrani,""))</f>
        <v/>
      </c>
      <c r="D457" s="110">
        <f>IF($A457="","",IFERROR($B457*IssizlikOrani,""))</f>
        <v/>
      </c>
      <c r="E457" s="110">
        <f>IF($A457="","",IFERROR($B457*KidemKarsilikOrani,""))</f>
        <v/>
      </c>
      <c r="F457" s="108" t="n"/>
      <c r="G457" s="110">
        <f>IF($A457="","",IFERROR($B457+$C457+$D457+$E457+$F457,""))</f>
        <v/>
      </c>
      <c r="H457" s="110">
        <f>IF($A457="","",IFERROR($G457*AySayisi,""))</f>
        <v/>
      </c>
    </row>
    <row r="458" ht="15" customHeight="1" s="62">
      <c r="A458" s="107" t="n"/>
      <c r="B458" s="110">
        <f>IFERROR(IF($A458="","",IFERROR(INDEX(tblCalisan[Brüt Ücret (₺)],MATCH($A458,tblCalisan[Çalışan Adı],0)),"")),"")</f>
        <v/>
      </c>
      <c r="C458" s="110">
        <f>IF($A458="","",IFERROR($B458*IsverenPayiOrani,""))</f>
        <v/>
      </c>
      <c r="D458" s="110">
        <f>IF($A458="","",IFERROR($B458*IssizlikOrani,""))</f>
        <v/>
      </c>
      <c r="E458" s="110">
        <f>IF($A458="","",IFERROR($B458*KidemKarsilikOrani,""))</f>
        <v/>
      </c>
      <c r="F458" s="108" t="n"/>
      <c r="G458" s="110">
        <f>IF($A458="","",IFERROR($B458+$C458+$D458+$E458+$F458,""))</f>
        <v/>
      </c>
      <c r="H458" s="110">
        <f>IF($A458="","",IFERROR($G458*AySayisi,""))</f>
        <v/>
      </c>
    </row>
    <row r="459" ht="15" customHeight="1" s="62">
      <c r="A459" s="107" t="n"/>
      <c r="B459" s="110">
        <f>IFERROR(IF($A459="","",IFERROR(INDEX(tblCalisan[Brüt Ücret (₺)],MATCH($A459,tblCalisan[Çalışan Adı],0)),"")),"")</f>
        <v/>
      </c>
      <c r="C459" s="110">
        <f>IF($A459="","",IFERROR($B459*IsverenPayiOrani,""))</f>
        <v/>
      </c>
      <c r="D459" s="110">
        <f>IF($A459="","",IFERROR($B459*IssizlikOrani,""))</f>
        <v/>
      </c>
      <c r="E459" s="110">
        <f>IF($A459="","",IFERROR($B459*KidemKarsilikOrani,""))</f>
        <v/>
      </c>
      <c r="F459" s="108" t="n"/>
      <c r="G459" s="110">
        <f>IF($A459="","",IFERROR($B459+$C459+$D459+$E459+$F459,""))</f>
        <v/>
      </c>
      <c r="H459" s="110">
        <f>IF($A459="","",IFERROR($G459*AySayisi,""))</f>
        <v/>
      </c>
    </row>
    <row r="460" ht="15" customHeight="1" s="62">
      <c r="A460" s="107" t="n"/>
      <c r="B460" s="110">
        <f>IFERROR(IF($A460="","",IFERROR(INDEX(tblCalisan[Brüt Ücret (₺)],MATCH($A460,tblCalisan[Çalışan Adı],0)),"")),"")</f>
        <v/>
      </c>
      <c r="C460" s="110">
        <f>IF($A460="","",IFERROR($B460*IsverenPayiOrani,""))</f>
        <v/>
      </c>
      <c r="D460" s="110">
        <f>IF($A460="","",IFERROR($B460*IssizlikOrani,""))</f>
        <v/>
      </c>
      <c r="E460" s="110">
        <f>IF($A460="","",IFERROR($B460*KidemKarsilikOrani,""))</f>
        <v/>
      </c>
      <c r="F460" s="108" t="n"/>
      <c r="G460" s="110">
        <f>IF($A460="","",IFERROR($B460+$C460+$D460+$E460+$F460,""))</f>
        <v/>
      </c>
      <c r="H460" s="110">
        <f>IF($A460="","",IFERROR($G460*AySayisi,""))</f>
        <v/>
      </c>
    </row>
    <row r="461" ht="15" customHeight="1" s="62">
      <c r="A461" s="107" t="n"/>
      <c r="B461" s="110">
        <f>IFERROR(IF($A461="","",IFERROR(INDEX(tblCalisan[Brüt Ücret (₺)],MATCH($A461,tblCalisan[Çalışan Adı],0)),"")),"")</f>
        <v/>
      </c>
      <c r="C461" s="110">
        <f>IF($A461="","",IFERROR($B461*IsverenPayiOrani,""))</f>
        <v/>
      </c>
      <c r="D461" s="110">
        <f>IF($A461="","",IFERROR($B461*IssizlikOrani,""))</f>
        <v/>
      </c>
      <c r="E461" s="110">
        <f>IF($A461="","",IFERROR($B461*KidemKarsilikOrani,""))</f>
        <v/>
      </c>
      <c r="F461" s="108" t="n"/>
      <c r="G461" s="110">
        <f>IF($A461="","",IFERROR($B461+$C461+$D461+$E461+$F461,""))</f>
        <v/>
      </c>
      <c r="H461" s="110">
        <f>IF($A461="","",IFERROR($G461*AySayisi,""))</f>
        <v/>
      </c>
    </row>
    <row r="462" ht="15" customHeight="1" s="62">
      <c r="A462" s="107" t="n"/>
      <c r="B462" s="110">
        <f>IFERROR(IF($A462="","",IFERROR(INDEX(tblCalisan[Brüt Ücret (₺)],MATCH($A462,tblCalisan[Çalışan Adı],0)),"")),"")</f>
        <v/>
      </c>
      <c r="C462" s="110">
        <f>IF($A462="","",IFERROR($B462*IsverenPayiOrani,""))</f>
        <v/>
      </c>
      <c r="D462" s="110">
        <f>IF($A462="","",IFERROR($B462*IssizlikOrani,""))</f>
        <v/>
      </c>
      <c r="E462" s="110">
        <f>IF($A462="","",IFERROR($B462*KidemKarsilikOrani,""))</f>
        <v/>
      </c>
      <c r="F462" s="108" t="n"/>
      <c r="G462" s="110">
        <f>IF($A462="","",IFERROR($B462+$C462+$D462+$E462+$F462,""))</f>
        <v/>
      </c>
      <c r="H462" s="110">
        <f>IF($A462="","",IFERROR($G462*AySayisi,""))</f>
        <v/>
      </c>
    </row>
    <row r="463" ht="15" customHeight="1" s="62">
      <c r="A463" s="107" t="n"/>
      <c r="B463" s="110">
        <f>IFERROR(IF($A463="","",IFERROR(INDEX(tblCalisan[Brüt Ücret (₺)],MATCH($A463,tblCalisan[Çalışan Adı],0)),"")),"")</f>
        <v/>
      </c>
      <c r="C463" s="110">
        <f>IF($A463="","",IFERROR($B463*IsverenPayiOrani,""))</f>
        <v/>
      </c>
      <c r="D463" s="110">
        <f>IF($A463="","",IFERROR($B463*IssizlikOrani,""))</f>
        <v/>
      </c>
      <c r="E463" s="110">
        <f>IF($A463="","",IFERROR($B463*KidemKarsilikOrani,""))</f>
        <v/>
      </c>
      <c r="F463" s="108" t="n"/>
      <c r="G463" s="110">
        <f>IF($A463="","",IFERROR($B463+$C463+$D463+$E463+$F463,""))</f>
        <v/>
      </c>
      <c r="H463" s="110">
        <f>IF($A463="","",IFERROR($G463*AySayisi,""))</f>
        <v/>
      </c>
    </row>
    <row r="464" ht="15" customHeight="1" s="62">
      <c r="A464" s="107" t="n"/>
      <c r="B464" s="110">
        <f>IFERROR(IF($A464="","",IFERROR(INDEX(tblCalisan[Brüt Ücret (₺)],MATCH($A464,tblCalisan[Çalışan Adı],0)),"")),"")</f>
        <v/>
      </c>
      <c r="C464" s="110">
        <f>IF($A464="","",IFERROR($B464*IsverenPayiOrani,""))</f>
        <v/>
      </c>
      <c r="D464" s="110">
        <f>IF($A464="","",IFERROR($B464*IssizlikOrani,""))</f>
        <v/>
      </c>
      <c r="E464" s="110">
        <f>IF($A464="","",IFERROR($B464*KidemKarsilikOrani,""))</f>
        <v/>
      </c>
      <c r="F464" s="108" t="n"/>
      <c r="G464" s="110">
        <f>IF($A464="","",IFERROR($B464+$C464+$D464+$E464+$F464,""))</f>
        <v/>
      </c>
      <c r="H464" s="110">
        <f>IF($A464="","",IFERROR($G464*AySayisi,""))</f>
        <v/>
      </c>
    </row>
    <row r="465" ht="15" customHeight="1" s="62">
      <c r="A465" s="107" t="n"/>
      <c r="B465" s="110">
        <f>IFERROR(IF($A465="","",IFERROR(INDEX(tblCalisan[Brüt Ücret (₺)],MATCH($A465,tblCalisan[Çalışan Adı],0)),"")),"")</f>
        <v/>
      </c>
      <c r="C465" s="110">
        <f>IF($A465="","",IFERROR($B465*IsverenPayiOrani,""))</f>
        <v/>
      </c>
      <c r="D465" s="110">
        <f>IF($A465="","",IFERROR($B465*IssizlikOrani,""))</f>
        <v/>
      </c>
      <c r="E465" s="110">
        <f>IF($A465="","",IFERROR($B465*KidemKarsilikOrani,""))</f>
        <v/>
      </c>
      <c r="F465" s="108" t="n"/>
      <c r="G465" s="110">
        <f>IF($A465="","",IFERROR($B465+$C465+$D465+$E465+$F465,""))</f>
        <v/>
      </c>
      <c r="H465" s="110">
        <f>IF($A465="","",IFERROR($G465*AySayisi,""))</f>
        <v/>
      </c>
    </row>
    <row r="466" ht="15" customHeight="1" s="62">
      <c r="A466" s="107" t="n"/>
      <c r="B466" s="110">
        <f>IFERROR(IF($A466="","",IFERROR(INDEX(tblCalisan[Brüt Ücret (₺)],MATCH($A466,tblCalisan[Çalışan Adı],0)),"")),"")</f>
        <v/>
      </c>
      <c r="C466" s="110">
        <f>IF($A466="","",IFERROR($B466*IsverenPayiOrani,""))</f>
        <v/>
      </c>
      <c r="D466" s="110">
        <f>IF($A466="","",IFERROR($B466*IssizlikOrani,""))</f>
        <v/>
      </c>
      <c r="E466" s="110">
        <f>IF($A466="","",IFERROR($B466*KidemKarsilikOrani,""))</f>
        <v/>
      </c>
      <c r="F466" s="108" t="n"/>
      <c r="G466" s="110">
        <f>IF($A466="","",IFERROR($B466+$C466+$D466+$E466+$F466,""))</f>
        <v/>
      </c>
      <c r="H466" s="110">
        <f>IF($A466="","",IFERROR($G466*AySayisi,""))</f>
        <v/>
      </c>
    </row>
    <row r="467" ht="15" customHeight="1" s="62">
      <c r="A467" s="107" t="n"/>
      <c r="B467" s="110">
        <f>IFERROR(IF($A467="","",IFERROR(INDEX(tblCalisan[Brüt Ücret (₺)],MATCH($A467,tblCalisan[Çalışan Adı],0)),"")),"")</f>
        <v/>
      </c>
      <c r="C467" s="110">
        <f>IF($A467="","",IFERROR($B467*IsverenPayiOrani,""))</f>
        <v/>
      </c>
      <c r="D467" s="110">
        <f>IF($A467="","",IFERROR($B467*IssizlikOrani,""))</f>
        <v/>
      </c>
      <c r="E467" s="110">
        <f>IF($A467="","",IFERROR($B467*KidemKarsilikOrani,""))</f>
        <v/>
      </c>
      <c r="F467" s="108" t="n"/>
      <c r="G467" s="110">
        <f>IF($A467="","",IFERROR($B467+$C467+$D467+$E467+$F467,""))</f>
        <v/>
      </c>
      <c r="H467" s="110">
        <f>IF($A467="","",IFERROR($G467*AySayisi,""))</f>
        <v/>
      </c>
    </row>
    <row r="468" ht="15" customHeight="1" s="62">
      <c r="A468" s="107" t="n"/>
      <c r="B468" s="110">
        <f>IFERROR(IF($A468="","",IFERROR(INDEX(tblCalisan[Brüt Ücret (₺)],MATCH($A468,tblCalisan[Çalışan Adı],0)),"")),"")</f>
        <v/>
      </c>
      <c r="C468" s="110">
        <f>IF($A468="","",IFERROR($B468*IsverenPayiOrani,""))</f>
        <v/>
      </c>
      <c r="D468" s="110">
        <f>IF($A468="","",IFERROR($B468*IssizlikOrani,""))</f>
        <v/>
      </c>
      <c r="E468" s="110">
        <f>IF($A468="","",IFERROR($B468*KidemKarsilikOrani,""))</f>
        <v/>
      </c>
      <c r="F468" s="108" t="n"/>
      <c r="G468" s="110">
        <f>IF($A468="","",IFERROR($B468+$C468+$D468+$E468+$F468,""))</f>
        <v/>
      </c>
      <c r="H468" s="110">
        <f>IF($A468="","",IFERROR($G468*AySayisi,""))</f>
        <v/>
      </c>
    </row>
    <row r="469" ht="15" customHeight="1" s="62">
      <c r="A469" s="107" t="n"/>
      <c r="B469" s="110">
        <f>IFERROR(IF($A469="","",IFERROR(INDEX(tblCalisan[Brüt Ücret (₺)],MATCH($A469,tblCalisan[Çalışan Adı],0)),"")),"")</f>
        <v/>
      </c>
      <c r="C469" s="110">
        <f>IF($A469="","",IFERROR($B469*IsverenPayiOrani,""))</f>
        <v/>
      </c>
      <c r="D469" s="110">
        <f>IF($A469="","",IFERROR($B469*IssizlikOrani,""))</f>
        <v/>
      </c>
      <c r="E469" s="110">
        <f>IF($A469="","",IFERROR($B469*KidemKarsilikOrani,""))</f>
        <v/>
      </c>
      <c r="F469" s="108" t="n"/>
      <c r="G469" s="110">
        <f>IF($A469="","",IFERROR($B469+$C469+$D469+$E469+$F469,""))</f>
        <v/>
      </c>
      <c r="H469" s="110">
        <f>IF($A469="","",IFERROR($G469*AySayisi,""))</f>
        <v/>
      </c>
    </row>
    <row r="470" ht="15" customHeight="1" s="62">
      <c r="A470" s="107" t="n"/>
      <c r="B470" s="110">
        <f>IFERROR(IF($A470="","",IFERROR(INDEX(tblCalisan[Brüt Ücret (₺)],MATCH($A470,tblCalisan[Çalışan Adı],0)),"")),"")</f>
        <v/>
      </c>
      <c r="C470" s="110">
        <f>IF($A470="","",IFERROR($B470*IsverenPayiOrani,""))</f>
        <v/>
      </c>
      <c r="D470" s="110">
        <f>IF($A470="","",IFERROR($B470*IssizlikOrani,""))</f>
        <v/>
      </c>
      <c r="E470" s="110">
        <f>IF($A470="","",IFERROR($B470*KidemKarsilikOrani,""))</f>
        <v/>
      </c>
      <c r="F470" s="108" t="n"/>
      <c r="G470" s="110">
        <f>IF($A470="","",IFERROR($B470+$C470+$D470+$E470+$F470,""))</f>
        <v/>
      </c>
      <c r="H470" s="110">
        <f>IF($A470="","",IFERROR($G470*AySayisi,""))</f>
        <v/>
      </c>
    </row>
    <row r="471" ht="15" customHeight="1" s="62">
      <c r="A471" s="107" t="n"/>
      <c r="B471" s="110">
        <f>IFERROR(IF($A471="","",IFERROR(INDEX(tblCalisan[Brüt Ücret (₺)],MATCH($A471,tblCalisan[Çalışan Adı],0)),"")),"")</f>
        <v/>
      </c>
      <c r="C471" s="110">
        <f>IF($A471="","",IFERROR($B471*IsverenPayiOrani,""))</f>
        <v/>
      </c>
      <c r="D471" s="110">
        <f>IF($A471="","",IFERROR($B471*IssizlikOrani,""))</f>
        <v/>
      </c>
      <c r="E471" s="110">
        <f>IF($A471="","",IFERROR($B471*KidemKarsilikOrani,""))</f>
        <v/>
      </c>
      <c r="F471" s="108" t="n"/>
      <c r="G471" s="110">
        <f>IF($A471="","",IFERROR($B471+$C471+$D471+$E471+$F471,""))</f>
        <v/>
      </c>
      <c r="H471" s="110">
        <f>IF($A471="","",IFERROR($G471*AySayisi,""))</f>
        <v/>
      </c>
    </row>
    <row r="472" ht="15" customHeight="1" s="62">
      <c r="A472" s="107" t="n"/>
      <c r="B472" s="110">
        <f>IFERROR(IF($A472="","",IFERROR(INDEX(tblCalisan[Brüt Ücret (₺)],MATCH($A472,tblCalisan[Çalışan Adı],0)),"")),"")</f>
        <v/>
      </c>
      <c r="C472" s="110">
        <f>IF($A472="","",IFERROR($B472*IsverenPayiOrani,""))</f>
        <v/>
      </c>
      <c r="D472" s="110">
        <f>IF($A472="","",IFERROR($B472*IssizlikOrani,""))</f>
        <v/>
      </c>
      <c r="E472" s="110">
        <f>IF($A472="","",IFERROR($B472*KidemKarsilikOrani,""))</f>
        <v/>
      </c>
      <c r="F472" s="108" t="n"/>
      <c r="G472" s="110">
        <f>IF($A472="","",IFERROR($B472+$C472+$D472+$E472+$F472,""))</f>
        <v/>
      </c>
      <c r="H472" s="110">
        <f>IF($A472="","",IFERROR($G472*AySayisi,""))</f>
        <v/>
      </c>
    </row>
    <row r="473" ht="15" customHeight="1" s="62">
      <c r="A473" s="107" t="n"/>
      <c r="B473" s="110">
        <f>IFERROR(IF($A473="","",IFERROR(INDEX(tblCalisan[Brüt Ücret (₺)],MATCH($A473,tblCalisan[Çalışan Adı],0)),"")),"")</f>
        <v/>
      </c>
      <c r="C473" s="110">
        <f>IF($A473="","",IFERROR($B473*IsverenPayiOrani,""))</f>
        <v/>
      </c>
      <c r="D473" s="110">
        <f>IF($A473="","",IFERROR($B473*IssizlikOrani,""))</f>
        <v/>
      </c>
      <c r="E473" s="110">
        <f>IF($A473="","",IFERROR($B473*KidemKarsilikOrani,""))</f>
        <v/>
      </c>
      <c r="F473" s="108" t="n"/>
      <c r="G473" s="110">
        <f>IF($A473="","",IFERROR($B473+$C473+$D473+$E473+$F473,""))</f>
        <v/>
      </c>
      <c r="H473" s="110">
        <f>IF($A473="","",IFERROR($G473*AySayisi,""))</f>
        <v/>
      </c>
    </row>
    <row r="474" ht="15" customHeight="1" s="62">
      <c r="A474" s="107" t="n"/>
      <c r="B474" s="110">
        <f>IFERROR(IF($A474="","",IFERROR(INDEX(tblCalisan[Brüt Ücret (₺)],MATCH($A474,tblCalisan[Çalışan Adı],0)),"")),"")</f>
        <v/>
      </c>
      <c r="C474" s="110">
        <f>IF($A474="","",IFERROR($B474*IsverenPayiOrani,""))</f>
        <v/>
      </c>
      <c r="D474" s="110">
        <f>IF($A474="","",IFERROR($B474*IssizlikOrani,""))</f>
        <v/>
      </c>
      <c r="E474" s="110">
        <f>IF($A474="","",IFERROR($B474*KidemKarsilikOrani,""))</f>
        <v/>
      </c>
      <c r="F474" s="108" t="n"/>
      <c r="G474" s="110">
        <f>IF($A474="","",IFERROR($B474+$C474+$D474+$E474+$F474,""))</f>
        <v/>
      </c>
      <c r="H474" s="110">
        <f>IF($A474="","",IFERROR($G474*AySayisi,""))</f>
        <v/>
      </c>
    </row>
    <row r="475" ht="15" customHeight="1" s="62">
      <c r="A475" s="107" t="n"/>
      <c r="B475" s="110">
        <f>IFERROR(IF($A475="","",IFERROR(INDEX(tblCalisan[Brüt Ücret (₺)],MATCH($A475,tblCalisan[Çalışan Adı],0)),"")),"")</f>
        <v/>
      </c>
      <c r="C475" s="110">
        <f>IF($A475="","",IFERROR($B475*IsverenPayiOrani,""))</f>
        <v/>
      </c>
      <c r="D475" s="110">
        <f>IF($A475="","",IFERROR($B475*IssizlikOrani,""))</f>
        <v/>
      </c>
      <c r="E475" s="110">
        <f>IF($A475="","",IFERROR($B475*KidemKarsilikOrani,""))</f>
        <v/>
      </c>
      <c r="F475" s="108" t="n"/>
      <c r="G475" s="110">
        <f>IF($A475="","",IFERROR($B475+$C475+$D475+$E475+$F475,""))</f>
        <v/>
      </c>
      <c r="H475" s="110">
        <f>IF($A475="","",IFERROR($G475*AySayisi,""))</f>
        <v/>
      </c>
    </row>
    <row r="476" ht="15" customHeight="1" s="62">
      <c r="A476" s="107" t="n"/>
      <c r="B476" s="110">
        <f>IFERROR(IF($A476="","",IFERROR(INDEX(tblCalisan[Brüt Ücret (₺)],MATCH($A476,tblCalisan[Çalışan Adı],0)),"")),"")</f>
        <v/>
      </c>
      <c r="C476" s="110">
        <f>IF($A476="","",IFERROR($B476*IsverenPayiOrani,""))</f>
        <v/>
      </c>
      <c r="D476" s="110">
        <f>IF($A476="","",IFERROR($B476*IssizlikOrani,""))</f>
        <v/>
      </c>
      <c r="E476" s="110">
        <f>IF($A476="","",IFERROR($B476*KidemKarsilikOrani,""))</f>
        <v/>
      </c>
      <c r="F476" s="108" t="n"/>
      <c r="G476" s="110">
        <f>IF($A476="","",IFERROR($B476+$C476+$D476+$E476+$F476,""))</f>
        <v/>
      </c>
      <c r="H476" s="110">
        <f>IF($A476="","",IFERROR($G476*AySayisi,""))</f>
        <v/>
      </c>
    </row>
    <row r="477" ht="15" customHeight="1" s="62">
      <c r="A477" s="107" t="n"/>
      <c r="B477" s="110">
        <f>IFERROR(IF($A477="","",IFERROR(INDEX(tblCalisan[Brüt Ücret (₺)],MATCH($A477,tblCalisan[Çalışan Adı],0)),"")),"")</f>
        <v/>
      </c>
      <c r="C477" s="110">
        <f>IF($A477="","",IFERROR($B477*IsverenPayiOrani,""))</f>
        <v/>
      </c>
      <c r="D477" s="110">
        <f>IF($A477="","",IFERROR($B477*IssizlikOrani,""))</f>
        <v/>
      </c>
      <c r="E477" s="110">
        <f>IF($A477="","",IFERROR($B477*KidemKarsilikOrani,""))</f>
        <v/>
      </c>
      <c r="F477" s="108" t="n"/>
      <c r="G477" s="110">
        <f>IF($A477="","",IFERROR($B477+$C477+$D477+$E477+$F477,""))</f>
        <v/>
      </c>
      <c r="H477" s="110">
        <f>IF($A477="","",IFERROR($G477*AySayisi,""))</f>
        <v/>
      </c>
    </row>
    <row r="478" ht="15" customHeight="1" s="62">
      <c r="A478" s="107" t="n"/>
      <c r="B478" s="110">
        <f>IFERROR(IF($A478="","",IFERROR(INDEX(tblCalisan[Brüt Ücret (₺)],MATCH($A478,tblCalisan[Çalışan Adı],0)),"")),"")</f>
        <v/>
      </c>
      <c r="C478" s="110">
        <f>IF($A478="","",IFERROR($B478*IsverenPayiOrani,""))</f>
        <v/>
      </c>
      <c r="D478" s="110">
        <f>IF($A478="","",IFERROR($B478*IssizlikOrani,""))</f>
        <v/>
      </c>
      <c r="E478" s="110">
        <f>IF($A478="","",IFERROR($B478*KidemKarsilikOrani,""))</f>
        <v/>
      </c>
      <c r="F478" s="108" t="n"/>
      <c r="G478" s="110">
        <f>IF($A478="","",IFERROR($B478+$C478+$D478+$E478+$F478,""))</f>
        <v/>
      </c>
      <c r="H478" s="110">
        <f>IF($A478="","",IFERROR($G478*AySayisi,""))</f>
        <v/>
      </c>
    </row>
    <row r="479" ht="15" customHeight="1" s="62">
      <c r="A479" s="107" t="n"/>
      <c r="B479" s="110">
        <f>IFERROR(IF($A479="","",IFERROR(INDEX(tblCalisan[Brüt Ücret (₺)],MATCH($A479,tblCalisan[Çalışan Adı],0)),"")),"")</f>
        <v/>
      </c>
      <c r="C479" s="110">
        <f>IF($A479="","",IFERROR($B479*IsverenPayiOrani,""))</f>
        <v/>
      </c>
      <c r="D479" s="110">
        <f>IF($A479="","",IFERROR($B479*IssizlikOrani,""))</f>
        <v/>
      </c>
      <c r="E479" s="110">
        <f>IF($A479="","",IFERROR($B479*KidemKarsilikOrani,""))</f>
        <v/>
      </c>
      <c r="F479" s="108" t="n"/>
      <c r="G479" s="110">
        <f>IF($A479="","",IFERROR($B479+$C479+$D479+$E479+$F479,""))</f>
        <v/>
      </c>
      <c r="H479" s="110">
        <f>IF($A479="","",IFERROR($G479*AySayisi,""))</f>
        <v/>
      </c>
    </row>
    <row r="480" ht="15" customHeight="1" s="62">
      <c r="A480" s="107" t="n"/>
      <c r="B480" s="110">
        <f>IFERROR(IF($A480="","",IFERROR(INDEX(tblCalisan[Brüt Ücret (₺)],MATCH($A480,tblCalisan[Çalışan Adı],0)),"")),"")</f>
        <v/>
      </c>
      <c r="C480" s="110">
        <f>IF($A480="","",IFERROR($B480*IsverenPayiOrani,""))</f>
        <v/>
      </c>
      <c r="D480" s="110">
        <f>IF($A480="","",IFERROR($B480*IssizlikOrani,""))</f>
        <v/>
      </c>
      <c r="E480" s="110">
        <f>IF($A480="","",IFERROR($B480*KidemKarsilikOrani,""))</f>
        <v/>
      </c>
      <c r="F480" s="108" t="n"/>
      <c r="G480" s="110">
        <f>IF($A480="","",IFERROR($B480+$C480+$D480+$E480+$F480,""))</f>
        <v/>
      </c>
      <c r="H480" s="110">
        <f>IF($A480="","",IFERROR($G480*AySayisi,""))</f>
        <v/>
      </c>
    </row>
    <row r="481" ht="15" customHeight="1" s="62">
      <c r="A481" s="107" t="n"/>
      <c r="B481" s="110">
        <f>IFERROR(IF($A481="","",IFERROR(INDEX(tblCalisan[Brüt Ücret (₺)],MATCH($A481,tblCalisan[Çalışan Adı],0)),"")),"")</f>
        <v/>
      </c>
      <c r="C481" s="110">
        <f>IF($A481="","",IFERROR($B481*IsverenPayiOrani,""))</f>
        <v/>
      </c>
      <c r="D481" s="110">
        <f>IF($A481="","",IFERROR($B481*IssizlikOrani,""))</f>
        <v/>
      </c>
      <c r="E481" s="110">
        <f>IF($A481="","",IFERROR($B481*KidemKarsilikOrani,""))</f>
        <v/>
      </c>
      <c r="F481" s="108" t="n"/>
      <c r="G481" s="110">
        <f>IF($A481="","",IFERROR($B481+$C481+$D481+$E481+$F481,""))</f>
        <v/>
      </c>
      <c r="H481" s="110">
        <f>IF($A481="","",IFERROR($G481*AySayisi,""))</f>
        <v/>
      </c>
    </row>
    <row r="482" ht="15" customHeight="1" s="62">
      <c r="A482" s="107" t="n"/>
      <c r="B482" s="110">
        <f>IFERROR(IF($A482="","",IFERROR(INDEX(tblCalisan[Brüt Ücret (₺)],MATCH($A482,tblCalisan[Çalışan Adı],0)),"")),"")</f>
        <v/>
      </c>
      <c r="C482" s="110">
        <f>IF($A482="","",IFERROR($B482*IsverenPayiOrani,""))</f>
        <v/>
      </c>
      <c r="D482" s="110">
        <f>IF($A482="","",IFERROR($B482*IssizlikOrani,""))</f>
        <v/>
      </c>
      <c r="E482" s="110">
        <f>IF($A482="","",IFERROR($B482*KidemKarsilikOrani,""))</f>
        <v/>
      </c>
      <c r="F482" s="108" t="n"/>
      <c r="G482" s="110">
        <f>IF($A482="","",IFERROR($B482+$C482+$D482+$E482+$F482,""))</f>
        <v/>
      </c>
      <c r="H482" s="110">
        <f>IF($A482="","",IFERROR($G482*AySayisi,""))</f>
        <v/>
      </c>
    </row>
    <row r="483" ht="15" customHeight="1" s="62">
      <c r="A483" s="107" t="n"/>
      <c r="B483" s="110">
        <f>IFERROR(IF($A483="","",IFERROR(INDEX(tblCalisan[Brüt Ücret (₺)],MATCH($A483,tblCalisan[Çalışan Adı],0)),"")),"")</f>
        <v/>
      </c>
      <c r="C483" s="110">
        <f>IF($A483="","",IFERROR($B483*IsverenPayiOrani,""))</f>
        <v/>
      </c>
      <c r="D483" s="110">
        <f>IF($A483="","",IFERROR($B483*IssizlikOrani,""))</f>
        <v/>
      </c>
      <c r="E483" s="110">
        <f>IF($A483="","",IFERROR($B483*KidemKarsilikOrani,""))</f>
        <v/>
      </c>
      <c r="F483" s="108" t="n"/>
      <c r="G483" s="110">
        <f>IF($A483="","",IFERROR($B483+$C483+$D483+$E483+$F483,""))</f>
        <v/>
      </c>
      <c r="H483" s="110">
        <f>IF($A483="","",IFERROR($G483*AySayisi,""))</f>
        <v/>
      </c>
    </row>
    <row r="484" ht="15" customHeight="1" s="62">
      <c r="A484" s="107" t="n"/>
      <c r="B484" s="110">
        <f>IFERROR(IF($A484="","",IFERROR(INDEX(tblCalisan[Brüt Ücret (₺)],MATCH($A484,tblCalisan[Çalışan Adı],0)),"")),"")</f>
        <v/>
      </c>
      <c r="C484" s="110">
        <f>IF($A484="","",IFERROR($B484*IsverenPayiOrani,""))</f>
        <v/>
      </c>
      <c r="D484" s="110">
        <f>IF($A484="","",IFERROR($B484*IssizlikOrani,""))</f>
        <v/>
      </c>
      <c r="E484" s="110">
        <f>IF($A484="","",IFERROR($B484*KidemKarsilikOrani,""))</f>
        <v/>
      </c>
      <c r="F484" s="108" t="n"/>
      <c r="G484" s="110">
        <f>IF($A484="","",IFERROR($B484+$C484+$D484+$E484+$F484,""))</f>
        <v/>
      </c>
      <c r="H484" s="110">
        <f>IF($A484="","",IFERROR($G484*AySayisi,""))</f>
        <v/>
      </c>
    </row>
    <row r="485" ht="15" customHeight="1" s="62">
      <c r="A485" s="107" t="n"/>
      <c r="B485" s="110">
        <f>IFERROR(IF($A485="","",IFERROR(INDEX(tblCalisan[Brüt Ücret (₺)],MATCH($A485,tblCalisan[Çalışan Adı],0)),"")),"")</f>
        <v/>
      </c>
      <c r="C485" s="110">
        <f>IF($A485="","",IFERROR($B485*IsverenPayiOrani,""))</f>
        <v/>
      </c>
      <c r="D485" s="110">
        <f>IF($A485="","",IFERROR($B485*IssizlikOrani,""))</f>
        <v/>
      </c>
      <c r="E485" s="110">
        <f>IF($A485="","",IFERROR($B485*KidemKarsilikOrani,""))</f>
        <v/>
      </c>
      <c r="F485" s="108" t="n"/>
      <c r="G485" s="110">
        <f>IF($A485="","",IFERROR($B485+$C485+$D485+$E485+$F485,""))</f>
        <v/>
      </c>
      <c r="H485" s="110">
        <f>IF($A485="","",IFERROR($G485*AySayisi,""))</f>
        <v/>
      </c>
    </row>
    <row r="486" ht="15" customHeight="1" s="62">
      <c r="A486" s="107" t="n"/>
      <c r="B486" s="110">
        <f>IFERROR(IF($A486="","",IFERROR(INDEX(tblCalisan[Brüt Ücret (₺)],MATCH($A486,tblCalisan[Çalışan Adı],0)),"")),"")</f>
        <v/>
      </c>
      <c r="C486" s="110">
        <f>IF($A486="","",IFERROR($B486*IsverenPayiOrani,""))</f>
        <v/>
      </c>
      <c r="D486" s="110">
        <f>IF($A486="","",IFERROR($B486*IssizlikOrani,""))</f>
        <v/>
      </c>
      <c r="E486" s="110">
        <f>IF($A486="","",IFERROR($B486*KidemKarsilikOrani,""))</f>
        <v/>
      </c>
      <c r="F486" s="108" t="n"/>
      <c r="G486" s="110">
        <f>IF($A486="","",IFERROR($B486+$C486+$D486+$E486+$F486,""))</f>
        <v/>
      </c>
      <c r="H486" s="110">
        <f>IF($A486="","",IFERROR($G486*AySayisi,""))</f>
        <v/>
      </c>
    </row>
    <row r="487" ht="15" customHeight="1" s="62">
      <c r="A487" s="107" t="n"/>
      <c r="B487" s="110">
        <f>IFERROR(IF($A487="","",IFERROR(INDEX(tblCalisan[Brüt Ücret (₺)],MATCH($A487,tblCalisan[Çalışan Adı],0)),"")),"")</f>
        <v/>
      </c>
      <c r="C487" s="110">
        <f>IF($A487="","",IFERROR($B487*IsverenPayiOrani,""))</f>
        <v/>
      </c>
      <c r="D487" s="110">
        <f>IF($A487="","",IFERROR($B487*IssizlikOrani,""))</f>
        <v/>
      </c>
      <c r="E487" s="110">
        <f>IF($A487="","",IFERROR($B487*KidemKarsilikOrani,""))</f>
        <v/>
      </c>
      <c r="F487" s="108" t="n"/>
      <c r="G487" s="110">
        <f>IF($A487="","",IFERROR($B487+$C487+$D487+$E487+$F487,""))</f>
        <v/>
      </c>
      <c r="H487" s="110">
        <f>IF($A487="","",IFERROR($G487*AySayisi,""))</f>
        <v/>
      </c>
    </row>
    <row r="488" ht="15" customHeight="1" s="62">
      <c r="A488" s="107" t="n"/>
      <c r="B488" s="110">
        <f>IFERROR(IF($A488="","",IFERROR(INDEX(tblCalisan[Brüt Ücret (₺)],MATCH($A488,tblCalisan[Çalışan Adı],0)),"")),"")</f>
        <v/>
      </c>
      <c r="C488" s="110">
        <f>IF($A488="","",IFERROR($B488*IsverenPayiOrani,""))</f>
        <v/>
      </c>
      <c r="D488" s="110">
        <f>IF($A488="","",IFERROR($B488*IssizlikOrani,""))</f>
        <v/>
      </c>
      <c r="E488" s="110">
        <f>IF($A488="","",IFERROR($B488*KidemKarsilikOrani,""))</f>
        <v/>
      </c>
      <c r="F488" s="108" t="n"/>
      <c r="G488" s="110">
        <f>IF($A488="","",IFERROR($B488+$C488+$D488+$E488+$F488,""))</f>
        <v/>
      </c>
      <c r="H488" s="110">
        <f>IF($A488="","",IFERROR($G488*AySayisi,""))</f>
        <v/>
      </c>
    </row>
    <row r="489" ht="15" customHeight="1" s="62">
      <c r="A489" s="107" t="n"/>
      <c r="B489" s="110">
        <f>IFERROR(IF($A489="","",IFERROR(INDEX(tblCalisan[Brüt Ücret (₺)],MATCH($A489,tblCalisan[Çalışan Adı],0)),"")),"")</f>
        <v/>
      </c>
      <c r="C489" s="110">
        <f>IF($A489="","",IFERROR($B489*IsverenPayiOrani,""))</f>
        <v/>
      </c>
      <c r="D489" s="110">
        <f>IF($A489="","",IFERROR($B489*IssizlikOrani,""))</f>
        <v/>
      </c>
      <c r="E489" s="110">
        <f>IF($A489="","",IFERROR($B489*KidemKarsilikOrani,""))</f>
        <v/>
      </c>
      <c r="F489" s="108" t="n"/>
      <c r="G489" s="110">
        <f>IF($A489="","",IFERROR($B489+$C489+$D489+$E489+$F489,""))</f>
        <v/>
      </c>
      <c r="H489" s="110">
        <f>IF($A489="","",IFERROR($G489*AySayisi,""))</f>
        <v/>
      </c>
    </row>
    <row r="490" ht="15" customHeight="1" s="62">
      <c r="A490" s="107" t="n"/>
      <c r="B490" s="110">
        <f>IFERROR(IF($A490="","",IFERROR(INDEX(tblCalisan[Brüt Ücret (₺)],MATCH($A490,tblCalisan[Çalışan Adı],0)),"")),"")</f>
        <v/>
      </c>
      <c r="C490" s="110">
        <f>IF($A490="","",IFERROR($B490*IsverenPayiOrani,""))</f>
        <v/>
      </c>
      <c r="D490" s="110">
        <f>IF($A490="","",IFERROR($B490*IssizlikOrani,""))</f>
        <v/>
      </c>
      <c r="E490" s="110">
        <f>IF($A490="","",IFERROR($B490*KidemKarsilikOrani,""))</f>
        <v/>
      </c>
      <c r="F490" s="108" t="n"/>
      <c r="G490" s="110">
        <f>IF($A490="","",IFERROR($B490+$C490+$D490+$E490+$F490,""))</f>
        <v/>
      </c>
      <c r="H490" s="110">
        <f>IF($A490="","",IFERROR($G490*AySayisi,""))</f>
        <v/>
      </c>
    </row>
    <row r="491" ht="15" customHeight="1" s="62">
      <c r="A491" s="107" t="n"/>
      <c r="B491" s="110">
        <f>IFERROR(IF($A491="","",IFERROR(INDEX(tblCalisan[Brüt Ücret (₺)],MATCH($A491,tblCalisan[Çalışan Adı],0)),"")),"")</f>
        <v/>
      </c>
      <c r="C491" s="110">
        <f>IF($A491="","",IFERROR($B491*IsverenPayiOrani,""))</f>
        <v/>
      </c>
      <c r="D491" s="110">
        <f>IF($A491="","",IFERROR($B491*IssizlikOrani,""))</f>
        <v/>
      </c>
      <c r="E491" s="110">
        <f>IF($A491="","",IFERROR($B491*KidemKarsilikOrani,""))</f>
        <v/>
      </c>
      <c r="F491" s="108" t="n"/>
      <c r="G491" s="110">
        <f>IF($A491="","",IFERROR($B491+$C491+$D491+$E491+$F491,""))</f>
        <v/>
      </c>
      <c r="H491" s="110">
        <f>IF($A491="","",IFERROR($G491*AySayisi,""))</f>
        <v/>
      </c>
    </row>
    <row r="492" ht="15" customHeight="1" s="62">
      <c r="A492" s="107" t="n"/>
      <c r="B492" s="110">
        <f>IFERROR(IF($A492="","",IFERROR(INDEX(tblCalisan[Brüt Ücret (₺)],MATCH($A492,tblCalisan[Çalışan Adı],0)),"")),"")</f>
        <v/>
      </c>
      <c r="C492" s="110">
        <f>IF($A492="","",IFERROR($B492*IsverenPayiOrani,""))</f>
        <v/>
      </c>
      <c r="D492" s="110">
        <f>IF($A492="","",IFERROR($B492*IssizlikOrani,""))</f>
        <v/>
      </c>
      <c r="E492" s="110">
        <f>IF($A492="","",IFERROR($B492*KidemKarsilikOrani,""))</f>
        <v/>
      </c>
      <c r="F492" s="108" t="n"/>
      <c r="G492" s="110">
        <f>IF($A492="","",IFERROR($B492+$C492+$D492+$E492+$F492,""))</f>
        <v/>
      </c>
      <c r="H492" s="110">
        <f>IF($A492="","",IFERROR($G492*AySayisi,""))</f>
        <v/>
      </c>
    </row>
    <row r="493" ht="15" customHeight="1" s="62">
      <c r="A493" s="107" t="n"/>
      <c r="B493" s="110">
        <f>IFERROR(IF($A493="","",IFERROR(INDEX(tblCalisan[Brüt Ücret (₺)],MATCH($A493,tblCalisan[Çalışan Adı],0)),"")),"")</f>
        <v/>
      </c>
      <c r="C493" s="110">
        <f>IF($A493="","",IFERROR($B493*IsverenPayiOrani,""))</f>
        <v/>
      </c>
      <c r="D493" s="110">
        <f>IF($A493="","",IFERROR($B493*IssizlikOrani,""))</f>
        <v/>
      </c>
      <c r="E493" s="110">
        <f>IF($A493="","",IFERROR($B493*KidemKarsilikOrani,""))</f>
        <v/>
      </c>
      <c r="F493" s="108" t="n"/>
      <c r="G493" s="110">
        <f>IF($A493="","",IFERROR($B493+$C493+$D493+$E493+$F493,""))</f>
        <v/>
      </c>
      <c r="H493" s="110">
        <f>IF($A493="","",IFERROR($G493*AySayisi,""))</f>
        <v/>
      </c>
    </row>
    <row r="494" ht="15" customHeight="1" s="62">
      <c r="A494" s="107" t="n"/>
      <c r="B494" s="110">
        <f>IFERROR(IF($A494="","",IFERROR(INDEX(tblCalisan[Brüt Ücret (₺)],MATCH($A494,tblCalisan[Çalışan Adı],0)),"")),"")</f>
        <v/>
      </c>
      <c r="C494" s="110">
        <f>IF($A494="","",IFERROR($B494*IsverenPayiOrani,""))</f>
        <v/>
      </c>
      <c r="D494" s="110">
        <f>IF($A494="","",IFERROR($B494*IssizlikOrani,""))</f>
        <v/>
      </c>
      <c r="E494" s="110">
        <f>IF($A494="","",IFERROR($B494*KidemKarsilikOrani,""))</f>
        <v/>
      </c>
      <c r="F494" s="108" t="n"/>
      <c r="G494" s="110">
        <f>IF($A494="","",IFERROR($B494+$C494+$D494+$E494+$F494,""))</f>
        <v/>
      </c>
      <c r="H494" s="110">
        <f>IF($A494="","",IFERROR($G494*AySayisi,""))</f>
        <v/>
      </c>
    </row>
    <row r="495" ht="15" customHeight="1" s="62">
      <c r="A495" s="107" t="n"/>
      <c r="B495" s="110">
        <f>IFERROR(IF($A495="","",IFERROR(INDEX(tblCalisan[Brüt Ücret (₺)],MATCH($A495,tblCalisan[Çalışan Adı],0)),"")),"")</f>
        <v/>
      </c>
      <c r="C495" s="110">
        <f>IF($A495="","",IFERROR($B495*IsverenPayiOrani,""))</f>
        <v/>
      </c>
      <c r="D495" s="110">
        <f>IF($A495="","",IFERROR($B495*IssizlikOrani,""))</f>
        <v/>
      </c>
      <c r="E495" s="110">
        <f>IF($A495="","",IFERROR($B495*KidemKarsilikOrani,""))</f>
        <v/>
      </c>
      <c r="F495" s="108" t="n"/>
      <c r="G495" s="110">
        <f>IF($A495="","",IFERROR($B495+$C495+$D495+$E495+$F495,""))</f>
        <v/>
      </c>
      <c r="H495" s="110">
        <f>IF($A495="","",IFERROR($G495*AySayisi,""))</f>
        <v/>
      </c>
    </row>
    <row r="496" ht="15" customHeight="1" s="62">
      <c r="A496" s="107" t="n"/>
      <c r="B496" s="110">
        <f>IFERROR(IF($A496="","",IFERROR(INDEX(tblCalisan[Brüt Ücret (₺)],MATCH($A496,tblCalisan[Çalışan Adı],0)),"")),"")</f>
        <v/>
      </c>
      <c r="C496" s="110">
        <f>IF($A496="","",IFERROR($B496*IsverenPayiOrani,""))</f>
        <v/>
      </c>
      <c r="D496" s="110">
        <f>IF($A496="","",IFERROR($B496*IssizlikOrani,""))</f>
        <v/>
      </c>
      <c r="E496" s="110">
        <f>IF($A496="","",IFERROR($B496*KidemKarsilikOrani,""))</f>
        <v/>
      </c>
      <c r="F496" s="108" t="n"/>
      <c r="G496" s="110">
        <f>IF($A496="","",IFERROR($B496+$C496+$D496+$E496+$F496,""))</f>
        <v/>
      </c>
      <c r="H496" s="110">
        <f>IF($A496="","",IFERROR($G496*AySayisi,""))</f>
        <v/>
      </c>
    </row>
    <row r="497" ht="15" customHeight="1" s="62">
      <c r="A497" s="107" t="n"/>
      <c r="B497" s="110">
        <f>IFERROR(IF($A497="","",IFERROR(INDEX(tblCalisan[Brüt Ücret (₺)],MATCH($A497,tblCalisan[Çalışan Adı],0)),"")),"")</f>
        <v/>
      </c>
      <c r="C497" s="110">
        <f>IF($A497="","",IFERROR($B497*IsverenPayiOrani,""))</f>
        <v/>
      </c>
      <c r="D497" s="110">
        <f>IF($A497="","",IFERROR($B497*IssizlikOrani,""))</f>
        <v/>
      </c>
      <c r="E497" s="110">
        <f>IF($A497="","",IFERROR($B497*KidemKarsilikOrani,""))</f>
        <v/>
      </c>
      <c r="F497" s="108" t="n"/>
      <c r="G497" s="110">
        <f>IF($A497="","",IFERROR($B497+$C497+$D497+$E497+$F497,""))</f>
        <v/>
      </c>
      <c r="H497" s="110">
        <f>IF($A497="","",IFERROR($G497*AySayisi,""))</f>
        <v/>
      </c>
    </row>
    <row r="498" ht="15" customHeight="1" s="62">
      <c r="A498" s="107" t="n"/>
      <c r="B498" s="110">
        <f>IFERROR(IF($A498="","",IFERROR(INDEX(tblCalisan[Brüt Ücret (₺)],MATCH($A498,tblCalisan[Çalışan Adı],0)),"")),"")</f>
        <v/>
      </c>
      <c r="C498" s="110">
        <f>IF($A498="","",IFERROR($B498*IsverenPayiOrani,""))</f>
        <v/>
      </c>
      <c r="D498" s="110">
        <f>IF($A498="","",IFERROR($B498*IssizlikOrani,""))</f>
        <v/>
      </c>
      <c r="E498" s="110">
        <f>IF($A498="","",IFERROR($B498*KidemKarsilikOrani,""))</f>
        <v/>
      </c>
      <c r="F498" s="108" t="n"/>
      <c r="G498" s="110">
        <f>IF($A498="","",IFERROR($B498+$C498+$D498+$E498+$F498,""))</f>
        <v/>
      </c>
      <c r="H498" s="110">
        <f>IF($A498="","",IFERROR($G498*AySayisi,""))</f>
        <v/>
      </c>
    </row>
    <row r="499" ht="15" customHeight="1" s="62">
      <c r="A499" s="107" t="n"/>
      <c r="B499" s="110">
        <f>IFERROR(IF($A499="","",IFERROR(INDEX(tblCalisan[Brüt Ücret (₺)],MATCH($A499,tblCalisan[Çalışan Adı],0)),"")),"")</f>
        <v/>
      </c>
      <c r="C499" s="110">
        <f>IF($A499="","",IFERROR($B499*IsverenPayiOrani,""))</f>
        <v/>
      </c>
      <c r="D499" s="110">
        <f>IF($A499="","",IFERROR($B499*IssizlikOrani,""))</f>
        <v/>
      </c>
      <c r="E499" s="110">
        <f>IF($A499="","",IFERROR($B499*KidemKarsilikOrani,""))</f>
        <v/>
      </c>
      <c r="F499" s="108" t="n"/>
      <c r="G499" s="110">
        <f>IF($A499="","",IFERROR($B499+$C499+$D499+$E499+$F499,""))</f>
        <v/>
      </c>
      <c r="H499" s="110">
        <f>IF($A499="","",IFERROR($G499*AySayisi,""))</f>
        <v/>
      </c>
    </row>
    <row r="500" ht="15" customHeight="1" s="62">
      <c r="A500" s="107" t="n"/>
      <c r="B500" s="110">
        <f>IFERROR(IF($A500="","",IFERROR(INDEX(tblCalisan[Brüt Ücret (₺)],MATCH($A500,tblCalisan[Çalışan Adı],0)),"")),"")</f>
        <v/>
      </c>
      <c r="C500" s="110">
        <f>IF($A500="","",IFERROR($B500*IsverenPayiOrani,""))</f>
        <v/>
      </c>
      <c r="D500" s="110">
        <f>IF($A500="","",IFERROR($B500*IssizlikOrani,""))</f>
        <v/>
      </c>
      <c r="E500" s="110">
        <f>IF($A500="","",IFERROR($B500*KidemKarsilikOrani,""))</f>
        <v/>
      </c>
      <c r="F500" s="108" t="n"/>
      <c r="G500" s="110">
        <f>IF($A500="","",IFERROR($B500+$C500+$D500+$E500+$F500,""))</f>
        <v/>
      </c>
      <c r="H500" s="110">
        <f>IF($A500="","",IFERROR($G500*AySayisi,""))</f>
        <v/>
      </c>
    </row>
    <row r="501" ht="15" customHeight="1" s="62">
      <c r="A501" s="107" t="n"/>
      <c r="B501" s="110">
        <f>IFERROR(IF($A501="","",IFERROR(INDEX(tblCalisan[Brüt Ücret (₺)],MATCH($A501,tblCalisan[Çalışan Adı],0)),"")),"")</f>
        <v/>
      </c>
      <c r="C501" s="110">
        <f>IF($A501="","",$B501*IsverenPayiOrani)</f>
        <v/>
      </c>
      <c r="D501" s="110">
        <f>IF($A501="","",$B501*IssizlikOrani)</f>
        <v/>
      </c>
      <c r="E501" s="110">
        <f>IF($A501="","",$B501*KidemKarsilikOrani)</f>
        <v/>
      </c>
      <c r="F501" s="108" t="n"/>
      <c r="G501" s="110">
        <f>IF($A501="","",$B501+$C501+$D501+$E501+$F501)</f>
        <v/>
      </c>
      <c r="H501" s="110">
        <f>IF($A501="","",$G501*AySayisi)</f>
        <v/>
      </c>
    </row>
    <row r="502" ht="15" customHeight="1" s="62">
      <c r="A502" s="107" t="n"/>
      <c r="B502" s="110">
        <f>IFERROR(IF($A502="","",IFERROR(INDEX(tblCalisan[Brüt Ücret (₺)],MATCH($A502,tblCalisan[Çalışan Adı],0)),"")),"")</f>
        <v/>
      </c>
      <c r="C502" s="110">
        <f>IF($A502="","",$B502*IsverenPayiOrani)</f>
        <v/>
      </c>
      <c r="D502" s="110">
        <f>IF($A502="","",$B502*IssizlikOrani)</f>
        <v/>
      </c>
      <c r="E502" s="110">
        <f>IF($A502="","",$B502*KidemKarsilikOrani)</f>
        <v/>
      </c>
      <c r="F502" s="108" t="n"/>
      <c r="G502" s="110">
        <f>IF($A502="","",$B502+$C502+$D502+$E502+$F502)</f>
        <v/>
      </c>
      <c r="H502" s="110">
        <f>IF($A502="","",$G502*AySayisi)</f>
        <v/>
      </c>
    </row>
    <row r="503" ht="15" customHeight="1" s="62">
      <c r="A503" s="107" t="n"/>
      <c r="B503" s="110">
        <f>IFERROR(IF($A503="","",IFERROR(INDEX(tblCalisan[Brüt Ücret (₺)],MATCH($A503,tblCalisan[Çalışan Adı],0)),"")),"")</f>
        <v/>
      </c>
      <c r="C503" s="110">
        <f>IF($A503="","",$B503*IsverenPayiOrani)</f>
        <v/>
      </c>
      <c r="D503" s="110">
        <f>IF($A503="","",$B503*IssizlikOrani)</f>
        <v/>
      </c>
      <c r="E503" s="110">
        <f>IF($A503="","",$B503*KidemKarsilikOrani)</f>
        <v/>
      </c>
      <c r="F503" s="108" t="n"/>
      <c r="G503" s="110">
        <f>IF($A503="","",$B503+$C503+$D503+$E503+$F503)</f>
        <v/>
      </c>
      <c r="H503" s="110">
        <f>IF($A503="","",$G503*AySayisi)</f>
        <v/>
      </c>
    </row>
    <row r="504" ht="15" customHeight="1" s="62">
      <c r="A504" s="107" t="n"/>
      <c r="B504" s="110">
        <f>IFERROR(IF($A504="","",IFERROR(INDEX(tblCalisan[Brüt Ücret (₺)],MATCH($A504,tblCalisan[Çalışan Adı],0)),"")),"")</f>
        <v/>
      </c>
      <c r="C504" s="110">
        <f>IF($A504="","",$B504*IsverenPayiOrani)</f>
        <v/>
      </c>
      <c r="D504" s="110">
        <f>IF($A504="","",$B504*IssizlikOrani)</f>
        <v/>
      </c>
      <c r="E504" s="110">
        <f>IF($A504="","",$B504*KidemKarsilikOrani)</f>
        <v/>
      </c>
      <c r="F504" s="108" t="n"/>
      <c r="G504" s="110">
        <f>IF($A504="","",$B504+$C504+$D504+$E504+$F504)</f>
        <v/>
      </c>
      <c r="H504" s="110">
        <f>IF($A504="","",$G504*AySayisi)</f>
        <v/>
      </c>
    </row>
    <row r="505" ht="15" customHeight="1" s="62">
      <c r="A505" s="107" t="n"/>
      <c r="B505" s="110">
        <f>IFERROR(IF($A505="","",IFERROR(INDEX(tblCalisan[Brüt Ücret (₺)],MATCH($A505,tblCalisan[Çalışan Adı],0)),"")),"")</f>
        <v/>
      </c>
      <c r="C505" s="110">
        <f>IF($A505="","",$B505*IsverenPayiOrani)</f>
        <v/>
      </c>
      <c r="D505" s="110">
        <f>IF($A505="","",$B505*IssizlikOrani)</f>
        <v/>
      </c>
      <c r="E505" s="110">
        <f>IF($A505="","",$B505*KidemKarsilikOrani)</f>
        <v/>
      </c>
      <c r="F505" s="108" t="n"/>
      <c r="G505" s="110">
        <f>IF($A505="","",$B505+$C505+$D505+$E505+$F505)</f>
        <v/>
      </c>
      <c r="H505" s="110">
        <f>IF($A505="","",$G505*AySayisi)</f>
        <v/>
      </c>
    </row>
    <row r="506" ht="15" customHeight="1" s="62">
      <c r="A506" s="107" t="n"/>
      <c r="B506" s="110">
        <f>IFERROR(IF($A506="","",IFERROR(INDEX(tblCalisan[Brüt Ücret (₺)],MATCH($A506,tblCalisan[Çalışan Adı],0)),"")),"")</f>
        <v/>
      </c>
      <c r="C506" s="110">
        <f>IF($A506="","",$B506*IsverenPayiOrani)</f>
        <v/>
      </c>
      <c r="D506" s="110">
        <f>IF($A506="","",$B506*IssizlikOrani)</f>
        <v/>
      </c>
      <c r="E506" s="110">
        <f>IF($A506="","",$B506*KidemKarsilikOrani)</f>
        <v/>
      </c>
      <c r="F506" s="108" t="n"/>
      <c r="G506" s="110">
        <f>IF($A506="","",$B506+$C506+$D506+$E506+$F506)</f>
        <v/>
      </c>
      <c r="H506" s="110">
        <f>IF($A506="","",$G506*AySayisi)</f>
        <v/>
      </c>
    </row>
    <row r="507" ht="15" customHeight="1" s="62">
      <c r="A507" s="107" t="n"/>
      <c r="B507" s="110">
        <f>IFERROR(IF($A507="","",IFERROR(INDEX(tblCalisan[Brüt Ücret (₺)],MATCH($A507,tblCalisan[Çalışan Adı],0)),"")),"")</f>
        <v/>
      </c>
      <c r="C507" s="110">
        <f>IF($A507="","",$B507*IsverenPayiOrani)</f>
        <v/>
      </c>
      <c r="D507" s="110">
        <f>IF($A507="","",$B507*IssizlikOrani)</f>
        <v/>
      </c>
      <c r="E507" s="110">
        <f>IF($A507="","",$B507*KidemKarsilikOrani)</f>
        <v/>
      </c>
      <c r="F507" s="108" t="n"/>
      <c r="G507" s="110">
        <f>IF($A507="","",$B507+$C507+$D507+$E507+$F507)</f>
        <v/>
      </c>
      <c r="H507" s="110">
        <f>IF($A507="","",$G507*AySayisi)</f>
        <v/>
      </c>
    </row>
    <row r="508" ht="15" customHeight="1" s="62">
      <c r="A508" s="107" t="n"/>
      <c r="B508" s="110">
        <f>IFERROR(IF($A508="","",IFERROR(INDEX(tblCalisan[Brüt Ücret (₺)],MATCH($A508,tblCalisan[Çalışan Adı],0)),"")),"")</f>
        <v/>
      </c>
      <c r="C508" s="110">
        <f>IF($A508="","",$B508*IsverenPayiOrani)</f>
        <v/>
      </c>
      <c r="D508" s="110">
        <f>IF($A508="","",$B508*IssizlikOrani)</f>
        <v/>
      </c>
      <c r="E508" s="110">
        <f>IF($A508="","",$B508*KidemKarsilikOrani)</f>
        <v/>
      </c>
      <c r="F508" s="108" t="n"/>
      <c r="G508" s="110">
        <f>IF($A508="","",$B508+$C508+$D508+$E508+$F508)</f>
        <v/>
      </c>
      <c r="H508" s="110">
        <f>IF($A508="","",$G508*AySayisi)</f>
        <v/>
      </c>
    </row>
    <row r="509" ht="15" customHeight="1" s="62">
      <c r="A509" s="107" t="n"/>
      <c r="B509" s="110">
        <f>IFERROR(IF($A509="","",IFERROR(INDEX(tblCalisan[Brüt Ücret (₺)],MATCH($A509,tblCalisan[Çalışan Adı],0)),"")),"")</f>
        <v/>
      </c>
      <c r="C509" s="110">
        <f>IF($A509="","",$B509*IsverenPayiOrani)</f>
        <v/>
      </c>
      <c r="D509" s="110">
        <f>IF($A509="","",$B509*IssizlikOrani)</f>
        <v/>
      </c>
      <c r="E509" s="110">
        <f>IF($A509="","",$B509*KidemKarsilikOrani)</f>
        <v/>
      </c>
      <c r="F509" s="108" t="n"/>
      <c r="G509" s="110">
        <f>IF($A509="","",$B509+$C509+$D509+$E509+$F509)</f>
        <v/>
      </c>
      <c r="H509" s="110">
        <f>IF($A509="","",$G509*AySayisi)</f>
        <v/>
      </c>
    </row>
    <row r="510" ht="15" customHeight="1" s="62">
      <c r="A510" s="107" t="n"/>
      <c r="B510" s="110">
        <f>IFERROR(IF($A510="","",IFERROR(INDEX(tblCalisan[Brüt Ücret (₺)],MATCH($A510,tblCalisan[Çalışan Adı],0)),"")),"")</f>
        <v/>
      </c>
      <c r="C510" s="110">
        <f>IF($A510="","",$B510*IsverenPayiOrani)</f>
        <v/>
      </c>
      <c r="D510" s="110">
        <f>IF($A510="","",$B510*IssizlikOrani)</f>
        <v/>
      </c>
      <c r="E510" s="110">
        <f>IF($A510="","",$B510*KidemKarsilikOrani)</f>
        <v/>
      </c>
      <c r="F510" s="108" t="n"/>
      <c r="G510" s="110">
        <f>IF($A510="","",$B510+$C510+$D510+$E510+$F510)</f>
        <v/>
      </c>
      <c r="H510" s="110">
        <f>IF($A510="","",$G510*AySayisi)</f>
        <v/>
      </c>
    </row>
    <row r="511" ht="15" customHeight="1" s="62">
      <c r="A511" s="107" t="n"/>
      <c r="B511" s="110">
        <f>IFERROR(IF($A511="","",IFERROR(INDEX(tblCalisan[Brüt Ücret (₺)],MATCH($A511,tblCalisan[Çalışan Adı],0)),"")),"")</f>
        <v/>
      </c>
      <c r="C511" s="110">
        <f>IF($A511="","",$B511*IsverenPayiOrani)</f>
        <v/>
      </c>
      <c r="D511" s="110">
        <f>IF($A511="","",$B511*IssizlikOrani)</f>
        <v/>
      </c>
      <c r="E511" s="110">
        <f>IF($A511="","",$B511*KidemKarsilikOrani)</f>
        <v/>
      </c>
      <c r="F511" s="108" t="n"/>
      <c r="G511" s="110">
        <f>IF($A511="","",$B511+$C511+$D511+$E511+$F511)</f>
        <v/>
      </c>
      <c r="H511" s="110">
        <f>IF($A511="","",$G511*AySayisi)</f>
        <v/>
      </c>
    </row>
    <row r="512" ht="15" customHeight="1" s="62">
      <c r="A512" s="107" t="n"/>
      <c r="B512" s="110">
        <f>IFERROR(IF($A512="","",IFERROR(INDEX(tblCalisan[Brüt Ücret (₺)],MATCH($A512,tblCalisan[Çalışan Adı],0)),"")),"")</f>
        <v/>
      </c>
      <c r="C512" s="110">
        <f>IF($A512="","",$B512*IsverenPayiOrani)</f>
        <v/>
      </c>
      <c r="D512" s="110">
        <f>IF($A512="","",$B512*IssizlikOrani)</f>
        <v/>
      </c>
      <c r="E512" s="110">
        <f>IF($A512="","",$B512*KidemKarsilikOrani)</f>
        <v/>
      </c>
      <c r="F512" s="108" t="n"/>
      <c r="G512" s="110">
        <f>IF($A512="","",$B512+$C512+$D512+$E512+$F512)</f>
        <v/>
      </c>
      <c r="H512" s="110">
        <f>IF($A512="","",$G512*AySayisi)</f>
        <v/>
      </c>
    </row>
    <row r="513" ht="15" customHeight="1" s="62">
      <c r="A513" s="107" t="n"/>
      <c r="B513" s="110">
        <f>IFERROR(IF($A513="","",IFERROR(INDEX(tblCalisan[Brüt Ücret (₺)],MATCH($A513,tblCalisan[Çalışan Adı],0)),"")),"")</f>
        <v/>
      </c>
      <c r="C513" s="110">
        <f>IF($A513="","",$B513*IsverenPayiOrani)</f>
        <v/>
      </c>
      <c r="D513" s="110">
        <f>IF($A513="","",$B513*IssizlikOrani)</f>
        <v/>
      </c>
      <c r="E513" s="110">
        <f>IF($A513="","",$B513*KidemKarsilikOrani)</f>
        <v/>
      </c>
      <c r="F513" s="108" t="n"/>
      <c r="G513" s="110">
        <f>IF($A513="","",$B513+$C513+$D513+$E513+$F513)</f>
        <v/>
      </c>
      <c r="H513" s="110">
        <f>IF($A513="","",$G513*AySayisi)</f>
        <v/>
      </c>
    </row>
    <row r="514" ht="15" customHeight="1" s="62">
      <c r="A514" s="107" t="n"/>
      <c r="B514" s="110">
        <f>IFERROR(IF($A514="","",IFERROR(INDEX(tblCalisan[Brüt Ücret (₺)],MATCH($A514,tblCalisan[Çalışan Adı],0)),"")),"")</f>
        <v/>
      </c>
      <c r="C514" s="110">
        <f>IF($A514="","",$B514*IsverenPayiOrani)</f>
        <v/>
      </c>
      <c r="D514" s="110">
        <f>IF($A514="","",$B514*IssizlikOrani)</f>
        <v/>
      </c>
      <c r="E514" s="110">
        <f>IF($A514="","",$B514*KidemKarsilikOrani)</f>
        <v/>
      </c>
      <c r="F514" s="108" t="n"/>
      <c r="G514" s="110">
        <f>IF($A514="","",$B514+$C514+$D514+$E514+$F514)</f>
        <v/>
      </c>
      <c r="H514" s="110">
        <f>IF($A514="","",$G514*AySayisi)</f>
        <v/>
      </c>
    </row>
    <row r="515" ht="15" customHeight="1" s="62">
      <c r="A515" s="107" t="n"/>
      <c r="B515" s="110">
        <f>IFERROR(IF($A515="","",IFERROR(INDEX(tblCalisan[Brüt Ücret (₺)],MATCH($A515,tblCalisan[Çalışan Adı],0)),"")),"")</f>
        <v/>
      </c>
      <c r="C515" s="110">
        <f>IF($A515="","",$B515*IsverenPayiOrani)</f>
        <v/>
      </c>
      <c r="D515" s="110">
        <f>IF($A515="","",$B515*IssizlikOrani)</f>
        <v/>
      </c>
      <c r="E515" s="110">
        <f>IF($A515="","",$B515*KidemKarsilikOrani)</f>
        <v/>
      </c>
      <c r="F515" s="108" t="n"/>
      <c r="G515" s="110">
        <f>IF($A515="","",$B515+$C515+$D515+$E515+$F515)</f>
        <v/>
      </c>
      <c r="H515" s="110">
        <f>IF($A515="","",$G515*AySayisi)</f>
        <v/>
      </c>
    </row>
    <row r="516" ht="15" customHeight="1" s="62">
      <c r="A516" s="107" t="n"/>
      <c r="B516" s="110">
        <f>IFERROR(IF($A516="","",IFERROR(INDEX(tblCalisan[Brüt Ücret (₺)],MATCH($A516,tblCalisan[Çalışan Adı],0)),"")),"")</f>
        <v/>
      </c>
      <c r="C516" s="110">
        <f>IF($A516="","",$B516*IsverenPayiOrani)</f>
        <v/>
      </c>
      <c r="D516" s="110">
        <f>IF($A516="","",$B516*IssizlikOrani)</f>
        <v/>
      </c>
      <c r="E516" s="110">
        <f>IF($A516="","",$B516*KidemKarsilikOrani)</f>
        <v/>
      </c>
      <c r="F516" s="108" t="n"/>
      <c r="G516" s="110">
        <f>IF($A516="","",$B516+$C516+$D516+$E516+$F516)</f>
        <v/>
      </c>
      <c r="H516" s="110">
        <f>IF($A516="","",$G516*AySayisi)</f>
        <v/>
      </c>
    </row>
    <row r="517" ht="15" customHeight="1" s="62">
      <c r="A517" s="107" t="n"/>
      <c r="B517" s="110">
        <f>IFERROR(IF($A517="","",IFERROR(INDEX(tblCalisan[Brüt Ücret (₺)],MATCH($A517,tblCalisan[Çalışan Adı],0)),"")),"")</f>
        <v/>
      </c>
      <c r="C517" s="110">
        <f>IF($A517="","",$B517*IsverenPayiOrani)</f>
        <v/>
      </c>
      <c r="D517" s="110">
        <f>IF($A517="","",$B517*IssizlikOrani)</f>
        <v/>
      </c>
      <c r="E517" s="110">
        <f>IF($A517="","",$B517*KidemKarsilikOrani)</f>
        <v/>
      </c>
      <c r="F517" s="108" t="n"/>
      <c r="G517" s="110">
        <f>IF($A517="","",$B517+$C517+$D517+$E517+$F517)</f>
        <v/>
      </c>
      <c r="H517" s="110">
        <f>IF($A517="","",$G517*AySayisi)</f>
        <v/>
      </c>
    </row>
    <row r="518" ht="15" customHeight="1" s="62">
      <c r="A518" s="107" t="n"/>
      <c r="B518" s="110">
        <f>IFERROR(IF($A518="","",IFERROR(INDEX(tblCalisan[Brüt Ücret (₺)],MATCH($A518,tblCalisan[Çalışan Adı],0)),"")),"")</f>
        <v/>
      </c>
      <c r="C518" s="110">
        <f>IF($A518="","",$B518*IsverenPayiOrani)</f>
        <v/>
      </c>
      <c r="D518" s="110">
        <f>IF($A518="","",$B518*IssizlikOrani)</f>
        <v/>
      </c>
      <c r="E518" s="110">
        <f>IF($A518="","",$B518*KidemKarsilikOrani)</f>
        <v/>
      </c>
      <c r="F518" s="108" t="n"/>
      <c r="G518" s="110">
        <f>IF($A518="","",$B518+$C518+$D518+$E518+$F518)</f>
        <v/>
      </c>
      <c r="H518" s="110">
        <f>IF($A518="","",$G518*AySayisi)</f>
        <v/>
      </c>
    </row>
    <row r="519" ht="15" customHeight="1" s="62">
      <c r="A519" s="107" t="n"/>
      <c r="B519" s="110">
        <f>IFERROR(IF($A519="","",IFERROR(INDEX(tblCalisan[Brüt Ücret (₺)],MATCH($A519,tblCalisan[Çalışan Adı],0)),"")),"")</f>
        <v/>
      </c>
      <c r="C519" s="110">
        <f>IF($A519="","",$B519*IsverenPayiOrani)</f>
        <v/>
      </c>
      <c r="D519" s="110">
        <f>IF($A519="","",$B519*IssizlikOrani)</f>
        <v/>
      </c>
      <c r="E519" s="110">
        <f>IF($A519="","",$B519*KidemKarsilikOrani)</f>
        <v/>
      </c>
      <c r="F519" s="108" t="n"/>
      <c r="G519" s="110">
        <f>IF($A519="","",$B519+$C519+$D519+$E519+$F519)</f>
        <v/>
      </c>
      <c r="H519" s="110">
        <f>IF($A519="","",$G519*AySayisi)</f>
        <v/>
      </c>
    </row>
    <row r="520" ht="15" customHeight="1" s="62">
      <c r="A520" s="107" t="n"/>
      <c r="B520" s="110">
        <f>IFERROR(IF($A520="","",IFERROR(INDEX(tblCalisan[Brüt Ücret (₺)],MATCH($A520,tblCalisan[Çalışan Adı],0)),"")),"")</f>
        <v/>
      </c>
      <c r="C520" s="110">
        <f>IF($A520="","",$B520*IsverenPayiOrani)</f>
        <v/>
      </c>
      <c r="D520" s="110">
        <f>IF($A520="","",$B520*IssizlikOrani)</f>
        <v/>
      </c>
      <c r="E520" s="110">
        <f>IF($A520="","",$B520*KidemKarsilikOrani)</f>
        <v/>
      </c>
      <c r="F520" s="108" t="n"/>
      <c r="G520" s="110">
        <f>IF($A520="","",$B520+$C520+$D520+$E520+$F520)</f>
        <v/>
      </c>
      <c r="H520" s="110">
        <f>IF($A520="","",$G520*AySayisi)</f>
        <v/>
      </c>
    </row>
    <row r="521" ht="15" customHeight="1" s="62">
      <c r="A521" s="107" t="n"/>
      <c r="B521" s="110">
        <f>IFERROR(IF($A521="","",IFERROR(INDEX(tblCalisan[Brüt Ücret (₺)],MATCH($A521,tblCalisan[Çalışan Adı],0)),"")),"")</f>
        <v/>
      </c>
      <c r="C521" s="110">
        <f>IF($A521="","",$B521*IsverenPayiOrani)</f>
        <v/>
      </c>
      <c r="D521" s="110">
        <f>IF($A521="","",$B521*IssizlikOrani)</f>
        <v/>
      </c>
      <c r="E521" s="110">
        <f>IF($A521="","",$B521*KidemKarsilikOrani)</f>
        <v/>
      </c>
      <c r="F521" s="108" t="n"/>
      <c r="G521" s="110">
        <f>IF($A521="","",$B521+$C521+$D521+$E521+$F521)</f>
        <v/>
      </c>
      <c r="H521" s="110">
        <f>IF($A521="","",$G521*AySayisi)</f>
        <v/>
      </c>
    </row>
    <row r="522" ht="15" customHeight="1" s="62">
      <c r="A522" s="107" t="n"/>
      <c r="B522" s="110">
        <f>IFERROR(IF($A522="","",IFERROR(INDEX(tblCalisan[Brüt Ücret (₺)],MATCH($A522,tblCalisan[Çalışan Adı],0)),"")),"")</f>
        <v/>
      </c>
      <c r="C522" s="110">
        <f>IF($A522="","",$B522*IsverenPayiOrani)</f>
        <v/>
      </c>
      <c r="D522" s="110">
        <f>IF($A522="","",$B522*IssizlikOrani)</f>
        <v/>
      </c>
      <c r="E522" s="110">
        <f>IF($A522="","",$B522*KidemKarsilikOrani)</f>
        <v/>
      </c>
      <c r="F522" s="108" t="n"/>
      <c r="G522" s="110">
        <f>IF($A522="","",$B522+$C522+$D522+$E522+$F522)</f>
        <v/>
      </c>
      <c r="H522" s="110">
        <f>IF($A522="","",$G522*AySayisi)</f>
        <v/>
      </c>
    </row>
    <row r="523" ht="15" customHeight="1" s="62">
      <c r="A523" s="107" t="n"/>
      <c r="B523" s="110">
        <f>IFERROR(IF($A523="","",IFERROR(INDEX(tblCalisan[Brüt Ücret (₺)],MATCH($A523,tblCalisan[Çalışan Adı],0)),"")),"")</f>
        <v/>
      </c>
      <c r="C523" s="110">
        <f>IF($A523="","",$B523*IsverenPayiOrani)</f>
        <v/>
      </c>
      <c r="D523" s="110">
        <f>IF($A523="","",$B523*IssizlikOrani)</f>
        <v/>
      </c>
      <c r="E523" s="110">
        <f>IF($A523="","",$B523*KidemKarsilikOrani)</f>
        <v/>
      </c>
      <c r="F523" s="108" t="n"/>
      <c r="G523" s="110">
        <f>IF($A523="","",$B523+$C523+$D523+$E523+$F523)</f>
        <v/>
      </c>
      <c r="H523" s="110">
        <f>IF($A523="","",$G523*AySayisi)</f>
        <v/>
      </c>
    </row>
    <row r="524" ht="15" customHeight="1" s="62">
      <c r="A524" s="107" t="n"/>
      <c r="B524" s="110">
        <f>IFERROR(IF($A524="","",IFERROR(INDEX(tblCalisan[Brüt Ücret (₺)],MATCH($A524,tblCalisan[Çalışan Adı],0)),"")),"")</f>
        <v/>
      </c>
      <c r="C524" s="110">
        <f>IF($A524="","",$B524*IsverenPayiOrani)</f>
        <v/>
      </c>
      <c r="D524" s="110">
        <f>IF($A524="","",$B524*IssizlikOrani)</f>
        <v/>
      </c>
      <c r="E524" s="110">
        <f>IF($A524="","",$B524*KidemKarsilikOrani)</f>
        <v/>
      </c>
      <c r="F524" s="108" t="n"/>
      <c r="G524" s="110">
        <f>IF($A524="","",$B524+$C524+$D524+$E524+$F524)</f>
        <v/>
      </c>
      <c r="H524" s="110">
        <f>IF($A524="","",$G524*AySayisi)</f>
        <v/>
      </c>
    </row>
    <row r="525" ht="15" customHeight="1" s="62">
      <c r="A525" s="107" t="n"/>
      <c r="B525" s="110">
        <f>IFERROR(IF($A525="","",IFERROR(INDEX(tblCalisan[Brüt Ücret (₺)],MATCH($A525,tblCalisan[Çalışan Adı],0)),"")),"")</f>
        <v/>
      </c>
      <c r="C525" s="110">
        <f>IF($A525="","",$B525*IsverenPayiOrani)</f>
        <v/>
      </c>
      <c r="D525" s="110">
        <f>IF($A525="","",$B525*IssizlikOrani)</f>
        <v/>
      </c>
      <c r="E525" s="110">
        <f>IF($A525="","",$B525*KidemKarsilikOrani)</f>
        <v/>
      </c>
      <c r="F525" s="108" t="n"/>
      <c r="G525" s="110">
        <f>IF($A525="","",$B525+$C525+$D525+$E525+$F525)</f>
        <v/>
      </c>
      <c r="H525" s="110">
        <f>IF($A525="","",$G525*AySayisi)</f>
        <v/>
      </c>
    </row>
    <row r="526" ht="15" customHeight="1" s="62">
      <c r="A526" s="107" t="n"/>
      <c r="B526" s="110">
        <f>IFERROR(IF($A526="","",IFERROR(INDEX(tblCalisan[Brüt Ücret (₺)],MATCH($A526,tblCalisan[Çalışan Adı],0)),"")),"")</f>
        <v/>
      </c>
      <c r="C526" s="110">
        <f>IF($A526="","",$B526*IsverenPayiOrani)</f>
        <v/>
      </c>
      <c r="D526" s="110">
        <f>IF($A526="","",$B526*IssizlikOrani)</f>
        <v/>
      </c>
      <c r="E526" s="110">
        <f>IF($A526="","",$B526*KidemKarsilikOrani)</f>
        <v/>
      </c>
      <c r="F526" s="108" t="n"/>
      <c r="G526" s="110">
        <f>IF($A526="","",$B526+$C526+$D526+$E526+$F526)</f>
        <v/>
      </c>
      <c r="H526" s="110">
        <f>IF($A526="","",$G526*AySayisi)</f>
        <v/>
      </c>
    </row>
    <row r="527" ht="15" customHeight="1" s="62">
      <c r="A527" s="107" t="n"/>
      <c r="B527" s="110">
        <f>IFERROR(IF($A527="","",IFERROR(INDEX(tblCalisan[Brüt Ücret (₺)],MATCH($A527,tblCalisan[Çalışan Adı],0)),"")),"")</f>
        <v/>
      </c>
      <c r="C527" s="110">
        <f>IF($A527="","",$B527*IsverenPayiOrani)</f>
        <v/>
      </c>
      <c r="D527" s="110">
        <f>IF($A527="","",$B527*IssizlikOrani)</f>
        <v/>
      </c>
      <c r="E527" s="110">
        <f>IF($A527="","",$B527*KidemKarsilikOrani)</f>
        <v/>
      </c>
      <c r="F527" s="108" t="n"/>
      <c r="G527" s="110">
        <f>IF($A527="","",$B527+$C527+$D527+$E527+$F527)</f>
        <v/>
      </c>
      <c r="H527" s="110">
        <f>IF($A527="","",$G527*AySayisi)</f>
        <v/>
      </c>
    </row>
    <row r="528" ht="15" customHeight="1" s="62">
      <c r="A528" s="107" t="n"/>
      <c r="B528" s="110">
        <f>IFERROR(IF($A528="","",IFERROR(INDEX(tblCalisan[Brüt Ücret (₺)],MATCH($A528,tblCalisan[Çalışan Adı],0)),"")),"")</f>
        <v/>
      </c>
      <c r="C528" s="110">
        <f>IF($A528="","",$B528*IsverenPayiOrani)</f>
        <v/>
      </c>
      <c r="D528" s="110">
        <f>IF($A528="","",$B528*IssizlikOrani)</f>
        <v/>
      </c>
      <c r="E528" s="110">
        <f>IF($A528="","",$B528*KidemKarsilikOrani)</f>
        <v/>
      </c>
      <c r="F528" s="108" t="n"/>
      <c r="G528" s="110">
        <f>IF($A528="","",$B528+$C528+$D528+$E528+$F528)</f>
        <v/>
      </c>
      <c r="H528" s="110">
        <f>IF($A528="","",$G528*AySayisi)</f>
        <v/>
      </c>
    </row>
    <row r="529" ht="15" customHeight="1" s="62">
      <c r="A529" s="107" t="n"/>
      <c r="B529" s="110">
        <f>IFERROR(IF($A529="","",IFERROR(INDEX(tblCalisan[Brüt Ücret (₺)],MATCH($A529,tblCalisan[Çalışan Adı],0)),"")),"")</f>
        <v/>
      </c>
      <c r="C529" s="110">
        <f>IF($A529="","",$B529*IsverenPayiOrani)</f>
        <v/>
      </c>
      <c r="D529" s="110">
        <f>IF($A529="","",$B529*IssizlikOrani)</f>
        <v/>
      </c>
      <c r="E529" s="110">
        <f>IF($A529="","",$B529*KidemKarsilikOrani)</f>
        <v/>
      </c>
      <c r="F529" s="108" t="n"/>
      <c r="G529" s="110">
        <f>IF($A529="","",$B529+$C529+$D529+$E529+$F529)</f>
        <v/>
      </c>
      <c r="H529" s="110">
        <f>IF($A529="","",$G529*AySayisi)</f>
        <v/>
      </c>
    </row>
    <row r="530" ht="15" customHeight="1" s="62">
      <c r="A530" s="107" t="n"/>
      <c r="B530" s="110">
        <f>IFERROR(IF($A530="","",IFERROR(INDEX(tblCalisan[Brüt Ücret (₺)],MATCH($A530,tblCalisan[Çalışan Adı],0)),"")),"")</f>
        <v/>
      </c>
      <c r="C530" s="110">
        <f>IF($A530="","",$B530*IsverenPayiOrani)</f>
        <v/>
      </c>
      <c r="D530" s="110">
        <f>IF($A530="","",$B530*IssizlikOrani)</f>
        <v/>
      </c>
      <c r="E530" s="110">
        <f>IF($A530="","",$B530*KidemKarsilikOrani)</f>
        <v/>
      </c>
      <c r="F530" s="108" t="n"/>
      <c r="G530" s="110">
        <f>IF($A530="","",$B530+$C530+$D530+$E530+$F530)</f>
        <v/>
      </c>
      <c r="H530" s="110">
        <f>IF($A530="","",$G530*AySayisi)</f>
        <v/>
      </c>
    </row>
    <row r="531" ht="15" customHeight="1" s="62">
      <c r="A531" s="107" t="n"/>
      <c r="B531" s="110">
        <f>IFERROR(IF($A531="","",IFERROR(INDEX(tblCalisan[Brüt Ücret (₺)],MATCH($A531,tblCalisan[Çalışan Adı],0)),"")),"")</f>
        <v/>
      </c>
      <c r="C531" s="110">
        <f>IF($A531="","",$B531*IsverenPayiOrani)</f>
        <v/>
      </c>
      <c r="D531" s="110">
        <f>IF($A531="","",$B531*IssizlikOrani)</f>
        <v/>
      </c>
      <c r="E531" s="110">
        <f>IF($A531="","",$B531*KidemKarsilikOrani)</f>
        <v/>
      </c>
      <c r="F531" s="108" t="n"/>
      <c r="G531" s="110">
        <f>IF($A531="","",$B531+$C531+$D531+$E531+$F531)</f>
        <v/>
      </c>
      <c r="H531" s="110">
        <f>IF($A531="","",$G531*AySayisi)</f>
        <v/>
      </c>
    </row>
    <row r="532" ht="15" customHeight="1" s="62">
      <c r="A532" s="107" t="n"/>
      <c r="B532" s="110">
        <f>IFERROR(IF($A532="","",IFERROR(INDEX(tblCalisan[Brüt Ücret (₺)],MATCH($A532,tblCalisan[Çalışan Adı],0)),"")),"")</f>
        <v/>
      </c>
      <c r="C532" s="110">
        <f>IF($A532="","",$B532*IsverenPayiOrani)</f>
        <v/>
      </c>
      <c r="D532" s="110">
        <f>IF($A532="","",$B532*IssizlikOrani)</f>
        <v/>
      </c>
      <c r="E532" s="110">
        <f>IF($A532="","",$B532*KidemKarsilikOrani)</f>
        <v/>
      </c>
      <c r="F532" s="108" t="n"/>
      <c r="G532" s="110">
        <f>IF($A532="","",$B532+$C532+$D532+$E532+$F532)</f>
        <v/>
      </c>
      <c r="H532" s="110">
        <f>IF($A532="","",$G532*AySayisi)</f>
        <v/>
      </c>
    </row>
    <row r="533" ht="15" customHeight="1" s="62">
      <c r="A533" s="107" t="n"/>
      <c r="B533" s="110">
        <f>IFERROR(IF($A533="","",IFERROR(INDEX(tblCalisan[Brüt Ücret (₺)],MATCH($A533,tblCalisan[Çalışan Adı],0)),"")),"")</f>
        <v/>
      </c>
      <c r="C533" s="110">
        <f>IF($A533="","",$B533*IsverenPayiOrani)</f>
        <v/>
      </c>
      <c r="D533" s="110">
        <f>IF($A533="","",$B533*IssizlikOrani)</f>
        <v/>
      </c>
      <c r="E533" s="110">
        <f>IF($A533="","",$B533*KidemKarsilikOrani)</f>
        <v/>
      </c>
      <c r="F533" s="108" t="n"/>
      <c r="G533" s="110">
        <f>IF($A533="","",$B533+$C533+$D533+$E533+$F533)</f>
        <v/>
      </c>
      <c r="H533" s="110">
        <f>IF($A533="","",$G533*AySayisi)</f>
        <v/>
      </c>
    </row>
    <row r="534" ht="15" customHeight="1" s="62">
      <c r="A534" s="107" t="n"/>
      <c r="B534" s="110">
        <f>IFERROR(IF($A534="","",IFERROR(INDEX(tblCalisan[Brüt Ücret (₺)],MATCH($A534,tblCalisan[Çalışan Adı],0)),"")),"")</f>
        <v/>
      </c>
      <c r="C534" s="110">
        <f>IF($A534="","",$B534*IsverenPayiOrani)</f>
        <v/>
      </c>
      <c r="D534" s="110">
        <f>IF($A534="","",$B534*IssizlikOrani)</f>
        <v/>
      </c>
      <c r="E534" s="110">
        <f>IF($A534="","",$B534*KidemKarsilikOrani)</f>
        <v/>
      </c>
      <c r="F534" s="108" t="n"/>
      <c r="G534" s="110">
        <f>IF($A534="","",$B534+$C534+$D534+$E534+$F534)</f>
        <v/>
      </c>
      <c r="H534" s="110">
        <f>IF($A534="","",$G534*AySayisi)</f>
        <v/>
      </c>
    </row>
    <row r="535" ht="15" customHeight="1" s="62">
      <c r="A535" s="107" t="n"/>
      <c r="B535" s="110">
        <f>IFERROR(IF($A535="","",IFERROR(INDEX(tblCalisan[Brüt Ücret (₺)],MATCH($A535,tblCalisan[Çalışan Adı],0)),"")),"")</f>
        <v/>
      </c>
      <c r="C535" s="110">
        <f>IF($A535="","",$B535*IsverenPayiOrani)</f>
        <v/>
      </c>
      <c r="D535" s="110">
        <f>IF($A535="","",$B535*IssizlikOrani)</f>
        <v/>
      </c>
      <c r="E535" s="110">
        <f>IF($A535="","",$B535*KidemKarsilikOrani)</f>
        <v/>
      </c>
      <c r="F535" s="108" t="n"/>
      <c r="G535" s="110">
        <f>IF($A535="","",$B535+$C535+$D535+$E535+$F535)</f>
        <v/>
      </c>
      <c r="H535" s="110">
        <f>IF($A535="","",$G535*AySayisi)</f>
        <v/>
      </c>
    </row>
    <row r="536" ht="15" customHeight="1" s="62">
      <c r="A536" s="107" t="n"/>
      <c r="B536" s="110">
        <f>IFERROR(IF($A536="","",IFERROR(INDEX(tblCalisan[Brüt Ücret (₺)],MATCH($A536,tblCalisan[Çalışan Adı],0)),"")),"")</f>
        <v/>
      </c>
      <c r="C536" s="110">
        <f>IF($A536="","",$B536*IsverenPayiOrani)</f>
        <v/>
      </c>
      <c r="D536" s="110">
        <f>IF($A536="","",$B536*IssizlikOrani)</f>
        <v/>
      </c>
      <c r="E536" s="110">
        <f>IF($A536="","",$B536*KidemKarsilikOrani)</f>
        <v/>
      </c>
      <c r="F536" s="108" t="n"/>
      <c r="G536" s="110">
        <f>IF($A536="","",$B536+$C536+$D536+$E536+$F536)</f>
        <v/>
      </c>
      <c r="H536" s="110">
        <f>IF($A536="","",$G536*AySayisi)</f>
        <v/>
      </c>
    </row>
    <row r="537" ht="15" customHeight="1" s="62">
      <c r="A537" s="107" t="n"/>
      <c r="B537" s="110">
        <f>IFERROR(IF($A537="","",IFERROR(INDEX(tblCalisan[Brüt Ücret (₺)],MATCH($A537,tblCalisan[Çalışan Adı],0)),"")),"")</f>
        <v/>
      </c>
      <c r="C537" s="110">
        <f>IF($A537="","",$B537*IsverenPayiOrani)</f>
        <v/>
      </c>
      <c r="D537" s="110">
        <f>IF($A537="","",$B537*IssizlikOrani)</f>
        <v/>
      </c>
      <c r="E537" s="110">
        <f>IF($A537="","",$B537*KidemKarsilikOrani)</f>
        <v/>
      </c>
      <c r="F537" s="108" t="n"/>
      <c r="G537" s="110">
        <f>IF($A537="","",$B537+$C537+$D537+$E537+$F537)</f>
        <v/>
      </c>
      <c r="H537" s="110">
        <f>IF($A537="","",$G537*AySayisi)</f>
        <v/>
      </c>
    </row>
    <row r="538" ht="15" customHeight="1" s="62">
      <c r="A538" s="107" t="n"/>
      <c r="B538" s="110">
        <f>IFERROR(IF($A538="","",IFERROR(INDEX(tblCalisan[Brüt Ücret (₺)],MATCH($A538,tblCalisan[Çalışan Adı],0)),"")),"")</f>
        <v/>
      </c>
      <c r="C538" s="110">
        <f>IF($A538="","",$B538*IsverenPayiOrani)</f>
        <v/>
      </c>
      <c r="D538" s="110">
        <f>IF($A538="","",$B538*IssizlikOrani)</f>
        <v/>
      </c>
      <c r="E538" s="110">
        <f>IF($A538="","",$B538*KidemKarsilikOrani)</f>
        <v/>
      </c>
      <c r="F538" s="108" t="n"/>
      <c r="G538" s="110">
        <f>IF($A538="","",$B538+$C538+$D538+$E538+$F538)</f>
        <v/>
      </c>
      <c r="H538" s="110">
        <f>IF($A538="","",$G538*AySayisi)</f>
        <v/>
      </c>
    </row>
    <row r="539" ht="15" customHeight="1" s="62">
      <c r="A539" s="107" t="n"/>
      <c r="B539" s="110">
        <f>IFERROR(IF($A539="","",IFERROR(INDEX(tblCalisan[Brüt Ücret (₺)],MATCH($A539,tblCalisan[Çalışan Adı],0)),"")),"")</f>
        <v/>
      </c>
      <c r="C539" s="110">
        <f>IF($A539="","",$B539*IsverenPayiOrani)</f>
        <v/>
      </c>
      <c r="D539" s="110">
        <f>IF($A539="","",$B539*IssizlikOrani)</f>
        <v/>
      </c>
      <c r="E539" s="110">
        <f>IF($A539="","",$B539*KidemKarsilikOrani)</f>
        <v/>
      </c>
      <c r="F539" s="108" t="n"/>
      <c r="G539" s="110">
        <f>IF($A539="","",$B539+$C539+$D539+$E539+$F539)</f>
        <v/>
      </c>
      <c r="H539" s="110">
        <f>IF($A539="","",$G539*AySayisi)</f>
        <v/>
      </c>
    </row>
    <row r="540" ht="15" customHeight="1" s="62">
      <c r="A540" s="107" t="n"/>
      <c r="B540" s="110">
        <f>IFERROR(IF($A540="","",IFERROR(INDEX(tblCalisan[Brüt Ücret (₺)],MATCH($A540,tblCalisan[Çalışan Adı],0)),"")),"")</f>
        <v/>
      </c>
      <c r="C540" s="110">
        <f>IF($A540="","",$B540*IsverenPayiOrani)</f>
        <v/>
      </c>
      <c r="D540" s="110">
        <f>IF($A540="","",$B540*IssizlikOrani)</f>
        <v/>
      </c>
      <c r="E540" s="110">
        <f>IF($A540="","",$B540*KidemKarsilikOrani)</f>
        <v/>
      </c>
      <c r="F540" s="108" t="n"/>
      <c r="G540" s="110">
        <f>IF($A540="","",$B540+$C540+$D540+$E540+$F540)</f>
        <v/>
      </c>
      <c r="H540" s="110">
        <f>IF($A540="","",$G540*AySayisi)</f>
        <v/>
      </c>
    </row>
    <row r="541" ht="15" customHeight="1" s="62">
      <c r="A541" s="107" t="n"/>
      <c r="B541" s="110">
        <f>IFERROR(IF($A541="","",IFERROR(INDEX(tblCalisan[Brüt Ücret (₺)],MATCH($A541,tblCalisan[Çalışan Adı],0)),"")),"")</f>
        <v/>
      </c>
      <c r="C541" s="110">
        <f>IF($A541="","",$B541*IsverenPayiOrani)</f>
        <v/>
      </c>
      <c r="D541" s="110">
        <f>IF($A541="","",$B541*IssizlikOrani)</f>
        <v/>
      </c>
      <c r="E541" s="110">
        <f>IF($A541="","",$B541*KidemKarsilikOrani)</f>
        <v/>
      </c>
      <c r="F541" s="108" t="n"/>
      <c r="G541" s="110">
        <f>IF($A541="","",$B541+$C541+$D541+$E541+$F541)</f>
        <v/>
      </c>
      <c r="H541" s="110">
        <f>IF($A541="","",$G541*AySayisi)</f>
        <v/>
      </c>
    </row>
    <row r="542" ht="15" customHeight="1" s="62">
      <c r="A542" s="107" t="n"/>
      <c r="B542" s="110">
        <f>IFERROR(IF($A542="","",IFERROR(INDEX(tblCalisan[Brüt Ücret (₺)],MATCH($A542,tblCalisan[Çalışan Adı],0)),"")),"")</f>
        <v/>
      </c>
      <c r="C542" s="110">
        <f>IF($A542="","",$B542*IsverenPayiOrani)</f>
        <v/>
      </c>
      <c r="D542" s="110">
        <f>IF($A542="","",$B542*IssizlikOrani)</f>
        <v/>
      </c>
      <c r="E542" s="110">
        <f>IF($A542="","",$B542*KidemKarsilikOrani)</f>
        <v/>
      </c>
      <c r="F542" s="108" t="n"/>
      <c r="G542" s="110">
        <f>IF($A542="","",$B542+$C542+$D542+$E542+$F542)</f>
        <v/>
      </c>
      <c r="H542" s="110">
        <f>IF($A542="","",$G542*AySayisi)</f>
        <v/>
      </c>
    </row>
    <row r="543" ht="15" customHeight="1" s="62">
      <c r="A543" s="107" t="n"/>
      <c r="B543" s="110">
        <f>IFERROR(IF($A543="","",IFERROR(INDEX(tblCalisan[Brüt Ücret (₺)],MATCH($A543,tblCalisan[Çalışan Adı],0)),"")),"")</f>
        <v/>
      </c>
      <c r="C543" s="110">
        <f>IF($A543="","",$B543*IsverenPayiOrani)</f>
        <v/>
      </c>
      <c r="D543" s="110">
        <f>IF($A543="","",$B543*IssizlikOrani)</f>
        <v/>
      </c>
      <c r="E543" s="110">
        <f>IF($A543="","",$B543*KidemKarsilikOrani)</f>
        <v/>
      </c>
      <c r="F543" s="108" t="n"/>
      <c r="G543" s="110">
        <f>IF($A543="","",$B543+$C543+$D543+$E543+$F543)</f>
        <v/>
      </c>
      <c r="H543" s="110">
        <f>IF($A543="","",$G543*AySayisi)</f>
        <v/>
      </c>
    </row>
    <row r="544" ht="15" customHeight="1" s="62">
      <c r="A544" s="107" t="n"/>
      <c r="B544" s="110">
        <f>IFERROR(IF($A544="","",IFERROR(INDEX(tblCalisan[Brüt Ücret (₺)],MATCH($A544,tblCalisan[Çalışan Adı],0)),"")),"")</f>
        <v/>
      </c>
      <c r="C544" s="110">
        <f>IF($A544="","",$B544*IsverenPayiOrani)</f>
        <v/>
      </c>
      <c r="D544" s="110">
        <f>IF($A544="","",$B544*IssizlikOrani)</f>
        <v/>
      </c>
      <c r="E544" s="110">
        <f>IF($A544="","",$B544*KidemKarsilikOrani)</f>
        <v/>
      </c>
      <c r="F544" s="108" t="n"/>
      <c r="G544" s="110">
        <f>IF($A544="","",$B544+$C544+$D544+$E544+$F544)</f>
        <v/>
      </c>
      <c r="H544" s="110">
        <f>IF($A544="","",$G544*AySayisi)</f>
        <v/>
      </c>
    </row>
    <row r="545" ht="15" customHeight="1" s="62">
      <c r="A545" s="107" t="n"/>
      <c r="B545" s="110">
        <f>IFERROR(IF($A545="","",IFERROR(INDEX(tblCalisan[Brüt Ücret (₺)],MATCH($A545,tblCalisan[Çalışan Adı],0)),"")),"")</f>
        <v/>
      </c>
      <c r="C545" s="110">
        <f>IF($A545="","",$B545*IsverenPayiOrani)</f>
        <v/>
      </c>
      <c r="D545" s="110">
        <f>IF($A545="","",$B545*IssizlikOrani)</f>
        <v/>
      </c>
      <c r="E545" s="110">
        <f>IF($A545="","",$B545*KidemKarsilikOrani)</f>
        <v/>
      </c>
      <c r="F545" s="108" t="n"/>
      <c r="G545" s="110">
        <f>IF($A545="","",$B545+$C545+$D545+$E545+$F545)</f>
        <v/>
      </c>
      <c r="H545" s="110">
        <f>IF($A545="","",$G545*AySayisi)</f>
        <v/>
      </c>
    </row>
    <row r="546" ht="15" customHeight="1" s="62">
      <c r="A546" s="107" t="n"/>
      <c r="B546" s="110">
        <f>IFERROR(IF($A546="","",IFERROR(INDEX(tblCalisan[Brüt Ücret (₺)],MATCH($A546,tblCalisan[Çalışan Adı],0)),"")),"")</f>
        <v/>
      </c>
      <c r="C546" s="110">
        <f>IF($A546="","",$B546*IsverenPayiOrani)</f>
        <v/>
      </c>
      <c r="D546" s="110">
        <f>IF($A546="","",$B546*IssizlikOrani)</f>
        <v/>
      </c>
      <c r="E546" s="110">
        <f>IF($A546="","",$B546*KidemKarsilikOrani)</f>
        <v/>
      </c>
      <c r="F546" s="108" t="n"/>
      <c r="G546" s="110">
        <f>IF($A546="","",$B546+$C546+$D546+$E546+$F546)</f>
        <v/>
      </c>
      <c r="H546" s="110">
        <f>IF($A546="","",$G546*AySayisi)</f>
        <v/>
      </c>
    </row>
    <row r="547" ht="15" customHeight="1" s="62">
      <c r="A547" s="107" t="n"/>
      <c r="B547" s="110">
        <f>IFERROR(IF($A547="","",IFERROR(INDEX(tblCalisan[Brüt Ücret (₺)],MATCH($A547,tblCalisan[Çalışan Adı],0)),"")),"")</f>
        <v/>
      </c>
      <c r="C547" s="110">
        <f>IF($A547="","",$B547*IsverenPayiOrani)</f>
        <v/>
      </c>
      <c r="D547" s="110">
        <f>IF($A547="","",$B547*IssizlikOrani)</f>
        <v/>
      </c>
      <c r="E547" s="110">
        <f>IF($A547="","",$B547*KidemKarsilikOrani)</f>
        <v/>
      </c>
      <c r="F547" s="108" t="n"/>
      <c r="G547" s="110">
        <f>IF($A547="","",$B547+$C547+$D547+$E547+$F547)</f>
        <v/>
      </c>
      <c r="H547" s="110">
        <f>IF($A547="","",$G547*AySayisi)</f>
        <v/>
      </c>
    </row>
    <row r="548" ht="15" customHeight="1" s="62">
      <c r="A548" s="107" t="n"/>
      <c r="B548" s="110">
        <f>IFERROR(IF($A548="","",IFERROR(INDEX(tblCalisan[Brüt Ücret (₺)],MATCH($A548,tblCalisan[Çalışan Adı],0)),"")),"")</f>
        <v/>
      </c>
      <c r="C548" s="110">
        <f>IF($A548="","",$B548*IsverenPayiOrani)</f>
        <v/>
      </c>
      <c r="D548" s="110">
        <f>IF($A548="","",$B548*IssizlikOrani)</f>
        <v/>
      </c>
      <c r="E548" s="110">
        <f>IF($A548="","",$B548*KidemKarsilikOrani)</f>
        <v/>
      </c>
      <c r="F548" s="108" t="n"/>
      <c r="G548" s="110">
        <f>IF($A548="","",$B548+$C548+$D548+$E548+$F548)</f>
        <v/>
      </c>
      <c r="H548" s="110">
        <f>IF($A548="","",$G548*AySayisi)</f>
        <v/>
      </c>
    </row>
    <row r="549" ht="15" customHeight="1" s="62">
      <c r="A549" s="107" t="n"/>
      <c r="B549" s="110">
        <f>IFERROR(IF($A549="","",IFERROR(INDEX(tblCalisan[Brüt Ücret (₺)],MATCH($A549,tblCalisan[Çalışan Adı],0)),"")),"")</f>
        <v/>
      </c>
      <c r="C549" s="110">
        <f>IF($A549="","",$B549*IsverenPayiOrani)</f>
        <v/>
      </c>
      <c r="D549" s="110">
        <f>IF($A549="","",$B549*IssizlikOrani)</f>
        <v/>
      </c>
      <c r="E549" s="110">
        <f>IF($A549="","",$B549*KidemKarsilikOrani)</f>
        <v/>
      </c>
      <c r="F549" s="108" t="n"/>
      <c r="G549" s="110">
        <f>IF($A549="","",$B549+$C549+$D549+$E549+$F549)</f>
        <v/>
      </c>
      <c r="H549" s="110">
        <f>IF($A549="","",$G549*AySayisi)</f>
        <v/>
      </c>
    </row>
    <row r="550" ht="15" customHeight="1" s="62">
      <c r="A550" s="107" t="n"/>
      <c r="B550" s="110">
        <f>IFERROR(IF($A550="","",IFERROR(INDEX(tblCalisan[Brüt Ücret (₺)],MATCH($A550,tblCalisan[Çalışan Adı],0)),"")),"")</f>
        <v/>
      </c>
      <c r="C550" s="110">
        <f>IF($A550="","",$B550*IsverenPayiOrani)</f>
        <v/>
      </c>
      <c r="D550" s="110">
        <f>IF($A550="","",$B550*IssizlikOrani)</f>
        <v/>
      </c>
      <c r="E550" s="110">
        <f>IF($A550="","",$B550*KidemKarsilikOrani)</f>
        <v/>
      </c>
      <c r="F550" s="108" t="n"/>
      <c r="G550" s="110">
        <f>IF($A550="","",$B550+$C550+$D550+$E550+$F550)</f>
        <v/>
      </c>
      <c r="H550" s="110">
        <f>IF($A550="","",$G550*AySayisi)</f>
        <v/>
      </c>
    </row>
    <row r="551" ht="15" customHeight="1" s="62">
      <c r="A551" s="107" t="n"/>
      <c r="B551" s="110">
        <f>IFERROR(IF($A551="","",IFERROR(INDEX(tblCalisan[Brüt Ücret (₺)],MATCH($A551,tblCalisan[Çalışan Adı],0)),"")),"")</f>
        <v/>
      </c>
      <c r="C551" s="110">
        <f>IF($A551="","",$B551*IsverenPayiOrani)</f>
        <v/>
      </c>
      <c r="D551" s="110">
        <f>IF($A551="","",$B551*IssizlikOrani)</f>
        <v/>
      </c>
      <c r="E551" s="110">
        <f>IF($A551="","",$B551*KidemKarsilikOrani)</f>
        <v/>
      </c>
      <c r="F551" s="108" t="n"/>
      <c r="G551" s="110">
        <f>IF($A551="","",$B551+$C551+$D551+$E551+$F551)</f>
        <v/>
      </c>
      <c r="H551" s="110">
        <f>IF($A551="","",$G551*AySayisi)</f>
        <v/>
      </c>
    </row>
    <row r="552" ht="15" customHeight="1" s="62">
      <c r="A552" s="107" t="n"/>
      <c r="B552" s="110">
        <f>IFERROR(IF($A552="","",IFERROR(INDEX(tblCalisan[Brüt Ücret (₺)],MATCH($A552,tblCalisan[Çalışan Adı],0)),"")),"")</f>
        <v/>
      </c>
      <c r="C552" s="110">
        <f>IF($A552="","",$B552*IsverenPayiOrani)</f>
        <v/>
      </c>
      <c r="D552" s="110">
        <f>IF($A552="","",$B552*IssizlikOrani)</f>
        <v/>
      </c>
      <c r="E552" s="110">
        <f>IF($A552="","",$B552*KidemKarsilikOrani)</f>
        <v/>
      </c>
      <c r="F552" s="108" t="n"/>
      <c r="G552" s="110">
        <f>IF($A552="","",$B552+$C552+$D552+$E552+$F552)</f>
        <v/>
      </c>
      <c r="H552" s="110">
        <f>IF($A552="","",$G552*AySayisi)</f>
        <v/>
      </c>
    </row>
    <row r="553" ht="15" customHeight="1" s="62">
      <c r="A553" s="107" t="n"/>
      <c r="B553" s="110">
        <f>IFERROR(IF($A553="","",IFERROR(INDEX(tblCalisan[Brüt Ücret (₺)],MATCH($A553,tblCalisan[Çalışan Adı],0)),"")),"")</f>
        <v/>
      </c>
      <c r="C553" s="110">
        <f>IF($A553="","",$B553*IsverenPayiOrani)</f>
        <v/>
      </c>
      <c r="D553" s="110">
        <f>IF($A553="","",$B553*IssizlikOrani)</f>
        <v/>
      </c>
      <c r="E553" s="110">
        <f>IF($A553="","",$B553*KidemKarsilikOrani)</f>
        <v/>
      </c>
      <c r="F553" s="108" t="n"/>
      <c r="G553" s="110">
        <f>IF($A553="","",$B553+$C553+$D553+$E553+$F553)</f>
        <v/>
      </c>
      <c r="H553" s="110">
        <f>IF($A553="","",$G553*AySayisi)</f>
        <v/>
      </c>
    </row>
    <row r="554" ht="15" customHeight="1" s="62">
      <c r="A554" s="107" t="n"/>
      <c r="B554" s="110">
        <f>IFERROR(IF($A554="","",IFERROR(INDEX(tblCalisan[Brüt Ücret (₺)],MATCH($A554,tblCalisan[Çalışan Adı],0)),"")),"")</f>
        <v/>
      </c>
      <c r="C554" s="110">
        <f>IF($A554="","",$B554*IsverenPayiOrani)</f>
        <v/>
      </c>
      <c r="D554" s="110">
        <f>IF($A554="","",$B554*IssizlikOrani)</f>
        <v/>
      </c>
      <c r="E554" s="110">
        <f>IF($A554="","",$B554*KidemKarsilikOrani)</f>
        <v/>
      </c>
      <c r="F554" s="108" t="n"/>
      <c r="G554" s="110">
        <f>IF($A554="","",$B554+$C554+$D554+$E554+$F554)</f>
        <v/>
      </c>
      <c r="H554" s="110">
        <f>IF($A554="","",$G554*AySayisi)</f>
        <v/>
      </c>
    </row>
    <row r="555" ht="15" customHeight="1" s="62">
      <c r="A555" s="107" t="n"/>
      <c r="B555" s="110">
        <f>IFERROR(IF($A555="","",IFERROR(INDEX(tblCalisan[Brüt Ücret (₺)],MATCH($A555,tblCalisan[Çalışan Adı],0)),"")),"")</f>
        <v/>
      </c>
      <c r="C555" s="110">
        <f>IF($A555="","",$B555*IsverenPayiOrani)</f>
        <v/>
      </c>
      <c r="D555" s="110">
        <f>IF($A555="","",$B555*IssizlikOrani)</f>
        <v/>
      </c>
      <c r="E555" s="110">
        <f>IF($A555="","",$B555*KidemKarsilikOrani)</f>
        <v/>
      </c>
      <c r="F555" s="108" t="n"/>
      <c r="G555" s="110">
        <f>IF($A555="","",$B555+$C555+$D555+$E555+$F555)</f>
        <v/>
      </c>
      <c r="H555" s="110">
        <f>IF($A555="","",$G555*AySayisi)</f>
        <v/>
      </c>
    </row>
    <row r="556" ht="15" customHeight="1" s="62">
      <c r="A556" s="107" t="n"/>
      <c r="B556" s="110">
        <f>IFERROR(IF($A556="","",IFERROR(INDEX(tblCalisan[Brüt Ücret (₺)],MATCH($A556,tblCalisan[Çalışan Adı],0)),"")),"")</f>
        <v/>
      </c>
      <c r="C556" s="110">
        <f>IF($A556="","",$B556*IsverenPayiOrani)</f>
        <v/>
      </c>
      <c r="D556" s="110">
        <f>IF($A556="","",$B556*IssizlikOrani)</f>
        <v/>
      </c>
      <c r="E556" s="110">
        <f>IF($A556="","",$B556*KidemKarsilikOrani)</f>
        <v/>
      </c>
      <c r="F556" s="108" t="n"/>
      <c r="G556" s="110">
        <f>IF($A556="","",$B556+$C556+$D556+$E556+$F556)</f>
        <v/>
      </c>
      <c r="H556" s="110">
        <f>IF($A556="","",$G556*AySayisi)</f>
        <v/>
      </c>
    </row>
    <row r="557" ht="15" customHeight="1" s="62">
      <c r="A557" s="107" t="n"/>
      <c r="B557" s="110">
        <f>IFERROR(IF($A557="","",IFERROR(INDEX(tblCalisan[Brüt Ücret (₺)],MATCH($A557,tblCalisan[Çalışan Adı],0)),"")),"")</f>
        <v/>
      </c>
      <c r="C557" s="110">
        <f>IF($A557="","",$B557*IsverenPayiOrani)</f>
        <v/>
      </c>
      <c r="D557" s="110">
        <f>IF($A557="","",$B557*IssizlikOrani)</f>
        <v/>
      </c>
      <c r="E557" s="110">
        <f>IF($A557="","",$B557*KidemKarsilikOrani)</f>
        <v/>
      </c>
      <c r="F557" s="108" t="n"/>
      <c r="G557" s="110">
        <f>IF($A557="","",$B557+$C557+$D557+$E557+$F557)</f>
        <v/>
      </c>
      <c r="H557" s="110">
        <f>IF($A557="","",$G557*AySayisi)</f>
        <v/>
      </c>
    </row>
    <row r="558" ht="15" customHeight="1" s="62">
      <c r="A558" s="107" t="n"/>
      <c r="B558" s="110">
        <f>IFERROR(IF($A558="","",IFERROR(INDEX(tblCalisan[Brüt Ücret (₺)],MATCH($A558,tblCalisan[Çalışan Adı],0)),"")),"")</f>
        <v/>
      </c>
      <c r="C558" s="110">
        <f>IF($A558="","",$B558*IsverenPayiOrani)</f>
        <v/>
      </c>
      <c r="D558" s="110">
        <f>IF($A558="","",$B558*IssizlikOrani)</f>
        <v/>
      </c>
      <c r="E558" s="110">
        <f>IF($A558="","",$B558*KidemKarsilikOrani)</f>
        <v/>
      </c>
      <c r="F558" s="108" t="n"/>
      <c r="G558" s="110">
        <f>IF($A558="","",$B558+$C558+$D558+$E558+$F558)</f>
        <v/>
      </c>
      <c r="H558" s="110">
        <f>IF($A558="","",$G558*AySayisi)</f>
        <v/>
      </c>
    </row>
    <row r="559" ht="15" customHeight="1" s="62">
      <c r="A559" s="107" t="n"/>
      <c r="B559" s="110">
        <f>IFERROR(IF($A559="","",IFERROR(INDEX(tblCalisan[Brüt Ücret (₺)],MATCH($A559,tblCalisan[Çalışan Adı],0)),"")),"")</f>
        <v/>
      </c>
      <c r="C559" s="110">
        <f>IF($A559="","",$B559*IsverenPayiOrani)</f>
        <v/>
      </c>
      <c r="D559" s="110">
        <f>IF($A559="","",$B559*IssizlikOrani)</f>
        <v/>
      </c>
      <c r="E559" s="110">
        <f>IF($A559="","",$B559*KidemKarsilikOrani)</f>
        <v/>
      </c>
      <c r="F559" s="108" t="n"/>
      <c r="G559" s="110">
        <f>IF($A559="","",$B559+$C559+$D559+$E559+$F559)</f>
        <v/>
      </c>
      <c r="H559" s="110">
        <f>IF($A559="","",$G559*AySayisi)</f>
        <v/>
      </c>
    </row>
    <row r="560" ht="15" customHeight="1" s="62">
      <c r="A560" s="107" t="n"/>
      <c r="B560" s="110">
        <f>IFERROR(IF($A560="","",IFERROR(INDEX(tblCalisan[Brüt Ücret (₺)],MATCH($A560,tblCalisan[Çalışan Adı],0)),"")),"")</f>
        <v/>
      </c>
      <c r="C560" s="110">
        <f>IF($A560="","",$B560*IsverenPayiOrani)</f>
        <v/>
      </c>
      <c r="D560" s="110">
        <f>IF($A560="","",$B560*IssizlikOrani)</f>
        <v/>
      </c>
      <c r="E560" s="110">
        <f>IF($A560="","",$B560*KidemKarsilikOrani)</f>
        <v/>
      </c>
      <c r="F560" s="108" t="n"/>
      <c r="G560" s="110">
        <f>IF($A560="","",$B560+$C560+$D560+$E560+$F560)</f>
        <v/>
      </c>
      <c r="H560" s="110">
        <f>IF($A560="","",$G560*AySayisi)</f>
        <v/>
      </c>
    </row>
    <row r="561" ht="15" customHeight="1" s="62">
      <c r="A561" s="107" t="n"/>
      <c r="B561" s="110">
        <f>IFERROR(IF($A561="","",IFERROR(INDEX(tblCalisan[Brüt Ücret (₺)],MATCH($A561,tblCalisan[Çalışan Adı],0)),"")),"")</f>
        <v/>
      </c>
      <c r="C561" s="110">
        <f>IF($A561="","",$B561*IsverenPayiOrani)</f>
        <v/>
      </c>
      <c r="D561" s="110">
        <f>IF($A561="","",$B561*IssizlikOrani)</f>
        <v/>
      </c>
      <c r="E561" s="110">
        <f>IF($A561="","",$B561*KidemKarsilikOrani)</f>
        <v/>
      </c>
      <c r="F561" s="108" t="n"/>
      <c r="G561" s="110">
        <f>IF($A561="","",$B561+$C561+$D561+$E561+$F561)</f>
        <v/>
      </c>
      <c r="H561" s="110">
        <f>IF($A561="","",$G561*AySayisi)</f>
        <v/>
      </c>
    </row>
    <row r="562" ht="15" customHeight="1" s="62">
      <c r="A562" s="107" t="n"/>
      <c r="B562" s="110">
        <f>IFERROR(IF($A562="","",IFERROR(INDEX(tblCalisan[Brüt Ücret (₺)],MATCH($A562,tblCalisan[Çalışan Adı],0)),"")),"")</f>
        <v/>
      </c>
      <c r="C562" s="110">
        <f>IF($A562="","",$B562*IsverenPayiOrani)</f>
        <v/>
      </c>
      <c r="D562" s="110">
        <f>IF($A562="","",$B562*IssizlikOrani)</f>
        <v/>
      </c>
      <c r="E562" s="110">
        <f>IF($A562="","",$B562*KidemKarsilikOrani)</f>
        <v/>
      </c>
      <c r="F562" s="108" t="n"/>
      <c r="G562" s="110">
        <f>IF($A562="","",$B562+$C562+$D562+$E562+$F562)</f>
        <v/>
      </c>
      <c r="H562" s="110">
        <f>IF($A562="","",$G562*AySayisi)</f>
        <v/>
      </c>
    </row>
    <row r="563" ht="15" customHeight="1" s="62">
      <c r="A563" s="107" t="n"/>
      <c r="B563" s="110">
        <f>IFERROR(IF($A563="","",IFERROR(INDEX(tblCalisan[Brüt Ücret (₺)],MATCH($A563,tblCalisan[Çalışan Adı],0)),"")),"")</f>
        <v/>
      </c>
      <c r="C563" s="110">
        <f>IF($A563="","",$B563*IsverenPayiOrani)</f>
        <v/>
      </c>
      <c r="D563" s="110">
        <f>IF($A563="","",$B563*IssizlikOrani)</f>
        <v/>
      </c>
      <c r="E563" s="110">
        <f>IF($A563="","",$B563*KidemKarsilikOrani)</f>
        <v/>
      </c>
      <c r="F563" s="108" t="n"/>
      <c r="G563" s="110">
        <f>IF($A563="","",$B563+$C563+$D563+$E563+$F563)</f>
        <v/>
      </c>
      <c r="H563" s="110">
        <f>IF($A563="","",$G563*AySayisi)</f>
        <v/>
      </c>
    </row>
    <row r="564" ht="15" customHeight="1" s="62">
      <c r="A564" s="107" t="n"/>
      <c r="B564" s="110">
        <f>IFERROR(IF($A564="","",IFERROR(INDEX(tblCalisan[Brüt Ücret (₺)],MATCH($A564,tblCalisan[Çalışan Adı],0)),"")),"")</f>
        <v/>
      </c>
      <c r="C564" s="110">
        <f>IF($A564="","",$B564*IsverenPayiOrani)</f>
        <v/>
      </c>
      <c r="D564" s="110">
        <f>IF($A564="","",$B564*IssizlikOrani)</f>
        <v/>
      </c>
      <c r="E564" s="110">
        <f>IF($A564="","",$B564*KidemKarsilikOrani)</f>
        <v/>
      </c>
      <c r="F564" s="108" t="n"/>
      <c r="G564" s="110">
        <f>IF($A564="","",$B564+$C564+$D564+$E564+$F564)</f>
        <v/>
      </c>
      <c r="H564" s="110">
        <f>IF($A564="","",$G564*AySayisi)</f>
        <v/>
      </c>
    </row>
    <row r="565" ht="15" customHeight="1" s="62">
      <c r="A565" s="107" t="n"/>
      <c r="B565" s="110">
        <f>IFERROR(IF($A565="","",IFERROR(INDEX(tblCalisan[Brüt Ücret (₺)],MATCH($A565,tblCalisan[Çalışan Adı],0)),"")),"")</f>
        <v/>
      </c>
      <c r="C565" s="110">
        <f>IF($A565="","",$B565*IsverenPayiOrani)</f>
        <v/>
      </c>
      <c r="D565" s="110">
        <f>IF($A565="","",$B565*IssizlikOrani)</f>
        <v/>
      </c>
      <c r="E565" s="110">
        <f>IF($A565="","",$B565*KidemKarsilikOrani)</f>
        <v/>
      </c>
      <c r="F565" s="108" t="n"/>
      <c r="G565" s="110">
        <f>IF($A565="","",$B565+$C565+$D565+$E565+$F565)</f>
        <v/>
      </c>
      <c r="H565" s="110">
        <f>IF($A565="","",$G565*AySayisi)</f>
        <v/>
      </c>
    </row>
    <row r="566" ht="15" customHeight="1" s="62">
      <c r="A566" s="107" t="n"/>
      <c r="B566" s="110">
        <f>IFERROR(IF($A566="","",IFERROR(INDEX(tblCalisan[Brüt Ücret (₺)],MATCH($A566,tblCalisan[Çalışan Adı],0)),"")),"")</f>
        <v/>
      </c>
      <c r="C566" s="110">
        <f>IF($A566="","",$B566*IsverenPayiOrani)</f>
        <v/>
      </c>
      <c r="D566" s="110">
        <f>IF($A566="","",$B566*IssizlikOrani)</f>
        <v/>
      </c>
      <c r="E566" s="110">
        <f>IF($A566="","",$B566*KidemKarsilikOrani)</f>
        <v/>
      </c>
      <c r="F566" s="108" t="n"/>
      <c r="G566" s="110">
        <f>IF($A566="","",$B566+$C566+$D566+$E566+$F566)</f>
        <v/>
      </c>
      <c r="H566" s="110">
        <f>IF($A566="","",$G566*AySayisi)</f>
        <v/>
      </c>
    </row>
    <row r="567" ht="15" customHeight="1" s="62">
      <c r="A567" s="107" t="n"/>
      <c r="B567" s="110">
        <f>IFERROR(IF($A567="","",IFERROR(INDEX(tblCalisan[Brüt Ücret (₺)],MATCH($A567,tblCalisan[Çalışan Adı],0)),"")),"")</f>
        <v/>
      </c>
      <c r="C567" s="110">
        <f>IF($A567="","",$B567*IsverenPayiOrani)</f>
        <v/>
      </c>
      <c r="D567" s="110">
        <f>IF($A567="","",$B567*IssizlikOrani)</f>
        <v/>
      </c>
      <c r="E567" s="110">
        <f>IF($A567="","",$B567*KidemKarsilikOrani)</f>
        <v/>
      </c>
      <c r="F567" s="108" t="n"/>
      <c r="G567" s="110">
        <f>IF($A567="","",$B567+$C567+$D567+$E567+$F567)</f>
        <v/>
      </c>
      <c r="H567" s="110">
        <f>IF($A567="","",$G567*AySayisi)</f>
        <v/>
      </c>
    </row>
    <row r="568" ht="15" customHeight="1" s="62">
      <c r="A568" s="107" t="n"/>
      <c r="B568" s="110">
        <f>IFERROR(IF($A568="","",IFERROR(INDEX(tblCalisan[Brüt Ücret (₺)],MATCH($A568,tblCalisan[Çalışan Adı],0)),"")),"")</f>
        <v/>
      </c>
      <c r="C568" s="110">
        <f>IF($A568="","",$B568*IsverenPayiOrani)</f>
        <v/>
      </c>
      <c r="D568" s="110">
        <f>IF($A568="","",$B568*IssizlikOrani)</f>
        <v/>
      </c>
      <c r="E568" s="110">
        <f>IF($A568="","",$B568*KidemKarsilikOrani)</f>
        <v/>
      </c>
      <c r="F568" s="108" t="n"/>
      <c r="G568" s="110">
        <f>IF($A568="","",$B568+$C568+$D568+$E568+$F568)</f>
        <v/>
      </c>
      <c r="H568" s="110">
        <f>IF($A568="","",$G568*AySayisi)</f>
        <v/>
      </c>
    </row>
    <row r="569" ht="15" customHeight="1" s="62">
      <c r="A569" s="107" t="n"/>
      <c r="B569" s="110">
        <f>IFERROR(IF($A569="","",IFERROR(INDEX(tblCalisan[Brüt Ücret (₺)],MATCH($A569,tblCalisan[Çalışan Adı],0)),"")),"")</f>
        <v/>
      </c>
      <c r="C569" s="110">
        <f>IF($A569="","",$B569*IsverenPayiOrani)</f>
        <v/>
      </c>
      <c r="D569" s="110">
        <f>IF($A569="","",$B569*IssizlikOrani)</f>
        <v/>
      </c>
      <c r="E569" s="110">
        <f>IF($A569="","",$B569*KidemKarsilikOrani)</f>
        <v/>
      </c>
      <c r="F569" s="108" t="n"/>
      <c r="G569" s="110">
        <f>IF($A569="","",$B569+$C569+$D569+$E569+$F569)</f>
        <v/>
      </c>
      <c r="H569" s="110">
        <f>IF($A569="","",$G569*AySayisi)</f>
        <v/>
      </c>
    </row>
    <row r="570" ht="15" customHeight="1" s="62">
      <c r="A570" s="107" t="n"/>
      <c r="B570" s="110">
        <f>IFERROR(IF($A570="","",IFERROR(INDEX(tblCalisan[Brüt Ücret (₺)],MATCH($A570,tblCalisan[Çalışan Adı],0)),"")),"")</f>
        <v/>
      </c>
      <c r="C570" s="110">
        <f>IF($A570="","",$B570*IsverenPayiOrani)</f>
        <v/>
      </c>
      <c r="D570" s="110">
        <f>IF($A570="","",$B570*IssizlikOrani)</f>
        <v/>
      </c>
      <c r="E570" s="110">
        <f>IF($A570="","",$B570*KidemKarsilikOrani)</f>
        <v/>
      </c>
      <c r="F570" s="108" t="n"/>
      <c r="G570" s="110">
        <f>IF($A570="","",$B570+$C570+$D570+$E570+$F570)</f>
        <v/>
      </c>
      <c r="H570" s="110">
        <f>IF($A570="","",$G570*AySayisi)</f>
        <v/>
      </c>
    </row>
    <row r="571" ht="15" customHeight="1" s="62">
      <c r="A571" s="107" t="n"/>
      <c r="B571" s="110">
        <f>IFERROR(IF($A571="","",IFERROR(INDEX(tblCalisan[Brüt Ücret (₺)],MATCH($A571,tblCalisan[Çalışan Adı],0)),"")),"")</f>
        <v/>
      </c>
      <c r="C571" s="110">
        <f>IF($A571="","",$B571*IsverenPayiOrani)</f>
        <v/>
      </c>
      <c r="D571" s="110">
        <f>IF($A571="","",$B571*IssizlikOrani)</f>
        <v/>
      </c>
      <c r="E571" s="110">
        <f>IF($A571="","",$B571*KidemKarsilikOrani)</f>
        <v/>
      </c>
      <c r="F571" s="108" t="n"/>
      <c r="G571" s="110">
        <f>IF($A571="","",$B571+$C571+$D571+$E571+$F571)</f>
        <v/>
      </c>
      <c r="H571" s="110">
        <f>IF($A571="","",$G571*AySayisi)</f>
        <v/>
      </c>
    </row>
    <row r="572" ht="15" customHeight="1" s="62">
      <c r="A572" s="107" t="n"/>
      <c r="B572" s="110">
        <f>IFERROR(IF($A572="","",IFERROR(INDEX(tblCalisan[Brüt Ücret (₺)],MATCH($A572,tblCalisan[Çalışan Adı],0)),"")),"")</f>
        <v/>
      </c>
      <c r="C572" s="110">
        <f>IF($A572="","",$B572*IsverenPayiOrani)</f>
        <v/>
      </c>
      <c r="D572" s="110">
        <f>IF($A572="","",$B572*IssizlikOrani)</f>
        <v/>
      </c>
      <c r="E572" s="110">
        <f>IF($A572="","",$B572*KidemKarsilikOrani)</f>
        <v/>
      </c>
      <c r="F572" s="108" t="n"/>
      <c r="G572" s="110">
        <f>IF($A572="","",$B572+$C572+$D572+$E572+$F572)</f>
        <v/>
      </c>
      <c r="H572" s="110">
        <f>IF($A572="","",$G572*AySayisi)</f>
        <v/>
      </c>
    </row>
    <row r="573" ht="15" customHeight="1" s="62">
      <c r="A573" s="107" t="n"/>
      <c r="B573" s="110">
        <f>IFERROR(IF($A573="","",IFERROR(INDEX(tblCalisan[Brüt Ücret (₺)],MATCH($A573,tblCalisan[Çalışan Adı],0)),"")),"")</f>
        <v/>
      </c>
      <c r="C573" s="110">
        <f>IF($A573="","",$B573*IsverenPayiOrani)</f>
        <v/>
      </c>
      <c r="D573" s="110">
        <f>IF($A573="","",$B573*IssizlikOrani)</f>
        <v/>
      </c>
      <c r="E573" s="110">
        <f>IF($A573="","",$B573*KidemKarsilikOrani)</f>
        <v/>
      </c>
      <c r="F573" s="108" t="n"/>
      <c r="G573" s="110">
        <f>IF($A573="","",$B573+$C573+$D573+$E573+$F573)</f>
        <v/>
      </c>
      <c r="H573" s="110">
        <f>IF($A573="","",$G573*AySayisi)</f>
        <v/>
      </c>
    </row>
    <row r="574" ht="15" customHeight="1" s="62">
      <c r="A574" s="107" t="n"/>
      <c r="B574" s="110">
        <f>IFERROR(IF($A574="","",IFERROR(INDEX(tblCalisan[Brüt Ücret (₺)],MATCH($A574,tblCalisan[Çalışan Adı],0)),"")),"")</f>
        <v/>
      </c>
      <c r="C574" s="110">
        <f>IF($A574="","",$B574*IsverenPayiOrani)</f>
        <v/>
      </c>
      <c r="D574" s="110">
        <f>IF($A574="","",$B574*IssizlikOrani)</f>
        <v/>
      </c>
      <c r="E574" s="110">
        <f>IF($A574="","",$B574*KidemKarsilikOrani)</f>
        <v/>
      </c>
      <c r="F574" s="108" t="n"/>
      <c r="G574" s="110">
        <f>IF($A574="","",$B574+$C574+$D574+$E574+$F574)</f>
        <v/>
      </c>
      <c r="H574" s="110">
        <f>IF($A574="","",$G574*AySayisi)</f>
        <v/>
      </c>
    </row>
    <row r="575" ht="15" customHeight="1" s="62">
      <c r="A575" s="107" t="n"/>
      <c r="B575" s="110">
        <f>IFERROR(IF($A575="","",IFERROR(INDEX(tblCalisan[Brüt Ücret (₺)],MATCH($A575,tblCalisan[Çalışan Adı],0)),"")),"")</f>
        <v/>
      </c>
      <c r="C575" s="110">
        <f>IF($A575="","",$B575*IsverenPayiOrani)</f>
        <v/>
      </c>
      <c r="D575" s="110">
        <f>IF($A575="","",$B575*IssizlikOrani)</f>
        <v/>
      </c>
      <c r="E575" s="110">
        <f>IF($A575="","",$B575*KidemKarsilikOrani)</f>
        <v/>
      </c>
      <c r="F575" s="108" t="n"/>
      <c r="G575" s="110">
        <f>IF($A575="","",$B575+$C575+$D575+$E575+$F575)</f>
        <v/>
      </c>
      <c r="H575" s="110">
        <f>IF($A575="","",$G575*AySayisi)</f>
        <v/>
      </c>
    </row>
    <row r="576" ht="15" customHeight="1" s="62">
      <c r="A576" s="107" t="n"/>
      <c r="B576" s="110">
        <f>IFERROR(IF($A576="","",IFERROR(INDEX(tblCalisan[Brüt Ücret (₺)],MATCH($A576,tblCalisan[Çalışan Adı],0)),"")),"")</f>
        <v/>
      </c>
      <c r="C576" s="110">
        <f>IF($A576="","",$B576*IsverenPayiOrani)</f>
        <v/>
      </c>
      <c r="D576" s="110">
        <f>IF($A576="","",$B576*IssizlikOrani)</f>
        <v/>
      </c>
      <c r="E576" s="110">
        <f>IF($A576="","",$B576*KidemKarsilikOrani)</f>
        <v/>
      </c>
      <c r="F576" s="108" t="n"/>
      <c r="G576" s="110">
        <f>IF($A576="","",$B576+$C576+$D576+$E576+$F576)</f>
        <v/>
      </c>
      <c r="H576" s="110">
        <f>IF($A576="","",$G576*AySayisi)</f>
        <v/>
      </c>
    </row>
    <row r="577" ht="15" customHeight="1" s="62">
      <c r="A577" s="107" t="n"/>
      <c r="B577" s="110">
        <f>IFERROR(IF($A577="","",IFERROR(INDEX(tblCalisan[Brüt Ücret (₺)],MATCH($A577,tblCalisan[Çalışan Adı],0)),"")),"")</f>
        <v/>
      </c>
      <c r="C577" s="110">
        <f>IF($A577="","",$B577*IsverenPayiOrani)</f>
        <v/>
      </c>
      <c r="D577" s="110">
        <f>IF($A577="","",$B577*IssizlikOrani)</f>
        <v/>
      </c>
      <c r="E577" s="110">
        <f>IF($A577="","",$B577*KidemKarsilikOrani)</f>
        <v/>
      </c>
      <c r="F577" s="108" t="n"/>
      <c r="G577" s="110">
        <f>IF($A577="","",$B577+$C577+$D577+$E577+$F577)</f>
        <v/>
      </c>
      <c r="H577" s="110">
        <f>IF($A577="","",$G577*AySayisi)</f>
        <v/>
      </c>
    </row>
    <row r="578" ht="15" customHeight="1" s="62">
      <c r="A578" s="107" t="n"/>
      <c r="B578" s="110">
        <f>IFERROR(IF($A578="","",IFERROR(INDEX(tblCalisan[Brüt Ücret (₺)],MATCH($A578,tblCalisan[Çalışan Adı],0)),"")),"")</f>
        <v/>
      </c>
      <c r="C578" s="110">
        <f>IF($A578="","",$B578*IsverenPayiOrani)</f>
        <v/>
      </c>
      <c r="D578" s="110">
        <f>IF($A578="","",$B578*IssizlikOrani)</f>
        <v/>
      </c>
      <c r="E578" s="110">
        <f>IF($A578="","",$B578*KidemKarsilikOrani)</f>
        <v/>
      </c>
      <c r="F578" s="108" t="n"/>
      <c r="G578" s="110">
        <f>IF($A578="","",$B578+$C578+$D578+$E578+$F578)</f>
        <v/>
      </c>
      <c r="H578" s="110">
        <f>IF($A578="","",$G578*AySayisi)</f>
        <v/>
      </c>
    </row>
    <row r="579" ht="15" customHeight="1" s="62">
      <c r="A579" s="107" t="n"/>
      <c r="B579" s="110">
        <f>IFERROR(IF($A579="","",IFERROR(INDEX(tblCalisan[Brüt Ücret (₺)],MATCH($A579,tblCalisan[Çalışan Adı],0)),"")),"")</f>
        <v/>
      </c>
      <c r="C579" s="110">
        <f>IF($A579="","",$B579*IsverenPayiOrani)</f>
        <v/>
      </c>
      <c r="D579" s="110">
        <f>IF($A579="","",$B579*IssizlikOrani)</f>
        <v/>
      </c>
      <c r="E579" s="110">
        <f>IF($A579="","",$B579*KidemKarsilikOrani)</f>
        <v/>
      </c>
      <c r="F579" s="108" t="n"/>
      <c r="G579" s="110">
        <f>IF($A579="","",$B579+$C579+$D579+$E579+$F579)</f>
        <v/>
      </c>
      <c r="H579" s="110">
        <f>IF($A579="","",$G579*AySayisi)</f>
        <v/>
      </c>
    </row>
    <row r="580" ht="15" customHeight="1" s="62">
      <c r="A580" s="107" t="n"/>
      <c r="B580" s="110">
        <f>IFERROR(IF($A580="","",IFERROR(INDEX(tblCalisan[Brüt Ücret (₺)],MATCH($A580,tblCalisan[Çalışan Adı],0)),"")),"")</f>
        <v/>
      </c>
      <c r="C580" s="110">
        <f>IF($A580="","",$B580*IsverenPayiOrani)</f>
        <v/>
      </c>
      <c r="D580" s="110">
        <f>IF($A580="","",$B580*IssizlikOrani)</f>
        <v/>
      </c>
      <c r="E580" s="110">
        <f>IF($A580="","",$B580*KidemKarsilikOrani)</f>
        <v/>
      </c>
      <c r="F580" s="108" t="n"/>
      <c r="G580" s="110">
        <f>IF($A580="","",$B580+$C580+$D580+$E580+$F580)</f>
        <v/>
      </c>
      <c r="H580" s="110">
        <f>IF($A580="","",$G580*AySayisi)</f>
        <v/>
      </c>
    </row>
    <row r="581" ht="15" customHeight="1" s="62">
      <c r="A581" s="107" t="n"/>
      <c r="B581" s="110">
        <f>IFERROR(IF($A581="","",IFERROR(INDEX(tblCalisan[Brüt Ücret (₺)],MATCH($A581,tblCalisan[Çalışan Adı],0)),"")),"")</f>
        <v/>
      </c>
      <c r="C581" s="110">
        <f>IF($A581="","",$B581*IsverenPayiOrani)</f>
        <v/>
      </c>
      <c r="D581" s="110">
        <f>IF($A581="","",$B581*IssizlikOrani)</f>
        <v/>
      </c>
      <c r="E581" s="110">
        <f>IF($A581="","",$B581*KidemKarsilikOrani)</f>
        <v/>
      </c>
      <c r="F581" s="108" t="n"/>
      <c r="G581" s="110">
        <f>IF($A581="","",$B581+$C581+$D581+$E581+$F581)</f>
        <v/>
      </c>
      <c r="H581" s="110">
        <f>IF($A581="","",$G581*AySayisi)</f>
        <v/>
      </c>
    </row>
    <row r="582" ht="15" customHeight="1" s="62">
      <c r="A582" s="107" t="n"/>
      <c r="B582" s="110">
        <f>IFERROR(IF($A582="","",IFERROR(INDEX(tblCalisan[Brüt Ücret (₺)],MATCH($A582,tblCalisan[Çalışan Adı],0)),"")),"")</f>
        <v/>
      </c>
      <c r="C582" s="110">
        <f>IF($A582="","",$B582*IsverenPayiOrani)</f>
        <v/>
      </c>
      <c r="D582" s="110">
        <f>IF($A582="","",$B582*IssizlikOrani)</f>
        <v/>
      </c>
      <c r="E582" s="110">
        <f>IF($A582="","",$B582*KidemKarsilikOrani)</f>
        <v/>
      </c>
      <c r="F582" s="108" t="n"/>
      <c r="G582" s="110">
        <f>IF($A582="","",$B582+$C582+$D582+$E582+$F582)</f>
        <v/>
      </c>
      <c r="H582" s="110">
        <f>IF($A582="","",$G582*AySayisi)</f>
        <v/>
      </c>
    </row>
    <row r="583" ht="15" customHeight="1" s="62">
      <c r="A583" s="107" t="n"/>
      <c r="B583" s="110">
        <f>IFERROR(IF($A583="","",IFERROR(INDEX(tblCalisan[Brüt Ücret (₺)],MATCH($A583,tblCalisan[Çalışan Adı],0)),"")),"")</f>
        <v/>
      </c>
      <c r="C583" s="110">
        <f>IF($A583="","",$B583*IsverenPayiOrani)</f>
        <v/>
      </c>
      <c r="D583" s="110">
        <f>IF($A583="","",$B583*IssizlikOrani)</f>
        <v/>
      </c>
      <c r="E583" s="110">
        <f>IF($A583="","",$B583*KidemKarsilikOrani)</f>
        <v/>
      </c>
      <c r="F583" s="108" t="n"/>
      <c r="G583" s="110">
        <f>IF($A583="","",$B583+$C583+$D583+$E583+$F583)</f>
        <v/>
      </c>
      <c r="H583" s="110">
        <f>IF($A583="","",$G583*AySayisi)</f>
        <v/>
      </c>
    </row>
    <row r="584" ht="15" customHeight="1" s="62">
      <c r="A584" s="107" t="n"/>
      <c r="B584" s="110">
        <f>IFERROR(IF($A584="","",IFERROR(INDEX(tblCalisan[Brüt Ücret (₺)],MATCH($A584,tblCalisan[Çalışan Adı],0)),"")),"")</f>
        <v/>
      </c>
      <c r="C584" s="110">
        <f>IF($A584="","",$B584*IsverenPayiOrani)</f>
        <v/>
      </c>
      <c r="D584" s="110">
        <f>IF($A584="","",$B584*IssizlikOrani)</f>
        <v/>
      </c>
      <c r="E584" s="110">
        <f>IF($A584="","",$B584*KidemKarsilikOrani)</f>
        <v/>
      </c>
      <c r="F584" s="108" t="n"/>
      <c r="G584" s="110">
        <f>IF($A584="","",$B584+$C584+$D584+$E584+$F584)</f>
        <v/>
      </c>
      <c r="H584" s="110">
        <f>IF($A584="","",$G584*AySayisi)</f>
        <v/>
      </c>
    </row>
    <row r="585" ht="15" customHeight="1" s="62">
      <c r="A585" s="107" t="n"/>
      <c r="B585" s="110">
        <f>IFERROR(IF($A585="","",IFERROR(INDEX(tblCalisan[Brüt Ücret (₺)],MATCH($A585,tblCalisan[Çalışan Adı],0)),"")),"")</f>
        <v/>
      </c>
      <c r="C585" s="110">
        <f>IF($A585="","",$B585*IsverenPayiOrani)</f>
        <v/>
      </c>
      <c r="D585" s="110">
        <f>IF($A585="","",$B585*IssizlikOrani)</f>
        <v/>
      </c>
      <c r="E585" s="110">
        <f>IF($A585="","",$B585*KidemKarsilikOrani)</f>
        <v/>
      </c>
      <c r="F585" s="108" t="n"/>
      <c r="G585" s="110">
        <f>IF($A585="","",$B585+$C585+$D585+$E585+$F585)</f>
        <v/>
      </c>
      <c r="H585" s="110">
        <f>IF($A585="","",$G585*AySayisi)</f>
        <v/>
      </c>
    </row>
    <row r="586" ht="15" customHeight="1" s="62">
      <c r="A586" s="107" t="n"/>
      <c r="B586" s="110">
        <f>IFERROR(IF($A586="","",IFERROR(INDEX(tblCalisan[Brüt Ücret (₺)],MATCH($A586,tblCalisan[Çalışan Adı],0)),"")),"")</f>
        <v/>
      </c>
      <c r="C586" s="110">
        <f>IF($A586="","",$B586*IsverenPayiOrani)</f>
        <v/>
      </c>
      <c r="D586" s="110">
        <f>IF($A586="","",$B586*IssizlikOrani)</f>
        <v/>
      </c>
      <c r="E586" s="110">
        <f>IF($A586="","",$B586*KidemKarsilikOrani)</f>
        <v/>
      </c>
      <c r="F586" s="108" t="n"/>
      <c r="G586" s="110">
        <f>IF($A586="","",$B586+$C586+$D586+$E586+$F586)</f>
        <v/>
      </c>
      <c r="H586" s="110">
        <f>IF($A586="","",$G586*AySayisi)</f>
        <v/>
      </c>
    </row>
    <row r="587" ht="15" customHeight="1" s="62">
      <c r="A587" s="107" t="n"/>
      <c r="B587" s="110">
        <f>IFERROR(IF($A587="","",IFERROR(INDEX(tblCalisan[Brüt Ücret (₺)],MATCH($A587,tblCalisan[Çalışan Adı],0)),"")),"")</f>
        <v/>
      </c>
      <c r="C587" s="110">
        <f>IF($A587="","",$B587*IsverenPayiOrani)</f>
        <v/>
      </c>
      <c r="D587" s="110">
        <f>IF($A587="","",$B587*IssizlikOrani)</f>
        <v/>
      </c>
      <c r="E587" s="110">
        <f>IF($A587="","",$B587*KidemKarsilikOrani)</f>
        <v/>
      </c>
      <c r="F587" s="108" t="n"/>
      <c r="G587" s="110">
        <f>IF($A587="","",$B587+$C587+$D587+$E587+$F587)</f>
        <v/>
      </c>
      <c r="H587" s="110">
        <f>IF($A587="","",$G587*AySayisi)</f>
        <v/>
      </c>
    </row>
    <row r="588" ht="15" customHeight="1" s="62">
      <c r="A588" s="107" t="n"/>
      <c r="B588" s="110">
        <f>IFERROR(IF($A588="","",IFERROR(INDEX(tblCalisan[Brüt Ücret (₺)],MATCH($A588,tblCalisan[Çalışan Adı],0)),"")),"")</f>
        <v/>
      </c>
      <c r="C588" s="110">
        <f>IF($A588="","",$B588*IsverenPayiOrani)</f>
        <v/>
      </c>
      <c r="D588" s="110">
        <f>IF($A588="","",$B588*IssizlikOrani)</f>
        <v/>
      </c>
      <c r="E588" s="110">
        <f>IF($A588="","",$B588*KidemKarsilikOrani)</f>
        <v/>
      </c>
      <c r="F588" s="108" t="n"/>
      <c r="G588" s="110">
        <f>IF($A588="","",$B588+$C588+$D588+$E588+$F588)</f>
        <v/>
      </c>
      <c r="H588" s="110">
        <f>IF($A588="","",$G588*AySayisi)</f>
        <v/>
      </c>
    </row>
    <row r="589" ht="15" customHeight="1" s="62">
      <c r="A589" s="107" t="n"/>
      <c r="B589" s="110">
        <f>IFERROR(IF($A589="","",IFERROR(INDEX(tblCalisan[Brüt Ücret (₺)],MATCH($A589,tblCalisan[Çalışan Adı],0)),"")),"")</f>
        <v/>
      </c>
      <c r="C589" s="110">
        <f>IF($A589="","",$B589*IsverenPayiOrani)</f>
        <v/>
      </c>
      <c r="D589" s="110">
        <f>IF($A589="","",$B589*IssizlikOrani)</f>
        <v/>
      </c>
      <c r="E589" s="110">
        <f>IF($A589="","",$B589*KidemKarsilikOrani)</f>
        <v/>
      </c>
      <c r="F589" s="108" t="n"/>
      <c r="G589" s="110">
        <f>IF($A589="","",$B589+$C589+$D589+$E589+$F589)</f>
        <v/>
      </c>
      <c r="H589" s="110">
        <f>IF($A589="","",$G589*AySayisi)</f>
        <v/>
      </c>
    </row>
    <row r="590" ht="15" customHeight="1" s="62">
      <c r="A590" s="107" t="n"/>
      <c r="B590" s="110">
        <f>IFERROR(IF($A590="","",IFERROR(INDEX(tblCalisan[Brüt Ücret (₺)],MATCH($A590,tblCalisan[Çalışan Adı],0)),"")),"")</f>
        <v/>
      </c>
      <c r="C590" s="110">
        <f>IF($A590="","",$B590*IsverenPayiOrani)</f>
        <v/>
      </c>
      <c r="D590" s="110">
        <f>IF($A590="","",$B590*IssizlikOrani)</f>
        <v/>
      </c>
      <c r="E590" s="110">
        <f>IF($A590="","",$B590*KidemKarsilikOrani)</f>
        <v/>
      </c>
      <c r="F590" s="108" t="n"/>
      <c r="G590" s="110">
        <f>IF($A590="","",$B590+$C590+$D590+$E590+$F590)</f>
        <v/>
      </c>
      <c r="H590" s="110">
        <f>IF($A590="","",$G590*AySayisi)</f>
        <v/>
      </c>
    </row>
    <row r="591" ht="15" customHeight="1" s="62">
      <c r="A591" s="107" t="n"/>
      <c r="B591" s="110">
        <f>IFERROR(IF($A591="","",IFERROR(INDEX(tblCalisan[Brüt Ücret (₺)],MATCH($A591,tblCalisan[Çalışan Adı],0)),"")),"")</f>
        <v/>
      </c>
      <c r="C591" s="110">
        <f>IF($A591="","",$B591*IsverenPayiOrani)</f>
        <v/>
      </c>
      <c r="D591" s="110">
        <f>IF($A591="","",$B591*IssizlikOrani)</f>
        <v/>
      </c>
      <c r="E591" s="110">
        <f>IF($A591="","",$B591*KidemKarsilikOrani)</f>
        <v/>
      </c>
      <c r="F591" s="108" t="n"/>
      <c r="G591" s="110">
        <f>IF($A591="","",$B591+$C591+$D591+$E591+$F591)</f>
        <v/>
      </c>
      <c r="H591" s="110">
        <f>IF($A591="","",$G591*AySayisi)</f>
        <v/>
      </c>
    </row>
    <row r="592" ht="15" customHeight="1" s="62">
      <c r="A592" s="107" t="n"/>
      <c r="B592" s="110">
        <f>IFERROR(IF($A592="","",IFERROR(INDEX(tblCalisan[Brüt Ücret (₺)],MATCH($A592,tblCalisan[Çalışan Adı],0)),"")),"")</f>
        <v/>
      </c>
      <c r="C592" s="110">
        <f>IF($A592="","",$B592*IsverenPayiOrani)</f>
        <v/>
      </c>
      <c r="D592" s="110">
        <f>IF($A592="","",$B592*IssizlikOrani)</f>
        <v/>
      </c>
      <c r="E592" s="110">
        <f>IF($A592="","",$B592*KidemKarsilikOrani)</f>
        <v/>
      </c>
      <c r="F592" s="108" t="n"/>
      <c r="G592" s="110">
        <f>IF($A592="","",$B592+$C592+$D592+$E592+$F592)</f>
        <v/>
      </c>
      <c r="H592" s="110">
        <f>IF($A592="","",$G592*AySayisi)</f>
        <v/>
      </c>
    </row>
    <row r="593" ht="15" customHeight="1" s="62">
      <c r="A593" s="107" t="n"/>
      <c r="B593" s="110">
        <f>IFERROR(IF($A593="","",IFERROR(INDEX(tblCalisan[Brüt Ücret (₺)],MATCH($A593,tblCalisan[Çalışan Adı],0)),"")),"")</f>
        <v/>
      </c>
      <c r="C593" s="110">
        <f>IF($A593="","",$B593*IsverenPayiOrani)</f>
        <v/>
      </c>
      <c r="D593" s="110">
        <f>IF($A593="","",$B593*IssizlikOrani)</f>
        <v/>
      </c>
      <c r="E593" s="110">
        <f>IF($A593="","",$B593*KidemKarsilikOrani)</f>
        <v/>
      </c>
      <c r="F593" s="108" t="n"/>
      <c r="G593" s="110">
        <f>IF($A593="","",$B593+$C593+$D593+$E593+$F593)</f>
        <v/>
      </c>
      <c r="H593" s="110">
        <f>IF($A593="","",$G593*AySayisi)</f>
        <v/>
      </c>
    </row>
    <row r="594" ht="15" customHeight="1" s="62">
      <c r="A594" s="107" t="n"/>
      <c r="B594" s="110">
        <f>IFERROR(IF($A594="","",IFERROR(INDEX(tblCalisan[Brüt Ücret (₺)],MATCH($A594,tblCalisan[Çalışan Adı],0)),"")),"")</f>
        <v/>
      </c>
      <c r="C594" s="110">
        <f>IF($A594="","",$B594*IsverenPayiOrani)</f>
        <v/>
      </c>
      <c r="D594" s="110">
        <f>IF($A594="","",$B594*IssizlikOrani)</f>
        <v/>
      </c>
      <c r="E594" s="110">
        <f>IF($A594="","",$B594*KidemKarsilikOrani)</f>
        <v/>
      </c>
      <c r="F594" s="108" t="n"/>
      <c r="G594" s="110">
        <f>IF($A594="","",$B594+$C594+$D594+$E594+$F594)</f>
        <v/>
      </c>
      <c r="H594" s="110">
        <f>IF($A594="","",$G594*AySayisi)</f>
        <v/>
      </c>
    </row>
    <row r="595" ht="15" customHeight="1" s="62">
      <c r="A595" s="107" t="n"/>
      <c r="B595" s="110">
        <f>IFERROR(IF($A595="","",IFERROR(INDEX(tblCalisan[Brüt Ücret (₺)],MATCH($A595,tblCalisan[Çalışan Adı],0)),"")),"")</f>
        <v/>
      </c>
      <c r="C595" s="110">
        <f>IF($A595="","",$B595*IsverenPayiOrani)</f>
        <v/>
      </c>
      <c r="D595" s="110">
        <f>IF($A595="","",$B595*IssizlikOrani)</f>
        <v/>
      </c>
      <c r="E595" s="110">
        <f>IF($A595="","",$B595*KidemKarsilikOrani)</f>
        <v/>
      </c>
      <c r="F595" s="108" t="n"/>
      <c r="G595" s="110">
        <f>IF($A595="","",$B595+$C595+$D595+$E595+$F595)</f>
        <v/>
      </c>
      <c r="H595" s="110">
        <f>IF($A595="","",$G595*AySayisi)</f>
        <v/>
      </c>
    </row>
    <row r="596" ht="15" customHeight="1" s="62">
      <c r="A596" s="107" t="n"/>
      <c r="B596" s="110">
        <f>IFERROR(IF($A596="","",IFERROR(INDEX(tblCalisan[Brüt Ücret (₺)],MATCH($A596,tblCalisan[Çalışan Adı],0)),"")),"")</f>
        <v/>
      </c>
      <c r="C596" s="110">
        <f>IF($A596="","",$B596*IsverenPayiOrani)</f>
        <v/>
      </c>
      <c r="D596" s="110">
        <f>IF($A596="","",$B596*IssizlikOrani)</f>
        <v/>
      </c>
      <c r="E596" s="110">
        <f>IF($A596="","",$B596*KidemKarsilikOrani)</f>
        <v/>
      </c>
      <c r="F596" s="108" t="n"/>
      <c r="G596" s="110">
        <f>IF($A596="","",$B596+$C596+$D596+$E596+$F596)</f>
        <v/>
      </c>
      <c r="H596" s="110">
        <f>IF($A596="","",$G596*AySayisi)</f>
        <v/>
      </c>
    </row>
    <row r="597" ht="15" customHeight="1" s="62">
      <c r="A597" s="107" t="n"/>
      <c r="B597" s="110">
        <f>IFERROR(IF($A597="","",IFERROR(INDEX(tblCalisan[Brüt Ücret (₺)],MATCH($A597,tblCalisan[Çalışan Adı],0)),"")),"")</f>
        <v/>
      </c>
      <c r="C597" s="110">
        <f>IF($A597="","",$B597*IsverenPayiOrani)</f>
        <v/>
      </c>
      <c r="D597" s="110">
        <f>IF($A597="","",$B597*IssizlikOrani)</f>
        <v/>
      </c>
      <c r="E597" s="110">
        <f>IF($A597="","",$B597*KidemKarsilikOrani)</f>
        <v/>
      </c>
      <c r="F597" s="108" t="n"/>
      <c r="G597" s="110">
        <f>IF($A597="","",$B597+$C597+$D597+$E597+$F597)</f>
        <v/>
      </c>
      <c r="H597" s="110">
        <f>IF($A597="","",$G597*AySayisi)</f>
        <v/>
      </c>
    </row>
    <row r="598" ht="15" customHeight="1" s="62">
      <c r="A598" s="107" t="n"/>
      <c r="B598" s="110">
        <f>IFERROR(IF($A598="","",IFERROR(INDEX(tblCalisan[Brüt Ücret (₺)],MATCH($A598,tblCalisan[Çalışan Adı],0)),"")),"")</f>
        <v/>
      </c>
      <c r="C598" s="110">
        <f>IF($A598="","",$B598*IsverenPayiOrani)</f>
        <v/>
      </c>
      <c r="D598" s="110">
        <f>IF($A598="","",$B598*IssizlikOrani)</f>
        <v/>
      </c>
      <c r="E598" s="110">
        <f>IF($A598="","",$B598*KidemKarsilikOrani)</f>
        <v/>
      </c>
      <c r="F598" s="108" t="n"/>
      <c r="G598" s="110">
        <f>IF($A598="","",$B598+$C598+$D598+$E598+$F598)</f>
        <v/>
      </c>
      <c r="H598" s="110">
        <f>IF($A598="","",$G598*AySayisi)</f>
        <v/>
      </c>
    </row>
    <row r="599" ht="15" customHeight="1" s="62">
      <c r="A599" s="107" t="n"/>
      <c r="B599" s="110">
        <f>IFERROR(IF($A599="","",IFERROR(INDEX(tblCalisan[Brüt Ücret (₺)],MATCH($A599,tblCalisan[Çalışan Adı],0)),"")),"")</f>
        <v/>
      </c>
      <c r="C599" s="110">
        <f>IF($A599="","",$B599*IsverenPayiOrani)</f>
        <v/>
      </c>
      <c r="D599" s="110">
        <f>IF($A599="","",$B599*IssizlikOrani)</f>
        <v/>
      </c>
      <c r="E599" s="110">
        <f>IF($A599="","",$B599*KidemKarsilikOrani)</f>
        <v/>
      </c>
      <c r="F599" s="108" t="n"/>
      <c r="G599" s="110">
        <f>IF($A599="","",$B599+$C599+$D599+$E599+$F599)</f>
        <v/>
      </c>
      <c r="H599" s="110">
        <f>IF($A599="","",$G599*AySayisi)</f>
        <v/>
      </c>
    </row>
    <row r="600" ht="15" customHeight="1" s="62">
      <c r="A600" s="107" t="n"/>
      <c r="B600" s="110">
        <f>IFERROR(IF($A600="","",IFERROR(INDEX(tblCalisan[Brüt Ücret (₺)],MATCH($A600,tblCalisan[Çalışan Adı],0)),"")),"")</f>
        <v/>
      </c>
      <c r="C600" s="110">
        <f>IF($A600="","",$B600*IsverenPayiOrani)</f>
        <v/>
      </c>
      <c r="D600" s="110">
        <f>IF($A600="","",$B600*IssizlikOrani)</f>
        <v/>
      </c>
      <c r="E600" s="110">
        <f>IF($A600="","",$B600*KidemKarsilikOrani)</f>
        <v/>
      </c>
      <c r="F600" s="108" t="n"/>
      <c r="G600" s="110">
        <f>IF($A600="","",$B600+$C600+$D600+$E600+$F600)</f>
        <v/>
      </c>
      <c r="H600" s="110">
        <f>IF($A600="","",$G600*AySayisi)</f>
        <v/>
      </c>
    </row>
    <row r="601" ht="15" customHeight="1" s="62">
      <c r="A601" s="107" t="n"/>
      <c r="B601" s="110">
        <f>IFERROR(IF($A601="","",IFERROR(INDEX(tblCalisan[Brüt Ücret (₺)],MATCH($A601,tblCalisan[Çalışan Adı],0)),"")),"")</f>
        <v/>
      </c>
      <c r="C601" s="110">
        <f>IF($A601="","",$B601*IsverenPayiOrani)</f>
        <v/>
      </c>
      <c r="D601" s="110">
        <f>IF($A601="","",$B601*IssizlikOrani)</f>
        <v/>
      </c>
      <c r="E601" s="110">
        <f>IF($A601="","",$B601*KidemKarsilikOrani)</f>
        <v/>
      </c>
      <c r="F601" s="108" t="n"/>
      <c r="G601" s="110">
        <f>IF($A601="","",$B601+$C601+$D601+$E601+$F601)</f>
        <v/>
      </c>
      <c r="H601" s="110">
        <f>IF($A601="","",$G601*AySayisi)</f>
        <v/>
      </c>
    </row>
    <row r="602" ht="15" customHeight="1" s="62">
      <c r="A602" s="107" t="n"/>
      <c r="B602" s="110">
        <f>IFERROR(IF($A602="","",IFERROR(INDEX(tblCalisan[Brüt Ücret (₺)],MATCH($A602,tblCalisan[Çalışan Adı],0)),"")),"")</f>
        <v/>
      </c>
      <c r="C602" s="110">
        <f>IF($A602="","",$B602*IsverenPayiOrani)</f>
        <v/>
      </c>
      <c r="D602" s="110">
        <f>IF($A602="","",$B602*IssizlikOrani)</f>
        <v/>
      </c>
      <c r="E602" s="110">
        <f>IF($A602="","",$B602*KidemKarsilikOrani)</f>
        <v/>
      </c>
      <c r="F602" s="108" t="n"/>
      <c r="G602" s="110">
        <f>IF($A602="","",$B602+$C602+$D602+$E602+$F602)</f>
        <v/>
      </c>
      <c r="H602" s="110">
        <f>IF($A602="","",$G602*AySayisi)</f>
        <v/>
      </c>
    </row>
    <row r="603" ht="15" customHeight="1" s="62">
      <c r="A603" s="107" t="n"/>
      <c r="B603" s="110">
        <f>IFERROR(IF($A603="","",IFERROR(INDEX(tblCalisan[Brüt Ücret (₺)],MATCH($A603,tblCalisan[Çalışan Adı],0)),"")),"")</f>
        <v/>
      </c>
      <c r="C603" s="110">
        <f>IF($A603="","",$B603*IsverenPayiOrani)</f>
        <v/>
      </c>
      <c r="D603" s="110">
        <f>IF($A603="","",$B603*IssizlikOrani)</f>
        <v/>
      </c>
      <c r="E603" s="110">
        <f>IF($A603="","",$B603*KidemKarsilikOrani)</f>
        <v/>
      </c>
      <c r="F603" s="108" t="n"/>
      <c r="G603" s="110">
        <f>IF($A603="","",$B603+$C603+$D603+$E603+$F603)</f>
        <v/>
      </c>
      <c r="H603" s="110">
        <f>IF($A603="","",$G603*AySayisi)</f>
        <v/>
      </c>
    </row>
    <row r="604" ht="15" customHeight="1" s="62">
      <c r="A604" s="107" t="n"/>
      <c r="B604" s="110">
        <f>IFERROR(IF($A604="","",IFERROR(INDEX(tblCalisan[Brüt Ücret (₺)],MATCH($A604,tblCalisan[Çalışan Adı],0)),"")),"")</f>
        <v/>
      </c>
      <c r="C604" s="110">
        <f>IF($A604="","",$B604*IsverenPayiOrani)</f>
        <v/>
      </c>
      <c r="D604" s="110">
        <f>IF($A604="","",$B604*IssizlikOrani)</f>
        <v/>
      </c>
      <c r="E604" s="110">
        <f>IF($A604="","",$B604*KidemKarsilikOrani)</f>
        <v/>
      </c>
      <c r="F604" s="108" t="n"/>
      <c r="G604" s="110">
        <f>IF($A604="","",$B604+$C604+$D604+$E604+$F604)</f>
        <v/>
      </c>
      <c r="H604" s="110">
        <f>IF($A604="","",$G604*AySayisi)</f>
        <v/>
      </c>
    </row>
    <row r="605" ht="15" customHeight="1" s="62">
      <c r="A605" s="107" t="n"/>
      <c r="B605" s="110">
        <f>IFERROR(IF($A605="","",IFERROR(INDEX(tblCalisan[Brüt Ücret (₺)],MATCH($A605,tblCalisan[Çalışan Adı],0)),"")),"")</f>
        <v/>
      </c>
      <c r="C605" s="110">
        <f>IF($A605="","",$B605*IsverenPayiOrani)</f>
        <v/>
      </c>
      <c r="D605" s="110">
        <f>IF($A605="","",$B605*IssizlikOrani)</f>
        <v/>
      </c>
      <c r="E605" s="110">
        <f>IF($A605="","",$B605*KidemKarsilikOrani)</f>
        <v/>
      </c>
      <c r="F605" s="108" t="n"/>
      <c r="G605" s="110">
        <f>IF($A605="","",$B605+$C605+$D605+$E605+$F605)</f>
        <v/>
      </c>
      <c r="H605" s="110">
        <f>IF($A605="","",$G605*AySayisi)</f>
        <v/>
      </c>
    </row>
    <row r="606" ht="15" customHeight="1" s="62">
      <c r="A606" s="107" t="n"/>
      <c r="B606" s="110">
        <f>IFERROR(IF($A606="","",IFERROR(INDEX(tblCalisan[Brüt Ücret (₺)],MATCH($A606,tblCalisan[Çalışan Adı],0)),"")),"")</f>
        <v/>
      </c>
      <c r="C606" s="110">
        <f>IF($A606="","",$B606*IsverenPayiOrani)</f>
        <v/>
      </c>
      <c r="D606" s="110">
        <f>IF($A606="","",$B606*IssizlikOrani)</f>
        <v/>
      </c>
      <c r="E606" s="110">
        <f>IF($A606="","",$B606*KidemKarsilikOrani)</f>
        <v/>
      </c>
      <c r="F606" s="108" t="n"/>
      <c r="G606" s="110">
        <f>IF($A606="","",$B606+$C606+$D606+$E606+$F606)</f>
        <v/>
      </c>
      <c r="H606" s="110">
        <f>IF($A606="","",$G606*AySayisi)</f>
        <v/>
      </c>
    </row>
    <row r="607" ht="15" customHeight="1" s="62">
      <c r="A607" s="107" t="n"/>
      <c r="B607" s="110">
        <f>IFERROR(IF($A607="","",IFERROR(INDEX(tblCalisan[Brüt Ücret (₺)],MATCH($A607,tblCalisan[Çalışan Adı],0)),"")),"")</f>
        <v/>
      </c>
      <c r="C607" s="110">
        <f>IF($A607="","",$B607*IsverenPayiOrani)</f>
        <v/>
      </c>
      <c r="D607" s="110">
        <f>IF($A607="","",$B607*IssizlikOrani)</f>
        <v/>
      </c>
      <c r="E607" s="110">
        <f>IF($A607="","",$B607*KidemKarsilikOrani)</f>
        <v/>
      </c>
      <c r="F607" s="108" t="n"/>
      <c r="G607" s="110">
        <f>IF($A607="","",$B607+$C607+$D607+$E607+$F607)</f>
        <v/>
      </c>
      <c r="H607" s="110">
        <f>IF($A607="","",$G607*AySayisi)</f>
        <v/>
      </c>
    </row>
    <row r="608" ht="15" customHeight="1" s="62">
      <c r="A608" s="107" t="n"/>
      <c r="B608" s="110">
        <f>IFERROR(IF($A608="","",IFERROR(INDEX(tblCalisan[Brüt Ücret (₺)],MATCH($A608,tblCalisan[Çalışan Adı],0)),"")),"")</f>
        <v/>
      </c>
      <c r="C608" s="110">
        <f>IF($A608="","",$B608*IsverenPayiOrani)</f>
        <v/>
      </c>
      <c r="D608" s="110">
        <f>IF($A608="","",$B608*IssizlikOrani)</f>
        <v/>
      </c>
      <c r="E608" s="110">
        <f>IF($A608="","",$B608*KidemKarsilikOrani)</f>
        <v/>
      </c>
      <c r="F608" s="108" t="n"/>
      <c r="G608" s="110">
        <f>IF($A608="","",$B608+$C608+$D608+$E608+$F608)</f>
        <v/>
      </c>
      <c r="H608" s="110">
        <f>IF($A608="","",$G608*AySayisi)</f>
        <v/>
      </c>
    </row>
    <row r="609" ht="15" customHeight="1" s="62">
      <c r="A609" s="107" t="n"/>
      <c r="B609" s="110">
        <f>IFERROR(IF($A609="","",IFERROR(INDEX(tblCalisan[Brüt Ücret (₺)],MATCH($A609,tblCalisan[Çalışan Adı],0)),"")),"")</f>
        <v/>
      </c>
      <c r="C609" s="110">
        <f>IF($A609="","",$B609*IsverenPayiOrani)</f>
        <v/>
      </c>
      <c r="D609" s="110">
        <f>IF($A609="","",$B609*IssizlikOrani)</f>
        <v/>
      </c>
      <c r="E609" s="110">
        <f>IF($A609="","",$B609*KidemKarsilikOrani)</f>
        <v/>
      </c>
      <c r="F609" s="108" t="n"/>
      <c r="G609" s="110">
        <f>IF($A609="","",$B609+$C609+$D609+$E609+$F609)</f>
        <v/>
      </c>
      <c r="H609" s="110">
        <f>IF($A609="","",$G609*AySayisi)</f>
        <v/>
      </c>
    </row>
    <row r="610" ht="15" customHeight="1" s="62">
      <c r="A610" s="107" t="n"/>
      <c r="B610" s="110">
        <f>IFERROR(IF($A610="","",IFERROR(INDEX(tblCalisan[Brüt Ücret (₺)],MATCH($A610,tblCalisan[Çalışan Adı],0)),"")),"")</f>
        <v/>
      </c>
      <c r="C610" s="110">
        <f>IF($A610="","",$B610*IsverenPayiOrani)</f>
        <v/>
      </c>
      <c r="D610" s="110">
        <f>IF($A610="","",$B610*IssizlikOrani)</f>
        <v/>
      </c>
      <c r="E610" s="110">
        <f>IF($A610="","",$B610*KidemKarsilikOrani)</f>
        <v/>
      </c>
      <c r="F610" s="108" t="n"/>
      <c r="G610" s="110">
        <f>IF($A610="","",$B610+$C610+$D610+$E610+$F610)</f>
        <v/>
      </c>
      <c r="H610" s="110">
        <f>IF($A610="","",$G610*AySayisi)</f>
        <v/>
      </c>
    </row>
    <row r="611" ht="15" customHeight="1" s="62">
      <c r="A611" s="107" t="n"/>
      <c r="B611" s="110">
        <f>IFERROR(IF($A611="","",IFERROR(INDEX(tblCalisan[Brüt Ücret (₺)],MATCH($A611,tblCalisan[Çalışan Adı],0)),"")),"")</f>
        <v/>
      </c>
      <c r="C611" s="110">
        <f>IF($A611="","",$B611*IsverenPayiOrani)</f>
        <v/>
      </c>
      <c r="D611" s="110">
        <f>IF($A611="","",$B611*IssizlikOrani)</f>
        <v/>
      </c>
      <c r="E611" s="110">
        <f>IF($A611="","",$B611*KidemKarsilikOrani)</f>
        <v/>
      </c>
      <c r="F611" s="108" t="n"/>
      <c r="G611" s="110">
        <f>IF($A611="","",$B611+$C611+$D611+$E611+$F611)</f>
        <v/>
      </c>
      <c r="H611" s="110">
        <f>IF($A611="","",$G611*AySayisi)</f>
        <v/>
      </c>
    </row>
    <row r="612" ht="15" customHeight="1" s="62">
      <c r="A612" s="107" t="n"/>
      <c r="B612" s="110">
        <f>IFERROR(IF($A612="","",IFERROR(INDEX(tblCalisan[Brüt Ücret (₺)],MATCH($A612,tblCalisan[Çalışan Adı],0)),"")),"")</f>
        <v/>
      </c>
      <c r="C612" s="110">
        <f>IF($A612="","",$B612*IsverenPayiOrani)</f>
        <v/>
      </c>
      <c r="D612" s="110">
        <f>IF($A612="","",$B612*IssizlikOrani)</f>
        <v/>
      </c>
      <c r="E612" s="110">
        <f>IF($A612="","",$B612*KidemKarsilikOrani)</f>
        <v/>
      </c>
      <c r="F612" s="108" t="n"/>
      <c r="G612" s="110">
        <f>IF($A612="","",$B612+$C612+$D612+$E612+$F612)</f>
        <v/>
      </c>
      <c r="H612" s="110">
        <f>IF($A612="","",$G612*AySayisi)</f>
        <v/>
      </c>
    </row>
    <row r="613" ht="15" customHeight="1" s="62">
      <c r="A613" s="107" t="n"/>
      <c r="B613" s="110">
        <f>IFERROR(IF($A613="","",IFERROR(INDEX(tblCalisan[Brüt Ücret (₺)],MATCH($A613,tblCalisan[Çalışan Adı],0)),"")),"")</f>
        <v/>
      </c>
      <c r="C613" s="110">
        <f>IF($A613="","",$B613*IsverenPayiOrani)</f>
        <v/>
      </c>
      <c r="D613" s="110">
        <f>IF($A613="","",$B613*IssizlikOrani)</f>
        <v/>
      </c>
      <c r="E613" s="110">
        <f>IF($A613="","",$B613*KidemKarsilikOrani)</f>
        <v/>
      </c>
      <c r="F613" s="108" t="n"/>
      <c r="G613" s="110">
        <f>IF($A613="","",$B613+$C613+$D613+$E613+$F613)</f>
        <v/>
      </c>
      <c r="H613" s="110">
        <f>IF($A613="","",$G613*AySayisi)</f>
        <v/>
      </c>
    </row>
    <row r="614" ht="15" customHeight="1" s="62">
      <c r="A614" s="107" t="n"/>
      <c r="B614" s="110">
        <f>IFERROR(IF($A614="","",IFERROR(INDEX(tblCalisan[Brüt Ücret (₺)],MATCH($A614,tblCalisan[Çalışan Adı],0)),"")),"")</f>
        <v/>
      </c>
      <c r="C614" s="110">
        <f>IF($A614="","",$B614*IsverenPayiOrani)</f>
        <v/>
      </c>
      <c r="D614" s="110">
        <f>IF($A614="","",$B614*IssizlikOrani)</f>
        <v/>
      </c>
      <c r="E614" s="110">
        <f>IF($A614="","",$B614*KidemKarsilikOrani)</f>
        <v/>
      </c>
      <c r="F614" s="108" t="n"/>
      <c r="G614" s="110">
        <f>IF($A614="","",$B614+$C614+$D614+$E614+$F614)</f>
        <v/>
      </c>
      <c r="H614" s="110">
        <f>IF($A614="","",$G614*AySayisi)</f>
        <v/>
      </c>
    </row>
    <row r="615" ht="15" customHeight="1" s="62">
      <c r="A615" s="107" t="n"/>
      <c r="B615" s="110">
        <f>IFERROR(IF($A615="","",IFERROR(INDEX(tblCalisan[Brüt Ücret (₺)],MATCH($A615,tblCalisan[Çalışan Adı],0)),"")),"")</f>
        <v/>
      </c>
      <c r="C615" s="110">
        <f>IF($A615="","",$B615*IsverenPayiOrani)</f>
        <v/>
      </c>
      <c r="D615" s="110">
        <f>IF($A615="","",$B615*IssizlikOrani)</f>
        <v/>
      </c>
      <c r="E615" s="110">
        <f>IF($A615="","",$B615*KidemKarsilikOrani)</f>
        <v/>
      </c>
      <c r="F615" s="108" t="n"/>
      <c r="G615" s="110">
        <f>IF($A615="","",$B615+$C615+$D615+$E615+$F615)</f>
        <v/>
      </c>
      <c r="H615" s="110">
        <f>IF($A615="","",$G615*AySayisi)</f>
        <v/>
      </c>
    </row>
    <row r="616" ht="15" customHeight="1" s="62">
      <c r="A616" s="107" t="n"/>
      <c r="B616" s="110">
        <f>IFERROR(IF($A616="","",IFERROR(INDEX(tblCalisan[Brüt Ücret (₺)],MATCH($A616,tblCalisan[Çalışan Adı],0)),"")),"")</f>
        <v/>
      </c>
      <c r="C616" s="110">
        <f>IF($A616="","",$B616*IsverenPayiOrani)</f>
        <v/>
      </c>
      <c r="D616" s="110">
        <f>IF($A616="","",$B616*IssizlikOrani)</f>
        <v/>
      </c>
      <c r="E616" s="110">
        <f>IF($A616="","",$B616*KidemKarsilikOrani)</f>
        <v/>
      </c>
      <c r="F616" s="108" t="n"/>
      <c r="G616" s="110">
        <f>IF($A616="","",$B616+$C616+$D616+$E616+$F616)</f>
        <v/>
      </c>
      <c r="H616" s="110">
        <f>IF($A616="","",$G616*AySayisi)</f>
        <v/>
      </c>
    </row>
    <row r="617" ht="15" customHeight="1" s="62">
      <c r="A617" s="107" t="n"/>
      <c r="B617" s="110">
        <f>IFERROR(IF($A617="","",IFERROR(INDEX(tblCalisan[Brüt Ücret (₺)],MATCH($A617,tblCalisan[Çalışan Adı],0)),"")),"")</f>
        <v/>
      </c>
      <c r="C617" s="110">
        <f>IF($A617="","",$B617*IsverenPayiOrani)</f>
        <v/>
      </c>
      <c r="D617" s="110">
        <f>IF($A617="","",$B617*IssizlikOrani)</f>
        <v/>
      </c>
      <c r="E617" s="110">
        <f>IF($A617="","",$B617*KidemKarsilikOrani)</f>
        <v/>
      </c>
      <c r="F617" s="108" t="n"/>
      <c r="G617" s="110">
        <f>IF($A617="","",$B617+$C617+$D617+$E617+$F617)</f>
        <v/>
      </c>
      <c r="H617" s="110">
        <f>IF($A617="","",$G617*AySayisi)</f>
        <v/>
      </c>
    </row>
    <row r="618" ht="15" customHeight="1" s="62">
      <c r="A618" s="107" t="n"/>
      <c r="B618" s="110">
        <f>IFERROR(IF($A618="","",IFERROR(INDEX(tblCalisan[Brüt Ücret (₺)],MATCH($A618,tblCalisan[Çalışan Adı],0)),"")),"")</f>
        <v/>
      </c>
      <c r="C618" s="110">
        <f>IF($A618="","",$B618*IsverenPayiOrani)</f>
        <v/>
      </c>
      <c r="D618" s="110">
        <f>IF($A618="","",$B618*IssizlikOrani)</f>
        <v/>
      </c>
      <c r="E618" s="110">
        <f>IF($A618="","",$B618*KidemKarsilikOrani)</f>
        <v/>
      </c>
      <c r="F618" s="108" t="n"/>
      <c r="G618" s="110">
        <f>IF($A618="","",$B618+$C618+$D618+$E618+$F618)</f>
        <v/>
      </c>
      <c r="H618" s="110">
        <f>IF($A618="","",$G618*AySayisi)</f>
        <v/>
      </c>
    </row>
    <row r="619" ht="15" customHeight="1" s="62">
      <c r="A619" s="107" t="n"/>
      <c r="B619" s="110">
        <f>IFERROR(IF($A619="","",IFERROR(INDEX(tblCalisan[Brüt Ücret (₺)],MATCH($A619,tblCalisan[Çalışan Adı],0)),"")),"")</f>
        <v/>
      </c>
      <c r="C619" s="110">
        <f>IF($A619="","",$B619*IsverenPayiOrani)</f>
        <v/>
      </c>
      <c r="D619" s="110">
        <f>IF($A619="","",$B619*IssizlikOrani)</f>
        <v/>
      </c>
      <c r="E619" s="110">
        <f>IF($A619="","",$B619*KidemKarsilikOrani)</f>
        <v/>
      </c>
      <c r="F619" s="108" t="n"/>
      <c r="G619" s="110">
        <f>IF($A619="","",$B619+$C619+$D619+$E619+$F619)</f>
        <v/>
      </c>
      <c r="H619" s="110">
        <f>IF($A619="","",$G619*AySayisi)</f>
        <v/>
      </c>
    </row>
    <row r="620" ht="15" customHeight="1" s="62">
      <c r="A620" s="107" t="n"/>
      <c r="B620" s="110">
        <f>IFERROR(IF($A620="","",IFERROR(INDEX(tblCalisan[Brüt Ücret (₺)],MATCH($A620,tblCalisan[Çalışan Adı],0)),"")),"")</f>
        <v/>
      </c>
      <c r="C620" s="110">
        <f>IF($A620="","",$B620*IsverenPayiOrani)</f>
        <v/>
      </c>
      <c r="D620" s="110">
        <f>IF($A620="","",$B620*IssizlikOrani)</f>
        <v/>
      </c>
      <c r="E620" s="110">
        <f>IF($A620="","",$B620*KidemKarsilikOrani)</f>
        <v/>
      </c>
      <c r="F620" s="108" t="n"/>
      <c r="G620" s="110">
        <f>IF($A620="","",$B620+$C620+$D620+$E620+$F620)</f>
        <v/>
      </c>
      <c r="H620" s="110">
        <f>IF($A620="","",$G620*AySayisi)</f>
        <v/>
      </c>
    </row>
    <row r="621" ht="15" customHeight="1" s="62">
      <c r="A621" s="107" t="n"/>
      <c r="B621" s="110">
        <f>IFERROR(IF($A621="","",IFERROR(INDEX(tblCalisan[Brüt Ücret (₺)],MATCH($A621,tblCalisan[Çalışan Adı],0)),"")),"")</f>
        <v/>
      </c>
      <c r="C621" s="110">
        <f>IF($A621="","",$B621*IsverenPayiOrani)</f>
        <v/>
      </c>
      <c r="D621" s="110">
        <f>IF($A621="","",$B621*IssizlikOrani)</f>
        <v/>
      </c>
      <c r="E621" s="110">
        <f>IF($A621="","",$B621*KidemKarsilikOrani)</f>
        <v/>
      </c>
      <c r="F621" s="108" t="n"/>
      <c r="G621" s="110">
        <f>IF($A621="","",$B621+$C621+$D621+$E621+$F621)</f>
        <v/>
      </c>
      <c r="H621" s="110">
        <f>IF($A621="","",$G621*AySayisi)</f>
        <v/>
      </c>
    </row>
    <row r="622" ht="15" customHeight="1" s="62">
      <c r="A622" s="107" t="n"/>
      <c r="B622" s="110">
        <f>IFERROR(IF($A622="","",IFERROR(INDEX(tblCalisan[Brüt Ücret (₺)],MATCH($A622,tblCalisan[Çalışan Adı],0)),"")),"")</f>
        <v/>
      </c>
      <c r="C622" s="110">
        <f>IF($A622="","",$B622*IsverenPayiOrani)</f>
        <v/>
      </c>
      <c r="D622" s="110">
        <f>IF($A622="","",$B622*IssizlikOrani)</f>
        <v/>
      </c>
      <c r="E622" s="110">
        <f>IF($A622="","",$B622*KidemKarsilikOrani)</f>
        <v/>
      </c>
      <c r="F622" s="108" t="n"/>
      <c r="G622" s="110">
        <f>IF($A622="","",$B622+$C622+$D622+$E622+$F622)</f>
        <v/>
      </c>
      <c r="H622" s="110">
        <f>IF($A622="","",$G622*AySayisi)</f>
        <v/>
      </c>
    </row>
    <row r="623" ht="15" customHeight="1" s="62">
      <c r="A623" s="107" t="n"/>
      <c r="B623" s="110">
        <f>IFERROR(IF($A623="","",IFERROR(INDEX(tblCalisan[Brüt Ücret (₺)],MATCH($A623,tblCalisan[Çalışan Adı],0)),"")),"")</f>
        <v/>
      </c>
      <c r="C623" s="110">
        <f>IF($A623="","",$B623*IsverenPayiOrani)</f>
        <v/>
      </c>
      <c r="D623" s="110">
        <f>IF($A623="","",$B623*IssizlikOrani)</f>
        <v/>
      </c>
      <c r="E623" s="110">
        <f>IF($A623="","",$B623*KidemKarsilikOrani)</f>
        <v/>
      </c>
      <c r="F623" s="108" t="n"/>
      <c r="G623" s="110">
        <f>IF($A623="","",$B623+$C623+$D623+$E623+$F623)</f>
        <v/>
      </c>
      <c r="H623" s="110">
        <f>IF($A623="","",$G623*AySayisi)</f>
        <v/>
      </c>
    </row>
    <row r="624" ht="15" customHeight="1" s="62">
      <c r="A624" s="107" t="n"/>
      <c r="B624" s="110">
        <f>IFERROR(IF($A624="","",IFERROR(INDEX(tblCalisan[Brüt Ücret (₺)],MATCH($A624,tblCalisan[Çalışan Adı],0)),"")),"")</f>
        <v/>
      </c>
      <c r="C624" s="110">
        <f>IF($A624="","",$B624*IsverenPayiOrani)</f>
        <v/>
      </c>
      <c r="D624" s="110">
        <f>IF($A624="","",$B624*IssizlikOrani)</f>
        <v/>
      </c>
      <c r="E624" s="110">
        <f>IF($A624="","",$B624*KidemKarsilikOrani)</f>
        <v/>
      </c>
      <c r="F624" s="108" t="n"/>
      <c r="G624" s="110">
        <f>IF($A624="","",$B624+$C624+$D624+$E624+$F624)</f>
        <v/>
      </c>
      <c r="H624" s="110">
        <f>IF($A624="","",$G624*AySayisi)</f>
        <v/>
      </c>
    </row>
    <row r="625" ht="15" customHeight="1" s="62">
      <c r="A625" s="107" t="n"/>
      <c r="B625" s="110">
        <f>IFERROR(IF($A625="","",IFERROR(INDEX(tblCalisan[Brüt Ücret (₺)],MATCH($A625,tblCalisan[Çalışan Adı],0)),"")),"")</f>
        <v/>
      </c>
      <c r="C625" s="110">
        <f>IF($A625="","",$B625*IsverenPayiOrani)</f>
        <v/>
      </c>
      <c r="D625" s="110">
        <f>IF($A625="","",$B625*IssizlikOrani)</f>
        <v/>
      </c>
      <c r="E625" s="110">
        <f>IF($A625="","",$B625*KidemKarsilikOrani)</f>
        <v/>
      </c>
      <c r="F625" s="108" t="n"/>
      <c r="G625" s="110">
        <f>IF($A625="","",$B625+$C625+$D625+$E625+$F625)</f>
        <v/>
      </c>
      <c r="H625" s="110">
        <f>IF($A625="","",$G625*AySayisi)</f>
        <v/>
      </c>
    </row>
    <row r="626" ht="15" customHeight="1" s="62">
      <c r="A626" s="107" t="n"/>
      <c r="B626" s="110">
        <f>IFERROR(IF($A626="","",IFERROR(INDEX(tblCalisan[Brüt Ücret (₺)],MATCH($A626,tblCalisan[Çalışan Adı],0)),"")),"")</f>
        <v/>
      </c>
      <c r="C626" s="110">
        <f>IF($A626="","",$B626*IsverenPayiOrani)</f>
        <v/>
      </c>
      <c r="D626" s="110">
        <f>IF($A626="","",$B626*IssizlikOrani)</f>
        <v/>
      </c>
      <c r="E626" s="110">
        <f>IF($A626="","",$B626*KidemKarsilikOrani)</f>
        <v/>
      </c>
      <c r="F626" s="108" t="n"/>
      <c r="G626" s="110">
        <f>IF($A626="","",$B626+$C626+$D626+$E626+$F626)</f>
        <v/>
      </c>
      <c r="H626" s="110">
        <f>IF($A626="","",$G626*AySayisi)</f>
        <v/>
      </c>
    </row>
    <row r="627" ht="15" customHeight="1" s="62">
      <c r="A627" s="107" t="n"/>
      <c r="B627" s="110">
        <f>IFERROR(IF($A627="","",IFERROR(INDEX(tblCalisan[Brüt Ücret (₺)],MATCH($A627,tblCalisan[Çalışan Adı],0)),"")),"")</f>
        <v/>
      </c>
      <c r="C627" s="110">
        <f>IF($A627="","",$B627*IsverenPayiOrani)</f>
        <v/>
      </c>
      <c r="D627" s="110">
        <f>IF($A627="","",$B627*IssizlikOrani)</f>
        <v/>
      </c>
      <c r="E627" s="110">
        <f>IF($A627="","",$B627*KidemKarsilikOrani)</f>
        <v/>
      </c>
      <c r="F627" s="108" t="n"/>
      <c r="G627" s="110">
        <f>IF($A627="","",$B627+$C627+$D627+$E627+$F627)</f>
        <v/>
      </c>
      <c r="H627" s="110">
        <f>IF($A627="","",$G627*AySayisi)</f>
        <v/>
      </c>
    </row>
    <row r="628" ht="15" customHeight="1" s="62">
      <c r="A628" s="107" t="n"/>
      <c r="B628" s="110">
        <f>IFERROR(IF($A628="","",IFERROR(INDEX(tblCalisan[Brüt Ücret (₺)],MATCH($A628,tblCalisan[Çalışan Adı],0)),"")),"")</f>
        <v/>
      </c>
      <c r="C628" s="110">
        <f>IF($A628="","",$B628*IsverenPayiOrani)</f>
        <v/>
      </c>
      <c r="D628" s="110">
        <f>IF($A628="","",$B628*IssizlikOrani)</f>
        <v/>
      </c>
      <c r="E628" s="110">
        <f>IF($A628="","",$B628*KidemKarsilikOrani)</f>
        <v/>
      </c>
      <c r="F628" s="108" t="n"/>
      <c r="G628" s="110">
        <f>IF($A628="","",$B628+$C628+$D628+$E628+$F628)</f>
        <v/>
      </c>
      <c r="H628" s="110">
        <f>IF($A628="","",$G628*AySayisi)</f>
        <v/>
      </c>
    </row>
    <row r="629" ht="15" customHeight="1" s="62">
      <c r="A629" s="107" t="n"/>
      <c r="B629" s="110">
        <f>IFERROR(IF($A629="","",IFERROR(INDEX(tblCalisan[Brüt Ücret (₺)],MATCH($A629,tblCalisan[Çalışan Adı],0)),"")),"")</f>
        <v/>
      </c>
      <c r="C629" s="110">
        <f>IF($A629="","",$B629*IsverenPayiOrani)</f>
        <v/>
      </c>
      <c r="D629" s="110">
        <f>IF($A629="","",$B629*IssizlikOrani)</f>
        <v/>
      </c>
      <c r="E629" s="110">
        <f>IF($A629="","",$B629*KidemKarsilikOrani)</f>
        <v/>
      </c>
      <c r="F629" s="108" t="n"/>
      <c r="G629" s="110">
        <f>IF($A629="","",$B629+$C629+$D629+$E629+$F629)</f>
        <v/>
      </c>
      <c r="H629" s="110">
        <f>IF($A629="","",$G629*AySayisi)</f>
        <v/>
      </c>
    </row>
    <row r="630" ht="15" customHeight="1" s="62">
      <c r="A630" s="107" t="n"/>
      <c r="B630" s="110">
        <f>IFERROR(IF($A630="","",IFERROR(INDEX(tblCalisan[Brüt Ücret (₺)],MATCH($A630,tblCalisan[Çalışan Adı],0)),"")),"")</f>
        <v/>
      </c>
      <c r="C630" s="110">
        <f>IF($A630="","",$B630*IsverenPayiOrani)</f>
        <v/>
      </c>
      <c r="D630" s="110">
        <f>IF($A630="","",$B630*IssizlikOrani)</f>
        <v/>
      </c>
      <c r="E630" s="110">
        <f>IF($A630="","",$B630*KidemKarsilikOrani)</f>
        <v/>
      </c>
      <c r="F630" s="108" t="n"/>
      <c r="G630" s="110">
        <f>IF($A630="","",$B630+$C630+$D630+$E630+$F630)</f>
        <v/>
      </c>
      <c r="H630" s="110">
        <f>IF($A630="","",$G630*AySayisi)</f>
        <v/>
      </c>
    </row>
    <row r="631" ht="15" customHeight="1" s="62">
      <c r="A631" s="107" t="n"/>
      <c r="B631" s="110">
        <f>IFERROR(IF($A631="","",IFERROR(INDEX(tblCalisan[Brüt Ücret (₺)],MATCH($A631,tblCalisan[Çalışan Adı],0)),"")),"")</f>
        <v/>
      </c>
      <c r="C631" s="110">
        <f>IF($A631="","",$B631*IsverenPayiOrani)</f>
        <v/>
      </c>
      <c r="D631" s="110">
        <f>IF($A631="","",$B631*IssizlikOrani)</f>
        <v/>
      </c>
      <c r="E631" s="110">
        <f>IF($A631="","",$B631*KidemKarsilikOrani)</f>
        <v/>
      </c>
      <c r="F631" s="108" t="n"/>
      <c r="G631" s="110">
        <f>IF($A631="","",$B631+$C631+$D631+$E631+$F631)</f>
        <v/>
      </c>
      <c r="H631" s="110">
        <f>IF($A631="","",$G631*AySayisi)</f>
        <v/>
      </c>
    </row>
    <row r="632" ht="15" customHeight="1" s="62">
      <c r="A632" s="107" t="n"/>
      <c r="B632" s="110">
        <f>IFERROR(IF($A632="","",IFERROR(INDEX(tblCalisan[Brüt Ücret (₺)],MATCH($A632,tblCalisan[Çalışan Adı],0)),"")),"")</f>
        <v/>
      </c>
      <c r="C632" s="110">
        <f>IF($A632="","",$B632*IsverenPayiOrani)</f>
        <v/>
      </c>
      <c r="D632" s="110">
        <f>IF($A632="","",$B632*IssizlikOrani)</f>
        <v/>
      </c>
      <c r="E632" s="110">
        <f>IF($A632="","",$B632*KidemKarsilikOrani)</f>
        <v/>
      </c>
      <c r="F632" s="108" t="n"/>
      <c r="G632" s="110">
        <f>IF($A632="","",$B632+$C632+$D632+$E632+$F632)</f>
        <v/>
      </c>
      <c r="H632" s="110">
        <f>IF($A632="","",$G632*AySayisi)</f>
        <v/>
      </c>
    </row>
    <row r="633" ht="15" customHeight="1" s="62">
      <c r="A633" s="107" t="n"/>
      <c r="B633" s="110">
        <f>IFERROR(IF($A633="","",IFERROR(INDEX(tblCalisan[Brüt Ücret (₺)],MATCH($A633,tblCalisan[Çalışan Adı],0)),"")),"")</f>
        <v/>
      </c>
      <c r="C633" s="110">
        <f>IF($A633="","",$B633*IsverenPayiOrani)</f>
        <v/>
      </c>
      <c r="D633" s="110">
        <f>IF($A633="","",$B633*IssizlikOrani)</f>
        <v/>
      </c>
      <c r="E633" s="110">
        <f>IF($A633="","",$B633*KidemKarsilikOrani)</f>
        <v/>
      </c>
      <c r="F633" s="108" t="n"/>
      <c r="G633" s="110">
        <f>IF($A633="","",$B633+$C633+$D633+$E633+$F633)</f>
        <v/>
      </c>
      <c r="H633" s="110">
        <f>IF($A633="","",$G633*AySayisi)</f>
        <v/>
      </c>
    </row>
    <row r="634" ht="15" customHeight="1" s="62">
      <c r="A634" s="107" t="n"/>
      <c r="B634" s="110">
        <f>IFERROR(IF($A634="","",IFERROR(INDEX(tblCalisan[Brüt Ücret (₺)],MATCH($A634,tblCalisan[Çalışan Adı],0)),"")),"")</f>
        <v/>
      </c>
      <c r="C634" s="110">
        <f>IF($A634="","",$B634*IsverenPayiOrani)</f>
        <v/>
      </c>
      <c r="D634" s="110">
        <f>IF($A634="","",$B634*IssizlikOrani)</f>
        <v/>
      </c>
      <c r="E634" s="110">
        <f>IF($A634="","",$B634*KidemKarsilikOrani)</f>
        <v/>
      </c>
      <c r="F634" s="108" t="n"/>
      <c r="G634" s="110">
        <f>IF($A634="","",$B634+$C634+$D634+$E634+$F634)</f>
        <v/>
      </c>
      <c r="H634" s="110">
        <f>IF($A634="","",$G634*AySayisi)</f>
        <v/>
      </c>
    </row>
    <row r="635" ht="15" customHeight="1" s="62">
      <c r="A635" s="107" t="n"/>
      <c r="B635" s="110">
        <f>IFERROR(IF($A635="","",IFERROR(INDEX(tblCalisan[Brüt Ücret (₺)],MATCH($A635,tblCalisan[Çalışan Adı],0)),"")),"")</f>
        <v/>
      </c>
      <c r="C635" s="110">
        <f>IF($A635="","",$B635*IsverenPayiOrani)</f>
        <v/>
      </c>
      <c r="D635" s="110">
        <f>IF($A635="","",$B635*IssizlikOrani)</f>
        <v/>
      </c>
      <c r="E635" s="110">
        <f>IF($A635="","",$B635*KidemKarsilikOrani)</f>
        <v/>
      </c>
      <c r="F635" s="108" t="n"/>
      <c r="G635" s="110">
        <f>IF($A635="","",$B635+$C635+$D635+$E635+$F635)</f>
        <v/>
      </c>
      <c r="H635" s="110">
        <f>IF($A635="","",$G635*AySayisi)</f>
        <v/>
      </c>
    </row>
    <row r="636" ht="15" customHeight="1" s="62">
      <c r="A636" s="107" t="n"/>
      <c r="B636" s="110">
        <f>IFERROR(IF($A636="","",IFERROR(INDEX(tblCalisan[Brüt Ücret (₺)],MATCH($A636,tblCalisan[Çalışan Adı],0)),"")),"")</f>
        <v/>
      </c>
      <c r="C636" s="110">
        <f>IF($A636="","",$B636*IsverenPayiOrani)</f>
        <v/>
      </c>
      <c r="D636" s="110">
        <f>IF($A636="","",$B636*IssizlikOrani)</f>
        <v/>
      </c>
      <c r="E636" s="110">
        <f>IF($A636="","",$B636*KidemKarsilikOrani)</f>
        <v/>
      </c>
      <c r="F636" s="108" t="n"/>
      <c r="G636" s="110">
        <f>IF($A636="","",$B636+$C636+$D636+$E636+$F636)</f>
        <v/>
      </c>
      <c r="H636" s="110">
        <f>IF($A636="","",$G636*AySayisi)</f>
        <v/>
      </c>
    </row>
    <row r="637" ht="15" customHeight="1" s="62">
      <c r="A637" s="107" t="n"/>
      <c r="B637" s="110">
        <f>IFERROR(IF($A637="","",IFERROR(INDEX(tblCalisan[Brüt Ücret (₺)],MATCH($A637,tblCalisan[Çalışan Adı],0)),"")),"")</f>
        <v/>
      </c>
      <c r="C637" s="110">
        <f>IF($A637="","",$B637*IsverenPayiOrani)</f>
        <v/>
      </c>
      <c r="D637" s="110">
        <f>IF($A637="","",$B637*IssizlikOrani)</f>
        <v/>
      </c>
      <c r="E637" s="110">
        <f>IF($A637="","",$B637*KidemKarsilikOrani)</f>
        <v/>
      </c>
      <c r="F637" s="108" t="n"/>
      <c r="G637" s="110">
        <f>IF($A637="","",$B637+$C637+$D637+$E637+$F637)</f>
        <v/>
      </c>
      <c r="H637" s="110">
        <f>IF($A637="","",$G637*AySayisi)</f>
        <v/>
      </c>
    </row>
    <row r="638" ht="15" customHeight="1" s="62">
      <c r="A638" s="107" t="n"/>
      <c r="B638" s="110">
        <f>IFERROR(IF($A638="","",IFERROR(INDEX(tblCalisan[Brüt Ücret (₺)],MATCH($A638,tblCalisan[Çalışan Adı],0)),"")),"")</f>
        <v/>
      </c>
      <c r="C638" s="110">
        <f>IF($A638="","",$B638*IsverenPayiOrani)</f>
        <v/>
      </c>
      <c r="D638" s="110">
        <f>IF($A638="","",$B638*IssizlikOrani)</f>
        <v/>
      </c>
      <c r="E638" s="110">
        <f>IF($A638="","",$B638*KidemKarsilikOrani)</f>
        <v/>
      </c>
      <c r="F638" s="108" t="n"/>
      <c r="G638" s="110">
        <f>IF($A638="","",$B638+$C638+$D638+$E638+$F638)</f>
        <v/>
      </c>
      <c r="H638" s="110">
        <f>IF($A638="","",$G638*AySayisi)</f>
        <v/>
      </c>
    </row>
    <row r="639" ht="15" customHeight="1" s="62">
      <c r="A639" s="107" t="n"/>
      <c r="B639" s="110">
        <f>IFERROR(IF($A639="","",IFERROR(INDEX(tblCalisan[Brüt Ücret (₺)],MATCH($A639,tblCalisan[Çalışan Adı],0)),"")),"")</f>
        <v/>
      </c>
      <c r="C639" s="110">
        <f>IF($A639="","",$B639*IsverenPayiOrani)</f>
        <v/>
      </c>
      <c r="D639" s="110">
        <f>IF($A639="","",$B639*IssizlikOrani)</f>
        <v/>
      </c>
      <c r="E639" s="110">
        <f>IF($A639="","",$B639*KidemKarsilikOrani)</f>
        <v/>
      </c>
      <c r="F639" s="108" t="n"/>
      <c r="G639" s="110">
        <f>IF($A639="","",$B639+$C639+$D639+$E639+$F639)</f>
        <v/>
      </c>
      <c r="H639" s="110">
        <f>IF($A639="","",$G639*AySayisi)</f>
        <v/>
      </c>
    </row>
    <row r="640" ht="15" customHeight="1" s="62">
      <c r="A640" s="107" t="n"/>
      <c r="B640" s="110">
        <f>IFERROR(IF($A640="","",IFERROR(INDEX(tblCalisan[Brüt Ücret (₺)],MATCH($A640,tblCalisan[Çalışan Adı],0)),"")),"")</f>
        <v/>
      </c>
      <c r="C640" s="110">
        <f>IF($A640="","",$B640*IsverenPayiOrani)</f>
        <v/>
      </c>
      <c r="D640" s="110">
        <f>IF($A640="","",$B640*IssizlikOrani)</f>
        <v/>
      </c>
      <c r="E640" s="110">
        <f>IF($A640="","",$B640*KidemKarsilikOrani)</f>
        <v/>
      </c>
      <c r="F640" s="108" t="n"/>
      <c r="G640" s="110">
        <f>IF($A640="","",$B640+$C640+$D640+$E640+$F640)</f>
        <v/>
      </c>
      <c r="H640" s="110">
        <f>IF($A640="","",$G640*AySayisi)</f>
        <v/>
      </c>
    </row>
    <row r="641" ht="15" customHeight="1" s="62">
      <c r="A641" s="107" t="n"/>
      <c r="B641" s="110">
        <f>IFERROR(IF($A641="","",IFERROR(INDEX(tblCalisan[Brüt Ücret (₺)],MATCH($A641,tblCalisan[Çalışan Adı],0)),"")),"")</f>
        <v/>
      </c>
      <c r="C641" s="110">
        <f>IF($A641="","",$B641*IsverenPayiOrani)</f>
        <v/>
      </c>
      <c r="D641" s="110">
        <f>IF($A641="","",$B641*IssizlikOrani)</f>
        <v/>
      </c>
      <c r="E641" s="110">
        <f>IF($A641="","",$B641*KidemKarsilikOrani)</f>
        <v/>
      </c>
      <c r="F641" s="108" t="n"/>
      <c r="G641" s="110">
        <f>IF($A641="","",$B641+$C641+$D641+$E641+$F641)</f>
        <v/>
      </c>
      <c r="H641" s="110">
        <f>IF($A641="","",$G641*AySayisi)</f>
        <v/>
      </c>
    </row>
    <row r="642" ht="15" customHeight="1" s="62">
      <c r="A642" s="107" t="n"/>
      <c r="B642" s="110">
        <f>IFERROR(IF($A642="","",IFERROR(INDEX(tblCalisan[Brüt Ücret (₺)],MATCH($A642,tblCalisan[Çalışan Adı],0)),"")),"")</f>
        <v/>
      </c>
      <c r="C642" s="110">
        <f>IF($A642="","",$B642*IsverenPayiOrani)</f>
        <v/>
      </c>
      <c r="D642" s="110">
        <f>IF($A642="","",$B642*IssizlikOrani)</f>
        <v/>
      </c>
      <c r="E642" s="110">
        <f>IF($A642="","",$B642*KidemKarsilikOrani)</f>
        <v/>
      </c>
      <c r="F642" s="108" t="n"/>
      <c r="G642" s="110">
        <f>IF($A642="","",$B642+$C642+$D642+$E642+$F642)</f>
        <v/>
      </c>
      <c r="H642" s="110">
        <f>IF($A642="","",$G642*AySayisi)</f>
        <v/>
      </c>
    </row>
    <row r="643" ht="15" customHeight="1" s="62">
      <c r="A643" s="107" t="n"/>
      <c r="B643" s="110">
        <f>IFERROR(IF($A643="","",IFERROR(INDEX(tblCalisan[Brüt Ücret (₺)],MATCH($A643,tblCalisan[Çalışan Adı],0)),"")),"")</f>
        <v/>
      </c>
      <c r="C643" s="110">
        <f>IF($A643="","",$B643*IsverenPayiOrani)</f>
        <v/>
      </c>
      <c r="D643" s="110">
        <f>IF($A643="","",$B643*IssizlikOrani)</f>
        <v/>
      </c>
      <c r="E643" s="110">
        <f>IF($A643="","",$B643*KidemKarsilikOrani)</f>
        <v/>
      </c>
      <c r="F643" s="108" t="n"/>
      <c r="G643" s="110">
        <f>IF($A643="","",$B643+$C643+$D643+$E643+$F643)</f>
        <v/>
      </c>
      <c r="H643" s="110">
        <f>IF($A643="","",$G643*AySayisi)</f>
        <v/>
      </c>
    </row>
    <row r="644" ht="15" customHeight="1" s="62">
      <c r="A644" s="107" t="n"/>
      <c r="B644" s="110">
        <f>IFERROR(IF($A644="","",IFERROR(INDEX(tblCalisan[Brüt Ücret (₺)],MATCH($A644,tblCalisan[Çalışan Adı],0)),"")),"")</f>
        <v/>
      </c>
      <c r="C644" s="110">
        <f>IF($A644="","",$B644*IsverenPayiOrani)</f>
        <v/>
      </c>
      <c r="D644" s="110">
        <f>IF($A644="","",$B644*IssizlikOrani)</f>
        <v/>
      </c>
      <c r="E644" s="110">
        <f>IF($A644="","",$B644*KidemKarsilikOrani)</f>
        <v/>
      </c>
      <c r="F644" s="108" t="n"/>
      <c r="G644" s="110">
        <f>IF($A644="","",$B644+$C644+$D644+$E644+$F644)</f>
        <v/>
      </c>
      <c r="H644" s="110">
        <f>IF($A644="","",$G644*AySayisi)</f>
        <v/>
      </c>
    </row>
    <row r="645" ht="15" customHeight="1" s="62">
      <c r="A645" s="107" t="n"/>
      <c r="B645" s="110">
        <f>IFERROR(IF($A645="","",IFERROR(INDEX(tblCalisan[Brüt Ücret (₺)],MATCH($A645,tblCalisan[Çalışan Adı],0)),"")),"")</f>
        <v/>
      </c>
      <c r="C645" s="110">
        <f>IF($A645="","",$B645*IsverenPayiOrani)</f>
        <v/>
      </c>
      <c r="D645" s="110">
        <f>IF($A645="","",$B645*IssizlikOrani)</f>
        <v/>
      </c>
      <c r="E645" s="110">
        <f>IF($A645="","",$B645*KidemKarsilikOrani)</f>
        <v/>
      </c>
      <c r="F645" s="108" t="n"/>
      <c r="G645" s="110">
        <f>IF($A645="","",$B645+$C645+$D645+$E645+$F645)</f>
        <v/>
      </c>
      <c r="H645" s="110">
        <f>IF($A645="","",$G645*AySayisi)</f>
        <v/>
      </c>
    </row>
    <row r="646" ht="15" customHeight="1" s="62">
      <c r="A646" s="107" t="n"/>
      <c r="B646" s="110">
        <f>IFERROR(IF($A646="","",IFERROR(INDEX(tblCalisan[Brüt Ücret (₺)],MATCH($A646,tblCalisan[Çalışan Adı],0)),"")),"")</f>
        <v/>
      </c>
      <c r="C646" s="110">
        <f>IF($A646="","",$B646*IsverenPayiOrani)</f>
        <v/>
      </c>
      <c r="D646" s="110">
        <f>IF($A646="","",$B646*IssizlikOrani)</f>
        <v/>
      </c>
      <c r="E646" s="110">
        <f>IF($A646="","",$B646*KidemKarsilikOrani)</f>
        <v/>
      </c>
      <c r="F646" s="108" t="n"/>
      <c r="G646" s="110">
        <f>IF($A646="","",$B646+$C646+$D646+$E646+$F646)</f>
        <v/>
      </c>
      <c r="H646" s="110">
        <f>IF($A646="","",$G646*AySayisi)</f>
        <v/>
      </c>
    </row>
    <row r="647" ht="15" customHeight="1" s="62">
      <c r="A647" s="107" t="n"/>
      <c r="B647" s="110">
        <f>IFERROR(IF($A647="","",IFERROR(INDEX(tblCalisan[Brüt Ücret (₺)],MATCH($A647,tblCalisan[Çalışan Adı],0)),"")),"")</f>
        <v/>
      </c>
      <c r="C647" s="110">
        <f>IF($A647="","",$B647*IsverenPayiOrani)</f>
        <v/>
      </c>
      <c r="D647" s="110">
        <f>IF($A647="","",$B647*IssizlikOrani)</f>
        <v/>
      </c>
      <c r="E647" s="110">
        <f>IF($A647="","",$B647*KidemKarsilikOrani)</f>
        <v/>
      </c>
      <c r="F647" s="108" t="n"/>
      <c r="G647" s="110">
        <f>IF($A647="","",$B647+$C647+$D647+$E647+$F647)</f>
        <v/>
      </c>
      <c r="H647" s="110">
        <f>IF($A647="","",$G647*AySayisi)</f>
        <v/>
      </c>
    </row>
    <row r="648" ht="15" customHeight="1" s="62">
      <c r="A648" s="107" t="n"/>
      <c r="B648" s="110">
        <f>IFERROR(IF($A648="","",IFERROR(INDEX(tblCalisan[Brüt Ücret (₺)],MATCH($A648,tblCalisan[Çalışan Adı],0)),"")),"")</f>
        <v/>
      </c>
      <c r="C648" s="110">
        <f>IF($A648="","",$B648*IsverenPayiOrani)</f>
        <v/>
      </c>
      <c r="D648" s="110">
        <f>IF($A648="","",$B648*IssizlikOrani)</f>
        <v/>
      </c>
      <c r="E648" s="110">
        <f>IF($A648="","",$B648*KidemKarsilikOrani)</f>
        <v/>
      </c>
      <c r="F648" s="108" t="n"/>
      <c r="G648" s="110">
        <f>IF($A648="","",$B648+$C648+$D648+$E648+$F648)</f>
        <v/>
      </c>
      <c r="H648" s="110">
        <f>IF($A648="","",$G648*AySayisi)</f>
        <v/>
      </c>
    </row>
    <row r="649" ht="15" customHeight="1" s="62">
      <c r="A649" s="107" t="n"/>
      <c r="B649" s="110">
        <f>IFERROR(IF($A649="","",IFERROR(INDEX(tblCalisan[Brüt Ücret (₺)],MATCH($A649,tblCalisan[Çalışan Adı],0)),"")),"")</f>
        <v/>
      </c>
      <c r="C649" s="110">
        <f>IF($A649="","",$B649*IsverenPayiOrani)</f>
        <v/>
      </c>
      <c r="D649" s="110">
        <f>IF($A649="","",$B649*IssizlikOrani)</f>
        <v/>
      </c>
      <c r="E649" s="110">
        <f>IF($A649="","",$B649*KidemKarsilikOrani)</f>
        <v/>
      </c>
      <c r="F649" s="108" t="n"/>
      <c r="G649" s="110">
        <f>IF($A649="","",$B649+$C649+$D649+$E649+$F649)</f>
        <v/>
      </c>
      <c r="H649" s="110">
        <f>IF($A649="","",$G649*AySayisi)</f>
        <v/>
      </c>
    </row>
    <row r="650" ht="15" customHeight="1" s="62">
      <c r="A650" s="107" t="n"/>
      <c r="B650" s="110">
        <f>IFERROR(IF($A650="","",IFERROR(INDEX(tblCalisan[Brüt Ücret (₺)],MATCH($A650,tblCalisan[Çalışan Adı],0)),"")),"")</f>
        <v/>
      </c>
      <c r="C650" s="110">
        <f>IF($A650="","",$B650*IsverenPayiOrani)</f>
        <v/>
      </c>
      <c r="D650" s="110">
        <f>IF($A650="","",$B650*IssizlikOrani)</f>
        <v/>
      </c>
      <c r="E650" s="110">
        <f>IF($A650="","",$B650*KidemKarsilikOrani)</f>
        <v/>
      </c>
      <c r="F650" s="108" t="n"/>
      <c r="G650" s="110">
        <f>IF($A650="","",$B650+$C650+$D650+$E650+$F650)</f>
        <v/>
      </c>
      <c r="H650" s="110">
        <f>IF($A650="","",$G650*AySayisi)</f>
        <v/>
      </c>
    </row>
    <row r="651" ht="15" customHeight="1" s="62">
      <c r="A651" s="107" t="n"/>
      <c r="B651" s="110">
        <f>IFERROR(IF($A651="","",IFERROR(INDEX(tblCalisan[Brüt Ücret (₺)],MATCH($A651,tblCalisan[Çalışan Adı],0)),"")),"")</f>
        <v/>
      </c>
      <c r="C651" s="110">
        <f>IF($A651="","",$B651*IsverenPayiOrani)</f>
        <v/>
      </c>
      <c r="D651" s="110">
        <f>IF($A651="","",$B651*IssizlikOrani)</f>
        <v/>
      </c>
      <c r="E651" s="110">
        <f>IF($A651="","",$B651*KidemKarsilikOrani)</f>
        <v/>
      </c>
      <c r="F651" s="108" t="n"/>
      <c r="G651" s="110">
        <f>IF($A651="","",$B651+$C651+$D651+$E651+$F651)</f>
        <v/>
      </c>
      <c r="H651" s="110">
        <f>IF($A651="","",$G651*AySayisi)</f>
        <v/>
      </c>
    </row>
    <row r="652" ht="15" customHeight="1" s="62">
      <c r="A652" s="107" t="n"/>
      <c r="B652" s="110">
        <f>IFERROR(IF($A652="","",IFERROR(INDEX(tblCalisan[Brüt Ücret (₺)],MATCH($A652,tblCalisan[Çalışan Adı],0)),"")),"")</f>
        <v/>
      </c>
      <c r="C652" s="110">
        <f>IF($A652="","",$B652*IsverenPayiOrani)</f>
        <v/>
      </c>
      <c r="D652" s="110">
        <f>IF($A652="","",$B652*IssizlikOrani)</f>
        <v/>
      </c>
      <c r="E652" s="110">
        <f>IF($A652="","",$B652*KidemKarsilikOrani)</f>
        <v/>
      </c>
      <c r="F652" s="108" t="n"/>
      <c r="G652" s="110">
        <f>IF($A652="","",$B652+$C652+$D652+$E652+$F652)</f>
        <v/>
      </c>
      <c r="H652" s="110">
        <f>IF($A652="","",$G652*AySayisi)</f>
        <v/>
      </c>
    </row>
    <row r="653" ht="15" customHeight="1" s="62">
      <c r="A653" s="107" t="n"/>
      <c r="B653" s="110">
        <f>IFERROR(IF($A653="","",IFERROR(INDEX(tblCalisan[Brüt Ücret (₺)],MATCH($A653,tblCalisan[Çalışan Adı],0)),"")),"")</f>
        <v/>
      </c>
      <c r="C653" s="110">
        <f>IF($A653="","",$B653*IsverenPayiOrani)</f>
        <v/>
      </c>
      <c r="D653" s="110">
        <f>IF($A653="","",$B653*IssizlikOrani)</f>
        <v/>
      </c>
      <c r="E653" s="110">
        <f>IF($A653="","",$B653*KidemKarsilikOrani)</f>
        <v/>
      </c>
      <c r="F653" s="108" t="n"/>
      <c r="G653" s="110">
        <f>IF($A653="","",$B653+$C653+$D653+$E653+$F653)</f>
        <v/>
      </c>
      <c r="H653" s="110">
        <f>IF($A653="","",$G653*AySayisi)</f>
        <v/>
      </c>
    </row>
    <row r="654" ht="15" customHeight="1" s="62">
      <c r="A654" s="107" t="n"/>
      <c r="B654" s="110">
        <f>IFERROR(IF($A654="","",IFERROR(INDEX(tblCalisan[Brüt Ücret (₺)],MATCH($A654,tblCalisan[Çalışan Adı],0)),"")),"")</f>
        <v/>
      </c>
      <c r="C654" s="110">
        <f>IF($A654="","",$B654*IsverenPayiOrani)</f>
        <v/>
      </c>
      <c r="D654" s="110">
        <f>IF($A654="","",$B654*IssizlikOrani)</f>
        <v/>
      </c>
      <c r="E654" s="110">
        <f>IF($A654="","",$B654*KidemKarsilikOrani)</f>
        <v/>
      </c>
      <c r="F654" s="108" t="n"/>
      <c r="G654" s="110">
        <f>IF($A654="","",$B654+$C654+$D654+$E654+$F654)</f>
        <v/>
      </c>
      <c r="H654" s="110">
        <f>IF($A654="","",$G654*AySayisi)</f>
        <v/>
      </c>
    </row>
    <row r="655" ht="15" customHeight="1" s="62">
      <c r="A655" s="107" t="n"/>
      <c r="B655" s="110">
        <f>IFERROR(IF($A655="","",IFERROR(INDEX(tblCalisan[Brüt Ücret (₺)],MATCH($A655,tblCalisan[Çalışan Adı],0)),"")),"")</f>
        <v/>
      </c>
      <c r="C655" s="110">
        <f>IF($A655="","",$B655*IsverenPayiOrani)</f>
        <v/>
      </c>
      <c r="D655" s="110">
        <f>IF($A655="","",$B655*IssizlikOrani)</f>
        <v/>
      </c>
      <c r="E655" s="110">
        <f>IF($A655="","",$B655*KidemKarsilikOrani)</f>
        <v/>
      </c>
      <c r="F655" s="108" t="n"/>
      <c r="G655" s="110">
        <f>IF($A655="","",$B655+$C655+$D655+$E655+$F655)</f>
        <v/>
      </c>
      <c r="H655" s="110">
        <f>IF($A655="","",$G655*AySayisi)</f>
        <v/>
      </c>
    </row>
    <row r="656" ht="15" customHeight="1" s="62">
      <c r="A656" s="107" t="n"/>
      <c r="B656" s="110">
        <f>IFERROR(IF($A656="","",IFERROR(INDEX(tblCalisan[Brüt Ücret (₺)],MATCH($A656,tblCalisan[Çalışan Adı],0)),"")),"")</f>
        <v/>
      </c>
      <c r="C656" s="110">
        <f>IF($A656="","",$B656*IsverenPayiOrani)</f>
        <v/>
      </c>
      <c r="D656" s="110">
        <f>IF($A656="","",$B656*IssizlikOrani)</f>
        <v/>
      </c>
      <c r="E656" s="110">
        <f>IF($A656="","",$B656*KidemKarsilikOrani)</f>
        <v/>
      </c>
      <c r="F656" s="108" t="n"/>
      <c r="G656" s="110">
        <f>IF($A656="","",$B656+$C656+$D656+$E656+$F656)</f>
        <v/>
      </c>
      <c r="H656" s="110">
        <f>IF($A656="","",$G656*AySayisi)</f>
        <v/>
      </c>
    </row>
    <row r="657" ht="15" customHeight="1" s="62">
      <c r="A657" s="107" t="n"/>
      <c r="B657" s="110">
        <f>IFERROR(IF($A657="","",IFERROR(INDEX(tblCalisan[Brüt Ücret (₺)],MATCH($A657,tblCalisan[Çalışan Adı],0)),"")),"")</f>
        <v/>
      </c>
      <c r="C657" s="110">
        <f>IF($A657="","",$B657*IsverenPayiOrani)</f>
        <v/>
      </c>
      <c r="D657" s="110">
        <f>IF($A657="","",$B657*IssizlikOrani)</f>
        <v/>
      </c>
      <c r="E657" s="110">
        <f>IF($A657="","",$B657*KidemKarsilikOrani)</f>
        <v/>
      </c>
      <c r="F657" s="108" t="n"/>
      <c r="G657" s="110">
        <f>IF($A657="","",$B657+$C657+$D657+$E657+$F657)</f>
        <v/>
      </c>
      <c r="H657" s="110">
        <f>IF($A657="","",$G657*AySayisi)</f>
        <v/>
      </c>
    </row>
    <row r="658" ht="15" customHeight="1" s="62">
      <c r="A658" s="107" t="n"/>
      <c r="B658" s="110">
        <f>IFERROR(IF($A658="","",IFERROR(INDEX(tblCalisan[Brüt Ücret (₺)],MATCH($A658,tblCalisan[Çalışan Adı],0)),"")),"")</f>
        <v/>
      </c>
      <c r="C658" s="110">
        <f>IF($A658="","",$B658*IsverenPayiOrani)</f>
        <v/>
      </c>
      <c r="D658" s="110">
        <f>IF($A658="","",$B658*IssizlikOrani)</f>
        <v/>
      </c>
      <c r="E658" s="110">
        <f>IF($A658="","",$B658*KidemKarsilikOrani)</f>
        <v/>
      </c>
      <c r="F658" s="108" t="n"/>
      <c r="G658" s="110">
        <f>IF($A658="","",$B658+$C658+$D658+$E658+$F658)</f>
        <v/>
      </c>
      <c r="H658" s="110">
        <f>IF($A658="","",$G658*AySayisi)</f>
        <v/>
      </c>
    </row>
    <row r="659" ht="15" customHeight="1" s="62">
      <c r="A659" s="107" t="n"/>
      <c r="B659" s="110">
        <f>IFERROR(IF($A659="","",IFERROR(INDEX(tblCalisan[Brüt Ücret (₺)],MATCH($A659,tblCalisan[Çalışan Adı],0)),"")),"")</f>
        <v/>
      </c>
      <c r="C659" s="110">
        <f>IF($A659="","",$B659*IsverenPayiOrani)</f>
        <v/>
      </c>
      <c r="D659" s="110">
        <f>IF($A659="","",$B659*IssizlikOrani)</f>
        <v/>
      </c>
      <c r="E659" s="110">
        <f>IF($A659="","",$B659*KidemKarsilikOrani)</f>
        <v/>
      </c>
      <c r="F659" s="108" t="n"/>
      <c r="G659" s="110">
        <f>IF($A659="","",$B659+$C659+$D659+$E659+$F659)</f>
        <v/>
      </c>
      <c r="H659" s="110">
        <f>IF($A659="","",$G659*AySayisi)</f>
        <v/>
      </c>
    </row>
    <row r="660" ht="15" customHeight="1" s="62">
      <c r="A660" s="107" t="n"/>
      <c r="B660" s="110">
        <f>IFERROR(IF($A660="","",IFERROR(INDEX(tblCalisan[Brüt Ücret (₺)],MATCH($A660,tblCalisan[Çalışan Adı],0)),"")),"")</f>
        <v/>
      </c>
      <c r="C660" s="110">
        <f>IF($A660="","",$B660*IsverenPayiOrani)</f>
        <v/>
      </c>
      <c r="D660" s="110">
        <f>IF($A660="","",$B660*IssizlikOrani)</f>
        <v/>
      </c>
      <c r="E660" s="110">
        <f>IF($A660="","",$B660*KidemKarsilikOrani)</f>
        <v/>
      </c>
      <c r="F660" s="108" t="n"/>
      <c r="G660" s="110">
        <f>IF($A660="","",$B660+$C660+$D660+$E660+$F660)</f>
        <v/>
      </c>
      <c r="H660" s="110">
        <f>IF($A660="","",$G660*AySayisi)</f>
        <v/>
      </c>
    </row>
    <row r="661" ht="15" customHeight="1" s="62">
      <c r="A661" s="107" t="n"/>
      <c r="B661" s="110">
        <f>IFERROR(IF($A661="","",IFERROR(INDEX(tblCalisan[Brüt Ücret (₺)],MATCH($A661,tblCalisan[Çalışan Adı],0)),"")),"")</f>
        <v/>
      </c>
      <c r="C661" s="110">
        <f>IF($A661="","",$B661*IsverenPayiOrani)</f>
        <v/>
      </c>
      <c r="D661" s="110">
        <f>IF($A661="","",$B661*IssizlikOrani)</f>
        <v/>
      </c>
      <c r="E661" s="110">
        <f>IF($A661="","",$B661*KidemKarsilikOrani)</f>
        <v/>
      </c>
      <c r="F661" s="108" t="n"/>
      <c r="G661" s="110">
        <f>IF($A661="","",$B661+$C661+$D661+$E661+$F661)</f>
        <v/>
      </c>
      <c r="H661" s="110">
        <f>IF($A661="","",$G661*AySayisi)</f>
        <v/>
      </c>
    </row>
    <row r="662" ht="15" customHeight="1" s="62">
      <c r="A662" s="107" t="n"/>
      <c r="B662" s="110">
        <f>IFERROR(IF($A662="","",IFERROR(INDEX(tblCalisan[Brüt Ücret (₺)],MATCH($A662,tblCalisan[Çalışan Adı],0)),"")),"")</f>
        <v/>
      </c>
      <c r="C662" s="110">
        <f>IF($A662="","",$B662*IsverenPayiOrani)</f>
        <v/>
      </c>
      <c r="D662" s="110">
        <f>IF($A662="","",$B662*IssizlikOrani)</f>
        <v/>
      </c>
      <c r="E662" s="110">
        <f>IF($A662="","",$B662*KidemKarsilikOrani)</f>
        <v/>
      </c>
      <c r="F662" s="108" t="n"/>
      <c r="G662" s="110">
        <f>IF($A662="","",$B662+$C662+$D662+$E662+$F662)</f>
        <v/>
      </c>
      <c r="H662" s="110">
        <f>IF($A662="","",$G662*AySayisi)</f>
        <v/>
      </c>
    </row>
    <row r="663" ht="15" customHeight="1" s="62">
      <c r="A663" s="107" t="n"/>
      <c r="B663" s="110">
        <f>IFERROR(IF($A663="","",IFERROR(INDEX(tblCalisan[Brüt Ücret (₺)],MATCH($A663,tblCalisan[Çalışan Adı],0)),"")),"")</f>
        <v/>
      </c>
      <c r="C663" s="110">
        <f>IF($A663="","",$B663*IsverenPayiOrani)</f>
        <v/>
      </c>
      <c r="D663" s="110">
        <f>IF($A663="","",$B663*IssizlikOrani)</f>
        <v/>
      </c>
      <c r="E663" s="110">
        <f>IF($A663="","",$B663*KidemKarsilikOrani)</f>
        <v/>
      </c>
      <c r="F663" s="108" t="n"/>
      <c r="G663" s="110">
        <f>IF($A663="","",$B663+$C663+$D663+$E663+$F663)</f>
        <v/>
      </c>
      <c r="H663" s="110">
        <f>IF($A663="","",$G663*AySayisi)</f>
        <v/>
      </c>
    </row>
    <row r="664" ht="15" customHeight="1" s="62">
      <c r="A664" s="107" t="n"/>
      <c r="B664" s="110">
        <f>IFERROR(IF($A664="","",IFERROR(INDEX(tblCalisan[Brüt Ücret (₺)],MATCH($A664,tblCalisan[Çalışan Adı],0)),"")),"")</f>
        <v/>
      </c>
      <c r="C664" s="110">
        <f>IF($A664="","",$B664*IsverenPayiOrani)</f>
        <v/>
      </c>
      <c r="D664" s="110">
        <f>IF($A664="","",$B664*IssizlikOrani)</f>
        <v/>
      </c>
      <c r="E664" s="110">
        <f>IF($A664="","",$B664*KidemKarsilikOrani)</f>
        <v/>
      </c>
      <c r="F664" s="108" t="n"/>
      <c r="G664" s="110">
        <f>IF($A664="","",$B664+$C664+$D664+$E664+$F664)</f>
        <v/>
      </c>
      <c r="H664" s="110">
        <f>IF($A664="","",$G664*AySayisi)</f>
        <v/>
      </c>
    </row>
    <row r="665" ht="15" customHeight="1" s="62">
      <c r="A665" s="107" t="n"/>
      <c r="B665" s="110">
        <f>IFERROR(IF($A665="","",IFERROR(INDEX(tblCalisan[Brüt Ücret (₺)],MATCH($A665,tblCalisan[Çalışan Adı],0)),"")),"")</f>
        <v/>
      </c>
      <c r="C665" s="110">
        <f>IF($A665="","",$B665*IsverenPayiOrani)</f>
        <v/>
      </c>
      <c r="D665" s="110">
        <f>IF($A665="","",$B665*IssizlikOrani)</f>
        <v/>
      </c>
      <c r="E665" s="110">
        <f>IF($A665="","",$B665*KidemKarsilikOrani)</f>
        <v/>
      </c>
      <c r="F665" s="108" t="n"/>
      <c r="G665" s="110">
        <f>IF($A665="","",$B665+$C665+$D665+$E665+$F665)</f>
        <v/>
      </c>
      <c r="H665" s="110">
        <f>IF($A665="","",$G665*AySayisi)</f>
        <v/>
      </c>
    </row>
    <row r="666" ht="15" customHeight="1" s="62">
      <c r="A666" s="107" t="n"/>
      <c r="B666" s="110">
        <f>IFERROR(IF($A666="","",IFERROR(INDEX(tblCalisan[Brüt Ücret (₺)],MATCH($A666,tblCalisan[Çalışan Adı],0)),"")),"")</f>
        <v/>
      </c>
      <c r="C666" s="110">
        <f>IF($A666="","",$B666*IsverenPayiOrani)</f>
        <v/>
      </c>
      <c r="D666" s="110">
        <f>IF($A666="","",$B666*IssizlikOrani)</f>
        <v/>
      </c>
      <c r="E666" s="110">
        <f>IF($A666="","",$B666*KidemKarsilikOrani)</f>
        <v/>
      </c>
      <c r="F666" s="108" t="n"/>
      <c r="G666" s="110">
        <f>IF($A666="","",$B666+$C666+$D666+$E666+$F666)</f>
        <v/>
      </c>
      <c r="H666" s="110">
        <f>IF($A666="","",$G666*AySayisi)</f>
        <v/>
      </c>
    </row>
    <row r="667" ht="15" customHeight="1" s="62">
      <c r="A667" s="107" t="n"/>
      <c r="B667" s="110">
        <f>IFERROR(IF($A667="","",IFERROR(INDEX(tblCalisan[Brüt Ücret (₺)],MATCH($A667,tblCalisan[Çalışan Adı],0)),"")),"")</f>
        <v/>
      </c>
      <c r="C667" s="110">
        <f>IF($A667="","",$B667*IsverenPayiOrani)</f>
        <v/>
      </c>
      <c r="D667" s="110">
        <f>IF($A667="","",$B667*IssizlikOrani)</f>
        <v/>
      </c>
      <c r="E667" s="110">
        <f>IF($A667="","",$B667*KidemKarsilikOrani)</f>
        <v/>
      </c>
      <c r="F667" s="108" t="n"/>
      <c r="G667" s="110">
        <f>IF($A667="","",$B667+$C667+$D667+$E667+$F667)</f>
        <v/>
      </c>
      <c r="H667" s="110">
        <f>IF($A667="","",$G667*AySayisi)</f>
        <v/>
      </c>
    </row>
    <row r="668" ht="15" customHeight="1" s="62">
      <c r="A668" s="107" t="n"/>
      <c r="B668" s="110">
        <f>IFERROR(IF($A668="","",IFERROR(INDEX(tblCalisan[Brüt Ücret (₺)],MATCH($A668,tblCalisan[Çalışan Adı],0)),"")),"")</f>
        <v/>
      </c>
      <c r="C668" s="110">
        <f>IF($A668="","",$B668*IsverenPayiOrani)</f>
        <v/>
      </c>
      <c r="D668" s="110">
        <f>IF($A668="","",$B668*IssizlikOrani)</f>
        <v/>
      </c>
      <c r="E668" s="110">
        <f>IF($A668="","",$B668*KidemKarsilikOrani)</f>
        <v/>
      </c>
      <c r="F668" s="108" t="n"/>
      <c r="G668" s="110">
        <f>IF($A668="","",$B668+$C668+$D668+$E668+$F668)</f>
        <v/>
      </c>
      <c r="H668" s="110">
        <f>IF($A668="","",$G668*AySayisi)</f>
        <v/>
      </c>
    </row>
    <row r="669" ht="15" customHeight="1" s="62">
      <c r="A669" s="107" t="n"/>
      <c r="B669" s="110">
        <f>IFERROR(IF($A669="","",IFERROR(INDEX(tblCalisan[Brüt Ücret (₺)],MATCH($A669,tblCalisan[Çalışan Adı],0)),"")),"")</f>
        <v/>
      </c>
      <c r="C669" s="110">
        <f>IF($A669="","",$B669*IsverenPayiOrani)</f>
        <v/>
      </c>
      <c r="D669" s="110">
        <f>IF($A669="","",$B669*IssizlikOrani)</f>
        <v/>
      </c>
      <c r="E669" s="110">
        <f>IF($A669="","",$B669*KidemKarsilikOrani)</f>
        <v/>
      </c>
      <c r="F669" s="108" t="n"/>
      <c r="G669" s="110">
        <f>IF($A669="","",$B669+$C669+$D669+$E669+$F669)</f>
        <v/>
      </c>
      <c r="H669" s="110">
        <f>IF($A669="","",$G669*AySayisi)</f>
        <v/>
      </c>
    </row>
    <row r="670" ht="15" customHeight="1" s="62">
      <c r="A670" s="107" t="n"/>
      <c r="B670" s="110">
        <f>IFERROR(IF($A670="","",IFERROR(INDEX(tblCalisan[Brüt Ücret (₺)],MATCH($A670,tblCalisan[Çalışan Adı],0)),"")),"")</f>
        <v/>
      </c>
      <c r="C670" s="110">
        <f>IF($A670="","",$B670*IsverenPayiOrani)</f>
        <v/>
      </c>
      <c r="D670" s="110">
        <f>IF($A670="","",$B670*IssizlikOrani)</f>
        <v/>
      </c>
      <c r="E670" s="110">
        <f>IF($A670="","",$B670*KidemKarsilikOrani)</f>
        <v/>
      </c>
      <c r="F670" s="108" t="n"/>
      <c r="G670" s="110">
        <f>IF($A670="","",$B670+$C670+$D670+$E670+$F670)</f>
        <v/>
      </c>
      <c r="H670" s="110">
        <f>IF($A670="","",$G670*AySayisi)</f>
        <v/>
      </c>
    </row>
    <row r="671" ht="15" customHeight="1" s="62">
      <c r="A671" s="107" t="n"/>
      <c r="B671" s="110">
        <f>IFERROR(IF($A671="","",IFERROR(INDEX(tblCalisan[Brüt Ücret (₺)],MATCH($A671,tblCalisan[Çalışan Adı],0)),"")),"")</f>
        <v/>
      </c>
      <c r="C671" s="110">
        <f>IF($A671="","",$B671*IsverenPayiOrani)</f>
        <v/>
      </c>
      <c r="D671" s="110">
        <f>IF($A671="","",$B671*IssizlikOrani)</f>
        <v/>
      </c>
      <c r="E671" s="110">
        <f>IF($A671="","",$B671*KidemKarsilikOrani)</f>
        <v/>
      </c>
      <c r="F671" s="108" t="n"/>
      <c r="G671" s="110">
        <f>IF($A671="","",$B671+$C671+$D671+$E671+$F671)</f>
        <v/>
      </c>
      <c r="H671" s="110">
        <f>IF($A671="","",$G671*AySayisi)</f>
        <v/>
      </c>
    </row>
    <row r="672" ht="15" customHeight="1" s="62">
      <c r="A672" s="107" t="n"/>
      <c r="B672" s="110">
        <f>IFERROR(IF($A672="","",IFERROR(INDEX(tblCalisan[Brüt Ücret (₺)],MATCH($A672,tblCalisan[Çalışan Adı],0)),"")),"")</f>
        <v/>
      </c>
      <c r="C672" s="110">
        <f>IF($A672="","",$B672*IsverenPayiOrani)</f>
        <v/>
      </c>
      <c r="D672" s="110">
        <f>IF($A672="","",$B672*IssizlikOrani)</f>
        <v/>
      </c>
      <c r="E672" s="110">
        <f>IF($A672="","",$B672*KidemKarsilikOrani)</f>
        <v/>
      </c>
      <c r="F672" s="108" t="n"/>
      <c r="G672" s="110">
        <f>IF($A672="","",$B672+$C672+$D672+$E672+$F672)</f>
        <v/>
      </c>
      <c r="H672" s="110">
        <f>IF($A672="","",$G672*AySayisi)</f>
        <v/>
      </c>
    </row>
    <row r="673" ht="15" customHeight="1" s="62">
      <c r="A673" s="107" t="n"/>
      <c r="B673" s="110">
        <f>IFERROR(IF($A673="","",IFERROR(INDEX(tblCalisan[Brüt Ücret (₺)],MATCH($A673,tblCalisan[Çalışan Adı],0)),"")),"")</f>
        <v/>
      </c>
      <c r="C673" s="110">
        <f>IF($A673="","",$B673*IsverenPayiOrani)</f>
        <v/>
      </c>
      <c r="D673" s="110">
        <f>IF($A673="","",$B673*IssizlikOrani)</f>
        <v/>
      </c>
      <c r="E673" s="110">
        <f>IF($A673="","",$B673*KidemKarsilikOrani)</f>
        <v/>
      </c>
      <c r="F673" s="108" t="n"/>
      <c r="G673" s="110">
        <f>IF($A673="","",$B673+$C673+$D673+$E673+$F673)</f>
        <v/>
      </c>
      <c r="H673" s="110">
        <f>IF($A673="","",$G673*AySayisi)</f>
        <v/>
      </c>
    </row>
    <row r="674" ht="15" customHeight="1" s="62">
      <c r="A674" s="107" t="n"/>
      <c r="B674" s="110">
        <f>IFERROR(IF($A674="","",IFERROR(INDEX(tblCalisan[Brüt Ücret (₺)],MATCH($A674,tblCalisan[Çalışan Adı],0)),"")),"")</f>
        <v/>
      </c>
      <c r="C674" s="110">
        <f>IF($A674="","",$B674*IsverenPayiOrani)</f>
        <v/>
      </c>
      <c r="D674" s="110">
        <f>IF($A674="","",$B674*IssizlikOrani)</f>
        <v/>
      </c>
      <c r="E674" s="110">
        <f>IF($A674="","",$B674*KidemKarsilikOrani)</f>
        <v/>
      </c>
      <c r="F674" s="108" t="n"/>
      <c r="G674" s="110">
        <f>IF($A674="","",$B674+$C674+$D674+$E674+$F674)</f>
        <v/>
      </c>
      <c r="H674" s="110">
        <f>IF($A674="","",$G674*AySayisi)</f>
        <v/>
      </c>
    </row>
    <row r="675" ht="15" customHeight="1" s="62">
      <c r="A675" s="107" t="n"/>
      <c r="B675" s="110">
        <f>IFERROR(IF($A675="","",IFERROR(INDEX(tblCalisan[Brüt Ücret (₺)],MATCH($A675,tblCalisan[Çalışan Adı],0)),"")),"")</f>
        <v/>
      </c>
      <c r="C675" s="110">
        <f>IF($A675="","",$B675*IsverenPayiOrani)</f>
        <v/>
      </c>
      <c r="D675" s="110">
        <f>IF($A675="","",$B675*IssizlikOrani)</f>
        <v/>
      </c>
      <c r="E675" s="110">
        <f>IF($A675="","",$B675*KidemKarsilikOrani)</f>
        <v/>
      </c>
      <c r="F675" s="108" t="n"/>
      <c r="G675" s="110">
        <f>IF($A675="","",$B675+$C675+$D675+$E675+$F675)</f>
        <v/>
      </c>
      <c r="H675" s="110">
        <f>IF($A675="","",$G675*AySayisi)</f>
        <v/>
      </c>
    </row>
    <row r="676" ht="15" customHeight="1" s="62">
      <c r="A676" s="107" t="n"/>
      <c r="B676" s="110">
        <f>IFERROR(IF($A676="","",IFERROR(INDEX(tblCalisan[Brüt Ücret (₺)],MATCH($A676,tblCalisan[Çalışan Adı],0)),"")),"")</f>
        <v/>
      </c>
      <c r="C676" s="110">
        <f>IF($A676="","",$B676*IsverenPayiOrani)</f>
        <v/>
      </c>
      <c r="D676" s="110">
        <f>IF($A676="","",$B676*IssizlikOrani)</f>
        <v/>
      </c>
      <c r="E676" s="110">
        <f>IF($A676="","",$B676*KidemKarsilikOrani)</f>
        <v/>
      </c>
      <c r="F676" s="108" t="n"/>
      <c r="G676" s="110">
        <f>IF($A676="","",$B676+$C676+$D676+$E676+$F676)</f>
        <v/>
      </c>
      <c r="H676" s="110">
        <f>IF($A676="","",$G676*AySayisi)</f>
        <v/>
      </c>
    </row>
    <row r="677" ht="15" customHeight="1" s="62">
      <c r="A677" s="107" t="n"/>
      <c r="B677" s="110">
        <f>IFERROR(IF($A677="","",IFERROR(INDEX(tblCalisan[Brüt Ücret (₺)],MATCH($A677,tblCalisan[Çalışan Adı],0)),"")),"")</f>
        <v/>
      </c>
      <c r="C677" s="110">
        <f>IF($A677="","",$B677*IsverenPayiOrani)</f>
        <v/>
      </c>
      <c r="D677" s="110">
        <f>IF($A677="","",$B677*IssizlikOrani)</f>
        <v/>
      </c>
      <c r="E677" s="110">
        <f>IF($A677="","",$B677*KidemKarsilikOrani)</f>
        <v/>
      </c>
      <c r="F677" s="108" t="n"/>
      <c r="G677" s="110">
        <f>IF($A677="","",$B677+$C677+$D677+$E677+$F677)</f>
        <v/>
      </c>
      <c r="H677" s="110">
        <f>IF($A677="","",$G677*AySayisi)</f>
        <v/>
      </c>
    </row>
    <row r="678" ht="15" customHeight="1" s="62">
      <c r="A678" s="107" t="n"/>
      <c r="B678" s="110">
        <f>IFERROR(IF($A678="","",IFERROR(INDEX(tblCalisan[Brüt Ücret (₺)],MATCH($A678,tblCalisan[Çalışan Adı],0)),"")),"")</f>
        <v/>
      </c>
      <c r="C678" s="110">
        <f>IF($A678="","",$B678*IsverenPayiOrani)</f>
        <v/>
      </c>
      <c r="D678" s="110">
        <f>IF($A678="","",$B678*IssizlikOrani)</f>
        <v/>
      </c>
      <c r="E678" s="110">
        <f>IF($A678="","",$B678*KidemKarsilikOrani)</f>
        <v/>
      </c>
      <c r="F678" s="108" t="n"/>
      <c r="G678" s="110">
        <f>IF($A678="","",$B678+$C678+$D678+$E678+$F678)</f>
        <v/>
      </c>
      <c r="H678" s="110">
        <f>IF($A678="","",$G678*AySayisi)</f>
        <v/>
      </c>
    </row>
    <row r="679" ht="15" customHeight="1" s="62">
      <c r="A679" s="107" t="n"/>
      <c r="B679" s="110">
        <f>IFERROR(IF($A679="","",IFERROR(INDEX(tblCalisan[Brüt Ücret (₺)],MATCH($A679,tblCalisan[Çalışan Adı],0)),"")),"")</f>
        <v/>
      </c>
      <c r="C679" s="110">
        <f>IF($A679="","",$B679*IsverenPayiOrani)</f>
        <v/>
      </c>
      <c r="D679" s="110">
        <f>IF($A679="","",$B679*IssizlikOrani)</f>
        <v/>
      </c>
      <c r="E679" s="110">
        <f>IF($A679="","",$B679*KidemKarsilikOrani)</f>
        <v/>
      </c>
      <c r="F679" s="108" t="n"/>
      <c r="G679" s="110">
        <f>IF($A679="","",$B679+$C679+$D679+$E679+$F679)</f>
        <v/>
      </c>
      <c r="H679" s="110">
        <f>IF($A679="","",$G679*AySayisi)</f>
        <v/>
      </c>
    </row>
    <row r="680" ht="15" customHeight="1" s="62">
      <c r="A680" s="107" t="n"/>
      <c r="B680" s="110">
        <f>IFERROR(IF($A680="","",IFERROR(INDEX(tblCalisan[Brüt Ücret (₺)],MATCH($A680,tblCalisan[Çalışan Adı],0)),"")),"")</f>
        <v/>
      </c>
      <c r="C680" s="110">
        <f>IF($A680="","",$B680*IsverenPayiOrani)</f>
        <v/>
      </c>
      <c r="D680" s="110">
        <f>IF($A680="","",$B680*IssizlikOrani)</f>
        <v/>
      </c>
      <c r="E680" s="110">
        <f>IF($A680="","",$B680*KidemKarsilikOrani)</f>
        <v/>
      </c>
      <c r="F680" s="108" t="n"/>
      <c r="G680" s="110">
        <f>IF($A680="","",$B680+$C680+$D680+$E680+$F680)</f>
        <v/>
      </c>
      <c r="H680" s="110">
        <f>IF($A680="","",$G680*AySayisi)</f>
        <v/>
      </c>
    </row>
    <row r="681" ht="15" customHeight="1" s="62">
      <c r="A681" s="107" t="n"/>
      <c r="B681" s="110">
        <f>IFERROR(IF($A681="","",IFERROR(INDEX(tblCalisan[Brüt Ücret (₺)],MATCH($A681,tblCalisan[Çalışan Adı],0)),"")),"")</f>
        <v/>
      </c>
      <c r="C681" s="110">
        <f>IF($A681="","",$B681*IsverenPayiOrani)</f>
        <v/>
      </c>
      <c r="D681" s="110">
        <f>IF($A681="","",$B681*IssizlikOrani)</f>
        <v/>
      </c>
      <c r="E681" s="110">
        <f>IF($A681="","",$B681*KidemKarsilikOrani)</f>
        <v/>
      </c>
      <c r="F681" s="108" t="n"/>
      <c r="G681" s="110">
        <f>IF($A681="","",$B681+$C681+$D681+$E681+$F681)</f>
        <v/>
      </c>
      <c r="H681" s="110">
        <f>IF($A681="","",$G681*AySayisi)</f>
        <v/>
      </c>
    </row>
    <row r="682" ht="15" customHeight="1" s="62">
      <c r="A682" s="107" t="n"/>
      <c r="B682" s="110">
        <f>IFERROR(IF($A682="","",IFERROR(INDEX(tblCalisan[Brüt Ücret (₺)],MATCH($A682,tblCalisan[Çalışan Adı],0)),"")),"")</f>
        <v/>
      </c>
      <c r="C682" s="110">
        <f>IF($A682="","",$B682*IsverenPayiOrani)</f>
        <v/>
      </c>
      <c r="D682" s="110">
        <f>IF($A682="","",$B682*IssizlikOrani)</f>
        <v/>
      </c>
      <c r="E682" s="110">
        <f>IF($A682="","",$B682*KidemKarsilikOrani)</f>
        <v/>
      </c>
      <c r="F682" s="108" t="n"/>
      <c r="G682" s="110">
        <f>IF($A682="","",$B682+$C682+$D682+$E682+$F682)</f>
        <v/>
      </c>
      <c r="H682" s="110">
        <f>IF($A682="","",$G682*AySayisi)</f>
        <v/>
      </c>
    </row>
    <row r="683" ht="15" customHeight="1" s="62">
      <c r="A683" s="107" t="n"/>
      <c r="B683" s="110">
        <f>IFERROR(IF($A683="","",IFERROR(INDEX(tblCalisan[Brüt Ücret (₺)],MATCH($A683,tblCalisan[Çalışan Adı],0)),"")),"")</f>
        <v/>
      </c>
      <c r="C683" s="110">
        <f>IF($A683="","",$B683*IsverenPayiOrani)</f>
        <v/>
      </c>
      <c r="D683" s="110">
        <f>IF($A683="","",$B683*IssizlikOrani)</f>
        <v/>
      </c>
      <c r="E683" s="110">
        <f>IF($A683="","",$B683*KidemKarsilikOrani)</f>
        <v/>
      </c>
      <c r="F683" s="108" t="n"/>
      <c r="G683" s="110">
        <f>IF($A683="","",$B683+$C683+$D683+$E683+$F683)</f>
        <v/>
      </c>
      <c r="H683" s="110">
        <f>IF($A683="","",$G683*AySayisi)</f>
        <v/>
      </c>
    </row>
    <row r="684" ht="15" customHeight="1" s="62">
      <c r="A684" s="107" t="n"/>
      <c r="B684" s="110">
        <f>IFERROR(IF($A684="","",IFERROR(INDEX(tblCalisan[Brüt Ücret (₺)],MATCH($A684,tblCalisan[Çalışan Adı],0)),"")),"")</f>
        <v/>
      </c>
      <c r="C684" s="110">
        <f>IF($A684="","",$B684*IsverenPayiOrani)</f>
        <v/>
      </c>
      <c r="D684" s="110">
        <f>IF($A684="","",$B684*IssizlikOrani)</f>
        <v/>
      </c>
      <c r="E684" s="110">
        <f>IF($A684="","",$B684*KidemKarsilikOrani)</f>
        <v/>
      </c>
      <c r="F684" s="108" t="n"/>
      <c r="G684" s="110">
        <f>IF($A684="","",$B684+$C684+$D684+$E684+$F684)</f>
        <v/>
      </c>
      <c r="H684" s="110">
        <f>IF($A684="","",$G684*AySayisi)</f>
        <v/>
      </c>
    </row>
    <row r="685" ht="15" customHeight="1" s="62">
      <c r="A685" s="107" t="n"/>
      <c r="B685" s="110">
        <f>IFERROR(IF($A685="","",IFERROR(INDEX(tblCalisan[Brüt Ücret (₺)],MATCH($A685,tblCalisan[Çalışan Adı],0)),"")),"")</f>
        <v/>
      </c>
      <c r="C685" s="110">
        <f>IF($A685="","",$B685*IsverenPayiOrani)</f>
        <v/>
      </c>
      <c r="D685" s="110">
        <f>IF($A685="","",$B685*IssizlikOrani)</f>
        <v/>
      </c>
      <c r="E685" s="110">
        <f>IF($A685="","",$B685*KidemKarsilikOrani)</f>
        <v/>
      </c>
      <c r="F685" s="108" t="n"/>
      <c r="G685" s="110">
        <f>IF($A685="","",$B685+$C685+$D685+$E685+$F685)</f>
        <v/>
      </c>
      <c r="H685" s="110">
        <f>IF($A685="","",$G685*AySayisi)</f>
        <v/>
      </c>
    </row>
    <row r="686" ht="15" customHeight="1" s="62">
      <c r="A686" s="107" t="n"/>
      <c r="B686" s="110">
        <f>IFERROR(IF($A686="","",IFERROR(INDEX(tblCalisan[Brüt Ücret (₺)],MATCH($A686,tblCalisan[Çalışan Adı],0)),"")),"")</f>
        <v/>
      </c>
      <c r="C686" s="110">
        <f>IF($A686="","",$B686*IsverenPayiOrani)</f>
        <v/>
      </c>
      <c r="D686" s="110">
        <f>IF($A686="","",$B686*IssizlikOrani)</f>
        <v/>
      </c>
      <c r="E686" s="110">
        <f>IF($A686="","",$B686*KidemKarsilikOrani)</f>
        <v/>
      </c>
      <c r="F686" s="108" t="n"/>
      <c r="G686" s="110">
        <f>IF($A686="","",$B686+$C686+$D686+$E686+$F686)</f>
        <v/>
      </c>
      <c r="H686" s="110">
        <f>IF($A686="","",$G686*AySayisi)</f>
        <v/>
      </c>
    </row>
    <row r="687" ht="15" customHeight="1" s="62">
      <c r="A687" s="107" t="n"/>
      <c r="B687" s="110">
        <f>IFERROR(IF($A687="","",IFERROR(INDEX(tblCalisan[Brüt Ücret (₺)],MATCH($A687,tblCalisan[Çalışan Adı],0)),"")),"")</f>
        <v/>
      </c>
      <c r="C687" s="110">
        <f>IF($A687="","",$B687*IsverenPayiOrani)</f>
        <v/>
      </c>
      <c r="D687" s="110">
        <f>IF($A687="","",$B687*IssizlikOrani)</f>
        <v/>
      </c>
      <c r="E687" s="110">
        <f>IF($A687="","",$B687*KidemKarsilikOrani)</f>
        <v/>
      </c>
      <c r="F687" s="108" t="n"/>
      <c r="G687" s="110">
        <f>IF($A687="","",$B687+$C687+$D687+$E687+$F687)</f>
        <v/>
      </c>
      <c r="H687" s="110">
        <f>IF($A687="","",$G687*AySayisi)</f>
        <v/>
      </c>
    </row>
    <row r="688" ht="15" customHeight="1" s="62">
      <c r="A688" s="107" t="n"/>
      <c r="B688" s="110">
        <f>IFERROR(IF($A688="","",IFERROR(INDEX(tblCalisan[Brüt Ücret (₺)],MATCH($A688,tblCalisan[Çalışan Adı],0)),"")),"")</f>
        <v/>
      </c>
      <c r="C688" s="110">
        <f>IF($A688="","",$B688*IsverenPayiOrani)</f>
        <v/>
      </c>
      <c r="D688" s="110">
        <f>IF($A688="","",$B688*IssizlikOrani)</f>
        <v/>
      </c>
      <c r="E688" s="110">
        <f>IF($A688="","",$B688*KidemKarsilikOrani)</f>
        <v/>
      </c>
      <c r="F688" s="108" t="n"/>
      <c r="G688" s="110">
        <f>IF($A688="","",$B688+$C688+$D688+$E688+$F688)</f>
        <v/>
      </c>
      <c r="H688" s="110">
        <f>IF($A688="","",$G688*AySayisi)</f>
        <v/>
      </c>
    </row>
    <row r="689" ht="15" customHeight="1" s="62">
      <c r="A689" s="107" t="n"/>
      <c r="B689" s="110">
        <f>IFERROR(IF($A689="","",IFERROR(INDEX(tblCalisan[Brüt Ücret (₺)],MATCH($A689,tblCalisan[Çalışan Adı],0)),"")),"")</f>
        <v/>
      </c>
      <c r="C689" s="110">
        <f>IF($A689="","",$B689*IsverenPayiOrani)</f>
        <v/>
      </c>
      <c r="D689" s="110">
        <f>IF($A689="","",$B689*IssizlikOrani)</f>
        <v/>
      </c>
      <c r="E689" s="110">
        <f>IF($A689="","",$B689*KidemKarsilikOrani)</f>
        <v/>
      </c>
      <c r="F689" s="108" t="n"/>
      <c r="G689" s="110">
        <f>IF($A689="","",$B689+$C689+$D689+$E689+$F689)</f>
        <v/>
      </c>
      <c r="H689" s="110">
        <f>IF($A689="","",$G689*AySayisi)</f>
        <v/>
      </c>
    </row>
    <row r="690" ht="15" customHeight="1" s="62">
      <c r="A690" s="107" t="n"/>
      <c r="B690" s="110">
        <f>IFERROR(IF($A690="","",IFERROR(INDEX(tblCalisan[Brüt Ücret (₺)],MATCH($A690,tblCalisan[Çalışan Adı],0)),"")),"")</f>
        <v/>
      </c>
      <c r="C690" s="110">
        <f>IF($A690="","",$B690*IsverenPayiOrani)</f>
        <v/>
      </c>
      <c r="D690" s="110">
        <f>IF($A690="","",$B690*IssizlikOrani)</f>
        <v/>
      </c>
      <c r="E690" s="110">
        <f>IF($A690="","",$B690*KidemKarsilikOrani)</f>
        <v/>
      </c>
      <c r="F690" s="108" t="n"/>
      <c r="G690" s="110">
        <f>IF($A690="","",$B690+$C690+$D690+$E690+$F690)</f>
        <v/>
      </c>
      <c r="H690" s="110">
        <f>IF($A690="","",$G690*AySayisi)</f>
        <v/>
      </c>
    </row>
    <row r="691" ht="15" customHeight="1" s="62">
      <c r="A691" s="107" t="n"/>
      <c r="B691" s="110">
        <f>IFERROR(IF($A691="","",IFERROR(INDEX(tblCalisan[Brüt Ücret (₺)],MATCH($A691,tblCalisan[Çalışan Adı],0)),"")),"")</f>
        <v/>
      </c>
      <c r="C691" s="110">
        <f>IF($A691="","",$B691*IsverenPayiOrani)</f>
        <v/>
      </c>
      <c r="D691" s="110">
        <f>IF($A691="","",$B691*IssizlikOrani)</f>
        <v/>
      </c>
      <c r="E691" s="110">
        <f>IF($A691="","",$B691*KidemKarsilikOrani)</f>
        <v/>
      </c>
      <c r="F691" s="108" t="n"/>
      <c r="G691" s="110">
        <f>IF($A691="","",$B691+$C691+$D691+$E691+$F691)</f>
        <v/>
      </c>
      <c r="H691" s="110">
        <f>IF($A691="","",$G691*AySayisi)</f>
        <v/>
      </c>
    </row>
    <row r="692" ht="15" customHeight="1" s="62">
      <c r="A692" s="107" t="n"/>
      <c r="B692" s="110">
        <f>IFERROR(IF($A692="","",IFERROR(INDEX(tblCalisan[Brüt Ücret (₺)],MATCH($A692,tblCalisan[Çalışan Adı],0)),"")),"")</f>
        <v/>
      </c>
      <c r="C692" s="110">
        <f>IF($A692="","",$B692*IsverenPayiOrani)</f>
        <v/>
      </c>
      <c r="D692" s="110">
        <f>IF($A692="","",$B692*IssizlikOrani)</f>
        <v/>
      </c>
      <c r="E692" s="110">
        <f>IF($A692="","",$B692*KidemKarsilikOrani)</f>
        <v/>
      </c>
      <c r="F692" s="108" t="n"/>
      <c r="G692" s="110">
        <f>IF($A692="","",$B692+$C692+$D692+$E692+$F692)</f>
        <v/>
      </c>
      <c r="H692" s="110">
        <f>IF($A692="","",$G692*AySayisi)</f>
        <v/>
      </c>
    </row>
    <row r="693" ht="15" customHeight="1" s="62">
      <c r="A693" s="107" t="n"/>
      <c r="B693" s="110">
        <f>IFERROR(IF($A693="","",IFERROR(INDEX(tblCalisan[Brüt Ücret (₺)],MATCH($A693,tblCalisan[Çalışan Adı],0)),"")),"")</f>
        <v/>
      </c>
      <c r="C693" s="110">
        <f>IF($A693="","",$B693*IsverenPayiOrani)</f>
        <v/>
      </c>
      <c r="D693" s="110">
        <f>IF($A693="","",$B693*IssizlikOrani)</f>
        <v/>
      </c>
      <c r="E693" s="110">
        <f>IF($A693="","",$B693*KidemKarsilikOrani)</f>
        <v/>
      </c>
      <c r="F693" s="108" t="n"/>
      <c r="G693" s="110">
        <f>IF($A693="","",$B693+$C693+$D693+$E693+$F693)</f>
        <v/>
      </c>
      <c r="H693" s="110">
        <f>IF($A693="","",$G693*AySayisi)</f>
        <v/>
      </c>
    </row>
    <row r="694" ht="15" customHeight="1" s="62">
      <c r="A694" s="107" t="n"/>
      <c r="B694" s="110">
        <f>IFERROR(IF($A694="","",IFERROR(INDEX(tblCalisan[Brüt Ücret (₺)],MATCH($A694,tblCalisan[Çalışan Adı],0)),"")),"")</f>
        <v/>
      </c>
      <c r="C694" s="110">
        <f>IF($A694="","",$B694*IsverenPayiOrani)</f>
        <v/>
      </c>
      <c r="D694" s="110">
        <f>IF($A694="","",$B694*IssizlikOrani)</f>
        <v/>
      </c>
      <c r="E694" s="110">
        <f>IF($A694="","",$B694*KidemKarsilikOrani)</f>
        <v/>
      </c>
      <c r="F694" s="108" t="n"/>
      <c r="G694" s="110">
        <f>IF($A694="","",$B694+$C694+$D694+$E694+$F694)</f>
        <v/>
      </c>
      <c r="H694" s="110">
        <f>IF($A694="","",$G694*AySayisi)</f>
        <v/>
      </c>
    </row>
    <row r="695" ht="15" customHeight="1" s="62">
      <c r="A695" s="107" t="n"/>
      <c r="B695" s="110">
        <f>IFERROR(IF($A695="","",IFERROR(INDEX(tblCalisan[Brüt Ücret (₺)],MATCH($A695,tblCalisan[Çalışan Adı],0)),"")),"")</f>
        <v/>
      </c>
      <c r="C695" s="110">
        <f>IF($A695="","",$B695*IsverenPayiOrani)</f>
        <v/>
      </c>
      <c r="D695" s="110">
        <f>IF($A695="","",$B695*IssizlikOrani)</f>
        <v/>
      </c>
      <c r="E695" s="110">
        <f>IF($A695="","",$B695*KidemKarsilikOrani)</f>
        <v/>
      </c>
      <c r="F695" s="108" t="n"/>
      <c r="G695" s="110">
        <f>IF($A695="","",$B695+$C695+$D695+$E695+$F695)</f>
        <v/>
      </c>
      <c r="H695" s="110">
        <f>IF($A695="","",$G695*AySayisi)</f>
        <v/>
      </c>
    </row>
    <row r="696" ht="15" customHeight="1" s="62">
      <c r="A696" s="107" t="n"/>
      <c r="B696" s="110">
        <f>IFERROR(IF($A696="","",IFERROR(INDEX(tblCalisan[Brüt Ücret (₺)],MATCH($A696,tblCalisan[Çalışan Adı],0)),"")),"")</f>
        <v/>
      </c>
      <c r="C696" s="110">
        <f>IF($A696="","",$B696*IsverenPayiOrani)</f>
        <v/>
      </c>
      <c r="D696" s="110">
        <f>IF($A696="","",$B696*IssizlikOrani)</f>
        <v/>
      </c>
      <c r="E696" s="110">
        <f>IF($A696="","",$B696*KidemKarsilikOrani)</f>
        <v/>
      </c>
      <c r="F696" s="108" t="n"/>
      <c r="G696" s="110">
        <f>IF($A696="","",$B696+$C696+$D696+$E696+$F696)</f>
        <v/>
      </c>
      <c r="H696" s="110">
        <f>IF($A696="","",$G696*AySayisi)</f>
        <v/>
      </c>
    </row>
    <row r="697" ht="15" customHeight="1" s="62">
      <c r="A697" s="107" t="n"/>
      <c r="B697" s="110">
        <f>IFERROR(IF($A697="","",IFERROR(INDEX(tblCalisan[Brüt Ücret (₺)],MATCH($A697,tblCalisan[Çalışan Adı],0)),"")),"")</f>
        <v/>
      </c>
      <c r="C697" s="110">
        <f>IF($A697="","",$B697*IsverenPayiOrani)</f>
        <v/>
      </c>
      <c r="D697" s="110">
        <f>IF($A697="","",$B697*IssizlikOrani)</f>
        <v/>
      </c>
      <c r="E697" s="110">
        <f>IF($A697="","",$B697*KidemKarsilikOrani)</f>
        <v/>
      </c>
      <c r="F697" s="108" t="n"/>
      <c r="G697" s="110">
        <f>IF($A697="","",$B697+$C697+$D697+$E697+$F697)</f>
        <v/>
      </c>
      <c r="H697" s="110">
        <f>IF($A697="","",$G697*AySayisi)</f>
        <v/>
      </c>
    </row>
    <row r="698" ht="15" customHeight="1" s="62">
      <c r="A698" s="107" t="n"/>
      <c r="B698" s="110">
        <f>IFERROR(IF($A698="","",IFERROR(INDEX(tblCalisan[Brüt Ücret (₺)],MATCH($A698,tblCalisan[Çalışan Adı],0)),"")),"")</f>
        <v/>
      </c>
      <c r="C698" s="110">
        <f>IF($A698="","",$B698*IsverenPayiOrani)</f>
        <v/>
      </c>
      <c r="D698" s="110">
        <f>IF($A698="","",$B698*IssizlikOrani)</f>
        <v/>
      </c>
      <c r="E698" s="110">
        <f>IF($A698="","",$B698*KidemKarsilikOrani)</f>
        <v/>
      </c>
      <c r="F698" s="108" t="n"/>
      <c r="G698" s="110">
        <f>IF($A698="","",$B698+$C698+$D698+$E698+$F698)</f>
        <v/>
      </c>
      <c r="H698" s="110">
        <f>IF($A698="","",$G698*AySayisi)</f>
        <v/>
      </c>
    </row>
    <row r="699" ht="15" customHeight="1" s="62">
      <c r="A699" s="107" t="n"/>
      <c r="B699" s="110">
        <f>IFERROR(IF($A699="","",IFERROR(INDEX(tblCalisan[Brüt Ücret (₺)],MATCH($A699,tblCalisan[Çalışan Adı],0)),"")),"")</f>
        <v/>
      </c>
      <c r="C699" s="110">
        <f>IF($A699="","",$B699*IsverenPayiOrani)</f>
        <v/>
      </c>
      <c r="D699" s="110">
        <f>IF($A699="","",$B699*IssizlikOrani)</f>
        <v/>
      </c>
      <c r="E699" s="110">
        <f>IF($A699="","",$B699*KidemKarsilikOrani)</f>
        <v/>
      </c>
      <c r="F699" s="108" t="n"/>
      <c r="G699" s="110">
        <f>IF($A699="","",$B699+$C699+$D699+$E699+$F699)</f>
        <v/>
      </c>
      <c r="H699" s="110">
        <f>IF($A699="","",$G699*AySayisi)</f>
        <v/>
      </c>
    </row>
    <row r="700" ht="15" customHeight="1" s="62">
      <c r="A700" s="107" t="n"/>
      <c r="B700" s="110">
        <f>IFERROR(IF($A700="","",IFERROR(INDEX(tblCalisan[Brüt Ücret (₺)],MATCH($A700,tblCalisan[Çalışan Adı],0)),"")),"")</f>
        <v/>
      </c>
      <c r="C700" s="110">
        <f>IF($A700="","",$B700*IsverenPayiOrani)</f>
        <v/>
      </c>
      <c r="D700" s="110">
        <f>IF($A700="","",$B700*IssizlikOrani)</f>
        <v/>
      </c>
      <c r="E700" s="110">
        <f>IF($A700="","",$B700*KidemKarsilikOrani)</f>
        <v/>
      </c>
      <c r="F700" s="108" t="n"/>
      <c r="G700" s="110">
        <f>IF($A700="","",$B700+$C700+$D700+$E700+$F700)</f>
        <v/>
      </c>
      <c r="H700" s="110">
        <f>IF($A700="","",$G700*AySayisi)</f>
        <v/>
      </c>
    </row>
    <row r="701" ht="15" customHeight="1" s="62">
      <c r="A701" s="107" t="n"/>
      <c r="B701" s="110">
        <f>IFERROR(IF($A701="","",IFERROR(INDEX(tblCalisan[Brüt Ücret (₺)],MATCH($A701,tblCalisan[Çalışan Adı],0)),"")),"")</f>
        <v/>
      </c>
      <c r="C701" s="110">
        <f>IF($A701="","",$B701*IsverenPayiOrani)</f>
        <v/>
      </c>
      <c r="D701" s="110">
        <f>IF($A701="","",$B701*IssizlikOrani)</f>
        <v/>
      </c>
      <c r="E701" s="110">
        <f>IF($A701="","",$B701*KidemKarsilikOrani)</f>
        <v/>
      </c>
      <c r="F701" s="108" t="n"/>
      <c r="G701" s="110">
        <f>IF($A701="","",$B701+$C701+$D701+$E701+$F701)</f>
        <v/>
      </c>
      <c r="H701" s="110">
        <f>IF($A701="","",$G701*AySayisi)</f>
        <v/>
      </c>
    </row>
    <row r="702" ht="15" customHeight="1" s="62">
      <c r="A702" s="107" t="n"/>
      <c r="B702" s="110">
        <f>IFERROR(IF($A702="","",IFERROR(INDEX(tblCalisan[Brüt Ücret (₺)],MATCH($A702,tblCalisan[Çalışan Adı],0)),"")),"")</f>
        <v/>
      </c>
      <c r="C702" s="110">
        <f>IF($A702="","",$B702*IsverenPayiOrani)</f>
        <v/>
      </c>
      <c r="D702" s="110">
        <f>IF($A702="","",$B702*IssizlikOrani)</f>
        <v/>
      </c>
      <c r="E702" s="110">
        <f>IF($A702="","",$B702*KidemKarsilikOrani)</f>
        <v/>
      </c>
      <c r="F702" s="108" t="n"/>
      <c r="G702" s="110">
        <f>IF($A702="","",$B702+$C702+$D702+$E702+$F702)</f>
        <v/>
      </c>
      <c r="H702" s="110">
        <f>IF($A702="","",$G702*AySayisi)</f>
        <v/>
      </c>
    </row>
    <row r="703" ht="15" customHeight="1" s="62">
      <c r="A703" s="107" t="n"/>
      <c r="B703" s="110">
        <f>IFERROR(IF($A703="","",IFERROR(INDEX(tblCalisan[Brüt Ücret (₺)],MATCH($A703,tblCalisan[Çalışan Adı],0)),"")),"")</f>
        <v/>
      </c>
      <c r="C703" s="110">
        <f>IF($A703="","",$B703*IsverenPayiOrani)</f>
        <v/>
      </c>
      <c r="D703" s="110">
        <f>IF($A703="","",$B703*IssizlikOrani)</f>
        <v/>
      </c>
      <c r="E703" s="110">
        <f>IF($A703="","",$B703*KidemKarsilikOrani)</f>
        <v/>
      </c>
      <c r="F703" s="108" t="n"/>
      <c r="G703" s="110">
        <f>IF($A703="","",$B703+$C703+$D703+$E703+$F703)</f>
        <v/>
      </c>
      <c r="H703" s="110">
        <f>IF($A703="","",$G703*AySayisi)</f>
        <v/>
      </c>
    </row>
    <row r="704" ht="15" customHeight="1" s="62">
      <c r="A704" s="107" t="n"/>
      <c r="B704" s="110">
        <f>IFERROR(IF($A704="","",IFERROR(INDEX(tblCalisan[Brüt Ücret (₺)],MATCH($A704,tblCalisan[Çalışan Adı],0)),"")),"")</f>
        <v/>
      </c>
      <c r="C704" s="110">
        <f>IF($A704="","",$B704*IsverenPayiOrani)</f>
        <v/>
      </c>
      <c r="D704" s="110">
        <f>IF($A704="","",$B704*IssizlikOrani)</f>
        <v/>
      </c>
      <c r="E704" s="110">
        <f>IF($A704="","",$B704*KidemKarsilikOrani)</f>
        <v/>
      </c>
      <c r="F704" s="108" t="n"/>
      <c r="G704" s="110">
        <f>IF($A704="","",$B704+$C704+$D704+$E704+$F704)</f>
        <v/>
      </c>
      <c r="H704" s="110">
        <f>IF($A704="","",$G704*AySayisi)</f>
        <v/>
      </c>
    </row>
    <row r="705" ht="15" customHeight="1" s="62">
      <c r="A705" s="107" t="n"/>
      <c r="B705" s="110">
        <f>IFERROR(IF($A705="","",IFERROR(INDEX(tblCalisan[Brüt Ücret (₺)],MATCH($A705,tblCalisan[Çalışan Adı],0)),"")),"")</f>
        <v/>
      </c>
      <c r="C705" s="110">
        <f>IF($A705="","",$B705*IsverenPayiOrani)</f>
        <v/>
      </c>
      <c r="D705" s="110">
        <f>IF($A705="","",$B705*IssizlikOrani)</f>
        <v/>
      </c>
      <c r="E705" s="110">
        <f>IF($A705="","",$B705*KidemKarsilikOrani)</f>
        <v/>
      </c>
      <c r="F705" s="108" t="n"/>
      <c r="G705" s="110">
        <f>IF($A705="","",$B705+$C705+$D705+$E705+$F705)</f>
        <v/>
      </c>
      <c r="H705" s="110">
        <f>IF($A705="","",$G705*AySayisi)</f>
        <v/>
      </c>
    </row>
    <row r="706" ht="15" customHeight="1" s="62">
      <c r="A706" s="107" t="n"/>
      <c r="B706" s="110">
        <f>IFERROR(IF($A706="","",IFERROR(INDEX(tblCalisan[Brüt Ücret (₺)],MATCH($A706,tblCalisan[Çalışan Adı],0)),"")),"")</f>
        <v/>
      </c>
      <c r="C706" s="110">
        <f>IF($A706="","",$B706*IsverenPayiOrani)</f>
        <v/>
      </c>
      <c r="D706" s="110">
        <f>IF($A706="","",$B706*IssizlikOrani)</f>
        <v/>
      </c>
      <c r="E706" s="110">
        <f>IF($A706="","",$B706*KidemKarsilikOrani)</f>
        <v/>
      </c>
      <c r="F706" s="108" t="n"/>
      <c r="G706" s="110">
        <f>IF($A706="","",$B706+$C706+$D706+$E706+$F706)</f>
        <v/>
      </c>
      <c r="H706" s="110">
        <f>IF($A706="","",$G706*AySayisi)</f>
        <v/>
      </c>
    </row>
    <row r="707" ht="15" customHeight="1" s="62">
      <c r="A707" s="107" t="n"/>
      <c r="B707" s="110">
        <f>IFERROR(IF($A707="","",IFERROR(INDEX(tblCalisan[Brüt Ücret (₺)],MATCH($A707,tblCalisan[Çalışan Adı],0)),"")),"")</f>
        <v/>
      </c>
      <c r="C707" s="110">
        <f>IF($A707="","",$B707*IsverenPayiOrani)</f>
        <v/>
      </c>
      <c r="D707" s="110">
        <f>IF($A707="","",$B707*IssizlikOrani)</f>
        <v/>
      </c>
      <c r="E707" s="110">
        <f>IF($A707="","",$B707*KidemKarsilikOrani)</f>
        <v/>
      </c>
      <c r="F707" s="108" t="n"/>
      <c r="G707" s="110">
        <f>IF($A707="","",$B707+$C707+$D707+$E707+$F707)</f>
        <v/>
      </c>
      <c r="H707" s="110">
        <f>IF($A707="","",$G707*AySayisi)</f>
        <v/>
      </c>
    </row>
    <row r="708" ht="15" customHeight="1" s="62">
      <c r="A708" s="107" t="n"/>
      <c r="B708" s="110">
        <f>IFERROR(IF($A708="","",IFERROR(INDEX(tblCalisan[Brüt Ücret (₺)],MATCH($A708,tblCalisan[Çalışan Adı],0)),"")),"")</f>
        <v/>
      </c>
      <c r="C708" s="110">
        <f>IF($A708="","",$B708*IsverenPayiOrani)</f>
        <v/>
      </c>
      <c r="D708" s="110">
        <f>IF($A708="","",$B708*IssizlikOrani)</f>
        <v/>
      </c>
      <c r="E708" s="110">
        <f>IF($A708="","",$B708*KidemKarsilikOrani)</f>
        <v/>
      </c>
      <c r="F708" s="108" t="n"/>
      <c r="G708" s="110">
        <f>IF($A708="","",$B708+$C708+$D708+$E708+$F708)</f>
        <v/>
      </c>
      <c r="H708" s="110">
        <f>IF($A708="","",$G708*AySayisi)</f>
        <v/>
      </c>
    </row>
    <row r="709" ht="15" customHeight="1" s="62">
      <c r="A709" s="107" t="n"/>
      <c r="B709" s="110">
        <f>IFERROR(IF($A709="","",IFERROR(INDEX(tblCalisan[Brüt Ücret (₺)],MATCH($A709,tblCalisan[Çalışan Adı],0)),"")),"")</f>
        <v/>
      </c>
      <c r="C709" s="110">
        <f>IF($A709="","",$B709*IsverenPayiOrani)</f>
        <v/>
      </c>
      <c r="D709" s="110">
        <f>IF($A709="","",$B709*IssizlikOrani)</f>
        <v/>
      </c>
      <c r="E709" s="110">
        <f>IF($A709="","",$B709*KidemKarsilikOrani)</f>
        <v/>
      </c>
      <c r="F709" s="108" t="n"/>
      <c r="G709" s="110">
        <f>IF($A709="","",$B709+$C709+$D709+$E709+$F709)</f>
        <v/>
      </c>
      <c r="H709" s="110">
        <f>IF($A709="","",$G709*AySayisi)</f>
        <v/>
      </c>
    </row>
    <row r="710" ht="15" customHeight="1" s="62">
      <c r="A710" s="107" t="n"/>
      <c r="B710" s="110">
        <f>IFERROR(IF($A710="","",IFERROR(INDEX(tblCalisan[Brüt Ücret (₺)],MATCH($A710,tblCalisan[Çalışan Adı],0)),"")),"")</f>
        <v/>
      </c>
      <c r="C710" s="110">
        <f>IF($A710="","",$B710*IsverenPayiOrani)</f>
        <v/>
      </c>
      <c r="D710" s="110">
        <f>IF($A710="","",$B710*IssizlikOrani)</f>
        <v/>
      </c>
      <c r="E710" s="110">
        <f>IF($A710="","",$B710*KidemKarsilikOrani)</f>
        <v/>
      </c>
      <c r="F710" s="108" t="n"/>
      <c r="G710" s="110">
        <f>IF($A710="","",$B710+$C710+$D710+$E710+$F710)</f>
        <v/>
      </c>
      <c r="H710" s="110">
        <f>IF($A710="","",$G710*AySayisi)</f>
        <v/>
      </c>
    </row>
    <row r="711" ht="15" customHeight="1" s="62">
      <c r="A711" s="107" t="n"/>
      <c r="B711" s="110">
        <f>IFERROR(IF($A711="","",IFERROR(INDEX(tblCalisan[Brüt Ücret (₺)],MATCH($A711,tblCalisan[Çalışan Adı],0)),"")),"")</f>
        <v/>
      </c>
      <c r="C711" s="110">
        <f>IF($A711="","",$B711*IsverenPayiOrani)</f>
        <v/>
      </c>
      <c r="D711" s="110">
        <f>IF($A711="","",$B711*IssizlikOrani)</f>
        <v/>
      </c>
      <c r="E711" s="110">
        <f>IF($A711="","",$B711*KidemKarsilikOrani)</f>
        <v/>
      </c>
      <c r="F711" s="108" t="n"/>
      <c r="G711" s="110">
        <f>IF($A711="","",$B711+$C711+$D711+$E711+$F711)</f>
        <v/>
      </c>
      <c r="H711" s="110">
        <f>IF($A711="","",$G711*AySayisi)</f>
        <v/>
      </c>
    </row>
    <row r="712" ht="15" customHeight="1" s="62">
      <c r="A712" s="107" t="n"/>
      <c r="B712" s="110">
        <f>IFERROR(IF($A712="","",IFERROR(INDEX(tblCalisan[Brüt Ücret (₺)],MATCH($A712,tblCalisan[Çalışan Adı],0)),"")),"")</f>
        <v/>
      </c>
      <c r="C712" s="110">
        <f>IF($A712="","",$B712*IsverenPayiOrani)</f>
        <v/>
      </c>
      <c r="D712" s="110">
        <f>IF($A712="","",$B712*IssizlikOrani)</f>
        <v/>
      </c>
      <c r="E712" s="110">
        <f>IF($A712="","",$B712*KidemKarsilikOrani)</f>
        <v/>
      </c>
      <c r="F712" s="108" t="n"/>
      <c r="G712" s="110">
        <f>IF($A712="","",$B712+$C712+$D712+$E712+$F712)</f>
        <v/>
      </c>
      <c r="H712" s="110">
        <f>IF($A712="","",$G712*AySayisi)</f>
        <v/>
      </c>
    </row>
    <row r="713" ht="15" customHeight="1" s="62">
      <c r="A713" s="107" t="n"/>
      <c r="B713" s="110">
        <f>IFERROR(IF($A713="","",IFERROR(INDEX(tblCalisan[Brüt Ücret (₺)],MATCH($A713,tblCalisan[Çalışan Adı],0)),"")),"")</f>
        <v/>
      </c>
      <c r="C713" s="110">
        <f>IF($A713="","",$B713*IsverenPayiOrani)</f>
        <v/>
      </c>
      <c r="D713" s="110">
        <f>IF($A713="","",$B713*IssizlikOrani)</f>
        <v/>
      </c>
      <c r="E713" s="110">
        <f>IF($A713="","",$B713*KidemKarsilikOrani)</f>
        <v/>
      </c>
      <c r="F713" s="108" t="n"/>
      <c r="G713" s="110">
        <f>IF($A713="","",$B713+$C713+$D713+$E713+$F713)</f>
        <v/>
      </c>
      <c r="H713" s="110">
        <f>IF($A713="","",$G713*AySayisi)</f>
        <v/>
      </c>
    </row>
    <row r="714" ht="15" customHeight="1" s="62">
      <c r="A714" s="107" t="n"/>
      <c r="B714" s="110">
        <f>IFERROR(IF($A714="","",IFERROR(INDEX(tblCalisan[Brüt Ücret (₺)],MATCH($A714,tblCalisan[Çalışan Adı],0)),"")),"")</f>
        <v/>
      </c>
      <c r="C714" s="110">
        <f>IF($A714="","",$B714*IsverenPayiOrani)</f>
        <v/>
      </c>
      <c r="D714" s="110">
        <f>IF($A714="","",$B714*IssizlikOrani)</f>
        <v/>
      </c>
      <c r="E714" s="110">
        <f>IF($A714="","",$B714*KidemKarsilikOrani)</f>
        <v/>
      </c>
      <c r="F714" s="108" t="n"/>
      <c r="G714" s="110">
        <f>IF($A714="","",$B714+$C714+$D714+$E714+$F714)</f>
        <v/>
      </c>
      <c r="H714" s="110">
        <f>IF($A714="","",$G714*AySayisi)</f>
        <v/>
      </c>
    </row>
    <row r="715" ht="15" customHeight="1" s="62">
      <c r="A715" s="107" t="n"/>
      <c r="B715" s="110">
        <f>IFERROR(IF($A715="","",IFERROR(INDEX(tblCalisan[Brüt Ücret (₺)],MATCH($A715,tblCalisan[Çalışan Adı],0)),"")),"")</f>
        <v/>
      </c>
      <c r="C715" s="110">
        <f>IF($A715="","",$B715*IsverenPayiOrani)</f>
        <v/>
      </c>
      <c r="D715" s="110">
        <f>IF($A715="","",$B715*IssizlikOrani)</f>
        <v/>
      </c>
      <c r="E715" s="110">
        <f>IF($A715="","",$B715*KidemKarsilikOrani)</f>
        <v/>
      </c>
      <c r="F715" s="108" t="n"/>
      <c r="G715" s="110">
        <f>IF($A715="","",$B715+$C715+$D715+$E715+$F715)</f>
        <v/>
      </c>
      <c r="H715" s="110">
        <f>IF($A715="","",$G715*AySayisi)</f>
        <v/>
      </c>
    </row>
    <row r="716" ht="15" customHeight="1" s="62">
      <c r="A716" s="107" t="n"/>
      <c r="B716" s="110">
        <f>IFERROR(IF($A716="","",IFERROR(INDEX(tblCalisan[Brüt Ücret (₺)],MATCH($A716,tblCalisan[Çalışan Adı],0)),"")),"")</f>
        <v/>
      </c>
      <c r="C716" s="110">
        <f>IF($A716="","",$B716*IsverenPayiOrani)</f>
        <v/>
      </c>
      <c r="D716" s="110">
        <f>IF($A716="","",$B716*IssizlikOrani)</f>
        <v/>
      </c>
      <c r="E716" s="110">
        <f>IF($A716="","",$B716*KidemKarsilikOrani)</f>
        <v/>
      </c>
      <c r="F716" s="108" t="n"/>
      <c r="G716" s="110">
        <f>IF($A716="","",$B716+$C716+$D716+$E716+$F716)</f>
        <v/>
      </c>
      <c r="H716" s="110">
        <f>IF($A716="","",$G716*AySayisi)</f>
        <v/>
      </c>
    </row>
    <row r="717" ht="15" customHeight="1" s="62">
      <c r="A717" s="107" t="n"/>
      <c r="B717" s="110">
        <f>IFERROR(IF($A717="","",IFERROR(INDEX(tblCalisan[Brüt Ücret (₺)],MATCH($A717,tblCalisan[Çalışan Adı],0)),"")),"")</f>
        <v/>
      </c>
      <c r="C717" s="110">
        <f>IF($A717="","",$B717*IsverenPayiOrani)</f>
        <v/>
      </c>
      <c r="D717" s="110">
        <f>IF($A717="","",$B717*IssizlikOrani)</f>
        <v/>
      </c>
      <c r="E717" s="110">
        <f>IF($A717="","",$B717*KidemKarsilikOrani)</f>
        <v/>
      </c>
      <c r="F717" s="108" t="n"/>
      <c r="G717" s="110">
        <f>IF($A717="","",$B717+$C717+$D717+$E717+$F717)</f>
        <v/>
      </c>
      <c r="H717" s="110">
        <f>IF($A717="","",$G717*AySayisi)</f>
        <v/>
      </c>
    </row>
    <row r="718" ht="15" customHeight="1" s="62">
      <c r="A718" s="107" t="n"/>
      <c r="B718" s="110">
        <f>IFERROR(IF($A718="","",IFERROR(INDEX(tblCalisan[Brüt Ücret (₺)],MATCH($A718,tblCalisan[Çalışan Adı],0)),"")),"")</f>
        <v/>
      </c>
      <c r="C718" s="110">
        <f>IF($A718="","",$B718*IsverenPayiOrani)</f>
        <v/>
      </c>
      <c r="D718" s="110">
        <f>IF($A718="","",$B718*IssizlikOrani)</f>
        <v/>
      </c>
      <c r="E718" s="110">
        <f>IF($A718="","",$B718*KidemKarsilikOrani)</f>
        <v/>
      </c>
      <c r="F718" s="108" t="n"/>
      <c r="G718" s="110">
        <f>IF($A718="","",$B718+$C718+$D718+$E718+$F718)</f>
        <v/>
      </c>
      <c r="H718" s="110">
        <f>IF($A718="","",$G718*AySayisi)</f>
        <v/>
      </c>
    </row>
    <row r="719" ht="15" customHeight="1" s="62">
      <c r="A719" s="107" t="n"/>
      <c r="B719" s="110">
        <f>IFERROR(IF($A719="","",IFERROR(INDEX(tblCalisan[Brüt Ücret (₺)],MATCH($A719,tblCalisan[Çalışan Adı],0)),"")),"")</f>
        <v/>
      </c>
      <c r="C719" s="110">
        <f>IF($A719="","",$B719*IsverenPayiOrani)</f>
        <v/>
      </c>
      <c r="D719" s="110">
        <f>IF($A719="","",$B719*IssizlikOrani)</f>
        <v/>
      </c>
      <c r="E719" s="110">
        <f>IF($A719="","",$B719*KidemKarsilikOrani)</f>
        <v/>
      </c>
      <c r="F719" s="108" t="n"/>
      <c r="G719" s="110">
        <f>IF($A719="","",$B719+$C719+$D719+$E719+$F719)</f>
        <v/>
      </c>
      <c r="H719" s="110">
        <f>IF($A719="","",$G719*AySayisi)</f>
        <v/>
      </c>
    </row>
    <row r="720" ht="15" customHeight="1" s="62">
      <c r="A720" s="107" t="n"/>
      <c r="B720" s="110">
        <f>IFERROR(IF($A720="","",IFERROR(INDEX(tblCalisan[Brüt Ücret (₺)],MATCH($A720,tblCalisan[Çalışan Adı],0)),"")),"")</f>
        <v/>
      </c>
      <c r="C720" s="110">
        <f>IF($A720="","",$B720*IsverenPayiOrani)</f>
        <v/>
      </c>
      <c r="D720" s="110">
        <f>IF($A720="","",$B720*IssizlikOrani)</f>
        <v/>
      </c>
      <c r="E720" s="110">
        <f>IF($A720="","",$B720*KidemKarsilikOrani)</f>
        <v/>
      </c>
      <c r="F720" s="108" t="n"/>
      <c r="G720" s="110">
        <f>IF($A720="","",$B720+$C720+$D720+$E720+$F720)</f>
        <v/>
      </c>
      <c r="H720" s="110">
        <f>IF($A720="","",$G720*AySayisi)</f>
        <v/>
      </c>
    </row>
    <row r="721" ht="15" customHeight="1" s="62">
      <c r="A721" s="107" t="n"/>
      <c r="B721" s="110">
        <f>IFERROR(IF($A721="","",IFERROR(INDEX(tblCalisan[Brüt Ücret (₺)],MATCH($A721,tblCalisan[Çalışan Adı],0)),"")),"")</f>
        <v/>
      </c>
      <c r="C721" s="110">
        <f>IF($A721="","",$B721*IsverenPayiOrani)</f>
        <v/>
      </c>
      <c r="D721" s="110">
        <f>IF($A721="","",$B721*IssizlikOrani)</f>
        <v/>
      </c>
      <c r="E721" s="110">
        <f>IF($A721="","",$B721*KidemKarsilikOrani)</f>
        <v/>
      </c>
      <c r="F721" s="108" t="n"/>
      <c r="G721" s="110">
        <f>IF($A721="","",$B721+$C721+$D721+$E721+$F721)</f>
        <v/>
      </c>
      <c r="H721" s="110">
        <f>IF($A721="","",$G721*AySayisi)</f>
        <v/>
      </c>
    </row>
    <row r="722" ht="15" customHeight="1" s="62">
      <c r="A722" s="107" t="n"/>
      <c r="B722" s="110">
        <f>IFERROR(IF($A722="","",IFERROR(INDEX(tblCalisan[Brüt Ücret (₺)],MATCH($A722,tblCalisan[Çalışan Adı],0)),"")),"")</f>
        <v/>
      </c>
      <c r="C722" s="110">
        <f>IF($A722="","",$B722*IsverenPayiOrani)</f>
        <v/>
      </c>
      <c r="D722" s="110">
        <f>IF($A722="","",$B722*IssizlikOrani)</f>
        <v/>
      </c>
      <c r="E722" s="110">
        <f>IF($A722="","",$B722*KidemKarsilikOrani)</f>
        <v/>
      </c>
      <c r="F722" s="108" t="n"/>
      <c r="G722" s="110">
        <f>IF($A722="","",$B722+$C722+$D722+$E722+$F722)</f>
        <v/>
      </c>
      <c r="H722" s="110">
        <f>IF($A722="","",$G722*AySayisi)</f>
        <v/>
      </c>
    </row>
    <row r="723" ht="15" customHeight="1" s="62">
      <c r="A723" s="107" t="n"/>
      <c r="B723" s="110">
        <f>IFERROR(IF($A723="","",IFERROR(INDEX(tblCalisan[Brüt Ücret (₺)],MATCH($A723,tblCalisan[Çalışan Adı],0)),"")),"")</f>
        <v/>
      </c>
      <c r="C723" s="110">
        <f>IF($A723="","",$B723*IsverenPayiOrani)</f>
        <v/>
      </c>
      <c r="D723" s="110">
        <f>IF($A723="","",$B723*IssizlikOrani)</f>
        <v/>
      </c>
      <c r="E723" s="110">
        <f>IF($A723="","",$B723*KidemKarsilikOrani)</f>
        <v/>
      </c>
      <c r="F723" s="108" t="n"/>
      <c r="G723" s="110">
        <f>IF($A723="","",$B723+$C723+$D723+$E723+$F723)</f>
        <v/>
      </c>
      <c r="H723" s="110">
        <f>IF($A723="","",$G723*AySayisi)</f>
        <v/>
      </c>
    </row>
    <row r="724" ht="15" customHeight="1" s="62">
      <c r="A724" s="107" t="n"/>
      <c r="B724" s="110">
        <f>IFERROR(IF($A724="","",IFERROR(INDEX(tblCalisan[Brüt Ücret (₺)],MATCH($A724,tblCalisan[Çalışan Adı],0)),"")),"")</f>
        <v/>
      </c>
      <c r="C724" s="110">
        <f>IF($A724="","",$B724*IsverenPayiOrani)</f>
        <v/>
      </c>
      <c r="D724" s="110">
        <f>IF($A724="","",$B724*IssizlikOrani)</f>
        <v/>
      </c>
      <c r="E724" s="110">
        <f>IF($A724="","",$B724*KidemKarsilikOrani)</f>
        <v/>
      </c>
      <c r="F724" s="108" t="n"/>
      <c r="G724" s="110">
        <f>IF($A724="","",$B724+$C724+$D724+$E724+$F724)</f>
        <v/>
      </c>
      <c r="H724" s="110">
        <f>IF($A724="","",$G724*AySayisi)</f>
        <v/>
      </c>
    </row>
    <row r="725" ht="15" customHeight="1" s="62">
      <c r="A725" s="107" t="n"/>
      <c r="B725" s="110">
        <f>IFERROR(IF($A725="","",IFERROR(INDEX(tblCalisan[Brüt Ücret (₺)],MATCH($A725,tblCalisan[Çalışan Adı],0)),"")),"")</f>
        <v/>
      </c>
      <c r="C725" s="110">
        <f>IF($A725="","",$B725*IsverenPayiOrani)</f>
        <v/>
      </c>
      <c r="D725" s="110">
        <f>IF($A725="","",$B725*IssizlikOrani)</f>
        <v/>
      </c>
      <c r="E725" s="110">
        <f>IF($A725="","",$B725*KidemKarsilikOrani)</f>
        <v/>
      </c>
      <c r="F725" s="108" t="n"/>
      <c r="G725" s="110">
        <f>IF($A725="","",$B725+$C725+$D725+$E725+$F725)</f>
        <v/>
      </c>
      <c r="H725" s="110">
        <f>IF($A725="","",$G725*AySayisi)</f>
        <v/>
      </c>
    </row>
    <row r="726" ht="15" customHeight="1" s="62">
      <c r="A726" s="107" t="n"/>
      <c r="B726" s="110">
        <f>IFERROR(IF($A726="","",IFERROR(INDEX(tblCalisan[Brüt Ücret (₺)],MATCH($A726,tblCalisan[Çalışan Adı],0)),"")),"")</f>
        <v/>
      </c>
      <c r="C726" s="110">
        <f>IF($A726="","",$B726*IsverenPayiOrani)</f>
        <v/>
      </c>
      <c r="D726" s="110">
        <f>IF($A726="","",$B726*IssizlikOrani)</f>
        <v/>
      </c>
      <c r="E726" s="110">
        <f>IF($A726="","",$B726*KidemKarsilikOrani)</f>
        <v/>
      </c>
      <c r="F726" s="108" t="n"/>
      <c r="G726" s="110">
        <f>IF($A726="","",$B726+$C726+$D726+$E726+$F726)</f>
        <v/>
      </c>
      <c r="H726" s="110">
        <f>IF($A726="","",$G726*AySayisi)</f>
        <v/>
      </c>
    </row>
    <row r="727" ht="15" customHeight="1" s="62">
      <c r="A727" s="107" t="n"/>
      <c r="B727" s="110">
        <f>IFERROR(IF($A727="","",IFERROR(INDEX(tblCalisan[Brüt Ücret (₺)],MATCH($A727,tblCalisan[Çalışan Adı],0)),"")),"")</f>
        <v/>
      </c>
      <c r="C727" s="110">
        <f>IF($A727="","",$B727*IsverenPayiOrani)</f>
        <v/>
      </c>
      <c r="D727" s="110">
        <f>IF($A727="","",$B727*IssizlikOrani)</f>
        <v/>
      </c>
      <c r="E727" s="110">
        <f>IF($A727="","",$B727*KidemKarsilikOrani)</f>
        <v/>
      </c>
      <c r="F727" s="108" t="n"/>
      <c r="G727" s="110">
        <f>IF($A727="","",$B727+$C727+$D727+$E727+$F727)</f>
        <v/>
      </c>
      <c r="H727" s="110">
        <f>IF($A727="","",$G727*AySayisi)</f>
        <v/>
      </c>
    </row>
    <row r="728" ht="15" customHeight="1" s="62">
      <c r="A728" s="107" t="n"/>
      <c r="B728" s="110">
        <f>IFERROR(IF($A728="","",IFERROR(INDEX(tblCalisan[Brüt Ücret (₺)],MATCH($A728,tblCalisan[Çalışan Adı],0)),"")),"")</f>
        <v/>
      </c>
      <c r="C728" s="110">
        <f>IF($A728="","",$B728*IsverenPayiOrani)</f>
        <v/>
      </c>
      <c r="D728" s="110">
        <f>IF($A728="","",$B728*IssizlikOrani)</f>
        <v/>
      </c>
      <c r="E728" s="110">
        <f>IF($A728="","",$B728*KidemKarsilikOrani)</f>
        <v/>
      </c>
      <c r="F728" s="108" t="n"/>
      <c r="G728" s="110">
        <f>IF($A728="","",$B728+$C728+$D728+$E728+$F728)</f>
        <v/>
      </c>
      <c r="H728" s="110">
        <f>IF($A728="","",$G728*AySayisi)</f>
        <v/>
      </c>
    </row>
    <row r="729" ht="15" customHeight="1" s="62">
      <c r="A729" s="107" t="n"/>
      <c r="B729" s="110">
        <f>IFERROR(IF($A729="","",IFERROR(INDEX(tblCalisan[Brüt Ücret (₺)],MATCH($A729,tblCalisan[Çalışan Adı],0)),"")),"")</f>
        <v/>
      </c>
      <c r="C729" s="110">
        <f>IF($A729="","",$B729*IsverenPayiOrani)</f>
        <v/>
      </c>
      <c r="D729" s="110">
        <f>IF($A729="","",$B729*IssizlikOrani)</f>
        <v/>
      </c>
      <c r="E729" s="110">
        <f>IF($A729="","",$B729*KidemKarsilikOrani)</f>
        <v/>
      </c>
      <c r="F729" s="108" t="n"/>
      <c r="G729" s="110">
        <f>IF($A729="","",$B729+$C729+$D729+$E729+$F729)</f>
        <v/>
      </c>
      <c r="H729" s="110">
        <f>IF($A729="","",$G729*AySayisi)</f>
        <v/>
      </c>
    </row>
    <row r="730" ht="15" customHeight="1" s="62">
      <c r="A730" s="107" t="n"/>
      <c r="B730" s="110">
        <f>IFERROR(IF($A730="","",IFERROR(INDEX(tblCalisan[Brüt Ücret (₺)],MATCH($A730,tblCalisan[Çalışan Adı],0)),"")),"")</f>
        <v/>
      </c>
      <c r="C730" s="110">
        <f>IF($A730="","",$B730*IsverenPayiOrani)</f>
        <v/>
      </c>
      <c r="D730" s="110">
        <f>IF($A730="","",$B730*IssizlikOrani)</f>
        <v/>
      </c>
      <c r="E730" s="110">
        <f>IF($A730="","",$B730*KidemKarsilikOrani)</f>
        <v/>
      </c>
      <c r="F730" s="108" t="n"/>
      <c r="G730" s="110">
        <f>IF($A730="","",$B730+$C730+$D730+$E730+$F730)</f>
        <v/>
      </c>
      <c r="H730" s="110">
        <f>IF($A730="","",$G730*AySayisi)</f>
        <v/>
      </c>
    </row>
    <row r="731" ht="15" customHeight="1" s="62">
      <c r="A731" s="107" t="n"/>
      <c r="B731" s="110">
        <f>IFERROR(IF($A731="","",IFERROR(INDEX(tblCalisan[Brüt Ücret (₺)],MATCH($A731,tblCalisan[Çalışan Adı],0)),"")),"")</f>
        <v/>
      </c>
      <c r="C731" s="110">
        <f>IF($A731="","",$B731*IsverenPayiOrani)</f>
        <v/>
      </c>
      <c r="D731" s="110">
        <f>IF($A731="","",$B731*IssizlikOrani)</f>
        <v/>
      </c>
      <c r="E731" s="110">
        <f>IF($A731="","",$B731*KidemKarsilikOrani)</f>
        <v/>
      </c>
      <c r="F731" s="108" t="n"/>
      <c r="G731" s="110">
        <f>IF($A731="","",$B731+$C731+$D731+$E731+$F731)</f>
        <v/>
      </c>
      <c r="H731" s="110">
        <f>IF($A731="","",$G731*AySayisi)</f>
        <v/>
      </c>
    </row>
    <row r="732" ht="15" customHeight="1" s="62">
      <c r="A732" s="107" t="n"/>
      <c r="B732" s="110">
        <f>IFERROR(IF($A732="","",IFERROR(INDEX(tblCalisan[Brüt Ücret (₺)],MATCH($A732,tblCalisan[Çalışan Adı],0)),"")),"")</f>
        <v/>
      </c>
      <c r="C732" s="110">
        <f>IF($A732="","",$B732*IsverenPayiOrani)</f>
        <v/>
      </c>
      <c r="D732" s="110">
        <f>IF($A732="","",$B732*IssizlikOrani)</f>
        <v/>
      </c>
      <c r="E732" s="110">
        <f>IF($A732="","",$B732*KidemKarsilikOrani)</f>
        <v/>
      </c>
      <c r="F732" s="108" t="n"/>
      <c r="G732" s="110">
        <f>IF($A732="","",$B732+$C732+$D732+$E732+$F732)</f>
        <v/>
      </c>
      <c r="H732" s="110">
        <f>IF($A732="","",$G732*AySayisi)</f>
        <v/>
      </c>
    </row>
    <row r="733" ht="15" customHeight="1" s="62">
      <c r="A733" s="107" t="n"/>
      <c r="B733" s="110">
        <f>IFERROR(IF($A733="","",IFERROR(INDEX(tblCalisan[Brüt Ücret (₺)],MATCH($A733,tblCalisan[Çalışan Adı],0)),"")),"")</f>
        <v/>
      </c>
      <c r="C733" s="110">
        <f>IF($A733="","",$B733*IsverenPayiOrani)</f>
        <v/>
      </c>
      <c r="D733" s="110">
        <f>IF($A733="","",$B733*IssizlikOrani)</f>
        <v/>
      </c>
      <c r="E733" s="110">
        <f>IF($A733="","",$B733*KidemKarsilikOrani)</f>
        <v/>
      </c>
      <c r="F733" s="108" t="n"/>
      <c r="G733" s="110">
        <f>IF($A733="","",$B733+$C733+$D733+$E733+$F733)</f>
        <v/>
      </c>
      <c r="H733" s="110">
        <f>IF($A733="","",$G733*AySayisi)</f>
        <v/>
      </c>
    </row>
    <row r="734" ht="15" customHeight="1" s="62">
      <c r="A734" s="107" t="n"/>
      <c r="B734" s="110">
        <f>IFERROR(IF($A734="","",IFERROR(INDEX(tblCalisan[Brüt Ücret (₺)],MATCH($A734,tblCalisan[Çalışan Adı],0)),"")),"")</f>
        <v/>
      </c>
      <c r="C734" s="110">
        <f>IF($A734="","",$B734*IsverenPayiOrani)</f>
        <v/>
      </c>
      <c r="D734" s="110">
        <f>IF($A734="","",$B734*IssizlikOrani)</f>
        <v/>
      </c>
      <c r="E734" s="110">
        <f>IF($A734="","",$B734*KidemKarsilikOrani)</f>
        <v/>
      </c>
      <c r="F734" s="108" t="n"/>
      <c r="G734" s="110">
        <f>IF($A734="","",$B734+$C734+$D734+$E734+$F734)</f>
        <v/>
      </c>
      <c r="H734" s="110">
        <f>IF($A734="","",$G734*AySayisi)</f>
        <v/>
      </c>
    </row>
    <row r="735" ht="15" customHeight="1" s="62">
      <c r="A735" s="107" t="n"/>
      <c r="B735" s="110">
        <f>IFERROR(IF($A735="","",IFERROR(INDEX(tblCalisan[Brüt Ücret (₺)],MATCH($A735,tblCalisan[Çalışan Adı],0)),"")),"")</f>
        <v/>
      </c>
      <c r="C735" s="110">
        <f>IF($A735="","",$B735*IsverenPayiOrani)</f>
        <v/>
      </c>
      <c r="D735" s="110">
        <f>IF($A735="","",$B735*IssizlikOrani)</f>
        <v/>
      </c>
      <c r="E735" s="110">
        <f>IF($A735="","",$B735*KidemKarsilikOrani)</f>
        <v/>
      </c>
      <c r="F735" s="108" t="n"/>
      <c r="G735" s="110">
        <f>IF($A735="","",$B735+$C735+$D735+$E735+$F735)</f>
        <v/>
      </c>
      <c r="H735" s="110">
        <f>IF($A735="","",$G735*AySayisi)</f>
        <v/>
      </c>
    </row>
    <row r="736" ht="15" customHeight="1" s="62">
      <c r="A736" s="107" t="n"/>
      <c r="B736" s="110">
        <f>IFERROR(IF($A736="","",IFERROR(INDEX(tblCalisan[Brüt Ücret (₺)],MATCH($A736,tblCalisan[Çalışan Adı],0)),"")),"")</f>
        <v/>
      </c>
      <c r="C736" s="110">
        <f>IF($A736="","",$B736*IsverenPayiOrani)</f>
        <v/>
      </c>
      <c r="D736" s="110">
        <f>IF($A736="","",$B736*IssizlikOrani)</f>
        <v/>
      </c>
      <c r="E736" s="110">
        <f>IF($A736="","",$B736*KidemKarsilikOrani)</f>
        <v/>
      </c>
      <c r="F736" s="108" t="n"/>
      <c r="G736" s="110">
        <f>IF($A736="","",$B736+$C736+$D736+$E736+$F736)</f>
        <v/>
      </c>
      <c r="H736" s="110">
        <f>IF($A736="","",$G736*AySayisi)</f>
        <v/>
      </c>
    </row>
    <row r="737" ht="15" customHeight="1" s="62">
      <c r="A737" s="107" t="n"/>
      <c r="B737" s="110">
        <f>IFERROR(IF($A737="","",IFERROR(INDEX(tblCalisan[Brüt Ücret (₺)],MATCH($A737,tblCalisan[Çalışan Adı],0)),"")),"")</f>
        <v/>
      </c>
      <c r="C737" s="110">
        <f>IF($A737="","",$B737*IsverenPayiOrani)</f>
        <v/>
      </c>
      <c r="D737" s="110">
        <f>IF($A737="","",$B737*IssizlikOrani)</f>
        <v/>
      </c>
      <c r="E737" s="110">
        <f>IF($A737="","",$B737*KidemKarsilikOrani)</f>
        <v/>
      </c>
      <c r="F737" s="108" t="n"/>
      <c r="G737" s="110">
        <f>IF($A737="","",$B737+$C737+$D737+$E737+$F737)</f>
        <v/>
      </c>
      <c r="H737" s="110">
        <f>IF($A737="","",$G737*AySayisi)</f>
        <v/>
      </c>
    </row>
    <row r="738" ht="15" customHeight="1" s="62">
      <c r="A738" s="107" t="n"/>
      <c r="B738" s="110">
        <f>IFERROR(IF($A738="","",IFERROR(INDEX(tblCalisan[Brüt Ücret (₺)],MATCH($A738,tblCalisan[Çalışan Adı],0)),"")),"")</f>
        <v/>
      </c>
      <c r="C738" s="110">
        <f>IF($A738="","",$B738*IsverenPayiOrani)</f>
        <v/>
      </c>
      <c r="D738" s="110">
        <f>IF($A738="","",$B738*IssizlikOrani)</f>
        <v/>
      </c>
      <c r="E738" s="110">
        <f>IF($A738="","",$B738*KidemKarsilikOrani)</f>
        <v/>
      </c>
      <c r="F738" s="108" t="n"/>
      <c r="G738" s="110">
        <f>IF($A738="","",$B738+$C738+$D738+$E738+$F738)</f>
        <v/>
      </c>
      <c r="H738" s="110">
        <f>IF($A738="","",$G738*AySayisi)</f>
        <v/>
      </c>
    </row>
    <row r="739" ht="15" customHeight="1" s="62">
      <c r="A739" s="107" t="n"/>
      <c r="B739" s="110">
        <f>IFERROR(IF($A739="","",IFERROR(INDEX(tblCalisan[Brüt Ücret (₺)],MATCH($A739,tblCalisan[Çalışan Adı],0)),"")),"")</f>
        <v/>
      </c>
      <c r="C739" s="110">
        <f>IF($A739="","",$B739*IsverenPayiOrani)</f>
        <v/>
      </c>
      <c r="D739" s="110">
        <f>IF($A739="","",$B739*IssizlikOrani)</f>
        <v/>
      </c>
      <c r="E739" s="110">
        <f>IF($A739="","",$B739*KidemKarsilikOrani)</f>
        <v/>
      </c>
      <c r="F739" s="108" t="n"/>
      <c r="G739" s="110">
        <f>IF($A739="","",$B739+$C739+$D739+$E739+$F739)</f>
        <v/>
      </c>
      <c r="H739" s="110">
        <f>IF($A739="","",$G739*AySayisi)</f>
        <v/>
      </c>
    </row>
    <row r="740" ht="15" customHeight="1" s="62">
      <c r="A740" s="107" t="n"/>
      <c r="B740" s="110">
        <f>IFERROR(IF($A740="","",IFERROR(INDEX(tblCalisan[Brüt Ücret (₺)],MATCH($A740,tblCalisan[Çalışan Adı],0)),"")),"")</f>
        <v/>
      </c>
      <c r="C740" s="110">
        <f>IF($A740="","",$B740*IsverenPayiOrani)</f>
        <v/>
      </c>
      <c r="D740" s="110">
        <f>IF($A740="","",$B740*IssizlikOrani)</f>
        <v/>
      </c>
      <c r="E740" s="110">
        <f>IF($A740="","",$B740*KidemKarsilikOrani)</f>
        <v/>
      </c>
      <c r="F740" s="108" t="n"/>
      <c r="G740" s="110">
        <f>IF($A740="","",$B740+$C740+$D740+$E740+$F740)</f>
        <v/>
      </c>
      <c r="H740" s="110">
        <f>IF($A740="","",$G740*AySayisi)</f>
        <v/>
      </c>
    </row>
    <row r="741" ht="15" customHeight="1" s="62">
      <c r="A741" s="107" t="n"/>
      <c r="B741" s="110">
        <f>IFERROR(IF($A741="","",IFERROR(INDEX(tblCalisan[Brüt Ücret (₺)],MATCH($A741,tblCalisan[Çalışan Adı],0)),"")),"")</f>
        <v/>
      </c>
      <c r="C741" s="110">
        <f>IF($A741="","",$B741*IsverenPayiOrani)</f>
        <v/>
      </c>
      <c r="D741" s="110">
        <f>IF($A741="","",$B741*IssizlikOrani)</f>
        <v/>
      </c>
      <c r="E741" s="110">
        <f>IF($A741="","",$B741*KidemKarsilikOrani)</f>
        <v/>
      </c>
      <c r="F741" s="108" t="n"/>
      <c r="G741" s="110">
        <f>IF($A741="","",$B741+$C741+$D741+$E741+$F741)</f>
        <v/>
      </c>
      <c r="H741" s="110">
        <f>IF($A741="","",$G741*AySayisi)</f>
        <v/>
      </c>
    </row>
    <row r="742" ht="15" customHeight="1" s="62">
      <c r="A742" s="107" t="n"/>
      <c r="B742" s="110">
        <f>IFERROR(IF($A742="","",IFERROR(INDEX(tblCalisan[Brüt Ücret (₺)],MATCH($A742,tblCalisan[Çalışan Adı],0)),"")),"")</f>
        <v/>
      </c>
      <c r="C742" s="110">
        <f>IF($A742="","",$B742*IsverenPayiOrani)</f>
        <v/>
      </c>
      <c r="D742" s="110">
        <f>IF($A742="","",$B742*IssizlikOrani)</f>
        <v/>
      </c>
      <c r="E742" s="110">
        <f>IF($A742="","",$B742*KidemKarsilikOrani)</f>
        <v/>
      </c>
      <c r="F742" s="108" t="n"/>
      <c r="G742" s="110">
        <f>IF($A742="","",$B742+$C742+$D742+$E742+$F742)</f>
        <v/>
      </c>
      <c r="H742" s="110">
        <f>IF($A742="","",$G742*AySayisi)</f>
        <v/>
      </c>
    </row>
    <row r="743" ht="15" customHeight="1" s="62">
      <c r="A743" s="107" t="n"/>
      <c r="B743" s="110">
        <f>IFERROR(IF($A743="","",IFERROR(INDEX(tblCalisan[Brüt Ücret (₺)],MATCH($A743,tblCalisan[Çalışan Adı],0)),"")),"")</f>
        <v/>
      </c>
      <c r="C743" s="110">
        <f>IF($A743="","",$B743*IsverenPayiOrani)</f>
        <v/>
      </c>
      <c r="D743" s="110">
        <f>IF($A743="","",$B743*IssizlikOrani)</f>
        <v/>
      </c>
      <c r="E743" s="110">
        <f>IF($A743="","",$B743*KidemKarsilikOrani)</f>
        <v/>
      </c>
      <c r="F743" s="108" t="n"/>
      <c r="G743" s="110">
        <f>IF($A743="","",$B743+$C743+$D743+$E743+$F743)</f>
        <v/>
      </c>
      <c r="H743" s="110">
        <f>IF($A743="","",$G743*AySayisi)</f>
        <v/>
      </c>
    </row>
    <row r="744" ht="15" customHeight="1" s="62">
      <c r="A744" s="107" t="n"/>
      <c r="B744" s="110">
        <f>IFERROR(IF($A744="","",IFERROR(INDEX(tblCalisan[Brüt Ücret (₺)],MATCH($A744,tblCalisan[Çalışan Adı],0)),"")),"")</f>
        <v/>
      </c>
      <c r="C744" s="110">
        <f>IF($A744="","",$B744*IsverenPayiOrani)</f>
        <v/>
      </c>
      <c r="D744" s="110">
        <f>IF($A744="","",$B744*IssizlikOrani)</f>
        <v/>
      </c>
      <c r="E744" s="110">
        <f>IF($A744="","",$B744*KidemKarsilikOrani)</f>
        <v/>
      </c>
      <c r="F744" s="108" t="n"/>
      <c r="G744" s="110">
        <f>IF($A744="","",$B744+$C744+$D744+$E744+$F744)</f>
        <v/>
      </c>
      <c r="H744" s="110">
        <f>IF($A744="","",$G744*AySayisi)</f>
        <v/>
      </c>
    </row>
    <row r="745" ht="15" customHeight="1" s="62">
      <c r="A745" s="107" t="n"/>
      <c r="B745" s="110">
        <f>IFERROR(IF($A745="","",IFERROR(INDEX(tblCalisan[Brüt Ücret (₺)],MATCH($A745,tblCalisan[Çalışan Adı],0)),"")),"")</f>
        <v/>
      </c>
      <c r="C745" s="110">
        <f>IF($A745="","",$B745*IsverenPayiOrani)</f>
        <v/>
      </c>
      <c r="D745" s="110">
        <f>IF($A745="","",$B745*IssizlikOrani)</f>
        <v/>
      </c>
      <c r="E745" s="110">
        <f>IF($A745="","",$B745*KidemKarsilikOrani)</f>
        <v/>
      </c>
      <c r="F745" s="108" t="n"/>
      <c r="G745" s="110">
        <f>IF($A745="","",$B745+$C745+$D745+$E745+$F745)</f>
        <v/>
      </c>
      <c r="H745" s="110">
        <f>IF($A745="","",$G745*AySayisi)</f>
        <v/>
      </c>
    </row>
    <row r="746" ht="15" customHeight="1" s="62">
      <c r="A746" s="107" t="n"/>
      <c r="B746" s="110">
        <f>IFERROR(IF($A746="","",IFERROR(INDEX(tblCalisan[Brüt Ücret (₺)],MATCH($A746,tblCalisan[Çalışan Adı],0)),"")),"")</f>
        <v/>
      </c>
      <c r="C746" s="110">
        <f>IF($A746="","",$B746*IsverenPayiOrani)</f>
        <v/>
      </c>
      <c r="D746" s="110">
        <f>IF($A746="","",$B746*IssizlikOrani)</f>
        <v/>
      </c>
      <c r="E746" s="110">
        <f>IF($A746="","",$B746*KidemKarsilikOrani)</f>
        <v/>
      </c>
      <c r="F746" s="108" t="n"/>
      <c r="G746" s="110">
        <f>IF($A746="","",$B746+$C746+$D746+$E746+$F746)</f>
        <v/>
      </c>
      <c r="H746" s="110">
        <f>IF($A746="","",$G746*AySayisi)</f>
        <v/>
      </c>
    </row>
    <row r="747" ht="15" customHeight="1" s="62">
      <c r="A747" s="107" t="n"/>
      <c r="B747" s="110">
        <f>IFERROR(IF($A747="","",IFERROR(INDEX(tblCalisan[Brüt Ücret (₺)],MATCH($A747,tblCalisan[Çalışan Adı],0)),"")),"")</f>
        <v/>
      </c>
      <c r="C747" s="110">
        <f>IF($A747="","",$B747*IsverenPayiOrani)</f>
        <v/>
      </c>
      <c r="D747" s="110">
        <f>IF($A747="","",$B747*IssizlikOrani)</f>
        <v/>
      </c>
      <c r="E747" s="110">
        <f>IF($A747="","",$B747*KidemKarsilikOrani)</f>
        <v/>
      </c>
      <c r="F747" s="108" t="n"/>
      <c r="G747" s="110">
        <f>IF($A747="","",$B747+$C747+$D747+$E747+$F747)</f>
        <v/>
      </c>
      <c r="H747" s="110">
        <f>IF($A747="","",$G747*AySayisi)</f>
        <v/>
      </c>
    </row>
    <row r="748" ht="15" customHeight="1" s="62">
      <c r="A748" s="107" t="n"/>
      <c r="B748" s="110">
        <f>IFERROR(IF($A748="","",IFERROR(INDEX(tblCalisan[Brüt Ücret (₺)],MATCH($A748,tblCalisan[Çalışan Adı],0)),"")),"")</f>
        <v/>
      </c>
      <c r="C748" s="110">
        <f>IF($A748="","",$B748*IsverenPayiOrani)</f>
        <v/>
      </c>
      <c r="D748" s="110">
        <f>IF($A748="","",$B748*IssizlikOrani)</f>
        <v/>
      </c>
      <c r="E748" s="110">
        <f>IF($A748="","",$B748*KidemKarsilikOrani)</f>
        <v/>
      </c>
      <c r="F748" s="108" t="n"/>
      <c r="G748" s="110">
        <f>IF($A748="","",$B748+$C748+$D748+$E748+$F748)</f>
        <v/>
      </c>
      <c r="H748" s="110">
        <f>IF($A748="","",$G748*AySayisi)</f>
        <v/>
      </c>
    </row>
    <row r="749" ht="15" customHeight="1" s="62">
      <c r="A749" s="107" t="n"/>
      <c r="B749" s="110">
        <f>IFERROR(IF($A749="","",IFERROR(INDEX(tblCalisan[Brüt Ücret (₺)],MATCH($A749,tblCalisan[Çalışan Adı],0)),"")),"")</f>
        <v/>
      </c>
      <c r="C749" s="110">
        <f>IF($A749="","",$B749*IsverenPayiOrani)</f>
        <v/>
      </c>
      <c r="D749" s="110">
        <f>IF($A749="","",$B749*IssizlikOrani)</f>
        <v/>
      </c>
      <c r="E749" s="110">
        <f>IF($A749="","",$B749*KidemKarsilikOrani)</f>
        <v/>
      </c>
      <c r="F749" s="108" t="n"/>
      <c r="G749" s="110">
        <f>IF($A749="","",$B749+$C749+$D749+$E749+$F749)</f>
        <v/>
      </c>
      <c r="H749" s="110">
        <f>IF($A749="","",$G749*AySayisi)</f>
        <v/>
      </c>
    </row>
    <row r="750" ht="15" customHeight="1" s="62">
      <c r="A750" s="107" t="n"/>
      <c r="B750" s="110">
        <f>IFERROR(IF($A750="","",IFERROR(INDEX(tblCalisan[Brüt Ücret (₺)],MATCH($A750,tblCalisan[Çalışan Adı],0)),"")),"")</f>
        <v/>
      </c>
      <c r="C750" s="110">
        <f>IF($A750="","",$B750*IsverenPayiOrani)</f>
        <v/>
      </c>
      <c r="D750" s="110">
        <f>IF($A750="","",$B750*IssizlikOrani)</f>
        <v/>
      </c>
      <c r="E750" s="110">
        <f>IF($A750="","",$B750*KidemKarsilikOrani)</f>
        <v/>
      </c>
      <c r="F750" s="108" t="n"/>
      <c r="G750" s="110">
        <f>IF($A750="","",$B750+$C750+$D750+$E750+$F750)</f>
        <v/>
      </c>
      <c r="H750" s="110">
        <f>IF($A750="","",$G750*AySayisi)</f>
        <v/>
      </c>
    </row>
    <row r="751" ht="15" customHeight="1" s="62">
      <c r="A751" s="107" t="n"/>
      <c r="B751" s="110">
        <f>IFERROR(IF($A751="","",IFERROR(INDEX(tblCalisan[Brüt Ücret (₺)],MATCH($A751,tblCalisan[Çalışan Adı],0)),"")),"")</f>
        <v/>
      </c>
      <c r="C751" s="110">
        <f>IF($A751="","",$B751*IsverenPayiOrani)</f>
        <v/>
      </c>
      <c r="D751" s="110">
        <f>IF($A751="","",$B751*IssizlikOrani)</f>
        <v/>
      </c>
      <c r="E751" s="110">
        <f>IF($A751="","",$B751*KidemKarsilikOrani)</f>
        <v/>
      </c>
      <c r="F751" s="108" t="n"/>
      <c r="G751" s="110">
        <f>IF($A751="","",$B751+$C751+$D751+$E751+$F751)</f>
        <v/>
      </c>
      <c r="H751" s="110">
        <f>IF($A751="","",$G751*AySayisi)</f>
        <v/>
      </c>
    </row>
    <row r="752" ht="15" customHeight="1" s="62">
      <c r="A752" s="107" t="n"/>
      <c r="B752" s="110">
        <f>IFERROR(IF($A752="","",IFERROR(INDEX(tblCalisan[Brüt Ücret (₺)],MATCH($A752,tblCalisan[Çalışan Adı],0)),"")),"")</f>
        <v/>
      </c>
      <c r="C752" s="110">
        <f>IF($A752="","",$B752*IsverenPayiOrani)</f>
        <v/>
      </c>
      <c r="D752" s="110">
        <f>IF($A752="","",$B752*IssizlikOrani)</f>
        <v/>
      </c>
      <c r="E752" s="110">
        <f>IF($A752="","",$B752*KidemKarsilikOrani)</f>
        <v/>
      </c>
      <c r="F752" s="108" t="n"/>
      <c r="G752" s="110">
        <f>IF($A752="","",$B752+$C752+$D752+$E752+$F752)</f>
        <v/>
      </c>
      <c r="H752" s="110">
        <f>IF($A752="","",$G752*AySayisi)</f>
        <v/>
      </c>
    </row>
    <row r="753" ht="15" customHeight="1" s="62">
      <c r="A753" s="107" t="n"/>
      <c r="B753" s="110">
        <f>IFERROR(IF($A753="","",IFERROR(INDEX(tblCalisan[Brüt Ücret (₺)],MATCH($A753,tblCalisan[Çalışan Adı],0)),"")),"")</f>
        <v/>
      </c>
      <c r="C753" s="110">
        <f>IF($A753="","",$B753*IsverenPayiOrani)</f>
        <v/>
      </c>
      <c r="D753" s="110">
        <f>IF($A753="","",$B753*IssizlikOrani)</f>
        <v/>
      </c>
      <c r="E753" s="110">
        <f>IF($A753="","",$B753*KidemKarsilikOrani)</f>
        <v/>
      </c>
      <c r="F753" s="108" t="n"/>
      <c r="G753" s="110">
        <f>IF($A753="","",$B753+$C753+$D753+$E753+$F753)</f>
        <v/>
      </c>
      <c r="H753" s="110">
        <f>IF($A753="","",$G753*AySayisi)</f>
        <v/>
      </c>
    </row>
    <row r="754" ht="15" customHeight="1" s="62">
      <c r="A754" s="107" t="n"/>
      <c r="B754" s="110">
        <f>IFERROR(IF($A754="","",IFERROR(INDEX(tblCalisan[Brüt Ücret (₺)],MATCH($A754,tblCalisan[Çalışan Adı],0)),"")),"")</f>
        <v/>
      </c>
      <c r="C754" s="110">
        <f>IF($A754="","",$B754*IsverenPayiOrani)</f>
        <v/>
      </c>
      <c r="D754" s="110">
        <f>IF($A754="","",$B754*IssizlikOrani)</f>
        <v/>
      </c>
      <c r="E754" s="110">
        <f>IF($A754="","",$B754*KidemKarsilikOrani)</f>
        <v/>
      </c>
      <c r="F754" s="108" t="n"/>
      <c r="G754" s="110">
        <f>IF($A754="","",$B754+$C754+$D754+$E754+$F754)</f>
        <v/>
      </c>
      <c r="H754" s="110">
        <f>IF($A754="","",$G754*AySayisi)</f>
        <v/>
      </c>
    </row>
    <row r="755" ht="15" customHeight="1" s="62">
      <c r="A755" s="107" t="n"/>
      <c r="B755" s="110">
        <f>IFERROR(IF($A755="","",IFERROR(INDEX(tblCalisan[Brüt Ücret (₺)],MATCH($A755,tblCalisan[Çalışan Adı],0)),"")),"")</f>
        <v/>
      </c>
      <c r="C755" s="110">
        <f>IF($A755="","",$B755*IsverenPayiOrani)</f>
        <v/>
      </c>
      <c r="D755" s="110">
        <f>IF($A755="","",$B755*IssizlikOrani)</f>
        <v/>
      </c>
      <c r="E755" s="110">
        <f>IF($A755="","",$B755*KidemKarsilikOrani)</f>
        <v/>
      </c>
      <c r="F755" s="108" t="n"/>
      <c r="G755" s="110">
        <f>IF($A755="","",$B755+$C755+$D755+$E755+$F755)</f>
        <v/>
      </c>
      <c r="H755" s="110">
        <f>IF($A755="","",$G755*AySayisi)</f>
        <v/>
      </c>
    </row>
    <row r="756" ht="15" customHeight="1" s="62">
      <c r="A756" s="107" t="n"/>
      <c r="B756" s="110">
        <f>IFERROR(IF($A756="","",IFERROR(INDEX(tblCalisan[Brüt Ücret (₺)],MATCH($A756,tblCalisan[Çalışan Adı],0)),"")),"")</f>
        <v/>
      </c>
      <c r="C756" s="110">
        <f>IF($A756="","",$B756*IsverenPayiOrani)</f>
        <v/>
      </c>
      <c r="D756" s="110">
        <f>IF($A756="","",$B756*IssizlikOrani)</f>
        <v/>
      </c>
      <c r="E756" s="110">
        <f>IF($A756="","",$B756*KidemKarsilikOrani)</f>
        <v/>
      </c>
      <c r="F756" s="108" t="n"/>
      <c r="G756" s="110">
        <f>IF($A756="","",$B756+$C756+$D756+$E756+$F756)</f>
        <v/>
      </c>
      <c r="H756" s="110">
        <f>IF($A756="","",$G756*AySayisi)</f>
        <v/>
      </c>
    </row>
    <row r="757" ht="15" customHeight="1" s="62">
      <c r="A757" s="107" t="n"/>
      <c r="B757" s="110">
        <f>IFERROR(IF($A757="","",IFERROR(INDEX(tblCalisan[Brüt Ücret (₺)],MATCH($A757,tblCalisan[Çalışan Adı],0)),"")),"")</f>
        <v/>
      </c>
      <c r="C757" s="110">
        <f>IF($A757="","",$B757*IsverenPayiOrani)</f>
        <v/>
      </c>
      <c r="D757" s="110">
        <f>IF($A757="","",$B757*IssizlikOrani)</f>
        <v/>
      </c>
      <c r="E757" s="110">
        <f>IF($A757="","",$B757*KidemKarsilikOrani)</f>
        <v/>
      </c>
      <c r="F757" s="108" t="n"/>
      <c r="G757" s="110">
        <f>IF($A757="","",$B757+$C757+$D757+$E757+$F757)</f>
        <v/>
      </c>
      <c r="H757" s="110">
        <f>IF($A757="","",$G757*AySayisi)</f>
        <v/>
      </c>
    </row>
    <row r="758" ht="15" customHeight="1" s="62">
      <c r="A758" s="107" t="n"/>
      <c r="B758" s="110">
        <f>IFERROR(IF($A758="","",IFERROR(INDEX(tblCalisan[Brüt Ücret (₺)],MATCH($A758,tblCalisan[Çalışan Adı],0)),"")),"")</f>
        <v/>
      </c>
      <c r="C758" s="110">
        <f>IF($A758="","",$B758*IsverenPayiOrani)</f>
        <v/>
      </c>
      <c r="D758" s="110">
        <f>IF($A758="","",$B758*IssizlikOrani)</f>
        <v/>
      </c>
      <c r="E758" s="110">
        <f>IF($A758="","",$B758*KidemKarsilikOrani)</f>
        <v/>
      </c>
      <c r="F758" s="108" t="n"/>
      <c r="G758" s="110">
        <f>IF($A758="","",$B758+$C758+$D758+$E758+$F758)</f>
        <v/>
      </c>
      <c r="H758" s="110">
        <f>IF($A758="","",$G758*AySayisi)</f>
        <v/>
      </c>
    </row>
    <row r="759" ht="15" customHeight="1" s="62">
      <c r="A759" s="107" t="n"/>
      <c r="B759" s="110">
        <f>IFERROR(IF($A759="","",IFERROR(INDEX(tblCalisan[Brüt Ücret (₺)],MATCH($A759,tblCalisan[Çalışan Adı],0)),"")),"")</f>
        <v/>
      </c>
      <c r="C759" s="110">
        <f>IF($A759="","",$B759*IsverenPayiOrani)</f>
        <v/>
      </c>
      <c r="D759" s="110">
        <f>IF($A759="","",$B759*IssizlikOrani)</f>
        <v/>
      </c>
      <c r="E759" s="110">
        <f>IF($A759="","",$B759*KidemKarsilikOrani)</f>
        <v/>
      </c>
      <c r="F759" s="108" t="n"/>
      <c r="G759" s="110">
        <f>IF($A759="","",$B759+$C759+$D759+$E759+$F759)</f>
        <v/>
      </c>
      <c r="H759" s="110">
        <f>IF($A759="","",$G759*AySayisi)</f>
        <v/>
      </c>
    </row>
    <row r="760" ht="15" customHeight="1" s="62">
      <c r="A760" s="107" t="n"/>
      <c r="B760" s="110">
        <f>IFERROR(IF($A760="","",IFERROR(INDEX(tblCalisan[Brüt Ücret (₺)],MATCH($A760,tblCalisan[Çalışan Adı],0)),"")),"")</f>
        <v/>
      </c>
      <c r="C760" s="110">
        <f>IF($A760="","",$B760*IsverenPayiOrani)</f>
        <v/>
      </c>
      <c r="D760" s="110">
        <f>IF($A760="","",$B760*IssizlikOrani)</f>
        <v/>
      </c>
      <c r="E760" s="110">
        <f>IF($A760="","",$B760*KidemKarsilikOrani)</f>
        <v/>
      </c>
      <c r="F760" s="108" t="n"/>
      <c r="G760" s="110">
        <f>IF($A760="","",$B760+$C760+$D760+$E760+$F760)</f>
        <v/>
      </c>
      <c r="H760" s="110">
        <f>IF($A760="","",$G760*AySayisi)</f>
        <v/>
      </c>
    </row>
    <row r="761" ht="15" customHeight="1" s="62">
      <c r="A761" s="107" t="n"/>
      <c r="B761" s="110">
        <f>IFERROR(IF($A761="","",IFERROR(INDEX(tblCalisan[Brüt Ücret (₺)],MATCH($A761,tblCalisan[Çalışan Adı],0)),"")),"")</f>
        <v/>
      </c>
      <c r="C761" s="110">
        <f>IF($A761="","",$B761*IsverenPayiOrani)</f>
        <v/>
      </c>
      <c r="D761" s="110">
        <f>IF($A761="","",$B761*IssizlikOrani)</f>
        <v/>
      </c>
      <c r="E761" s="110">
        <f>IF($A761="","",$B761*KidemKarsilikOrani)</f>
        <v/>
      </c>
      <c r="F761" s="108" t="n"/>
      <c r="G761" s="110">
        <f>IF($A761="","",$B761+$C761+$D761+$E761+$F761)</f>
        <v/>
      </c>
      <c r="H761" s="110">
        <f>IF($A761="","",$G761*AySayisi)</f>
        <v/>
      </c>
    </row>
    <row r="762" ht="15" customHeight="1" s="62">
      <c r="A762" s="107" t="n"/>
      <c r="B762" s="110">
        <f>IFERROR(IF($A762="","",IFERROR(INDEX(tblCalisan[Brüt Ücret (₺)],MATCH($A762,tblCalisan[Çalışan Adı],0)),"")),"")</f>
        <v/>
      </c>
      <c r="C762" s="110">
        <f>IF($A762="","",$B762*IsverenPayiOrani)</f>
        <v/>
      </c>
      <c r="D762" s="110">
        <f>IF($A762="","",$B762*IssizlikOrani)</f>
        <v/>
      </c>
      <c r="E762" s="110">
        <f>IF($A762="","",$B762*KidemKarsilikOrani)</f>
        <v/>
      </c>
      <c r="F762" s="108" t="n"/>
      <c r="G762" s="110">
        <f>IF($A762="","",$B762+$C762+$D762+$E762+$F762)</f>
        <v/>
      </c>
      <c r="H762" s="110">
        <f>IF($A762="","",$G762*AySayisi)</f>
        <v/>
      </c>
    </row>
    <row r="763" ht="15" customHeight="1" s="62">
      <c r="A763" s="107" t="n"/>
      <c r="B763" s="110">
        <f>IFERROR(IF($A763="","",IFERROR(INDEX(tblCalisan[Brüt Ücret (₺)],MATCH($A763,tblCalisan[Çalışan Adı],0)),"")),"")</f>
        <v/>
      </c>
      <c r="C763" s="110">
        <f>IF($A763="","",$B763*IsverenPayiOrani)</f>
        <v/>
      </c>
      <c r="D763" s="110">
        <f>IF($A763="","",$B763*IssizlikOrani)</f>
        <v/>
      </c>
      <c r="E763" s="110">
        <f>IF($A763="","",$B763*KidemKarsilikOrani)</f>
        <v/>
      </c>
      <c r="F763" s="108" t="n"/>
      <c r="G763" s="110">
        <f>IF($A763="","",$B763+$C763+$D763+$E763+$F763)</f>
        <v/>
      </c>
      <c r="H763" s="110">
        <f>IF($A763="","",$G763*AySayisi)</f>
        <v/>
      </c>
    </row>
    <row r="764" ht="15" customHeight="1" s="62">
      <c r="A764" s="107" t="n"/>
      <c r="B764" s="110">
        <f>IFERROR(IF($A764="","",IFERROR(INDEX(tblCalisan[Brüt Ücret (₺)],MATCH($A764,tblCalisan[Çalışan Adı],0)),"")),"")</f>
        <v/>
      </c>
      <c r="C764" s="110">
        <f>IF($A764="","",$B764*IsverenPayiOrani)</f>
        <v/>
      </c>
      <c r="D764" s="110">
        <f>IF($A764="","",$B764*IssizlikOrani)</f>
        <v/>
      </c>
      <c r="E764" s="110">
        <f>IF($A764="","",$B764*KidemKarsilikOrani)</f>
        <v/>
      </c>
      <c r="F764" s="108" t="n"/>
      <c r="G764" s="110">
        <f>IF($A764="","",$B764+$C764+$D764+$E764+$F764)</f>
        <v/>
      </c>
      <c r="H764" s="110">
        <f>IF($A764="","",$G764*AySayisi)</f>
        <v/>
      </c>
    </row>
    <row r="765" ht="15" customHeight="1" s="62">
      <c r="A765" s="107" t="n"/>
      <c r="B765" s="110">
        <f>IFERROR(IF($A765="","",IFERROR(INDEX(tblCalisan[Brüt Ücret (₺)],MATCH($A765,tblCalisan[Çalışan Adı],0)),"")),"")</f>
        <v/>
      </c>
      <c r="C765" s="110">
        <f>IF($A765="","",$B765*IsverenPayiOrani)</f>
        <v/>
      </c>
      <c r="D765" s="110">
        <f>IF($A765="","",$B765*IssizlikOrani)</f>
        <v/>
      </c>
      <c r="E765" s="110">
        <f>IF($A765="","",$B765*KidemKarsilikOrani)</f>
        <v/>
      </c>
      <c r="F765" s="108" t="n"/>
      <c r="G765" s="110">
        <f>IF($A765="","",$B765+$C765+$D765+$E765+$F765)</f>
        <v/>
      </c>
      <c r="H765" s="110">
        <f>IF($A765="","",$G765*AySayisi)</f>
        <v/>
      </c>
    </row>
    <row r="766" ht="15" customHeight="1" s="62">
      <c r="A766" s="107" t="n"/>
      <c r="B766" s="110">
        <f>IFERROR(IF($A766="","",IFERROR(INDEX(tblCalisan[Brüt Ücret (₺)],MATCH($A766,tblCalisan[Çalışan Adı],0)),"")),"")</f>
        <v/>
      </c>
      <c r="C766" s="110">
        <f>IF($A766="","",$B766*IsverenPayiOrani)</f>
        <v/>
      </c>
      <c r="D766" s="110">
        <f>IF($A766="","",$B766*IssizlikOrani)</f>
        <v/>
      </c>
      <c r="E766" s="110">
        <f>IF($A766="","",$B766*KidemKarsilikOrani)</f>
        <v/>
      </c>
      <c r="F766" s="108" t="n"/>
      <c r="G766" s="110">
        <f>IF($A766="","",$B766+$C766+$D766+$E766+$F766)</f>
        <v/>
      </c>
      <c r="H766" s="110">
        <f>IF($A766="","",$G766*AySayisi)</f>
        <v/>
      </c>
    </row>
    <row r="767" ht="15" customHeight="1" s="62">
      <c r="A767" s="107" t="n"/>
      <c r="B767" s="110">
        <f>IFERROR(IF($A767="","",IFERROR(INDEX(tblCalisan[Brüt Ücret (₺)],MATCH($A767,tblCalisan[Çalışan Adı],0)),"")),"")</f>
        <v/>
      </c>
      <c r="C767" s="110">
        <f>IF($A767="","",$B767*IsverenPayiOrani)</f>
        <v/>
      </c>
      <c r="D767" s="110">
        <f>IF($A767="","",$B767*IssizlikOrani)</f>
        <v/>
      </c>
      <c r="E767" s="110">
        <f>IF($A767="","",$B767*KidemKarsilikOrani)</f>
        <v/>
      </c>
      <c r="F767" s="108" t="n"/>
      <c r="G767" s="110">
        <f>IF($A767="","",$B767+$C767+$D767+$E767+$F767)</f>
        <v/>
      </c>
      <c r="H767" s="110">
        <f>IF($A767="","",$G767*AySayisi)</f>
        <v/>
      </c>
    </row>
    <row r="768" ht="15" customHeight="1" s="62">
      <c r="A768" s="107" t="n"/>
      <c r="B768" s="110">
        <f>IFERROR(IF($A768="","",IFERROR(INDEX(tblCalisan[Brüt Ücret (₺)],MATCH($A768,tblCalisan[Çalışan Adı],0)),"")),"")</f>
        <v/>
      </c>
      <c r="C768" s="110">
        <f>IF($A768="","",$B768*IsverenPayiOrani)</f>
        <v/>
      </c>
      <c r="D768" s="110">
        <f>IF($A768="","",$B768*IssizlikOrani)</f>
        <v/>
      </c>
      <c r="E768" s="110">
        <f>IF($A768="","",$B768*KidemKarsilikOrani)</f>
        <v/>
      </c>
      <c r="F768" s="108" t="n"/>
      <c r="G768" s="110">
        <f>IF($A768="","",$B768+$C768+$D768+$E768+$F768)</f>
        <v/>
      </c>
      <c r="H768" s="110">
        <f>IF($A768="","",$G768*AySayisi)</f>
        <v/>
      </c>
    </row>
    <row r="769" ht="15" customHeight="1" s="62">
      <c r="A769" s="107" t="n"/>
      <c r="B769" s="110">
        <f>IFERROR(IF($A769="","",IFERROR(INDEX(tblCalisan[Brüt Ücret (₺)],MATCH($A769,tblCalisan[Çalışan Adı],0)),"")),"")</f>
        <v/>
      </c>
      <c r="C769" s="110">
        <f>IF($A769="","",$B769*IsverenPayiOrani)</f>
        <v/>
      </c>
      <c r="D769" s="110">
        <f>IF($A769="","",$B769*IssizlikOrani)</f>
        <v/>
      </c>
      <c r="E769" s="110">
        <f>IF($A769="","",$B769*KidemKarsilikOrani)</f>
        <v/>
      </c>
      <c r="F769" s="108" t="n"/>
      <c r="G769" s="110">
        <f>IF($A769="","",$B769+$C769+$D769+$E769+$F769)</f>
        <v/>
      </c>
      <c r="H769" s="110">
        <f>IF($A769="","",$G769*AySayisi)</f>
        <v/>
      </c>
    </row>
    <row r="770" ht="15" customHeight="1" s="62">
      <c r="A770" s="107" t="n"/>
      <c r="B770" s="110">
        <f>IFERROR(IF($A770="","",IFERROR(INDEX(tblCalisan[Brüt Ücret (₺)],MATCH($A770,tblCalisan[Çalışan Adı],0)),"")),"")</f>
        <v/>
      </c>
      <c r="C770" s="110">
        <f>IF($A770="","",$B770*IsverenPayiOrani)</f>
        <v/>
      </c>
      <c r="D770" s="110">
        <f>IF($A770="","",$B770*IssizlikOrani)</f>
        <v/>
      </c>
      <c r="E770" s="110">
        <f>IF($A770="","",$B770*KidemKarsilikOrani)</f>
        <v/>
      </c>
      <c r="F770" s="108" t="n"/>
      <c r="G770" s="110">
        <f>IF($A770="","",$B770+$C770+$D770+$E770+$F770)</f>
        <v/>
      </c>
      <c r="H770" s="110">
        <f>IF($A770="","",$G770*AySayisi)</f>
        <v/>
      </c>
    </row>
    <row r="771" ht="15" customHeight="1" s="62">
      <c r="A771" s="107" t="n"/>
      <c r="B771" s="110">
        <f>IFERROR(IF($A771="","",IFERROR(INDEX(tblCalisan[Brüt Ücret (₺)],MATCH($A771,tblCalisan[Çalışan Adı],0)),"")),"")</f>
        <v/>
      </c>
      <c r="C771" s="110">
        <f>IF($A771="","",$B771*IsverenPayiOrani)</f>
        <v/>
      </c>
      <c r="D771" s="110">
        <f>IF($A771="","",$B771*IssizlikOrani)</f>
        <v/>
      </c>
      <c r="E771" s="110">
        <f>IF($A771="","",$B771*KidemKarsilikOrani)</f>
        <v/>
      </c>
      <c r="F771" s="108" t="n"/>
      <c r="G771" s="110">
        <f>IF($A771="","",$B771+$C771+$D771+$E771+$F771)</f>
        <v/>
      </c>
      <c r="H771" s="110">
        <f>IF($A771="","",$G771*AySayisi)</f>
        <v/>
      </c>
    </row>
    <row r="772" ht="15" customHeight="1" s="62">
      <c r="A772" s="107" t="n"/>
      <c r="B772" s="110">
        <f>IFERROR(IF($A772="","",IFERROR(INDEX(tblCalisan[Brüt Ücret (₺)],MATCH($A772,tblCalisan[Çalışan Adı],0)),"")),"")</f>
        <v/>
      </c>
      <c r="C772" s="110">
        <f>IF($A772="","",$B772*IsverenPayiOrani)</f>
        <v/>
      </c>
      <c r="D772" s="110">
        <f>IF($A772="","",$B772*IssizlikOrani)</f>
        <v/>
      </c>
      <c r="E772" s="110">
        <f>IF($A772="","",$B772*KidemKarsilikOrani)</f>
        <v/>
      </c>
      <c r="F772" s="108" t="n"/>
      <c r="G772" s="110">
        <f>IF($A772="","",$B772+$C772+$D772+$E772+$F772)</f>
        <v/>
      </c>
      <c r="H772" s="110">
        <f>IF($A772="","",$G772*AySayisi)</f>
        <v/>
      </c>
    </row>
    <row r="773" ht="15" customHeight="1" s="62">
      <c r="A773" s="107" t="n"/>
      <c r="B773" s="110">
        <f>IFERROR(IF($A773="","",IFERROR(INDEX(tblCalisan[Brüt Ücret (₺)],MATCH($A773,tblCalisan[Çalışan Adı],0)),"")),"")</f>
        <v/>
      </c>
      <c r="C773" s="110">
        <f>IF($A773="","",$B773*IsverenPayiOrani)</f>
        <v/>
      </c>
      <c r="D773" s="110">
        <f>IF($A773="","",$B773*IssizlikOrani)</f>
        <v/>
      </c>
      <c r="E773" s="110">
        <f>IF($A773="","",$B773*KidemKarsilikOrani)</f>
        <v/>
      </c>
      <c r="F773" s="108" t="n"/>
      <c r="G773" s="110">
        <f>IF($A773="","",$B773+$C773+$D773+$E773+$F773)</f>
        <v/>
      </c>
      <c r="H773" s="110">
        <f>IF($A773="","",$G773*AySayisi)</f>
        <v/>
      </c>
    </row>
    <row r="774" ht="15" customHeight="1" s="62">
      <c r="A774" s="107" t="n"/>
      <c r="B774" s="110">
        <f>IFERROR(IF($A774="","",IFERROR(INDEX(tblCalisan[Brüt Ücret (₺)],MATCH($A774,tblCalisan[Çalışan Adı],0)),"")),"")</f>
        <v/>
      </c>
      <c r="C774" s="110">
        <f>IF($A774="","",$B774*IsverenPayiOrani)</f>
        <v/>
      </c>
      <c r="D774" s="110">
        <f>IF($A774="","",$B774*IssizlikOrani)</f>
        <v/>
      </c>
      <c r="E774" s="110">
        <f>IF($A774="","",$B774*KidemKarsilikOrani)</f>
        <v/>
      </c>
      <c r="F774" s="108" t="n"/>
      <c r="G774" s="110">
        <f>IF($A774="","",$B774+$C774+$D774+$E774+$F774)</f>
        <v/>
      </c>
      <c r="H774" s="110">
        <f>IF($A774="","",$G774*AySayisi)</f>
        <v/>
      </c>
    </row>
    <row r="775" ht="15" customHeight="1" s="62">
      <c r="A775" s="107" t="n"/>
      <c r="B775" s="110">
        <f>IFERROR(IF($A775="","",IFERROR(INDEX(tblCalisan[Brüt Ücret (₺)],MATCH($A775,tblCalisan[Çalışan Adı],0)),"")),"")</f>
        <v/>
      </c>
      <c r="C775" s="110">
        <f>IF($A775="","",$B775*IsverenPayiOrani)</f>
        <v/>
      </c>
      <c r="D775" s="110">
        <f>IF($A775="","",$B775*IssizlikOrani)</f>
        <v/>
      </c>
      <c r="E775" s="110">
        <f>IF($A775="","",$B775*KidemKarsilikOrani)</f>
        <v/>
      </c>
      <c r="F775" s="108" t="n"/>
      <c r="G775" s="110">
        <f>IF($A775="","",$B775+$C775+$D775+$E775+$F775)</f>
        <v/>
      </c>
      <c r="H775" s="110">
        <f>IF($A775="","",$G775*AySayisi)</f>
        <v/>
      </c>
    </row>
    <row r="776" ht="15" customHeight="1" s="62">
      <c r="A776" s="107" t="n"/>
      <c r="B776" s="110">
        <f>IFERROR(IF($A776="","",IFERROR(INDEX(tblCalisan[Brüt Ücret (₺)],MATCH($A776,tblCalisan[Çalışan Adı],0)),"")),"")</f>
        <v/>
      </c>
      <c r="C776" s="110">
        <f>IF($A776="","",$B776*IsverenPayiOrani)</f>
        <v/>
      </c>
      <c r="D776" s="110">
        <f>IF($A776="","",$B776*IssizlikOrani)</f>
        <v/>
      </c>
      <c r="E776" s="110">
        <f>IF($A776="","",$B776*KidemKarsilikOrani)</f>
        <v/>
      </c>
      <c r="F776" s="108" t="n"/>
      <c r="G776" s="110">
        <f>IF($A776="","",$B776+$C776+$D776+$E776+$F776)</f>
        <v/>
      </c>
      <c r="H776" s="110">
        <f>IF($A776="","",$G776*AySayisi)</f>
        <v/>
      </c>
    </row>
    <row r="777" ht="15" customHeight="1" s="62">
      <c r="A777" s="107" t="n"/>
      <c r="B777" s="110">
        <f>IFERROR(IF($A777="","",IFERROR(INDEX(tblCalisan[Brüt Ücret (₺)],MATCH($A777,tblCalisan[Çalışan Adı],0)),"")),"")</f>
        <v/>
      </c>
      <c r="C777" s="110">
        <f>IF($A777="","",$B777*IsverenPayiOrani)</f>
        <v/>
      </c>
      <c r="D777" s="110">
        <f>IF($A777="","",$B777*IssizlikOrani)</f>
        <v/>
      </c>
      <c r="E777" s="110">
        <f>IF($A777="","",$B777*KidemKarsilikOrani)</f>
        <v/>
      </c>
      <c r="F777" s="108" t="n"/>
      <c r="G777" s="110">
        <f>IF($A777="","",$B777+$C777+$D777+$E777+$F777)</f>
        <v/>
      </c>
      <c r="H777" s="110">
        <f>IF($A777="","",$G777*AySayisi)</f>
        <v/>
      </c>
    </row>
    <row r="778" ht="15" customHeight="1" s="62">
      <c r="A778" s="107" t="n"/>
      <c r="B778" s="110">
        <f>IFERROR(IF($A778="","",IFERROR(INDEX(tblCalisan[Brüt Ücret (₺)],MATCH($A778,tblCalisan[Çalışan Adı],0)),"")),"")</f>
        <v/>
      </c>
      <c r="C778" s="110">
        <f>IF($A778="","",$B778*IsverenPayiOrani)</f>
        <v/>
      </c>
      <c r="D778" s="110">
        <f>IF($A778="","",$B778*IssizlikOrani)</f>
        <v/>
      </c>
      <c r="E778" s="110">
        <f>IF($A778="","",$B778*KidemKarsilikOrani)</f>
        <v/>
      </c>
      <c r="F778" s="108" t="n"/>
      <c r="G778" s="110">
        <f>IF($A778="","",$B778+$C778+$D778+$E778+$F778)</f>
        <v/>
      </c>
      <c r="H778" s="110">
        <f>IF($A778="","",$G778*AySayisi)</f>
        <v/>
      </c>
    </row>
    <row r="779" ht="15" customHeight="1" s="62">
      <c r="A779" s="107" t="n"/>
      <c r="B779" s="110">
        <f>IFERROR(IF($A779="","",IFERROR(INDEX(tblCalisan[Brüt Ücret (₺)],MATCH($A779,tblCalisan[Çalışan Adı],0)),"")),"")</f>
        <v/>
      </c>
      <c r="C779" s="110">
        <f>IF($A779="","",$B779*IsverenPayiOrani)</f>
        <v/>
      </c>
      <c r="D779" s="110">
        <f>IF($A779="","",$B779*IssizlikOrani)</f>
        <v/>
      </c>
      <c r="E779" s="110">
        <f>IF($A779="","",$B779*KidemKarsilikOrani)</f>
        <v/>
      </c>
      <c r="F779" s="108" t="n"/>
      <c r="G779" s="110">
        <f>IF($A779="","",$B779+$C779+$D779+$E779+$F779)</f>
        <v/>
      </c>
      <c r="H779" s="110">
        <f>IF($A779="","",$G779*AySayisi)</f>
        <v/>
      </c>
    </row>
    <row r="780" ht="15" customHeight="1" s="62">
      <c r="A780" s="107" t="n"/>
      <c r="B780" s="110">
        <f>IFERROR(IF($A780="","",IFERROR(INDEX(tblCalisan[Brüt Ücret (₺)],MATCH($A780,tblCalisan[Çalışan Adı],0)),"")),"")</f>
        <v/>
      </c>
      <c r="C780" s="110">
        <f>IF($A780="","",$B780*IsverenPayiOrani)</f>
        <v/>
      </c>
      <c r="D780" s="110">
        <f>IF($A780="","",$B780*IssizlikOrani)</f>
        <v/>
      </c>
      <c r="E780" s="110">
        <f>IF($A780="","",$B780*KidemKarsilikOrani)</f>
        <v/>
      </c>
      <c r="F780" s="108" t="n"/>
      <c r="G780" s="110">
        <f>IF($A780="","",$B780+$C780+$D780+$E780+$F780)</f>
        <v/>
      </c>
      <c r="H780" s="110">
        <f>IF($A780="","",$G780*AySayisi)</f>
        <v/>
      </c>
    </row>
    <row r="781" ht="15" customHeight="1" s="62">
      <c r="A781" s="107" t="n"/>
      <c r="B781" s="110">
        <f>IFERROR(IF($A781="","",IFERROR(INDEX(tblCalisan[Brüt Ücret (₺)],MATCH($A781,tblCalisan[Çalışan Adı],0)),"")),"")</f>
        <v/>
      </c>
      <c r="C781" s="110">
        <f>IF($A781="","",$B781*IsverenPayiOrani)</f>
        <v/>
      </c>
      <c r="D781" s="110">
        <f>IF($A781="","",$B781*IssizlikOrani)</f>
        <v/>
      </c>
      <c r="E781" s="110">
        <f>IF($A781="","",$B781*KidemKarsilikOrani)</f>
        <v/>
      </c>
      <c r="F781" s="108" t="n"/>
      <c r="G781" s="110">
        <f>IF($A781="","",$B781+$C781+$D781+$E781+$F781)</f>
        <v/>
      </c>
      <c r="H781" s="110">
        <f>IF($A781="","",$G781*AySayisi)</f>
        <v/>
      </c>
    </row>
    <row r="782" ht="15" customHeight="1" s="62">
      <c r="A782" s="107" t="n"/>
      <c r="B782" s="110">
        <f>IFERROR(IF($A782="","",IFERROR(INDEX(tblCalisan[Brüt Ücret (₺)],MATCH($A782,tblCalisan[Çalışan Adı],0)),"")),"")</f>
        <v/>
      </c>
      <c r="C782" s="110">
        <f>IF($A782="","",$B782*IsverenPayiOrani)</f>
        <v/>
      </c>
      <c r="D782" s="110">
        <f>IF($A782="","",$B782*IssizlikOrani)</f>
        <v/>
      </c>
      <c r="E782" s="110">
        <f>IF($A782="","",$B782*KidemKarsilikOrani)</f>
        <v/>
      </c>
      <c r="F782" s="108" t="n"/>
      <c r="G782" s="110">
        <f>IF($A782="","",$B782+$C782+$D782+$E782+$F782)</f>
        <v/>
      </c>
      <c r="H782" s="110">
        <f>IF($A782="","",$G782*AySayisi)</f>
        <v/>
      </c>
    </row>
    <row r="783" ht="15" customHeight="1" s="62">
      <c r="A783" s="107" t="n"/>
      <c r="B783" s="110">
        <f>IFERROR(IF($A783="","",IFERROR(INDEX(tblCalisan[Brüt Ücret (₺)],MATCH($A783,tblCalisan[Çalışan Adı],0)),"")),"")</f>
        <v/>
      </c>
      <c r="C783" s="110">
        <f>IF($A783="","",$B783*IsverenPayiOrani)</f>
        <v/>
      </c>
      <c r="D783" s="110">
        <f>IF($A783="","",$B783*IssizlikOrani)</f>
        <v/>
      </c>
      <c r="E783" s="110">
        <f>IF($A783="","",$B783*KidemKarsilikOrani)</f>
        <v/>
      </c>
      <c r="F783" s="108" t="n"/>
      <c r="G783" s="110">
        <f>IF($A783="","",$B783+$C783+$D783+$E783+$F783)</f>
        <v/>
      </c>
      <c r="H783" s="110">
        <f>IF($A783="","",$G783*AySayisi)</f>
        <v/>
      </c>
    </row>
    <row r="784" ht="15" customHeight="1" s="62">
      <c r="A784" s="107" t="n"/>
      <c r="B784" s="110">
        <f>IFERROR(IF($A784="","",IFERROR(INDEX(tblCalisan[Brüt Ücret (₺)],MATCH($A784,tblCalisan[Çalışan Adı],0)),"")),"")</f>
        <v/>
      </c>
      <c r="C784" s="110">
        <f>IF($A784="","",$B784*IsverenPayiOrani)</f>
        <v/>
      </c>
      <c r="D784" s="110">
        <f>IF($A784="","",$B784*IssizlikOrani)</f>
        <v/>
      </c>
      <c r="E784" s="110">
        <f>IF($A784="","",$B784*KidemKarsilikOrani)</f>
        <v/>
      </c>
      <c r="F784" s="108" t="n"/>
      <c r="G784" s="110">
        <f>IF($A784="","",$B784+$C784+$D784+$E784+$F784)</f>
        <v/>
      </c>
      <c r="H784" s="110">
        <f>IF($A784="","",$G784*AySayisi)</f>
        <v/>
      </c>
    </row>
    <row r="785" ht="15" customHeight="1" s="62">
      <c r="A785" s="107" t="n"/>
      <c r="B785" s="110">
        <f>IFERROR(IF($A785="","",IFERROR(INDEX(tblCalisan[Brüt Ücret (₺)],MATCH($A785,tblCalisan[Çalışan Adı],0)),"")),"")</f>
        <v/>
      </c>
      <c r="C785" s="110">
        <f>IF($A785="","",$B785*IsverenPayiOrani)</f>
        <v/>
      </c>
      <c r="D785" s="110">
        <f>IF($A785="","",$B785*IssizlikOrani)</f>
        <v/>
      </c>
      <c r="E785" s="110">
        <f>IF($A785="","",$B785*KidemKarsilikOrani)</f>
        <v/>
      </c>
      <c r="F785" s="108" t="n"/>
      <c r="G785" s="110">
        <f>IF($A785="","",$B785+$C785+$D785+$E785+$F785)</f>
        <v/>
      </c>
      <c r="H785" s="110">
        <f>IF($A785="","",$G785*AySayisi)</f>
        <v/>
      </c>
    </row>
    <row r="786" ht="15" customHeight="1" s="62">
      <c r="A786" s="107" t="n"/>
      <c r="B786" s="110">
        <f>IFERROR(IF($A786="","",IFERROR(INDEX(tblCalisan[Brüt Ücret (₺)],MATCH($A786,tblCalisan[Çalışan Adı],0)),"")),"")</f>
        <v/>
      </c>
      <c r="C786" s="110">
        <f>IF($A786="","",$B786*IsverenPayiOrani)</f>
        <v/>
      </c>
      <c r="D786" s="110">
        <f>IF($A786="","",$B786*IssizlikOrani)</f>
        <v/>
      </c>
      <c r="E786" s="110">
        <f>IF($A786="","",$B786*KidemKarsilikOrani)</f>
        <v/>
      </c>
      <c r="F786" s="108" t="n"/>
      <c r="G786" s="110">
        <f>IF($A786="","",$B786+$C786+$D786+$E786+$F786)</f>
        <v/>
      </c>
      <c r="H786" s="110">
        <f>IF($A786="","",$G786*AySayisi)</f>
        <v/>
      </c>
    </row>
    <row r="787" ht="15" customHeight="1" s="62">
      <c r="A787" s="107" t="n"/>
      <c r="B787" s="110">
        <f>IFERROR(IF($A787="","",IFERROR(INDEX(tblCalisan[Brüt Ücret (₺)],MATCH($A787,tblCalisan[Çalışan Adı],0)),"")),"")</f>
        <v/>
      </c>
      <c r="C787" s="110">
        <f>IF($A787="","",$B787*IsverenPayiOrani)</f>
        <v/>
      </c>
      <c r="D787" s="110">
        <f>IF($A787="","",$B787*IssizlikOrani)</f>
        <v/>
      </c>
      <c r="E787" s="110">
        <f>IF($A787="","",$B787*KidemKarsilikOrani)</f>
        <v/>
      </c>
      <c r="F787" s="108" t="n"/>
      <c r="G787" s="110">
        <f>IF($A787="","",$B787+$C787+$D787+$E787+$F787)</f>
        <v/>
      </c>
      <c r="H787" s="110">
        <f>IF($A787="","",$G787*AySayisi)</f>
        <v/>
      </c>
    </row>
    <row r="788" ht="15" customHeight="1" s="62">
      <c r="A788" s="107" t="n"/>
      <c r="B788" s="110">
        <f>IFERROR(IF($A788="","",IFERROR(INDEX(tblCalisan[Brüt Ücret (₺)],MATCH($A788,tblCalisan[Çalışan Adı],0)),"")),"")</f>
        <v/>
      </c>
      <c r="C788" s="110">
        <f>IF($A788="","",$B788*IsverenPayiOrani)</f>
        <v/>
      </c>
      <c r="D788" s="110">
        <f>IF($A788="","",$B788*IssizlikOrani)</f>
        <v/>
      </c>
      <c r="E788" s="110">
        <f>IF($A788="","",$B788*KidemKarsilikOrani)</f>
        <v/>
      </c>
      <c r="F788" s="108" t="n"/>
      <c r="G788" s="110">
        <f>IF($A788="","",$B788+$C788+$D788+$E788+$F788)</f>
        <v/>
      </c>
      <c r="H788" s="110">
        <f>IF($A788="","",$G788*AySayisi)</f>
        <v/>
      </c>
    </row>
    <row r="789" ht="15" customHeight="1" s="62">
      <c r="A789" s="107" t="n"/>
      <c r="B789" s="110">
        <f>IFERROR(IF($A789="","",IFERROR(INDEX(tblCalisan[Brüt Ücret (₺)],MATCH($A789,tblCalisan[Çalışan Adı],0)),"")),"")</f>
        <v/>
      </c>
      <c r="C789" s="110">
        <f>IF($A789="","",$B789*IsverenPayiOrani)</f>
        <v/>
      </c>
      <c r="D789" s="110">
        <f>IF($A789="","",$B789*IssizlikOrani)</f>
        <v/>
      </c>
      <c r="E789" s="110">
        <f>IF($A789="","",$B789*KidemKarsilikOrani)</f>
        <v/>
      </c>
      <c r="F789" s="108" t="n"/>
      <c r="G789" s="110">
        <f>IF($A789="","",$B789+$C789+$D789+$E789+$F789)</f>
        <v/>
      </c>
      <c r="H789" s="110">
        <f>IF($A789="","",$G789*AySayisi)</f>
        <v/>
      </c>
    </row>
    <row r="790" ht="15" customHeight="1" s="62">
      <c r="A790" s="107" t="n"/>
      <c r="B790" s="110">
        <f>IFERROR(IF($A790="","",IFERROR(INDEX(tblCalisan[Brüt Ücret (₺)],MATCH($A790,tblCalisan[Çalışan Adı],0)),"")),"")</f>
        <v/>
      </c>
      <c r="C790" s="110">
        <f>IF($A790="","",$B790*IsverenPayiOrani)</f>
        <v/>
      </c>
      <c r="D790" s="110">
        <f>IF($A790="","",$B790*IssizlikOrani)</f>
        <v/>
      </c>
      <c r="E790" s="110">
        <f>IF($A790="","",$B790*KidemKarsilikOrani)</f>
        <v/>
      </c>
      <c r="F790" s="108" t="n"/>
      <c r="G790" s="110">
        <f>IF($A790="","",$B790+$C790+$D790+$E790+$F790)</f>
        <v/>
      </c>
      <c r="H790" s="110">
        <f>IF($A790="","",$G790*AySayisi)</f>
        <v/>
      </c>
    </row>
    <row r="791" ht="15" customHeight="1" s="62">
      <c r="A791" s="107" t="n"/>
      <c r="B791" s="110">
        <f>IFERROR(IF($A791="","",IFERROR(INDEX(tblCalisan[Brüt Ücret (₺)],MATCH($A791,tblCalisan[Çalışan Adı],0)),"")),"")</f>
        <v/>
      </c>
      <c r="C791" s="110">
        <f>IF($A791="","",$B791*IsverenPayiOrani)</f>
        <v/>
      </c>
      <c r="D791" s="110">
        <f>IF($A791="","",$B791*IssizlikOrani)</f>
        <v/>
      </c>
      <c r="E791" s="110">
        <f>IF($A791="","",$B791*KidemKarsilikOrani)</f>
        <v/>
      </c>
      <c r="F791" s="108" t="n"/>
      <c r="G791" s="110">
        <f>IF($A791="","",$B791+$C791+$D791+$E791+$F791)</f>
        <v/>
      </c>
      <c r="H791" s="110">
        <f>IF($A791="","",$G791*AySayisi)</f>
        <v/>
      </c>
    </row>
    <row r="792" ht="15" customHeight="1" s="62">
      <c r="A792" s="107" t="n"/>
      <c r="B792" s="110">
        <f>IFERROR(IF($A792="","",IFERROR(INDEX(tblCalisan[Brüt Ücret (₺)],MATCH($A792,tblCalisan[Çalışan Adı],0)),"")),"")</f>
        <v/>
      </c>
      <c r="C792" s="110">
        <f>IF($A792="","",$B792*IsverenPayiOrani)</f>
        <v/>
      </c>
      <c r="D792" s="110">
        <f>IF($A792="","",$B792*IssizlikOrani)</f>
        <v/>
      </c>
      <c r="E792" s="110">
        <f>IF($A792="","",$B792*KidemKarsilikOrani)</f>
        <v/>
      </c>
      <c r="F792" s="108" t="n"/>
      <c r="G792" s="110">
        <f>IF($A792="","",$B792+$C792+$D792+$E792+$F792)</f>
        <v/>
      </c>
      <c r="H792" s="110">
        <f>IF($A792="","",$G792*AySayisi)</f>
        <v/>
      </c>
    </row>
    <row r="793" ht="15" customHeight="1" s="62">
      <c r="A793" s="107" t="n"/>
      <c r="B793" s="110">
        <f>IFERROR(IF($A793="","",IFERROR(INDEX(tblCalisan[Brüt Ücret (₺)],MATCH($A793,tblCalisan[Çalışan Adı],0)),"")),"")</f>
        <v/>
      </c>
      <c r="C793" s="110">
        <f>IF($A793="","",$B793*IsverenPayiOrani)</f>
        <v/>
      </c>
      <c r="D793" s="110">
        <f>IF($A793="","",$B793*IssizlikOrani)</f>
        <v/>
      </c>
      <c r="E793" s="110">
        <f>IF($A793="","",$B793*KidemKarsilikOrani)</f>
        <v/>
      </c>
      <c r="F793" s="108" t="n"/>
      <c r="G793" s="110">
        <f>IF($A793="","",$B793+$C793+$D793+$E793+$F793)</f>
        <v/>
      </c>
      <c r="H793" s="110">
        <f>IF($A793="","",$G793*AySayisi)</f>
        <v/>
      </c>
    </row>
    <row r="794" ht="15" customHeight="1" s="62">
      <c r="A794" s="107" t="n"/>
      <c r="B794" s="110">
        <f>IFERROR(IF($A794="","",IFERROR(INDEX(tblCalisan[Brüt Ücret (₺)],MATCH($A794,tblCalisan[Çalışan Adı],0)),"")),"")</f>
        <v/>
      </c>
      <c r="C794" s="110">
        <f>IF($A794="","",$B794*IsverenPayiOrani)</f>
        <v/>
      </c>
      <c r="D794" s="110">
        <f>IF($A794="","",$B794*IssizlikOrani)</f>
        <v/>
      </c>
      <c r="E794" s="110">
        <f>IF($A794="","",$B794*KidemKarsilikOrani)</f>
        <v/>
      </c>
      <c r="F794" s="108" t="n"/>
      <c r="G794" s="110">
        <f>IF($A794="","",$B794+$C794+$D794+$E794+$F794)</f>
        <v/>
      </c>
      <c r="H794" s="110">
        <f>IF($A794="","",$G794*AySayisi)</f>
        <v/>
      </c>
    </row>
    <row r="795" ht="15" customHeight="1" s="62">
      <c r="A795" s="107" t="n"/>
      <c r="B795" s="110">
        <f>IFERROR(IF($A795="","",IFERROR(INDEX(tblCalisan[Brüt Ücret (₺)],MATCH($A795,tblCalisan[Çalışan Adı],0)),"")),"")</f>
        <v/>
      </c>
      <c r="C795" s="110">
        <f>IF($A795="","",$B795*IsverenPayiOrani)</f>
        <v/>
      </c>
      <c r="D795" s="110">
        <f>IF($A795="","",$B795*IssizlikOrani)</f>
        <v/>
      </c>
      <c r="E795" s="110">
        <f>IF($A795="","",$B795*KidemKarsilikOrani)</f>
        <v/>
      </c>
      <c r="F795" s="108" t="n"/>
      <c r="G795" s="110">
        <f>IF($A795="","",$B795+$C795+$D795+$E795+$F795)</f>
        <v/>
      </c>
      <c r="H795" s="110">
        <f>IF($A795="","",$G795*AySayisi)</f>
        <v/>
      </c>
    </row>
    <row r="796" ht="15" customHeight="1" s="62">
      <c r="A796" s="107" t="n"/>
      <c r="B796" s="110">
        <f>IFERROR(IF($A796="","",IFERROR(INDEX(tblCalisan[Brüt Ücret (₺)],MATCH($A796,tblCalisan[Çalışan Adı],0)),"")),"")</f>
        <v/>
      </c>
      <c r="C796" s="110">
        <f>IF($A796="","",$B796*IsverenPayiOrani)</f>
        <v/>
      </c>
      <c r="D796" s="110">
        <f>IF($A796="","",$B796*IssizlikOrani)</f>
        <v/>
      </c>
      <c r="E796" s="110">
        <f>IF($A796="","",$B796*KidemKarsilikOrani)</f>
        <v/>
      </c>
      <c r="F796" s="108" t="n"/>
      <c r="G796" s="110">
        <f>IF($A796="","",$B796+$C796+$D796+$E796+$F796)</f>
        <v/>
      </c>
      <c r="H796" s="110">
        <f>IF($A796="","",$G796*AySayisi)</f>
        <v/>
      </c>
    </row>
    <row r="797" ht="15" customHeight="1" s="62">
      <c r="A797" s="107" t="n"/>
      <c r="B797" s="110">
        <f>IFERROR(IF($A797="","",IFERROR(INDEX(tblCalisan[Brüt Ücret (₺)],MATCH($A797,tblCalisan[Çalışan Adı],0)),"")),"")</f>
        <v/>
      </c>
      <c r="C797" s="110">
        <f>IF($A797="","",$B797*IsverenPayiOrani)</f>
        <v/>
      </c>
      <c r="D797" s="110">
        <f>IF($A797="","",$B797*IssizlikOrani)</f>
        <v/>
      </c>
      <c r="E797" s="110">
        <f>IF($A797="","",$B797*KidemKarsilikOrani)</f>
        <v/>
      </c>
      <c r="F797" s="108" t="n"/>
      <c r="G797" s="110">
        <f>IF($A797="","",$B797+$C797+$D797+$E797+$F797)</f>
        <v/>
      </c>
      <c r="H797" s="110">
        <f>IF($A797="","",$G797*AySayisi)</f>
        <v/>
      </c>
    </row>
    <row r="798" ht="15" customHeight="1" s="62">
      <c r="A798" s="107" t="n"/>
      <c r="B798" s="110">
        <f>IFERROR(IF($A798="","",IFERROR(INDEX(tblCalisan[Brüt Ücret (₺)],MATCH($A798,tblCalisan[Çalışan Adı],0)),"")),"")</f>
        <v/>
      </c>
      <c r="C798" s="110">
        <f>IF($A798="","",$B798*IsverenPayiOrani)</f>
        <v/>
      </c>
      <c r="D798" s="110">
        <f>IF($A798="","",$B798*IssizlikOrani)</f>
        <v/>
      </c>
      <c r="E798" s="110">
        <f>IF($A798="","",$B798*KidemKarsilikOrani)</f>
        <v/>
      </c>
      <c r="F798" s="108" t="n"/>
      <c r="G798" s="110">
        <f>IF($A798="","",$B798+$C798+$D798+$E798+$F798)</f>
        <v/>
      </c>
      <c r="H798" s="110">
        <f>IF($A798="","",$G798*AySayisi)</f>
        <v/>
      </c>
    </row>
    <row r="799" ht="15" customHeight="1" s="62">
      <c r="A799" s="107" t="n"/>
      <c r="B799" s="110">
        <f>IFERROR(IF($A799="","",IFERROR(INDEX(tblCalisan[Brüt Ücret (₺)],MATCH($A799,tblCalisan[Çalışan Adı],0)),"")),"")</f>
        <v/>
      </c>
      <c r="C799" s="110">
        <f>IF($A799="","",$B799*IsverenPayiOrani)</f>
        <v/>
      </c>
      <c r="D799" s="110">
        <f>IF($A799="","",$B799*IssizlikOrani)</f>
        <v/>
      </c>
      <c r="E799" s="110">
        <f>IF($A799="","",$B799*KidemKarsilikOrani)</f>
        <v/>
      </c>
      <c r="F799" s="108" t="n"/>
      <c r="G799" s="110">
        <f>IF($A799="","",$B799+$C799+$D799+$E799+$F799)</f>
        <v/>
      </c>
      <c r="H799" s="110">
        <f>IF($A799="","",$G799*AySayisi)</f>
        <v/>
      </c>
    </row>
    <row r="800" ht="15" customHeight="1" s="62">
      <c r="A800" s="107" t="n"/>
      <c r="B800" s="110">
        <f>IFERROR(IF($A800="","",IFERROR(INDEX(tblCalisan[Brüt Ücret (₺)],MATCH($A800,tblCalisan[Çalışan Adı],0)),"")),"")</f>
        <v/>
      </c>
      <c r="C800" s="110">
        <f>IF($A800="","",$B800*IsverenPayiOrani)</f>
        <v/>
      </c>
      <c r="D800" s="110">
        <f>IF($A800="","",$B800*IssizlikOrani)</f>
        <v/>
      </c>
      <c r="E800" s="110">
        <f>IF($A800="","",$B800*KidemKarsilikOrani)</f>
        <v/>
      </c>
      <c r="F800" s="108" t="n"/>
      <c r="G800" s="110">
        <f>IF($A800="","",$B800+$C800+$D800+$E800+$F800)</f>
        <v/>
      </c>
      <c r="H800" s="110">
        <f>IF($A800="","",$G800*AySayisi)</f>
        <v/>
      </c>
    </row>
    <row r="801" ht="15" customHeight="1" s="62">
      <c r="A801" s="107" t="n"/>
      <c r="B801" s="110">
        <f>IFERROR(IF($A801="","",IFERROR(INDEX(tblCalisan[Brüt Ücret (₺)],MATCH($A801,tblCalisan[Çalışan Adı],0)),"")),"")</f>
        <v/>
      </c>
      <c r="C801" s="110">
        <f>IF($A801="","",$B801*IsverenPayiOrani)</f>
        <v/>
      </c>
      <c r="D801" s="110">
        <f>IF($A801="","",$B801*IssizlikOrani)</f>
        <v/>
      </c>
      <c r="E801" s="110">
        <f>IF($A801="","",$B801*KidemKarsilikOrani)</f>
        <v/>
      </c>
      <c r="F801" s="108" t="n"/>
      <c r="G801" s="110">
        <f>IF($A801="","",$B801+$C801+$D801+$E801+$F801)</f>
        <v/>
      </c>
      <c r="H801" s="110">
        <f>IF($A801="","",$G801*AySayisi)</f>
        <v/>
      </c>
    </row>
    <row r="802" ht="15" customHeight="1" s="62">
      <c r="A802" s="107" t="n"/>
      <c r="B802" s="110">
        <f>IFERROR(IF($A802="","",IFERROR(INDEX(tblCalisan[Brüt Ücret (₺)],MATCH($A802,tblCalisan[Çalışan Adı],0)),"")),"")</f>
        <v/>
      </c>
      <c r="C802" s="110">
        <f>IF($A802="","",$B802*IsverenPayiOrani)</f>
        <v/>
      </c>
      <c r="D802" s="110">
        <f>IF($A802="","",$B802*IssizlikOrani)</f>
        <v/>
      </c>
      <c r="E802" s="110">
        <f>IF($A802="","",$B802*KidemKarsilikOrani)</f>
        <v/>
      </c>
      <c r="F802" s="108" t="n"/>
      <c r="G802" s="110">
        <f>IF($A802="","",$B802+$C802+$D802+$E802+$F802)</f>
        <v/>
      </c>
      <c r="H802" s="110">
        <f>IF($A802="","",$G802*AySayisi)</f>
        <v/>
      </c>
    </row>
    <row r="803" ht="15" customHeight="1" s="62">
      <c r="A803" s="107" t="n"/>
      <c r="B803" s="110">
        <f>IFERROR(IF($A803="","",IFERROR(INDEX(tblCalisan[Brüt Ücret (₺)],MATCH($A803,tblCalisan[Çalışan Adı],0)),"")),"")</f>
        <v/>
      </c>
      <c r="C803" s="110">
        <f>IF($A803="","",$B803*IsverenPayiOrani)</f>
        <v/>
      </c>
      <c r="D803" s="110">
        <f>IF($A803="","",$B803*IssizlikOrani)</f>
        <v/>
      </c>
      <c r="E803" s="110">
        <f>IF($A803="","",$B803*KidemKarsilikOrani)</f>
        <v/>
      </c>
      <c r="F803" s="108" t="n"/>
      <c r="G803" s="110">
        <f>IF($A803="","",$B803+$C803+$D803+$E803+$F803)</f>
        <v/>
      </c>
      <c r="H803" s="110">
        <f>IF($A803="","",$G803*AySayisi)</f>
        <v/>
      </c>
    </row>
    <row r="804" ht="15" customHeight="1" s="62">
      <c r="A804" s="107" t="n"/>
      <c r="B804" s="110">
        <f>IFERROR(IF($A804="","",IFERROR(INDEX(tblCalisan[Brüt Ücret (₺)],MATCH($A804,tblCalisan[Çalışan Adı],0)),"")),"")</f>
        <v/>
      </c>
      <c r="C804" s="110">
        <f>IF($A804="","",$B804*IsverenPayiOrani)</f>
        <v/>
      </c>
      <c r="D804" s="110">
        <f>IF($A804="","",$B804*IssizlikOrani)</f>
        <v/>
      </c>
      <c r="E804" s="110">
        <f>IF($A804="","",$B804*KidemKarsilikOrani)</f>
        <v/>
      </c>
      <c r="F804" s="108" t="n"/>
      <c r="G804" s="110">
        <f>IF($A804="","",$B804+$C804+$D804+$E804+$F804)</f>
        <v/>
      </c>
      <c r="H804" s="110">
        <f>IF($A804="","",$G804*AySayisi)</f>
        <v/>
      </c>
    </row>
    <row r="805" ht="15" customHeight="1" s="62">
      <c r="A805" s="107" t="n"/>
      <c r="B805" s="110">
        <f>IFERROR(IF($A805="","",IFERROR(INDEX(tblCalisan[Brüt Ücret (₺)],MATCH($A805,tblCalisan[Çalışan Adı],0)),"")),"")</f>
        <v/>
      </c>
      <c r="C805" s="110">
        <f>IF($A805="","",$B805*IsverenPayiOrani)</f>
        <v/>
      </c>
      <c r="D805" s="110">
        <f>IF($A805="","",$B805*IssizlikOrani)</f>
        <v/>
      </c>
      <c r="E805" s="110">
        <f>IF($A805="","",$B805*KidemKarsilikOrani)</f>
        <v/>
      </c>
      <c r="F805" s="108" t="n"/>
      <c r="G805" s="110">
        <f>IF($A805="","",$B805+$C805+$D805+$E805+$F805)</f>
        <v/>
      </c>
      <c r="H805" s="110">
        <f>IF($A805="","",$G805*AySayisi)</f>
        <v/>
      </c>
    </row>
    <row r="806" ht="15" customHeight="1" s="62">
      <c r="A806" s="107" t="n"/>
      <c r="B806" s="110">
        <f>IFERROR(IF($A806="","",IFERROR(INDEX(tblCalisan[Brüt Ücret (₺)],MATCH($A806,tblCalisan[Çalışan Adı],0)),"")),"")</f>
        <v/>
      </c>
      <c r="C806" s="110">
        <f>IF($A806="","",$B806*IsverenPayiOrani)</f>
        <v/>
      </c>
      <c r="D806" s="110">
        <f>IF($A806="","",$B806*IssizlikOrani)</f>
        <v/>
      </c>
      <c r="E806" s="110">
        <f>IF($A806="","",$B806*KidemKarsilikOrani)</f>
        <v/>
      </c>
      <c r="F806" s="108" t="n"/>
      <c r="G806" s="110">
        <f>IF($A806="","",$B806+$C806+$D806+$E806+$F806)</f>
        <v/>
      </c>
      <c r="H806" s="110">
        <f>IF($A806="","",$G806*AySayisi)</f>
        <v/>
      </c>
    </row>
    <row r="807" ht="15" customHeight="1" s="62">
      <c r="A807" s="107" t="n"/>
      <c r="B807" s="110">
        <f>IFERROR(IF($A807="","",IFERROR(INDEX(tblCalisan[Brüt Ücret (₺)],MATCH($A807,tblCalisan[Çalışan Adı],0)),"")),"")</f>
        <v/>
      </c>
      <c r="C807" s="110">
        <f>IF($A807="","",$B807*IsverenPayiOrani)</f>
        <v/>
      </c>
      <c r="D807" s="110">
        <f>IF($A807="","",$B807*IssizlikOrani)</f>
        <v/>
      </c>
      <c r="E807" s="110">
        <f>IF($A807="","",$B807*KidemKarsilikOrani)</f>
        <v/>
      </c>
      <c r="F807" s="108" t="n"/>
      <c r="G807" s="110">
        <f>IF($A807="","",$B807+$C807+$D807+$E807+$F807)</f>
        <v/>
      </c>
      <c r="H807" s="110">
        <f>IF($A807="","",$G807*AySayisi)</f>
        <v/>
      </c>
    </row>
    <row r="808" ht="15" customHeight="1" s="62">
      <c r="A808" s="107" t="n"/>
      <c r="B808" s="110">
        <f>IFERROR(IF($A808="","",IFERROR(INDEX(tblCalisan[Brüt Ücret (₺)],MATCH($A808,tblCalisan[Çalışan Adı],0)),"")),"")</f>
        <v/>
      </c>
      <c r="C808" s="110">
        <f>IF($A808="","",$B808*IsverenPayiOrani)</f>
        <v/>
      </c>
      <c r="D808" s="110">
        <f>IF($A808="","",$B808*IssizlikOrani)</f>
        <v/>
      </c>
      <c r="E808" s="110">
        <f>IF($A808="","",$B808*KidemKarsilikOrani)</f>
        <v/>
      </c>
      <c r="F808" s="108" t="n"/>
      <c r="G808" s="110">
        <f>IF($A808="","",$B808+$C808+$D808+$E808+$F808)</f>
        <v/>
      </c>
      <c r="H808" s="110">
        <f>IF($A808="","",$G808*AySayisi)</f>
        <v/>
      </c>
    </row>
    <row r="809" ht="15" customHeight="1" s="62">
      <c r="A809" s="107" t="n"/>
      <c r="B809" s="110">
        <f>IFERROR(IF($A809="","",IFERROR(INDEX(tblCalisan[Brüt Ücret (₺)],MATCH($A809,tblCalisan[Çalışan Adı],0)),"")),"")</f>
        <v/>
      </c>
      <c r="C809" s="110">
        <f>IF($A809="","",$B809*IsverenPayiOrani)</f>
        <v/>
      </c>
      <c r="D809" s="110">
        <f>IF($A809="","",$B809*IssizlikOrani)</f>
        <v/>
      </c>
      <c r="E809" s="110">
        <f>IF($A809="","",$B809*KidemKarsilikOrani)</f>
        <v/>
      </c>
      <c r="F809" s="108" t="n"/>
      <c r="G809" s="110">
        <f>IF($A809="","",$B809+$C809+$D809+$E809+$F809)</f>
        <v/>
      </c>
      <c r="H809" s="110">
        <f>IF($A809="","",$G809*AySayisi)</f>
        <v/>
      </c>
    </row>
    <row r="810" ht="15" customHeight="1" s="62">
      <c r="A810" s="107" t="n"/>
      <c r="B810" s="110">
        <f>IFERROR(IF($A810="","",IFERROR(INDEX(tblCalisan[Brüt Ücret (₺)],MATCH($A810,tblCalisan[Çalışan Adı],0)),"")),"")</f>
        <v/>
      </c>
      <c r="C810" s="110">
        <f>IF($A810="","",$B810*IsverenPayiOrani)</f>
        <v/>
      </c>
      <c r="D810" s="110">
        <f>IF($A810="","",$B810*IssizlikOrani)</f>
        <v/>
      </c>
      <c r="E810" s="110">
        <f>IF($A810="","",$B810*KidemKarsilikOrani)</f>
        <v/>
      </c>
      <c r="F810" s="108" t="n"/>
      <c r="G810" s="110">
        <f>IF($A810="","",$B810+$C810+$D810+$E810+$F810)</f>
        <v/>
      </c>
      <c r="H810" s="110">
        <f>IF($A810="","",$G810*AySayisi)</f>
        <v/>
      </c>
    </row>
    <row r="811" ht="15" customHeight="1" s="62">
      <c r="A811" s="107" t="n"/>
      <c r="B811" s="110">
        <f>IFERROR(IF($A811="","",IFERROR(INDEX(tblCalisan[Brüt Ücret (₺)],MATCH($A811,tblCalisan[Çalışan Adı],0)),"")),"")</f>
        <v/>
      </c>
      <c r="C811" s="110">
        <f>IF($A811="","",$B811*IsverenPayiOrani)</f>
        <v/>
      </c>
      <c r="D811" s="110">
        <f>IF($A811="","",$B811*IssizlikOrani)</f>
        <v/>
      </c>
      <c r="E811" s="110">
        <f>IF($A811="","",$B811*KidemKarsilikOrani)</f>
        <v/>
      </c>
      <c r="F811" s="108" t="n"/>
      <c r="G811" s="110">
        <f>IF($A811="","",$B811+$C811+$D811+$E811+$F811)</f>
        <v/>
      </c>
      <c r="H811" s="110">
        <f>IF($A811="","",$G811*AySayisi)</f>
        <v/>
      </c>
    </row>
    <row r="812" ht="15" customHeight="1" s="62">
      <c r="A812" s="107" t="n"/>
      <c r="B812" s="110">
        <f>IFERROR(IF($A812="","",IFERROR(INDEX(tblCalisan[Brüt Ücret (₺)],MATCH($A812,tblCalisan[Çalışan Adı],0)),"")),"")</f>
        <v/>
      </c>
      <c r="C812" s="110">
        <f>IF($A812="","",$B812*IsverenPayiOrani)</f>
        <v/>
      </c>
      <c r="D812" s="110">
        <f>IF($A812="","",$B812*IssizlikOrani)</f>
        <v/>
      </c>
      <c r="E812" s="110">
        <f>IF($A812="","",$B812*KidemKarsilikOrani)</f>
        <v/>
      </c>
      <c r="F812" s="108" t="n"/>
      <c r="G812" s="110">
        <f>IF($A812="","",$B812+$C812+$D812+$E812+$F812)</f>
        <v/>
      </c>
      <c r="H812" s="110">
        <f>IF($A812="","",$G812*AySayisi)</f>
        <v/>
      </c>
    </row>
    <row r="813" ht="15" customHeight="1" s="62">
      <c r="A813" s="107" t="n"/>
      <c r="B813" s="110">
        <f>IFERROR(IF($A813="","",IFERROR(INDEX(tblCalisan[Brüt Ücret (₺)],MATCH($A813,tblCalisan[Çalışan Adı],0)),"")),"")</f>
        <v/>
      </c>
      <c r="C813" s="110">
        <f>IF($A813="","",$B813*IsverenPayiOrani)</f>
        <v/>
      </c>
      <c r="D813" s="110">
        <f>IF($A813="","",$B813*IssizlikOrani)</f>
        <v/>
      </c>
      <c r="E813" s="110">
        <f>IF($A813="","",$B813*KidemKarsilikOrani)</f>
        <v/>
      </c>
      <c r="F813" s="108" t="n"/>
      <c r="G813" s="110">
        <f>IF($A813="","",$B813+$C813+$D813+$E813+$F813)</f>
        <v/>
      </c>
      <c r="H813" s="110">
        <f>IF($A813="","",$G813*AySayisi)</f>
        <v/>
      </c>
    </row>
    <row r="814" ht="15" customHeight="1" s="62">
      <c r="A814" s="107" t="n"/>
      <c r="B814" s="110">
        <f>IFERROR(IF($A814="","",IFERROR(INDEX(tblCalisan[Brüt Ücret (₺)],MATCH($A814,tblCalisan[Çalışan Adı],0)),"")),"")</f>
        <v/>
      </c>
      <c r="C814" s="110">
        <f>IF($A814="","",$B814*IsverenPayiOrani)</f>
        <v/>
      </c>
      <c r="D814" s="110">
        <f>IF($A814="","",$B814*IssizlikOrani)</f>
        <v/>
      </c>
      <c r="E814" s="110">
        <f>IF($A814="","",$B814*KidemKarsilikOrani)</f>
        <v/>
      </c>
      <c r="F814" s="108" t="n"/>
      <c r="G814" s="110">
        <f>IF($A814="","",$B814+$C814+$D814+$E814+$F814)</f>
        <v/>
      </c>
      <c r="H814" s="110">
        <f>IF($A814="","",$G814*AySayisi)</f>
        <v/>
      </c>
    </row>
    <row r="815" ht="15" customHeight="1" s="62">
      <c r="A815" s="107" t="n"/>
      <c r="B815" s="110">
        <f>IFERROR(IF($A815="","",IFERROR(INDEX(tblCalisan[Brüt Ücret (₺)],MATCH($A815,tblCalisan[Çalışan Adı],0)),"")),"")</f>
        <v/>
      </c>
      <c r="C815" s="110">
        <f>IF($A815="","",$B815*IsverenPayiOrani)</f>
        <v/>
      </c>
      <c r="D815" s="110">
        <f>IF($A815="","",$B815*IssizlikOrani)</f>
        <v/>
      </c>
      <c r="E815" s="110">
        <f>IF($A815="","",$B815*KidemKarsilikOrani)</f>
        <v/>
      </c>
      <c r="F815" s="108" t="n"/>
      <c r="G815" s="110">
        <f>IF($A815="","",$B815+$C815+$D815+$E815+$F815)</f>
        <v/>
      </c>
      <c r="H815" s="110">
        <f>IF($A815="","",$G815*AySayisi)</f>
        <v/>
      </c>
    </row>
    <row r="816" ht="15" customHeight="1" s="62">
      <c r="A816" s="107" t="n"/>
      <c r="B816" s="110">
        <f>IFERROR(IF($A816="","",IFERROR(INDEX(tblCalisan[Brüt Ücret (₺)],MATCH($A816,tblCalisan[Çalışan Adı],0)),"")),"")</f>
        <v/>
      </c>
      <c r="C816" s="110">
        <f>IF($A816="","",$B816*IsverenPayiOrani)</f>
        <v/>
      </c>
      <c r="D816" s="110">
        <f>IF($A816="","",$B816*IssizlikOrani)</f>
        <v/>
      </c>
      <c r="E816" s="110">
        <f>IF($A816="","",$B816*KidemKarsilikOrani)</f>
        <v/>
      </c>
      <c r="F816" s="108" t="n"/>
      <c r="G816" s="110">
        <f>IF($A816="","",$B816+$C816+$D816+$E816+$F816)</f>
        <v/>
      </c>
      <c r="H816" s="110">
        <f>IF($A816="","",$G816*AySayisi)</f>
        <v/>
      </c>
    </row>
    <row r="817" ht="15" customHeight="1" s="62">
      <c r="A817" s="107" t="n"/>
      <c r="B817" s="110">
        <f>IFERROR(IF($A817="","",IFERROR(INDEX(tblCalisan[Brüt Ücret (₺)],MATCH($A817,tblCalisan[Çalışan Adı],0)),"")),"")</f>
        <v/>
      </c>
      <c r="C817" s="110">
        <f>IF($A817="","",$B817*IsverenPayiOrani)</f>
        <v/>
      </c>
      <c r="D817" s="110">
        <f>IF($A817="","",$B817*IssizlikOrani)</f>
        <v/>
      </c>
      <c r="E817" s="110">
        <f>IF($A817="","",$B817*KidemKarsilikOrani)</f>
        <v/>
      </c>
      <c r="F817" s="108" t="n"/>
      <c r="G817" s="110">
        <f>IF($A817="","",$B817+$C817+$D817+$E817+$F817)</f>
        <v/>
      </c>
      <c r="H817" s="110">
        <f>IF($A817="","",$G817*AySayisi)</f>
        <v/>
      </c>
    </row>
    <row r="818" ht="15" customHeight="1" s="62">
      <c r="A818" s="107" t="n"/>
      <c r="B818" s="110">
        <f>IFERROR(IF($A818="","",IFERROR(INDEX(tblCalisan[Brüt Ücret (₺)],MATCH($A818,tblCalisan[Çalışan Adı],0)),"")),"")</f>
        <v/>
      </c>
      <c r="C818" s="110">
        <f>IF($A818="","",$B818*IsverenPayiOrani)</f>
        <v/>
      </c>
      <c r="D818" s="110">
        <f>IF($A818="","",$B818*IssizlikOrani)</f>
        <v/>
      </c>
      <c r="E818" s="110">
        <f>IF($A818="","",$B818*KidemKarsilikOrani)</f>
        <v/>
      </c>
      <c r="F818" s="108" t="n"/>
      <c r="G818" s="110">
        <f>IF($A818="","",$B818+$C818+$D818+$E818+$F818)</f>
        <v/>
      </c>
      <c r="H818" s="110">
        <f>IF($A818="","",$G818*AySayisi)</f>
        <v/>
      </c>
    </row>
    <row r="819" ht="15" customHeight="1" s="62">
      <c r="A819" s="107" t="n"/>
      <c r="B819" s="110">
        <f>IFERROR(IF($A819="","",IFERROR(INDEX(tblCalisan[Brüt Ücret (₺)],MATCH($A819,tblCalisan[Çalışan Adı],0)),"")),"")</f>
        <v/>
      </c>
      <c r="C819" s="110">
        <f>IF($A819="","",$B819*IsverenPayiOrani)</f>
        <v/>
      </c>
      <c r="D819" s="110">
        <f>IF($A819="","",$B819*IssizlikOrani)</f>
        <v/>
      </c>
      <c r="E819" s="110">
        <f>IF($A819="","",$B819*KidemKarsilikOrani)</f>
        <v/>
      </c>
      <c r="F819" s="108" t="n"/>
      <c r="G819" s="110">
        <f>IF($A819="","",$B819+$C819+$D819+$E819+$F819)</f>
        <v/>
      </c>
      <c r="H819" s="110">
        <f>IF($A819="","",$G819*AySayisi)</f>
        <v/>
      </c>
    </row>
    <row r="820" ht="15" customHeight="1" s="62">
      <c r="A820" s="107" t="n"/>
      <c r="B820" s="110">
        <f>IFERROR(IF($A820="","",IFERROR(INDEX(tblCalisan[Brüt Ücret (₺)],MATCH($A820,tblCalisan[Çalışan Adı],0)),"")),"")</f>
        <v/>
      </c>
      <c r="C820" s="110">
        <f>IF($A820="","",$B820*IsverenPayiOrani)</f>
        <v/>
      </c>
      <c r="D820" s="110">
        <f>IF($A820="","",$B820*IssizlikOrani)</f>
        <v/>
      </c>
      <c r="E820" s="110">
        <f>IF($A820="","",$B820*KidemKarsilikOrani)</f>
        <v/>
      </c>
      <c r="F820" s="108" t="n"/>
      <c r="G820" s="110">
        <f>IF($A820="","",$B820+$C820+$D820+$E820+$F820)</f>
        <v/>
      </c>
      <c r="H820" s="110">
        <f>IF($A820="","",$G820*AySayisi)</f>
        <v/>
      </c>
    </row>
    <row r="821" ht="15" customHeight="1" s="62">
      <c r="A821" s="107" t="n"/>
      <c r="B821" s="110">
        <f>IFERROR(IF($A821="","",IFERROR(INDEX(tblCalisan[Brüt Ücret (₺)],MATCH($A821,tblCalisan[Çalışan Adı],0)),"")),"")</f>
        <v/>
      </c>
      <c r="C821" s="110">
        <f>IF($A821="","",$B821*IsverenPayiOrani)</f>
        <v/>
      </c>
      <c r="D821" s="110">
        <f>IF($A821="","",$B821*IssizlikOrani)</f>
        <v/>
      </c>
      <c r="E821" s="110">
        <f>IF($A821="","",$B821*KidemKarsilikOrani)</f>
        <v/>
      </c>
      <c r="F821" s="108" t="n"/>
      <c r="G821" s="110">
        <f>IF($A821="","",$B821+$C821+$D821+$E821+$F821)</f>
        <v/>
      </c>
      <c r="H821" s="110">
        <f>IF($A821="","",$G821*AySayisi)</f>
        <v/>
      </c>
    </row>
    <row r="822" ht="15" customHeight="1" s="62">
      <c r="A822" s="107" t="n"/>
      <c r="B822" s="110">
        <f>IFERROR(IF($A822="","",IFERROR(INDEX(tblCalisan[Brüt Ücret (₺)],MATCH($A822,tblCalisan[Çalışan Adı],0)),"")),"")</f>
        <v/>
      </c>
      <c r="C822" s="110">
        <f>IF($A822="","",$B822*IsverenPayiOrani)</f>
        <v/>
      </c>
      <c r="D822" s="110">
        <f>IF($A822="","",$B822*IssizlikOrani)</f>
        <v/>
      </c>
      <c r="E822" s="110">
        <f>IF($A822="","",$B822*KidemKarsilikOrani)</f>
        <v/>
      </c>
      <c r="F822" s="108" t="n"/>
      <c r="G822" s="110">
        <f>IF($A822="","",$B822+$C822+$D822+$E822+$F822)</f>
        <v/>
      </c>
      <c r="H822" s="110">
        <f>IF($A822="","",$G822*AySayisi)</f>
        <v/>
      </c>
    </row>
    <row r="823" ht="15" customHeight="1" s="62">
      <c r="A823" s="107" t="n"/>
      <c r="B823" s="110">
        <f>IFERROR(IF($A823="","",IFERROR(INDEX(tblCalisan[Brüt Ücret (₺)],MATCH($A823,tblCalisan[Çalışan Adı],0)),"")),"")</f>
        <v/>
      </c>
      <c r="C823" s="110">
        <f>IF($A823="","",$B823*IsverenPayiOrani)</f>
        <v/>
      </c>
      <c r="D823" s="110">
        <f>IF($A823="","",$B823*IssizlikOrani)</f>
        <v/>
      </c>
      <c r="E823" s="110">
        <f>IF($A823="","",$B823*KidemKarsilikOrani)</f>
        <v/>
      </c>
      <c r="F823" s="108" t="n"/>
      <c r="G823" s="110">
        <f>IF($A823="","",$B823+$C823+$D823+$E823+$F823)</f>
        <v/>
      </c>
      <c r="H823" s="110">
        <f>IF($A823="","",$G823*AySayisi)</f>
        <v/>
      </c>
    </row>
    <row r="824" ht="15" customHeight="1" s="62">
      <c r="A824" s="107" t="n"/>
      <c r="B824" s="110">
        <f>IFERROR(IF($A824="","",IFERROR(INDEX(tblCalisan[Brüt Ücret (₺)],MATCH($A824,tblCalisan[Çalışan Adı],0)),"")),"")</f>
        <v/>
      </c>
      <c r="C824" s="110">
        <f>IF($A824="","",$B824*IsverenPayiOrani)</f>
        <v/>
      </c>
      <c r="D824" s="110">
        <f>IF($A824="","",$B824*IssizlikOrani)</f>
        <v/>
      </c>
      <c r="E824" s="110">
        <f>IF($A824="","",$B824*KidemKarsilikOrani)</f>
        <v/>
      </c>
      <c r="F824" s="108" t="n"/>
      <c r="G824" s="110">
        <f>IF($A824="","",$B824+$C824+$D824+$E824+$F824)</f>
        <v/>
      </c>
      <c r="H824" s="110">
        <f>IF($A824="","",$G824*AySayisi)</f>
        <v/>
      </c>
    </row>
    <row r="825" ht="15" customHeight="1" s="62">
      <c r="A825" s="107" t="n"/>
      <c r="B825" s="110">
        <f>IFERROR(IF($A825="","",IFERROR(INDEX(tblCalisan[Brüt Ücret (₺)],MATCH($A825,tblCalisan[Çalışan Adı],0)),"")),"")</f>
        <v/>
      </c>
      <c r="C825" s="110">
        <f>IF($A825="","",$B825*IsverenPayiOrani)</f>
        <v/>
      </c>
      <c r="D825" s="110">
        <f>IF($A825="","",$B825*IssizlikOrani)</f>
        <v/>
      </c>
      <c r="E825" s="110">
        <f>IF($A825="","",$B825*KidemKarsilikOrani)</f>
        <v/>
      </c>
      <c r="F825" s="108" t="n"/>
      <c r="G825" s="110">
        <f>IF($A825="","",$B825+$C825+$D825+$E825+$F825)</f>
        <v/>
      </c>
      <c r="H825" s="110">
        <f>IF($A825="","",$G825*AySayisi)</f>
        <v/>
      </c>
    </row>
    <row r="826" ht="15" customHeight="1" s="62">
      <c r="A826" s="107" t="n"/>
      <c r="B826" s="110">
        <f>IFERROR(IF($A826="","",IFERROR(INDEX(tblCalisan[Brüt Ücret (₺)],MATCH($A826,tblCalisan[Çalışan Adı],0)),"")),"")</f>
        <v/>
      </c>
      <c r="C826" s="110">
        <f>IF($A826="","",$B826*IsverenPayiOrani)</f>
        <v/>
      </c>
      <c r="D826" s="110">
        <f>IF($A826="","",$B826*IssizlikOrani)</f>
        <v/>
      </c>
      <c r="E826" s="110">
        <f>IF($A826="","",$B826*KidemKarsilikOrani)</f>
        <v/>
      </c>
      <c r="F826" s="108" t="n"/>
      <c r="G826" s="110">
        <f>IF($A826="","",$B826+$C826+$D826+$E826+$F826)</f>
        <v/>
      </c>
      <c r="H826" s="110">
        <f>IF($A826="","",$G826*AySayisi)</f>
        <v/>
      </c>
    </row>
    <row r="827" ht="15" customHeight="1" s="62">
      <c r="A827" s="107" t="n"/>
      <c r="B827" s="110">
        <f>IFERROR(IF($A827="","",IFERROR(INDEX(tblCalisan[Brüt Ücret (₺)],MATCH($A827,tblCalisan[Çalışan Adı],0)),"")),"")</f>
        <v/>
      </c>
      <c r="C827" s="110">
        <f>IF($A827="","",$B827*IsverenPayiOrani)</f>
        <v/>
      </c>
      <c r="D827" s="110">
        <f>IF($A827="","",$B827*IssizlikOrani)</f>
        <v/>
      </c>
      <c r="E827" s="110">
        <f>IF($A827="","",$B827*KidemKarsilikOrani)</f>
        <v/>
      </c>
      <c r="F827" s="108" t="n"/>
      <c r="G827" s="110">
        <f>IF($A827="","",$B827+$C827+$D827+$E827+$F827)</f>
        <v/>
      </c>
      <c r="H827" s="110">
        <f>IF($A827="","",$G827*AySayisi)</f>
        <v/>
      </c>
    </row>
    <row r="828" ht="15" customHeight="1" s="62">
      <c r="A828" s="107" t="n"/>
      <c r="B828" s="110">
        <f>IFERROR(IF($A828="","",IFERROR(INDEX(tblCalisan[Brüt Ücret (₺)],MATCH($A828,tblCalisan[Çalışan Adı],0)),"")),"")</f>
        <v/>
      </c>
      <c r="C828" s="110">
        <f>IF($A828="","",$B828*IsverenPayiOrani)</f>
        <v/>
      </c>
      <c r="D828" s="110">
        <f>IF($A828="","",$B828*IssizlikOrani)</f>
        <v/>
      </c>
      <c r="E828" s="110">
        <f>IF($A828="","",$B828*KidemKarsilikOrani)</f>
        <v/>
      </c>
      <c r="F828" s="108" t="n"/>
      <c r="G828" s="110">
        <f>IF($A828="","",$B828+$C828+$D828+$E828+$F828)</f>
        <v/>
      </c>
      <c r="H828" s="110">
        <f>IF($A828="","",$G828*AySayisi)</f>
        <v/>
      </c>
    </row>
    <row r="829" ht="15" customHeight="1" s="62">
      <c r="A829" s="107" t="n"/>
      <c r="B829" s="110">
        <f>IFERROR(IF($A829="","",IFERROR(INDEX(tblCalisan[Brüt Ücret (₺)],MATCH($A829,tblCalisan[Çalışan Adı],0)),"")),"")</f>
        <v/>
      </c>
      <c r="C829" s="110">
        <f>IF($A829="","",$B829*IsverenPayiOrani)</f>
        <v/>
      </c>
      <c r="D829" s="110">
        <f>IF($A829="","",$B829*IssizlikOrani)</f>
        <v/>
      </c>
      <c r="E829" s="110">
        <f>IF($A829="","",$B829*KidemKarsilikOrani)</f>
        <v/>
      </c>
      <c r="F829" s="108" t="n"/>
      <c r="G829" s="110">
        <f>IF($A829="","",$B829+$C829+$D829+$E829+$F829)</f>
        <v/>
      </c>
      <c r="H829" s="110">
        <f>IF($A829="","",$G829*AySayisi)</f>
        <v/>
      </c>
    </row>
    <row r="830" ht="15" customHeight="1" s="62">
      <c r="A830" s="107" t="n"/>
      <c r="B830" s="110">
        <f>IFERROR(IF($A830="","",IFERROR(INDEX(tblCalisan[Brüt Ücret (₺)],MATCH($A830,tblCalisan[Çalışan Adı],0)),"")),"")</f>
        <v/>
      </c>
      <c r="C830" s="110">
        <f>IF($A830="","",$B830*IsverenPayiOrani)</f>
        <v/>
      </c>
      <c r="D830" s="110">
        <f>IF($A830="","",$B830*IssizlikOrani)</f>
        <v/>
      </c>
      <c r="E830" s="110">
        <f>IF($A830="","",$B830*KidemKarsilikOrani)</f>
        <v/>
      </c>
      <c r="F830" s="108" t="n"/>
      <c r="G830" s="110">
        <f>IF($A830="","",$B830+$C830+$D830+$E830+$F830)</f>
        <v/>
      </c>
      <c r="H830" s="110">
        <f>IF($A830="","",$G830*AySayisi)</f>
        <v/>
      </c>
    </row>
    <row r="831" ht="15" customHeight="1" s="62">
      <c r="A831" s="107" t="n"/>
      <c r="B831" s="110">
        <f>IFERROR(IF($A831="","",IFERROR(INDEX(tblCalisan[Brüt Ücret (₺)],MATCH($A831,tblCalisan[Çalışan Adı],0)),"")),"")</f>
        <v/>
      </c>
      <c r="C831" s="110">
        <f>IF($A831="","",$B831*IsverenPayiOrani)</f>
        <v/>
      </c>
      <c r="D831" s="110">
        <f>IF($A831="","",$B831*IssizlikOrani)</f>
        <v/>
      </c>
      <c r="E831" s="110">
        <f>IF($A831="","",$B831*KidemKarsilikOrani)</f>
        <v/>
      </c>
      <c r="F831" s="108" t="n"/>
      <c r="G831" s="110">
        <f>IF($A831="","",$B831+$C831+$D831+$E831+$F831)</f>
        <v/>
      </c>
      <c r="H831" s="110">
        <f>IF($A831="","",$G831*AySayisi)</f>
        <v/>
      </c>
    </row>
    <row r="832" ht="15" customHeight="1" s="62">
      <c r="A832" s="107" t="n"/>
      <c r="B832" s="110">
        <f>IFERROR(IF($A832="","",IFERROR(INDEX(tblCalisan[Brüt Ücret (₺)],MATCH($A832,tblCalisan[Çalışan Adı],0)),"")),"")</f>
        <v/>
      </c>
      <c r="C832" s="110">
        <f>IF($A832="","",$B832*IsverenPayiOrani)</f>
        <v/>
      </c>
      <c r="D832" s="110">
        <f>IF($A832="","",$B832*IssizlikOrani)</f>
        <v/>
      </c>
      <c r="E832" s="110">
        <f>IF($A832="","",$B832*KidemKarsilikOrani)</f>
        <v/>
      </c>
      <c r="F832" s="108" t="n"/>
      <c r="G832" s="110">
        <f>IF($A832="","",$B832+$C832+$D832+$E832+$F832)</f>
        <v/>
      </c>
      <c r="H832" s="110">
        <f>IF($A832="","",$G832*AySayisi)</f>
        <v/>
      </c>
    </row>
    <row r="833" ht="15" customHeight="1" s="62">
      <c r="A833" s="107" t="n"/>
      <c r="B833" s="110">
        <f>IFERROR(IF($A833="","",IFERROR(INDEX(tblCalisan[Brüt Ücret (₺)],MATCH($A833,tblCalisan[Çalışan Adı],0)),"")),"")</f>
        <v/>
      </c>
      <c r="C833" s="110">
        <f>IF($A833="","",$B833*IsverenPayiOrani)</f>
        <v/>
      </c>
      <c r="D833" s="110">
        <f>IF($A833="","",$B833*IssizlikOrani)</f>
        <v/>
      </c>
      <c r="E833" s="110">
        <f>IF($A833="","",$B833*KidemKarsilikOrani)</f>
        <v/>
      </c>
      <c r="F833" s="108" t="n"/>
      <c r="G833" s="110">
        <f>IF($A833="","",$B833+$C833+$D833+$E833+$F833)</f>
        <v/>
      </c>
      <c r="H833" s="110">
        <f>IF($A833="","",$G833*AySayisi)</f>
        <v/>
      </c>
    </row>
    <row r="834" ht="15" customHeight="1" s="62">
      <c r="A834" s="107" t="n"/>
      <c r="B834" s="110">
        <f>IFERROR(IF($A834="","",IFERROR(INDEX(tblCalisan[Brüt Ücret (₺)],MATCH($A834,tblCalisan[Çalışan Adı],0)),"")),"")</f>
        <v/>
      </c>
      <c r="C834" s="110">
        <f>IF($A834="","",$B834*IsverenPayiOrani)</f>
        <v/>
      </c>
      <c r="D834" s="110">
        <f>IF($A834="","",$B834*IssizlikOrani)</f>
        <v/>
      </c>
      <c r="E834" s="110">
        <f>IF($A834="","",$B834*KidemKarsilikOrani)</f>
        <v/>
      </c>
      <c r="F834" s="108" t="n"/>
      <c r="G834" s="110">
        <f>IF($A834="","",$B834+$C834+$D834+$E834+$F834)</f>
        <v/>
      </c>
      <c r="H834" s="110">
        <f>IF($A834="","",$G834*AySayisi)</f>
        <v/>
      </c>
    </row>
    <row r="835" ht="15" customHeight="1" s="62">
      <c r="A835" s="107" t="n"/>
      <c r="B835" s="110">
        <f>IFERROR(IF($A835="","",IFERROR(INDEX(tblCalisan[Brüt Ücret (₺)],MATCH($A835,tblCalisan[Çalışan Adı],0)),"")),"")</f>
        <v/>
      </c>
      <c r="C835" s="110">
        <f>IF($A835="","",$B835*IsverenPayiOrani)</f>
        <v/>
      </c>
      <c r="D835" s="110">
        <f>IF($A835="","",$B835*IssizlikOrani)</f>
        <v/>
      </c>
      <c r="E835" s="110">
        <f>IF($A835="","",$B835*KidemKarsilikOrani)</f>
        <v/>
      </c>
      <c r="F835" s="108" t="n"/>
      <c r="G835" s="110">
        <f>IF($A835="","",$B835+$C835+$D835+$E835+$F835)</f>
        <v/>
      </c>
      <c r="H835" s="110">
        <f>IF($A835="","",$G835*AySayisi)</f>
        <v/>
      </c>
    </row>
    <row r="836" ht="15" customHeight="1" s="62">
      <c r="A836" s="107" t="n"/>
      <c r="B836" s="110">
        <f>IFERROR(IF($A836="","",IFERROR(INDEX(tblCalisan[Brüt Ücret (₺)],MATCH($A836,tblCalisan[Çalışan Adı],0)),"")),"")</f>
        <v/>
      </c>
      <c r="C836" s="110">
        <f>IF($A836="","",$B836*IsverenPayiOrani)</f>
        <v/>
      </c>
      <c r="D836" s="110">
        <f>IF($A836="","",$B836*IssizlikOrani)</f>
        <v/>
      </c>
      <c r="E836" s="110">
        <f>IF($A836="","",$B836*KidemKarsilikOrani)</f>
        <v/>
      </c>
      <c r="F836" s="108" t="n"/>
      <c r="G836" s="110">
        <f>IF($A836="","",$B836+$C836+$D836+$E836+$F836)</f>
        <v/>
      </c>
      <c r="H836" s="110">
        <f>IF($A836="","",$G836*AySayisi)</f>
        <v/>
      </c>
    </row>
    <row r="837" ht="15" customHeight="1" s="62">
      <c r="A837" s="107" t="n"/>
      <c r="B837" s="110">
        <f>IFERROR(IF($A837="","",IFERROR(INDEX(tblCalisan[Brüt Ücret (₺)],MATCH($A837,tblCalisan[Çalışan Adı],0)),"")),"")</f>
        <v/>
      </c>
      <c r="C837" s="110">
        <f>IF($A837="","",$B837*IsverenPayiOrani)</f>
        <v/>
      </c>
      <c r="D837" s="110">
        <f>IF($A837="","",$B837*IssizlikOrani)</f>
        <v/>
      </c>
      <c r="E837" s="110">
        <f>IF($A837="","",$B837*KidemKarsilikOrani)</f>
        <v/>
      </c>
      <c r="F837" s="108" t="n"/>
      <c r="G837" s="110">
        <f>IF($A837="","",$B837+$C837+$D837+$E837+$F837)</f>
        <v/>
      </c>
      <c r="H837" s="110">
        <f>IF($A837="","",$G837*AySayisi)</f>
        <v/>
      </c>
    </row>
    <row r="838" ht="15" customHeight="1" s="62">
      <c r="A838" s="107" t="n"/>
      <c r="B838" s="110">
        <f>IFERROR(IF($A838="","",IFERROR(INDEX(tblCalisan[Brüt Ücret (₺)],MATCH($A838,tblCalisan[Çalışan Adı],0)),"")),"")</f>
        <v/>
      </c>
      <c r="C838" s="110">
        <f>IF($A838="","",$B838*IsverenPayiOrani)</f>
        <v/>
      </c>
      <c r="D838" s="110">
        <f>IF($A838="","",$B838*IssizlikOrani)</f>
        <v/>
      </c>
      <c r="E838" s="110">
        <f>IF($A838="","",$B838*KidemKarsilikOrani)</f>
        <v/>
      </c>
      <c r="F838" s="108" t="n"/>
      <c r="G838" s="110">
        <f>IF($A838="","",$B838+$C838+$D838+$E838+$F838)</f>
        <v/>
      </c>
      <c r="H838" s="110">
        <f>IF($A838="","",$G838*AySayisi)</f>
        <v/>
      </c>
    </row>
    <row r="839" ht="15" customHeight="1" s="62">
      <c r="A839" s="107" t="n"/>
      <c r="B839" s="110">
        <f>IFERROR(IF($A839="","",IFERROR(INDEX(tblCalisan[Brüt Ücret (₺)],MATCH($A839,tblCalisan[Çalışan Adı],0)),"")),"")</f>
        <v/>
      </c>
      <c r="C839" s="110">
        <f>IF($A839="","",$B839*IsverenPayiOrani)</f>
        <v/>
      </c>
      <c r="D839" s="110">
        <f>IF($A839="","",$B839*IssizlikOrani)</f>
        <v/>
      </c>
      <c r="E839" s="110">
        <f>IF($A839="","",$B839*KidemKarsilikOrani)</f>
        <v/>
      </c>
      <c r="F839" s="108" t="n"/>
      <c r="G839" s="110">
        <f>IF($A839="","",$B839+$C839+$D839+$E839+$F839)</f>
        <v/>
      </c>
      <c r="H839" s="110">
        <f>IF($A839="","",$G839*AySayisi)</f>
        <v/>
      </c>
    </row>
    <row r="840" ht="15" customHeight="1" s="62">
      <c r="A840" s="107" t="n"/>
      <c r="B840" s="110">
        <f>IFERROR(IF($A840="","",IFERROR(INDEX(tblCalisan[Brüt Ücret (₺)],MATCH($A840,tblCalisan[Çalışan Adı],0)),"")),"")</f>
        <v/>
      </c>
      <c r="C840" s="110">
        <f>IF($A840="","",$B840*IsverenPayiOrani)</f>
        <v/>
      </c>
      <c r="D840" s="110">
        <f>IF($A840="","",$B840*IssizlikOrani)</f>
        <v/>
      </c>
      <c r="E840" s="110">
        <f>IF($A840="","",$B840*KidemKarsilikOrani)</f>
        <v/>
      </c>
      <c r="F840" s="108" t="n"/>
      <c r="G840" s="110">
        <f>IF($A840="","",$B840+$C840+$D840+$E840+$F840)</f>
        <v/>
      </c>
      <c r="H840" s="110">
        <f>IF($A840="","",$G840*AySayisi)</f>
        <v/>
      </c>
    </row>
    <row r="841" ht="15" customHeight="1" s="62">
      <c r="A841" s="107" t="n"/>
      <c r="B841" s="110">
        <f>IFERROR(IF($A841="","",IFERROR(INDEX(tblCalisan[Brüt Ücret (₺)],MATCH($A841,tblCalisan[Çalışan Adı],0)),"")),"")</f>
        <v/>
      </c>
      <c r="C841" s="110">
        <f>IF($A841="","",$B841*IsverenPayiOrani)</f>
        <v/>
      </c>
      <c r="D841" s="110">
        <f>IF($A841="","",$B841*IssizlikOrani)</f>
        <v/>
      </c>
      <c r="E841" s="110">
        <f>IF($A841="","",$B841*KidemKarsilikOrani)</f>
        <v/>
      </c>
      <c r="F841" s="108" t="n"/>
      <c r="G841" s="110">
        <f>IF($A841="","",$B841+$C841+$D841+$E841+$F841)</f>
        <v/>
      </c>
      <c r="H841" s="110">
        <f>IF($A841="","",$G841*AySayisi)</f>
        <v/>
      </c>
    </row>
    <row r="842" ht="15" customHeight="1" s="62">
      <c r="A842" s="107" t="n"/>
      <c r="B842" s="110">
        <f>IFERROR(IF($A842="","",IFERROR(INDEX(tblCalisan[Brüt Ücret (₺)],MATCH($A842,tblCalisan[Çalışan Adı],0)),"")),"")</f>
        <v/>
      </c>
      <c r="C842" s="110">
        <f>IF($A842="","",$B842*IsverenPayiOrani)</f>
        <v/>
      </c>
      <c r="D842" s="110">
        <f>IF($A842="","",$B842*IssizlikOrani)</f>
        <v/>
      </c>
      <c r="E842" s="110">
        <f>IF($A842="","",$B842*KidemKarsilikOrani)</f>
        <v/>
      </c>
      <c r="F842" s="108" t="n"/>
      <c r="G842" s="110">
        <f>IF($A842="","",$B842+$C842+$D842+$E842+$F842)</f>
        <v/>
      </c>
      <c r="H842" s="110">
        <f>IF($A842="","",$G842*AySayisi)</f>
        <v/>
      </c>
    </row>
    <row r="843" ht="15" customHeight="1" s="62">
      <c r="A843" s="107" t="n"/>
      <c r="B843" s="110">
        <f>IFERROR(IF($A843="","",IFERROR(INDEX(tblCalisan[Brüt Ücret (₺)],MATCH($A843,tblCalisan[Çalışan Adı],0)),"")),"")</f>
        <v/>
      </c>
      <c r="C843" s="110">
        <f>IF($A843="","",$B843*IsverenPayiOrani)</f>
        <v/>
      </c>
      <c r="D843" s="110">
        <f>IF($A843="","",$B843*IssizlikOrani)</f>
        <v/>
      </c>
      <c r="E843" s="110">
        <f>IF($A843="","",$B843*KidemKarsilikOrani)</f>
        <v/>
      </c>
      <c r="F843" s="108" t="n"/>
      <c r="G843" s="110">
        <f>IF($A843="","",$B843+$C843+$D843+$E843+$F843)</f>
        <v/>
      </c>
      <c r="H843" s="110">
        <f>IF($A843="","",$G843*AySayisi)</f>
        <v/>
      </c>
    </row>
    <row r="844" ht="15" customHeight="1" s="62">
      <c r="A844" s="107" t="n"/>
      <c r="B844" s="110">
        <f>IFERROR(IF($A844="","",IFERROR(INDEX(tblCalisan[Brüt Ücret (₺)],MATCH($A844,tblCalisan[Çalışan Adı],0)),"")),"")</f>
        <v/>
      </c>
      <c r="C844" s="110">
        <f>IF($A844="","",$B844*IsverenPayiOrani)</f>
        <v/>
      </c>
      <c r="D844" s="110">
        <f>IF($A844="","",$B844*IssizlikOrani)</f>
        <v/>
      </c>
      <c r="E844" s="110">
        <f>IF($A844="","",$B844*KidemKarsilikOrani)</f>
        <v/>
      </c>
      <c r="F844" s="108" t="n"/>
      <c r="G844" s="110">
        <f>IF($A844="","",$B844+$C844+$D844+$E844+$F844)</f>
        <v/>
      </c>
      <c r="H844" s="110">
        <f>IF($A844="","",$G844*AySayisi)</f>
        <v/>
      </c>
    </row>
    <row r="845" ht="15" customHeight="1" s="62">
      <c r="A845" s="107" t="n"/>
      <c r="B845" s="110">
        <f>IFERROR(IF($A845="","",IFERROR(INDEX(tblCalisan[Brüt Ücret (₺)],MATCH($A845,tblCalisan[Çalışan Adı],0)),"")),"")</f>
        <v/>
      </c>
      <c r="C845" s="110">
        <f>IF($A845="","",$B845*IsverenPayiOrani)</f>
        <v/>
      </c>
      <c r="D845" s="110">
        <f>IF($A845="","",$B845*IssizlikOrani)</f>
        <v/>
      </c>
      <c r="E845" s="110">
        <f>IF($A845="","",$B845*KidemKarsilikOrani)</f>
        <v/>
      </c>
      <c r="F845" s="108" t="n"/>
      <c r="G845" s="110">
        <f>IF($A845="","",$B845+$C845+$D845+$E845+$F845)</f>
        <v/>
      </c>
      <c r="H845" s="110">
        <f>IF($A845="","",$G845*AySayisi)</f>
        <v/>
      </c>
    </row>
    <row r="846" ht="15" customHeight="1" s="62">
      <c r="A846" s="107" t="n"/>
      <c r="B846" s="110">
        <f>IFERROR(IF($A846="","",IFERROR(INDEX(tblCalisan[Brüt Ücret (₺)],MATCH($A846,tblCalisan[Çalışan Adı],0)),"")),"")</f>
        <v/>
      </c>
      <c r="C846" s="110">
        <f>IF($A846="","",$B846*IsverenPayiOrani)</f>
        <v/>
      </c>
      <c r="D846" s="110">
        <f>IF($A846="","",$B846*IssizlikOrani)</f>
        <v/>
      </c>
      <c r="E846" s="110">
        <f>IF($A846="","",$B846*KidemKarsilikOrani)</f>
        <v/>
      </c>
      <c r="F846" s="108" t="n"/>
      <c r="G846" s="110">
        <f>IF($A846="","",$B846+$C846+$D846+$E846+$F846)</f>
        <v/>
      </c>
      <c r="H846" s="110">
        <f>IF($A846="","",$G846*AySayisi)</f>
        <v/>
      </c>
    </row>
    <row r="847" ht="15" customHeight="1" s="62">
      <c r="A847" s="107" t="n"/>
      <c r="B847" s="110">
        <f>IFERROR(IF($A847="","",IFERROR(INDEX(tblCalisan[Brüt Ücret (₺)],MATCH($A847,tblCalisan[Çalışan Adı],0)),"")),"")</f>
        <v/>
      </c>
      <c r="C847" s="110">
        <f>IF($A847="","",$B847*IsverenPayiOrani)</f>
        <v/>
      </c>
      <c r="D847" s="110">
        <f>IF($A847="","",$B847*IssizlikOrani)</f>
        <v/>
      </c>
      <c r="E847" s="110">
        <f>IF($A847="","",$B847*KidemKarsilikOrani)</f>
        <v/>
      </c>
      <c r="F847" s="108" t="n"/>
      <c r="G847" s="110">
        <f>IF($A847="","",$B847+$C847+$D847+$E847+$F847)</f>
        <v/>
      </c>
      <c r="H847" s="110">
        <f>IF($A847="","",$G847*AySayisi)</f>
        <v/>
      </c>
    </row>
    <row r="848" ht="15" customHeight="1" s="62">
      <c r="A848" s="107" t="n"/>
      <c r="B848" s="110">
        <f>IFERROR(IF($A848="","",IFERROR(INDEX(tblCalisan[Brüt Ücret (₺)],MATCH($A848,tblCalisan[Çalışan Adı],0)),"")),"")</f>
        <v/>
      </c>
      <c r="C848" s="110">
        <f>IF($A848="","",$B848*IsverenPayiOrani)</f>
        <v/>
      </c>
      <c r="D848" s="110">
        <f>IF($A848="","",$B848*IssizlikOrani)</f>
        <v/>
      </c>
      <c r="E848" s="110">
        <f>IF($A848="","",$B848*KidemKarsilikOrani)</f>
        <v/>
      </c>
      <c r="F848" s="108" t="n"/>
      <c r="G848" s="110">
        <f>IF($A848="","",$B848+$C848+$D848+$E848+$F848)</f>
        <v/>
      </c>
      <c r="H848" s="110">
        <f>IF($A848="","",$G848*AySayisi)</f>
        <v/>
      </c>
    </row>
    <row r="849" ht="15" customHeight="1" s="62">
      <c r="A849" s="107" t="n"/>
      <c r="B849" s="110">
        <f>IFERROR(IF($A849="","",IFERROR(INDEX(tblCalisan[Brüt Ücret (₺)],MATCH($A849,tblCalisan[Çalışan Adı],0)),"")),"")</f>
        <v/>
      </c>
      <c r="C849" s="110">
        <f>IF($A849="","",$B849*IsverenPayiOrani)</f>
        <v/>
      </c>
      <c r="D849" s="110">
        <f>IF($A849="","",$B849*IssizlikOrani)</f>
        <v/>
      </c>
      <c r="E849" s="110">
        <f>IF($A849="","",$B849*KidemKarsilikOrani)</f>
        <v/>
      </c>
      <c r="F849" s="108" t="n"/>
      <c r="G849" s="110">
        <f>IF($A849="","",$B849+$C849+$D849+$E849+$F849)</f>
        <v/>
      </c>
      <c r="H849" s="110">
        <f>IF($A849="","",$G849*AySayisi)</f>
        <v/>
      </c>
    </row>
    <row r="850" ht="15" customHeight="1" s="62">
      <c r="A850" s="107" t="n"/>
      <c r="B850" s="110">
        <f>IFERROR(IF($A850="","",IFERROR(INDEX(tblCalisan[Brüt Ücret (₺)],MATCH($A850,tblCalisan[Çalışan Adı],0)),"")),"")</f>
        <v/>
      </c>
      <c r="C850" s="110">
        <f>IF($A850="","",$B850*IsverenPayiOrani)</f>
        <v/>
      </c>
      <c r="D850" s="110">
        <f>IF($A850="","",$B850*IssizlikOrani)</f>
        <v/>
      </c>
      <c r="E850" s="110">
        <f>IF($A850="","",$B850*KidemKarsilikOrani)</f>
        <v/>
      </c>
      <c r="F850" s="108" t="n"/>
      <c r="G850" s="110">
        <f>IF($A850="","",$B850+$C850+$D850+$E850+$F850)</f>
        <v/>
      </c>
      <c r="H850" s="110">
        <f>IF($A850="","",$G850*AySayisi)</f>
        <v/>
      </c>
    </row>
    <row r="851" ht="15" customHeight="1" s="62">
      <c r="A851" s="107" t="n"/>
      <c r="B851" s="110">
        <f>IFERROR(IF($A851="","",IFERROR(INDEX(tblCalisan[Brüt Ücret (₺)],MATCH($A851,tblCalisan[Çalışan Adı],0)),"")),"")</f>
        <v/>
      </c>
      <c r="C851" s="110">
        <f>IF($A851="","",$B851*IsverenPayiOrani)</f>
        <v/>
      </c>
      <c r="D851" s="110">
        <f>IF($A851="","",$B851*IssizlikOrani)</f>
        <v/>
      </c>
      <c r="E851" s="110">
        <f>IF($A851="","",$B851*KidemKarsilikOrani)</f>
        <v/>
      </c>
      <c r="F851" s="108" t="n"/>
      <c r="G851" s="110">
        <f>IF($A851="","",$B851+$C851+$D851+$E851+$F851)</f>
        <v/>
      </c>
      <c r="H851" s="110">
        <f>IF($A851="","",$G851*AySayisi)</f>
        <v/>
      </c>
    </row>
    <row r="852" ht="15" customHeight="1" s="62">
      <c r="A852" s="107" t="n"/>
      <c r="B852" s="110">
        <f>IFERROR(IF($A852="","",IFERROR(INDEX(tblCalisan[Brüt Ücret (₺)],MATCH($A852,tblCalisan[Çalışan Adı],0)),"")),"")</f>
        <v/>
      </c>
      <c r="C852" s="110">
        <f>IF($A852="","",$B852*IsverenPayiOrani)</f>
        <v/>
      </c>
      <c r="D852" s="110">
        <f>IF($A852="","",$B852*IssizlikOrani)</f>
        <v/>
      </c>
      <c r="E852" s="110">
        <f>IF($A852="","",$B852*KidemKarsilikOrani)</f>
        <v/>
      </c>
      <c r="F852" s="108" t="n"/>
      <c r="G852" s="110">
        <f>IF($A852="","",$B852+$C852+$D852+$E852+$F852)</f>
        <v/>
      </c>
      <c r="H852" s="110">
        <f>IF($A852="","",$G852*AySayisi)</f>
        <v/>
      </c>
    </row>
    <row r="853" ht="15" customHeight="1" s="62">
      <c r="A853" s="107" t="n"/>
      <c r="B853" s="110">
        <f>IFERROR(IF($A853="","",IFERROR(INDEX(tblCalisan[Brüt Ücret (₺)],MATCH($A853,tblCalisan[Çalışan Adı],0)),"")),"")</f>
        <v/>
      </c>
      <c r="C853" s="110">
        <f>IF($A853="","",$B853*IsverenPayiOrani)</f>
        <v/>
      </c>
      <c r="D853" s="110">
        <f>IF($A853="","",$B853*IssizlikOrani)</f>
        <v/>
      </c>
      <c r="E853" s="110">
        <f>IF($A853="","",$B853*KidemKarsilikOrani)</f>
        <v/>
      </c>
      <c r="F853" s="108" t="n"/>
      <c r="G853" s="110">
        <f>IF($A853="","",$B853+$C853+$D853+$E853+$F853)</f>
        <v/>
      </c>
      <c r="H853" s="110">
        <f>IF($A853="","",$G853*AySayisi)</f>
        <v/>
      </c>
    </row>
    <row r="854" ht="15" customHeight="1" s="62">
      <c r="A854" s="107" t="n"/>
      <c r="B854" s="110">
        <f>IFERROR(IF($A854="","",IFERROR(INDEX(tblCalisan[Brüt Ücret (₺)],MATCH($A854,tblCalisan[Çalışan Adı],0)),"")),"")</f>
        <v/>
      </c>
      <c r="C854" s="110">
        <f>IF($A854="","",$B854*IsverenPayiOrani)</f>
        <v/>
      </c>
      <c r="D854" s="110">
        <f>IF($A854="","",$B854*IssizlikOrani)</f>
        <v/>
      </c>
      <c r="E854" s="110">
        <f>IF($A854="","",$B854*KidemKarsilikOrani)</f>
        <v/>
      </c>
      <c r="F854" s="108" t="n"/>
      <c r="G854" s="110">
        <f>IF($A854="","",$B854+$C854+$D854+$E854+$F854)</f>
        <v/>
      </c>
      <c r="H854" s="110">
        <f>IF($A854="","",$G854*AySayisi)</f>
        <v/>
      </c>
    </row>
    <row r="855" ht="15" customHeight="1" s="62">
      <c r="A855" s="107" t="n"/>
      <c r="B855" s="110">
        <f>IFERROR(IF($A855="","",IFERROR(INDEX(tblCalisan[Brüt Ücret (₺)],MATCH($A855,tblCalisan[Çalışan Adı],0)),"")),"")</f>
        <v/>
      </c>
      <c r="C855" s="110">
        <f>IF($A855="","",$B855*IsverenPayiOrani)</f>
        <v/>
      </c>
      <c r="D855" s="110">
        <f>IF($A855="","",$B855*IssizlikOrani)</f>
        <v/>
      </c>
      <c r="E855" s="110">
        <f>IF($A855="","",$B855*KidemKarsilikOrani)</f>
        <v/>
      </c>
      <c r="F855" s="108" t="n"/>
      <c r="G855" s="110">
        <f>IF($A855="","",$B855+$C855+$D855+$E855+$F855)</f>
        <v/>
      </c>
      <c r="H855" s="110">
        <f>IF($A855="","",$G855*AySayisi)</f>
        <v/>
      </c>
    </row>
    <row r="856" ht="15" customHeight="1" s="62">
      <c r="A856" s="107" t="n"/>
      <c r="B856" s="110">
        <f>IFERROR(IF($A856="","",IFERROR(INDEX(tblCalisan[Brüt Ücret (₺)],MATCH($A856,tblCalisan[Çalışan Adı],0)),"")),"")</f>
        <v/>
      </c>
      <c r="C856" s="110">
        <f>IF($A856="","",$B856*IsverenPayiOrani)</f>
        <v/>
      </c>
      <c r="D856" s="110">
        <f>IF($A856="","",$B856*IssizlikOrani)</f>
        <v/>
      </c>
      <c r="E856" s="110">
        <f>IF($A856="","",$B856*KidemKarsilikOrani)</f>
        <v/>
      </c>
      <c r="F856" s="108" t="n"/>
      <c r="G856" s="110">
        <f>IF($A856="","",$B856+$C856+$D856+$E856+$F856)</f>
        <v/>
      </c>
      <c r="H856" s="110">
        <f>IF($A856="","",$G856*AySayisi)</f>
        <v/>
      </c>
    </row>
    <row r="857" ht="15" customHeight="1" s="62">
      <c r="A857" s="107" t="n"/>
      <c r="B857" s="110">
        <f>IFERROR(IF($A857="","",IFERROR(INDEX(tblCalisan[Brüt Ücret (₺)],MATCH($A857,tblCalisan[Çalışan Adı],0)),"")),"")</f>
        <v/>
      </c>
      <c r="C857" s="110">
        <f>IF($A857="","",$B857*IsverenPayiOrani)</f>
        <v/>
      </c>
      <c r="D857" s="110">
        <f>IF($A857="","",$B857*IssizlikOrani)</f>
        <v/>
      </c>
      <c r="E857" s="110">
        <f>IF($A857="","",$B857*KidemKarsilikOrani)</f>
        <v/>
      </c>
      <c r="F857" s="108" t="n"/>
      <c r="G857" s="110">
        <f>IF($A857="","",$B857+$C857+$D857+$E857+$F857)</f>
        <v/>
      </c>
      <c r="H857" s="110">
        <f>IF($A857="","",$G857*AySayisi)</f>
        <v/>
      </c>
    </row>
    <row r="858" ht="15" customHeight="1" s="62">
      <c r="A858" s="107" t="n"/>
      <c r="B858" s="110">
        <f>IFERROR(IF($A858="","",IFERROR(INDEX(tblCalisan[Brüt Ücret (₺)],MATCH($A858,tblCalisan[Çalışan Adı],0)),"")),"")</f>
        <v/>
      </c>
      <c r="C858" s="110">
        <f>IF($A858="","",$B858*IsverenPayiOrani)</f>
        <v/>
      </c>
      <c r="D858" s="110">
        <f>IF($A858="","",$B858*IssizlikOrani)</f>
        <v/>
      </c>
      <c r="E858" s="110">
        <f>IF($A858="","",$B858*KidemKarsilikOrani)</f>
        <v/>
      </c>
      <c r="F858" s="108" t="n"/>
      <c r="G858" s="110">
        <f>IF($A858="","",$B858+$C858+$D858+$E858+$F858)</f>
        <v/>
      </c>
      <c r="H858" s="110">
        <f>IF($A858="","",$G858*AySayisi)</f>
        <v/>
      </c>
    </row>
    <row r="859" ht="15" customHeight="1" s="62">
      <c r="A859" s="107" t="n"/>
      <c r="B859" s="110">
        <f>IFERROR(IF($A859="","",IFERROR(INDEX(tblCalisan[Brüt Ücret (₺)],MATCH($A859,tblCalisan[Çalışan Adı],0)),"")),"")</f>
        <v/>
      </c>
      <c r="C859" s="110">
        <f>IF($A859="","",$B859*IsverenPayiOrani)</f>
        <v/>
      </c>
      <c r="D859" s="110">
        <f>IF($A859="","",$B859*IssizlikOrani)</f>
        <v/>
      </c>
      <c r="E859" s="110">
        <f>IF($A859="","",$B859*KidemKarsilikOrani)</f>
        <v/>
      </c>
      <c r="F859" s="108" t="n"/>
      <c r="G859" s="110">
        <f>IF($A859="","",$B859+$C859+$D859+$E859+$F859)</f>
        <v/>
      </c>
      <c r="H859" s="110">
        <f>IF($A859="","",$G859*AySayisi)</f>
        <v/>
      </c>
    </row>
    <row r="860" ht="15" customHeight="1" s="62">
      <c r="A860" s="107" t="n"/>
      <c r="B860" s="110">
        <f>IFERROR(IF($A860="","",IFERROR(INDEX(tblCalisan[Brüt Ücret (₺)],MATCH($A860,tblCalisan[Çalışan Adı],0)),"")),"")</f>
        <v/>
      </c>
      <c r="C860" s="110">
        <f>IF($A860="","",$B860*IsverenPayiOrani)</f>
        <v/>
      </c>
      <c r="D860" s="110">
        <f>IF($A860="","",$B860*IssizlikOrani)</f>
        <v/>
      </c>
      <c r="E860" s="110">
        <f>IF($A860="","",$B860*KidemKarsilikOrani)</f>
        <v/>
      </c>
      <c r="F860" s="108" t="n"/>
      <c r="G860" s="110">
        <f>IF($A860="","",$B860+$C860+$D860+$E860+$F860)</f>
        <v/>
      </c>
      <c r="H860" s="110">
        <f>IF($A860="","",$G860*AySayisi)</f>
        <v/>
      </c>
    </row>
    <row r="861" ht="15" customHeight="1" s="62">
      <c r="A861" s="107" t="n"/>
      <c r="B861" s="110">
        <f>IFERROR(IF($A861="","",IFERROR(INDEX(tblCalisan[Brüt Ücret (₺)],MATCH($A861,tblCalisan[Çalışan Adı],0)),"")),"")</f>
        <v/>
      </c>
      <c r="C861" s="110">
        <f>IF($A861="","",$B861*IsverenPayiOrani)</f>
        <v/>
      </c>
      <c r="D861" s="110">
        <f>IF($A861="","",$B861*IssizlikOrani)</f>
        <v/>
      </c>
      <c r="E861" s="110">
        <f>IF($A861="","",$B861*KidemKarsilikOrani)</f>
        <v/>
      </c>
      <c r="F861" s="108" t="n"/>
      <c r="G861" s="110">
        <f>IF($A861="","",$B861+$C861+$D861+$E861+$F861)</f>
        <v/>
      </c>
      <c r="H861" s="110">
        <f>IF($A861="","",$G861*AySayisi)</f>
        <v/>
      </c>
    </row>
    <row r="862" ht="15" customHeight="1" s="62">
      <c r="A862" s="107" t="n"/>
      <c r="B862" s="110">
        <f>IFERROR(IF($A862="","",IFERROR(INDEX(tblCalisan[Brüt Ücret (₺)],MATCH($A862,tblCalisan[Çalışan Adı],0)),"")),"")</f>
        <v/>
      </c>
      <c r="C862" s="110">
        <f>IF($A862="","",$B862*IsverenPayiOrani)</f>
        <v/>
      </c>
      <c r="D862" s="110">
        <f>IF($A862="","",$B862*IssizlikOrani)</f>
        <v/>
      </c>
      <c r="E862" s="110">
        <f>IF($A862="","",$B862*KidemKarsilikOrani)</f>
        <v/>
      </c>
      <c r="F862" s="108" t="n"/>
      <c r="G862" s="110">
        <f>IF($A862="","",$B862+$C862+$D862+$E862+$F862)</f>
        <v/>
      </c>
      <c r="H862" s="110">
        <f>IF($A862="","",$G862*AySayisi)</f>
        <v/>
      </c>
    </row>
    <row r="863" ht="15" customHeight="1" s="62">
      <c r="A863" s="107" t="n"/>
      <c r="B863" s="110">
        <f>IFERROR(IF($A863="","",IFERROR(INDEX(tblCalisan[Brüt Ücret (₺)],MATCH($A863,tblCalisan[Çalışan Adı],0)),"")),"")</f>
        <v/>
      </c>
      <c r="C863" s="110">
        <f>IF($A863="","",$B863*IsverenPayiOrani)</f>
        <v/>
      </c>
      <c r="D863" s="110">
        <f>IF($A863="","",$B863*IssizlikOrani)</f>
        <v/>
      </c>
      <c r="E863" s="110">
        <f>IF($A863="","",$B863*KidemKarsilikOrani)</f>
        <v/>
      </c>
      <c r="F863" s="108" t="n"/>
      <c r="G863" s="110">
        <f>IF($A863="","",$B863+$C863+$D863+$E863+$F863)</f>
        <v/>
      </c>
      <c r="H863" s="110">
        <f>IF($A863="","",$G863*AySayisi)</f>
        <v/>
      </c>
    </row>
    <row r="864" ht="15" customHeight="1" s="62">
      <c r="A864" s="107" t="n"/>
      <c r="B864" s="110">
        <f>IFERROR(IF($A864="","",IFERROR(INDEX(tblCalisan[Brüt Ücret (₺)],MATCH($A864,tblCalisan[Çalışan Adı],0)),"")),"")</f>
        <v/>
      </c>
      <c r="C864" s="110">
        <f>IF($A864="","",$B864*IsverenPayiOrani)</f>
        <v/>
      </c>
      <c r="D864" s="110">
        <f>IF($A864="","",$B864*IssizlikOrani)</f>
        <v/>
      </c>
      <c r="E864" s="110">
        <f>IF($A864="","",$B864*KidemKarsilikOrani)</f>
        <v/>
      </c>
      <c r="F864" s="108" t="n"/>
      <c r="G864" s="110">
        <f>IF($A864="","",$B864+$C864+$D864+$E864+$F864)</f>
        <v/>
      </c>
      <c r="H864" s="110">
        <f>IF($A864="","",$G864*AySayisi)</f>
        <v/>
      </c>
    </row>
    <row r="865" ht="15" customHeight="1" s="62">
      <c r="A865" s="107" t="n"/>
      <c r="B865" s="110">
        <f>IFERROR(IF($A865="","",IFERROR(INDEX(tblCalisan[Brüt Ücret (₺)],MATCH($A865,tblCalisan[Çalışan Adı],0)),"")),"")</f>
        <v/>
      </c>
      <c r="C865" s="110">
        <f>IF($A865="","",$B865*IsverenPayiOrani)</f>
        <v/>
      </c>
      <c r="D865" s="110">
        <f>IF($A865="","",$B865*IssizlikOrani)</f>
        <v/>
      </c>
      <c r="E865" s="110">
        <f>IF($A865="","",$B865*KidemKarsilikOrani)</f>
        <v/>
      </c>
      <c r="F865" s="108" t="n"/>
      <c r="G865" s="110">
        <f>IF($A865="","",$B865+$C865+$D865+$E865+$F865)</f>
        <v/>
      </c>
      <c r="H865" s="110">
        <f>IF($A865="","",$G865*AySayisi)</f>
        <v/>
      </c>
    </row>
    <row r="866" ht="15" customHeight="1" s="62">
      <c r="A866" s="107" t="n"/>
      <c r="B866" s="110">
        <f>IFERROR(IF($A866="","",IFERROR(INDEX(tblCalisan[Brüt Ücret (₺)],MATCH($A866,tblCalisan[Çalışan Adı],0)),"")),"")</f>
        <v/>
      </c>
      <c r="C866" s="110">
        <f>IF($A866="","",$B866*IsverenPayiOrani)</f>
        <v/>
      </c>
      <c r="D866" s="110">
        <f>IF($A866="","",$B866*IssizlikOrani)</f>
        <v/>
      </c>
      <c r="E866" s="110">
        <f>IF($A866="","",$B866*KidemKarsilikOrani)</f>
        <v/>
      </c>
      <c r="F866" s="108" t="n"/>
      <c r="G866" s="110">
        <f>IF($A866="","",$B866+$C866+$D866+$E866+$F866)</f>
        <v/>
      </c>
      <c r="H866" s="110">
        <f>IF($A866="","",$G866*AySayisi)</f>
        <v/>
      </c>
    </row>
    <row r="867" ht="15" customHeight="1" s="62">
      <c r="A867" s="107" t="n"/>
      <c r="B867" s="110">
        <f>IFERROR(IF($A867="","",IFERROR(INDEX(tblCalisan[Brüt Ücret (₺)],MATCH($A867,tblCalisan[Çalışan Adı],0)),"")),"")</f>
        <v/>
      </c>
      <c r="C867" s="110">
        <f>IF($A867="","",$B867*IsverenPayiOrani)</f>
        <v/>
      </c>
      <c r="D867" s="110">
        <f>IF($A867="","",$B867*IssizlikOrani)</f>
        <v/>
      </c>
      <c r="E867" s="110">
        <f>IF($A867="","",$B867*KidemKarsilikOrani)</f>
        <v/>
      </c>
      <c r="F867" s="108" t="n"/>
      <c r="G867" s="110">
        <f>IF($A867="","",$B867+$C867+$D867+$E867+$F867)</f>
        <v/>
      </c>
      <c r="H867" s="110">
        <f>IF($A867="","",$G867*AySayisi)</f>
        <v/>
      </c>
    </row>
    <row r="868" ht="15" customHeight="1" s="62">
      <c r="A868" s="107" t="n"/>
      <c r="B868" s="110">
        <f>IFERROR(IF($A868="","",IFERROR(INDEX(tblCalisan[Brüt Ücret (₺)],MATCH($A868,tblCalisan[Çalışan Adı],0)),"")),"")</f>
        <v/>
      </c>
      <c r="C868" s="110">
        <f>IF($A868="","",$B868*IsverenPayiOrani)</f>
        <v/>
      </c>
      <c r="D868" s="110">
        <f>IF($A868="","",$B868*IssizlikOrani)</f>
        <v/>
      </c>
      <c r="E868" s="110">
        <f>IF($A868="","",$B868*KidemKarsilikOrani)</f>
        <v/>
      </c>
      <c r="F868" s="108" t="n"/>
      <c r="G868" s="110">
        <f>IF($A868="","",$B868+$C868+$D868+$E868+$F868)</f>
        <v/>
      </c>
      <c r="H868" s="110">
        <f>IF($A868="","",$G868*AySayisi)</f>
        <v/>
      </c>
    </row>
    <row r="869" ht="15" customHeight="1" s="62">
      <c r="A869" s="107" t="n"/>
      <c r="B869" s="110">
        <f>IFERROR(IF($A869="","",IFERROR(INDEX(tblCalisan[Brüt Ücret (₺)],MATCH($A869,tblCalisan[Çalışan Adı],0)),"")),"")</f>
        <v/>
      </c>
      <c r="C869" s="110">
        <f>IF($A869="","",$B869*IsverenPayiOrani)</f>
        <v/>
      </c>
      <c r="D869" s="110">
        <f>IF($A869="","",$B869*IssizlikOrani)</f>
        <v/>
      </c>
      <c r="E869" s="110">
        <f>IF($A869="","",$B869*KidemKarsilikOrani)</f>
        <v/>
      </c>
      <c r="F869" s="108" t="n"/>
      <c r="G869" s="110">
        <f>IF($A869="","",$B869+$C869+$D869+$E869+$F869)</f>
        <v/>
      </c>
      <c r="H869" s="110">
        <f>IF($A869="","",$G869*AySayisi)</f>
        <v/>
      </c>
    </row>
    <row r="870" ht="15" customHeight="1" s="62">
      <c r="A870" s="107" t="n"/>
      <c r="B870" s="110">
        <f>IFERROR(IF($A870="","",IFERROR(INDEX(tblCalisan[Brüt Ücret (₺)],MATCH($A870,tblCalisan[Çalışan Adı],0)),"")),"")</f>
        <v/>
      </c>
      <c r="C870" s="110">
        <f>IF($A870="","",$B870*IsverenPayiOrani)</f>
        <v/>
      </c>
      <c r="D870" s="110">
        <f>IF($A870="","",$B870*IssizlikOrani)</f>
        <v/>
      </c>
      <c r="E870" s="110">
        <f>IF($A870="","",$B870*KidemKarsilikOrani)</f>
        <v/>
      </c>
      <c r="F870" s="108" t="n"/>
      <c r="G870" s="110">
        <f>IF($A870="","",$B870+$C870+$D870+$E870+$F870)</f>
        <v/>
      </c>
      <c r="H870" s="110">
        <f>IF($A870="","",$G870*AySayisi)</f>
        <v/>
      </c>
    </row>
    <row r="871" ht="15" customHeight="1" s="62">
      <c r="A871" s="107" t="n"/>
      <c r="B871" s="110">
        <f>IFERROR(IF($A871="","",IFERROR(INDEX(tblCalisan[Brüt Ücret (₺)],MATCH($A871,tblCalisan[Çalışan Adı],0)),"")),"")</f>
        <v/>
      </c>
      <c r="C871" s="110">
        <f>IF($A871="","",$B871*IsverenPayiOrani)</f>
        <v/>
      </c>
      <c r="D871" s="110">
        <f>IF($A871="","",$B871*IssizlikOrani)</f>
        <v/>
      </c>
      <c r="E871" s="110">
        <f>IF($A871="","",$B871*KidemKarsilikOrani)</f>
        <v/>
      </c>
      <c r="F871" s="108" t="n"/>
      <c r="G871" s="110">
        <f>IF($A871="","",$B871+$C871+$D871+$E871+$F871)</f>
        <v/>
      </c>
      <c r="H871" s="110">
        <f>IF($A871="","",$G871*AySayisi)</f>
        <v/>
      </c>
    </row>
    <row r="872" ht="15" customHeight="1" s="62">
      <c r="A872" s="107" t="n"/>
      <c r="B872" s="110">
        <f>IFERROR(IF($A872="","",IFERROR(INDEX(tblCalisan[Brüt Ücret (₺)],MATCH($A872,tblCalisan[Çalışan Adı],0)),"")),"")</f>
        <v/>
      </c>
      <c r="C872" s="110">
        <f>IF($A872="","",$B872*IsverenPayiOrani)</f>
        <v/>
      </c>
      <c r="D872" s="110">
        <f>IF($A872="","",$B872*IssizlikOrani)</f>
        <v/>
      </c>
      <c r="E872" s="110">
        <f>IF($A872="","",$B872*KidemKarsilikOrani)</f>
        <v/>
      </c>
      <c r="F872" s="108" t="n"/>
      <c r="G872" s="110">
        <f>IF($A872="","",$B872+$C872+$D872+$E872+$F872)</f>
        <v/>
      </c>
      <c r="H872" s="110">
        <f>IF($A872="","",$G872*AySayisi)</f>
        <v/>
      </c>
    </row>
    <row r="873" ht="15" customHeight="1" s="62">
      <c r="A873" s="107" t="n"/>
      <c r="B873" s="110">
        <f>IFERROR(IF($A873="","",IFERROR(INDEX(tblCalisan[Brüt Ücret (₺)],MATCH($A873,tblCalisan[Çalışan Adı],0)),"")),"")</f>
        <v/>
      </c>
      <c r="C873" s="110">
        <f>IF($A873="","",$B873*IsverenPayiOrani)</f>
        <v/>
      </c>
      <c r="D873" s="110">
        <f>IF($A873="","",$B873*IssizlikOrani)</f>
        <v/>
      </c>
      <c r="E873" s="110">
        <f>IF($A873="","",$B873*KidemKarsilikOrani)</f>
        <v/>
      </c>
      <c r="F873" s="108" t="n"/>
      <c r="G873" s="110">
        <f>IF($A873="","",$B873+$C873+$D873+$E873+$F873)</f>
        <v/>
      </c>
      <c r="H873" s="110">
        <f>IF($A873="","",$G873*AySayisi)</f>
        <v/>
      </c>
    </row>
    <row r="874" ht="15" customHeight="1" s="62">
      <c r="A874" s="107" t="n"/>
      <c r="B874" s="110">
        <f>IFERROR(IF($A874="","",IFERROR(INDEX(tblCalisan[Brüt Ücret (₺)],MATCH($A874,tblCalisan[Çalışan Adı],0)),"")),"")</f>
        <v/>
      </c>
      <c r="C874" s="110">
        <f>IF($A874="","",$B874*IsverenPayiOrani)</f>
        <v/>
      </c>
      <c r="D874" s="110">
        <f>IF($A874="","",$B874*IssizlikOrani)</f>
        <v/>
      </c>
      <c r="E874" s="110">
        <f>IF($A874="","",$B874*KidemKarsilikOrani)</f>
        <v/>
      </c>
      <c r="F874" s="108" t="n"/>
      <c r="G874" s="110">
        <f>IF($A874="","",$B874+$C874+$D874+$E874+$F874)</f>
        <v/>
      </c>
      <c r="H874" s="110">
        <f>IF($A874="","",$G874*AySayisi)</f>
        <v/>
      </c>
    </row>
    <row r="875" ht="15" customHeight="1" s="62">
      <c r="A875" s="107" t="n"/>
      <c r="B875" s="110">
        <f>IFERROR(IF($A875="","",IFERROR(INDEX(tblCalisan[Brüt Ücret (₺)],MATCH($A875,tblCalisan[Çalışan Adı],0)),"")),"")</f>
        <v/>
      </c>
      <c r="C875" s="110">
        <f>IF($A875="","",$B875*IsverenPayiOrani)</f>
        <v/>
      </c>
      <c r="D875" s="110">
        <f>IF($A875="","",$B875*IssizlikOrani)</f>
        <v/>
      </c>
      <c r="E875" s="110">
        <f>IF($A875="","",$B875*KidemKarsilikOrani)</f>
        <v/>
      </c>
      <c r="F875" s="108" t="n"/>
      <c r="G875" s="110">
        <f>IF($A875="","",$B875+$C875+$D875+$E875+$F875)</f>
        <v/>
      </c>
      <c r="H875" s="110">
        <f>IF($A875="","",$G875*AySayisi)</f>
        <v/>
      </c>
    </row>
    <row r="876" ht="15" customHeight="1" s="62">
      <c r="A876" s="107" t="n"/>
      <c r="B876" s="110">
        <f>IFERROR(IF($A876="","",IFERROR(INDEX(tblCalisan[Brüt Ücret (₺)],MATCH($A876,tblCalisan[Çalışan Adı],0)),"")),"")</f>
        <v/>
      </c>
      <c r="C876" s="110">
        <f>IF($A876="","",$B876*IsverenPayiOrani)</f>
        <v/>
      </c>
      <c r="D876" s="110">
        <f>IF($A876="","",$B876*IssizlikOrani)</f>
        <v/>
      </c>
      <c r="E876" s="110">
        <f>IF($A876="","",$B876*KidemKarsilikOrani)</f>
        <v/>
      </c>
      <c r="F876" s="108" t="n"/>
      <c r="G876" s="110">
        <f>IF($A876="","",$B876+$C876+$D876+$E876+$F876)</f>
        <v/>
      </c>
      <c r="H876" s="110">
        <f>IF($A876="","",$G876*AySayisi)</f>
        <v/>
      </c>
    </row>
    <row r="877" ht="15" customHeight="1" s="62">
      <c r="A877" s="107" t="n"/>
      <c r="B877" s="110">
        <f>IFERROR(IF($A877="","",IFERROR(INDEX(tblCalisan[Brüt Ücret (₺)],MATCH($A877,tblCalisan[Çalışan Adı],0)),"")),"")</f>
        <v/>
      </c>
      <c r="C877" s="110">
        <f>IF($A877="","",$B877*IsverenPayiOrani)</f>
        <v/>
      </c>
      <c r="D877" s="110">
        <f>IF($A877="","",$B877*IssizlikOrani)</f>
        <v/>
      </c>
      <c r="E877" s="110">
        <f>IF($A877="","",$B877*KidemKarsilikOrani)</f>
        <v/>
      </c>
      <c r="F877" s="108" t="n"/>
      <c r="G877" s="110">
        <f>IF($A877="","",$B877+$C877+$D877+$E877+$F877)</f>
        <v/>
      </c>
      <c r="H877" s="110">
        <f>IF($A877="","",$G877*AySayisi)</f>
        <v/>
      </c>
    </row>
    <row r="878" ht="15" customHeight="1" s="62">
      <c r="A878" s="107" t="n"/>
      <c r="B878" s="110">
        <f>IFERROR(IF($A878="","",IFERROR(INDEX(tblCalisan[Brüt Ücret (₺)],MATCH($A878,tblCalisan[Çalışan Adı],0)),"")),"")</f>
        <v/>
      </c>
      <c r="C878" s="110">
        <f>IF($A878="","",$B878*IsverenPayiOrani)</f>
        <v/>
      </c>
      <c r="D878" s="110">
        <f>IF($A878="","",$B878*IssizlikOrani)</f>
        <v/>
      </c>
      <c r="E878" s="110">
        <f>IF($A878="","",$B878*KidemKarsilikOrani)</f>
        <v/>
      </c>
      <c r="F878" s="108" t="n"/>
      <c r="G878" s="110">
        <f>IF($A878="","",$B878+$C878+$D878+$E878+$F878)</f>
        <v/>
      </c>
      <c r="H878" s="110">
        <f>IF($A878="","",$G878*AySayisi)</f>
        <v/>
      </c>
    </row>
    <row r="879" ht="15" customHeight="1" s="62">
      <c r="A879" s="107" t="n"/>
      <c r="B879" s="110">
        <f>IFERROR(IF($A879="","",IFERROR(INDEX(tblCalisan[Brüt Ücret (₺)],MATCH($A879,tblCalisan[Çalışan Adı],0)),"")),"")</f>
        <v/>
      </c>
      <c r="C879" s="110">
        <f>IF($A879="","",$B879*IsverenPayiOrani)</f>
        <v/>
      </c>
      <c r="D879" s="110">
        <f>IF($A879="","",$B879*IssizlikOrani)</f>
        <v/>
      </c>
      <c r="E879" s="110">
        <f>IF($A879="","",$B879*KidemKarsilikOrani)</f>
        <v/>
      </c>
      <c r="F879" s="108" t="n"/>
      <c r="G879" s="110">
        <f>IF($A879="","",$B879+$C879+$D879+$E879+$F879)</f>
        <v/>
      </c>
      <c r="H879" s="110">
        <f>IF($A879="","",$G879*AySayisi)</f>
        <v/>
      </c>
    </row>
    <row r="880" ht="15" customHeight="1" s="62">
      <c r="A880" s="107" t="n"/>
      <c r="B880" s="110">
        <f>IFERROR(IF($A880="","",IFERROR(INDEX(tblCalisan[Brüt Ücret (₺)],MATCH($A880,tblCalisan[Çalışan Adı],0)),"")),"")</f>
        <v/>
      </c>
      <c r="C880" s="110">
        <f>IF($A880="","",$B880*IsverenPayiOrani)</f>
        <v/>
      </c>
      <c r="D880" s="110">
        <f>IF($A880="","",$B880*IssizlikOrani)</f>
        <v/>
      </c>
      <c r="E880" s="110">
        <f>IF($A880="","",$B880*KidemKarsilikOrani)</f>
        <v/>
      </c>
      <c r="F880" s="108" t="n"/>
      <c r="G880" s="110">
        <f>IF($A880="","",$B880+$C880+$D880+$E880+$F880)</f>
        <v/>
      </c>
      <c r="H880" s="110">
        <f>IF($A880="","",$G880*AySayisi)</f>
        <v/>
      </c>
    </row>
    <row r="881" ht="15" customHeight="1" s="62">
      <c r="A881" s="107" t="n"/>
      <c r="B881" s="110">
        <f>IFERROR(IF($A881="","",IFERROR(INDEX(tblCalisan[Brüt Ücret (₺)],MATCH($A881,tblCalisan[Çalışan Adı],0)),"")),"")</f>
        <v/>
      </c>
      <c r="C881" s="110">
        <f>IF($A881="","",$B881*IsverenPayiOrani)</f>
        <v/>
      </c>
      <c r="D881" s="110">
        <f>IF($A881="","",$B881*IssizlikOrani)</f>
        <v/>
      </c>
      <c r="E881" s="110">
        <f>IF($A881="","",$B881*KidemKarsilikOrani)</f>
        <v/>
      </c>
      <c r="F881" s="108" t="n"/>
      <c r="G881" s="110">
        <f>IF($A881="","",$B881+$C881+$D881+$E881+$F881)</f>
        <v/>
      </c>
      <c r="H881" s="110">
        <f>IF($A881="","",$G881*AySayisi)</f>
        <v/>
      </c>
    </row>
    <row r="882" ht="15" customHeight="1" s="62">
      <c r="A882" s="107" t="n"/>
      <c r="B882" s="110">
        <f>IFERROR(IF($A882="","",IFERROR(INDEX(tblCalisan[Brüt Ücret (₺)],MATCH($A882,tblCalisan[Çalışan Adı],0)),"")),"")</f>
        <v/>
      </c>
      <c r="C882" s="110">
        <f>IF($A882="","",$B882*IsverenPayiOrani)</f>
        <v/>
      </c>
      <c r="D882" s="110">
        <f>IF($A882="","",$B882*IssizlikOrani)</f>
        <v/>
      </c>
      <c r="E882" s="110">
        <f>IF($A882="","",$B882*KidemKarsilikOrani)</f>
        <v/>
      </c>
      <c r="F882" s="108" t="n"/>
      <c r="G882" s="110">
        <f>IF($A882="","",$B882+$C882+$D882+$E882+$F882)</f>
        <v/>
      </c>
      <c r="H882" s="110">
        <f>IF($A882="","",$G882*AySayisi)</f>
        <v/>
      </c>
    </row>
    <row r="883" ht="15" customHeight="1" s="62">
      <c r="A883" s="107" t="n"/>
      <c r="B883" s="110">
        <f>IFERROR(IF($A883="","",IFERROR(INDEX(tblCalisan[Brüt Ücret (₺)],MATCH($A883,tblCalisan[Çalışan Adı],0)),"")),"")</f>
        <v/>
      </c>
      <c r="C883" s="110">
        <f>IF($A883="","",$B883*IsverenPayiOrani)</f>
        <v/>
      </c>
      <c r="D883" s="110">
        <f>IF($A883="","",$B883*IssizlikOrani)</f>
        <v/>
      </c>
      <c r="E883" s="110">
        <f>IF($A883="","",$B883*KidemKarsilikOrani)</f>
        <v/>
      </c>
      <c r="F883" s="108" t="n"/>
      <c r="G883" s="110">
        <f>IF($A883="","",$B883+$C883+$D883+$E883+$F883)</f>
        <v/>
      </c>
      <c r="H883" s="110">
        <f>IF($A883="","",$G883*AySayisi)</f>
        <v/>
      </c>
    </row>
    <row r="884" ht="15" customHeight="1" s="62">
      <c r="A884" s="107" t="n"/>
      <c r="B884" s="110">
        <f>IFERROR(IF($A884="","",IFERROR(INDEX(tblCalisan[Brüt Ücret (₺)],MATCH($A884,tblCalisan[Çalışan Adı],0)),"")),"")</f>
        <v/>
      </c>
      <c r="C884" s="110">
        <f>IF($A884="","",$B884*IsverenPayiOrani)</f>
        <v/>
      </c>
      <c r="D884" s="110">
        <f>IF($A884="","",$B884*IssizlikOrani)</f>
        <v/>
      </c>
      <c r="E884" s="110">
        <f>IF($A884="","",$B884*KidemKarsilikOrani)</f>
        <v/>
      </c>
      <c r="F884" s="108" t="n"/>
      <c r="G884" s="110">
        <f>IF($A884="","",$B884+$C884+$D884+$E884+$F884)</f>
        <v/>
      </c>
      <c r="H884" s="110">
        <f>IF($A884="","",$G884*AySayisi)</f>
        <v/>
      </c>
    </row>
    <row r="885" ht="15" customHeight="1" s="62">
      <c r="A885" s="107" t="n"/>
      <c r="B885" s="110">
        <f>IFERROR(IF($A885="","",IFERROR(INDEX(tblCalisan[Brüt Ücret (₺)],MATCH($A885,tblCalisan[Çalışan Adı],0)),"")),"")</f>
        <v/>
      </c>
      <c r="C885" s="110">
        <f>IF($A885="","",$B885*IsverenPayiOrani)</f>
        <v/>
      </c>
      <c r="D885" s="110">
        <f>IF($A885="","",$B885*IssizlikOrani)</f>
        <v/>
      </c>
      <c r="E885" s="110">
        <f>IF($A885="","",$B885*KidemKarsilikOrani)</f>
        <v/>
      </c>
      <c r="F885" s="108" t="n"/>
      <c r="G885" s="110">
        <f>IF($A885="","",$B885+$C885+$D885+$E885+$F885)</f>
        <v/>
      </c>
      <c r="H885" s="110">
        <f>IF($A885="","",$G885*AySayisi)</f>
        <v/>
      </c>
    </row>
    <row r="886" ht="15" customHeight="1" s="62">
      <c r="A886" s="107" t="n"/>
      <c r="B886" s="110">
        <f>IFERROR(IF($A886="","",IFERROR(INDEX(tblCalisan[Brüt Ücret (₺)],MATCH($A886,tblCalisan[Çalışan Adı],0)),"")),"")</f>
        <v/>
      </c>
      <c r="C886" s="110">
        <f>IF($A886="","",$B886*IsverenPayiOrani)</f>
        <v/>
      </c>
      <c r="D886" s="110">
        <f>IF($A886="","",$B886*IssizlikOrani)</f>
        <v/>
      </c>
      <c r="E886" s="110">
        <f>IF($A886="","",$B886*KidemKarsilikOrani)</f>
        <v/>
      </c>
      <c r="F886" s="108" t="n"/>
      <c r="G886" s="110">
        <f>IF($A886="","",$B886+$C886+$D886+$E886+$F886)</f>
        <v/>
      </c>
      <c r="H886" s="110">
        <f>IF($A886="","",$G886*AySayisi)</f>
        <v/>
      </c>
    </row>
    <row r="887" ht="15" customHeight="1" s="62">
      <c r="A887" s="107" t="n"/>
      <c r="B887" s="110">
        <f>IFERROR(IF($A887="","",IFERROR(INDEX(tblCalisan[Brüt Ücret (₺)],MATCH($A887,tblCalisan[Çalışan Adı],0)),"")),"")</f>
        <v/>
      </c>
      <c r="C887" s="110">
        <f>IF($A887="","",$B887*IsverenPayiOrani)</f>
        <v/>
      </c>
      <c r="D887" s="110">
        <f>IF($A887="","",$B887*IssizlikOrani)</f>
        <v/>
      </c>
      <c r="E887" s="110">
        <f>IF($A887="","",$B887*KidemKarsilikOrani)</f>
        <v/>
      </c>
      <c r="F887" s="108" t="n"/>
      <c r="G887" s="110">
        <f>IF($A887="","",$B887+$C887+$D887+$E887+$F887)</f>
        <v/>
      </c>
      <c r="H887" s="110">
        <f>IF($A887="","",$G887*AySayisi)</f>
        <v/>
      </c>
    </row>
    <row r="888" ht="15" customHeight="1" s="62">
      <c r="A888" s="107" t="n"/>
      <c r="B888" s="110">
        <f>IFERROR(IF($A888="","",IFERROR(INDEX(tblCalisan[Brüt Ücret (₺)],MATCH($A888,tblCalisan[Çalışan Adı],0)),"")),"")</f>
        <v/>
      </c>
      <c r="C888" s="110">
        <f>IF($A888="","",$B888*IsverenPayiOrani)</f>
        <v/>
      </c>
      <c r="D888" s="110">
        <f>IF($A888="","",$B888*IssizlikOrani)</f>
        <v/>
      </c>
      <c r="E888" s="110">
        <f>IF($A888="","",$B888*KidemKarsilikOrani)</f>
        <v/>
      </c>
      <c r="F888" s="108" t="n"/>
      <c r="G888" s="110">
        <f>IF($A888="","",$B888+$C888+$D888+$E888+$F888)</f>
        <v/>
      </c>
      <c r="H888" s="110">
        <f>IF($A888="","",$G888*AySayisi)</f>
        <v/>
      </c>
    </row>
    <row r="889" ht="15" customHeight="1" s="62">
      <c r="A889" s="107" t="n"/>
      <c r="B889" s="110">
        <f>IFERROR(IF($A889="","",IFERROR(INDEX(tblCalisan[Brüt Ücret (₺)],MATCH($A889,tblCalisan[Çalışan Adı],0)),"")),"")</f>
        <v/>
      </c>
      <c r="C889" s="110">
        <f>IF($A889="","",$B889*IsverenPayiOrani)</f>
        <v/>
      </c>
      <c r="D889" s="110">
        <f>IF($A889="","",$B889*IssizlikOrani)</f>
        <v/>
      </c>
      <c r="E889" s="110">
        <f>IF($A889="","",$B889*KidemKarsilikOrani)</f>
        <v/>
      </c>
      <c r="F889" s="108" t="n"/>
      <c r="G889" s="110">
        <f>IF($A889="","",$B889+$C889+$D889+$E889+$F889)</f>
        <v/>
      </c>
      <c r="H889" s="110">
        <f>IF($A889="","",$G889*AySayisi)</f>
        <v/>
      </c>
    </row>
    <row r="890" ht="15" customHeight="1" s="62">
      <c r="A890" s="107" t="n"/>
      <c r="B890" s="110">
        <f>IFERROR(IF($A890="","",IFERROR(INDEX(tblCalisan[Brüt Ücret (₺)],MATCH($A890,tblCalisan[Çalışan Adı],0)),"")),"")</f>
        <v/>
      </c>
      <c r="C890" s="110">
        <f>IF($A890="","",$B890*IsverenPayiOrani)</f>
        <v/>
      </c>
      <c r="D890" s="110">
        <f>IF($A890="","",$B890*IssizlikOrani)</f>
        <v/>
      </c>
      <c r="E890" s="110">
        <f>IF($A890="","",$B890*KidemKarsilikOrani)</f>
        <v/>
      </c>
      <c r="F890" s="108" t="n"/>
      <c r="G890" s="110">
        <f>IF($A890="","",$B890+$C890+$D890+$E890+$F890)</f>
        <v/>
      </c>
      <c r="H890" s="110">
        <f>IF($A890="","",$G890*AySayisi)</f>
        <v/>
      </c>
    </row>
    <row r="891" ht="15" customHeight="1" s="62">
      <c r="A891" s="107" t="n"/>
      <c r="B891" s="110">
        <f>IFERROR(IF($A891="","",IFERROR(INDEX(tblCalisan[Brüt Ücret (₺)],MATCH($A891,tblCalisan[Çalışan Adı],0)),"")),"")</f>
        <v/>
      </c>
      <c r="C891" s="110">
        <f>IF($A891="","",$B891*IsverenPayiOrani)</f>
        <v/>
      </c>
      <c r="D891" s="110">
        <f>IF($A891="","",$B891*IssizlikOrani)</f>
        <v/>
      </c>
      <c r="E891" s="110">
        <f>IF($A891="","",$B891*KidemKarsilikOrani)</f>
        <v/>
      </c>
      <c r="F891" s="108" t="n"/>
      <c r="G891" s="110">
        <f>IF($A891="","",$B891+$C891+$D891+$E891+$F891)</f>
        <v/>
      </c>
      <c r="H891" s="110">
        <f>IF($A891="","",$G891*AySayisi)</f>
        <v/>
      </c>
    </row>
    <row r="892" ht="15" customHeight="1" s="62">
      <c r="A892" s="107" t="n"/>
      <c r="B892" s="110">
        <f>IFERROR(IF($A892="","",IFERROR(INDEX(tblCalisan[Brüt Ücret (₺)],MATCH($A892,tblCalisan[Çalışan Adı],0)),"")),"")</f>
        <v/>
      </c>
      <c r="C892" s="110">
        <f>IF($A892="","",$B892*IsverenPayiOrani)</f>
        <v/>
      </c>
      <c r="D892" s="110">
        <f>IF($A892="","",$B892*IssizlikOrani)</f>
        <v/>
      </c>
      <c r="E892" s="110">
        <f>IF($A892="","",$B892*KidemKarsilikOrani)</f>
        <v/>
      </c>
      <c r="F892" s="108" t="n"/>
      <c r="G892" s="110">
        <f>IF($A892="","",$B892+$C892+$D892+$E892+$F892)</f>
        <v/>
      </c>
      <c r="H892" s="110">
        <f>IF($A892="","",$G892*AySayisi)</f>
        <v/>
      </c>
    </row>
    <row r="893" ht="15" customHeight="1" s="62">
      <c r="A893" s="107" t="n"/>
      <c r="B893" s="110">
        <f>IFERROR(IF($A893="","",IFERROR(INDEX(tblCalisan[Brüt Ücret (₺)],MATCH($A893,tblCalisan[Çalışan Adı],0)),"")),"")</f>
        <v/>
      </c>
      <c r="C893" s="110">
        <f>IF($A893="","",$B893*IsverenPayiOrani)</f>
        <v/>
      </c>
      <c r="D893" s="110">
        <f>IF($A893="","",$B893*IssizlikOrani)</f>
        <v/>
      </c>
      <c r="E893" s="110">
        <f>IF($A893="","",$B893*KidemKarsilikOrani)</f>
        <v/>
      </c>
      <c r="F893" s="108" t="n"/>
      <c r="G893" s="110">
        <f>IF($A893="","",$B893+$C893+$D893+$E893+$F893)</f>
        <v/>
      </c>
      <c r="H893" s="110">
        <f>IF($A893="","",$G893*AySayisi)</f>
        <v/>
      </c>
    </row>
    <row r="894" ht="15" customHeight="1" s="62">
      <c r="A894" s="107" t="n"/>
      <c r="B894" s="110">
        <f>IFERROR(IF($A894="","",IFERROR(INDEX(tblCalisan[Brüt Ücret (₺)],MATCH($A894,tblCalisan[Çalışan Adı],0)),"")),"")</f>
        <v/>
      </c>
      <c r="C894" s="110">
        <f>IF($A894="","",$B894*IsverenPayiOrani)</f>
        <v/>
      </c>
      <c r="D894" s="110">
        <f>IF($A894="","",$B894*IssizlikOrani)</f>
        <v/>
      </c>
      <c r="E894" s="110">
        <f>IF($A894="","",$B894*KidemKarsilikOrani)</f>
        <v/>
      </c>
      <c r="F894" s="108" t="n"/>
      <c r="G894" s="110">
        <f>IF($A894="","",$B894+$C894+$D894+$E894+$F894)</f>
        <v/>
      </c>
      <c r="H894" s="110">
        <f>IF($A894="","",$G894*AySayisi)</f>
        <v/>
      </c>
    </row>
    <row r="895" ht="15" customHeight="1" s="62">
      <c r="A895" s="107" t="n"/>
      <c r="B895" s="110">
        <f>IFERROR(IF($A895="","",IFERROR(INDEX(tblCalisan[Brüt Ücret (₺)],MATCH($A895,tblCalisan[Çalışan Adı],0)),"")),"")</f>
        <v/>
      </c>
      <c r="C895" s="110">
        <f>IF($A895="","",$B895*IsverenPayiOrani)</f>
        <v/>
      </c>
      <c r="D895" s="110">
        <f>IF($A895="","",$B895*IssizlikOrani)</f>
        <v/>
      </c>
      <c r="E895" s="110">
        <f>IF($A895="","",$B895*KidemKarsilikOrani)</f>
        <v/>
      </c>
      <c r="F895" s="108" t="n"/>
      <c r="G895" s="110">
        <f>IF($A895="","",$B895+$C895+$D895+$E895+$F895)</f>
        <v/>
      </c>
      <c r="H895" s="110">
        <f>IF($A895="","",$G895*AySayisi)</f>
        <v/>
      </c>
    </row>
    <row r="896" ht="15" customHeight="1" s="62">
      <c r="A896" s="107" t="n"/>
      <c r="B896" s="110">
        <f>IFERROR(IF($A896="","",IFERROR(INDEX(tblCalisan[Brüt Ücret (₺)],MATCH($A896,tblCalisan[Çalışan Adı],0)),"")),"")</f>
        <v/>
      </c>
      <c r="C896" s="110">
        <f>IF($A896="","",$B896*IsverenPayiOrani)</f>
        <v/>
      </c>
      <c r="D896" s="110">
        <f>IF($A896="","",$B896*IssizlikOrani)</f>
        <v/>
      </c>
      <c r="E896" s="110">
        <f>IF($A896="","",$B896*KidemKarsilikOrani)</f>
        <v/>
      </c>
      <c r="F896" s="108" t="n"/>
      <c r="G896" s="110">
        <f>IF($A896="","",$B896+$C896+$D896+$E896+$F896)</f>
        <v/>
      </c>
      <c r="H896" s="110">
        <f>IF($A896="","",$G896*AySayisi)</f>
        <v/>
      </c>
    </row>
    <row r="897" ht="15" customHeight="1" s="62">
      <c r="A897" s="107" t="n"/>
      <c r="B897" s="110">
        <f>IFERROR(IF($A897="","",IFERROR(INDEX(tblCalisan[Brüt Ücret (₺)],MATCH($A897,tblCalisan[Çalışan Adı],0)),"")),"")</f>
        <v/>
      </c>
      <c r="C897" s="110">
        <f>IF($A897="","",$B897*IsverenPayiOrani)</f>
        <v/>
      </c>
      <c r="D897" s="110">
        <f>IF($A897="","",$B897*IssizlikOrani)</f>
        <v/>
      </c>
      <c r="E897" s="110">
        <f>IF($A897="","",$B897*KidemKarsilikOrani)</f>
        <v/>
      </c>
      <c r="F897" s="108" t="n"/>
      <c r="G897" s="110">
        <f>IF($A897="","",$B897+$C897+$D897+$E897+$F897)</f>
        <v/>
      </c>
      <c r="H897" s="110">
        <f>IF($A897="","",$G897*AySayisi)</f>
        <v/>
      </c>
    </row>
    <row r="898" ht="15" customHeight="1" s="62">
      <c r="A898" s="107" t="n"/>
      <c r="B898" s="110">
        <f>IFERROR(IF($A898="","",IFERROR(INDEX(tblCalisan[Brüt Ücret (₺)],MATCH($A898,tblCalisan[Çalışan Adı],0)),"")),"")</f>
        <v/>
      </c>
      <c r="C898" s="110">
        <f>IF($A898="","",$B898*IsverenPayiOrani)</f>
        <v/>
      </c>
      <c r="D898" s="110">
        <f>IF($A898="","",$B898*IssizlikOrani)</f>
        <v/>
      </c>
      <c r="E898" s="110">
        <f>IF($A898="","",$B898*KidemKarsilikOrani)</f>
        <v/>
      </c>
      <c r="F898" s="108" t="n"/>
      <c r="G898" s="110">
        <f>IF($A898="","",$B898+$C898+$D898+$E898+$F898)</f>
        <v/>
      </c>
      <c r="H898" s="110">
        <f>IF($A898="","",$G898*AySayisi)</f>
        <v/>
      </c>
    </row>
    <row r="899" ht="15" customHeight="1" s="62">
      <c r="A899" s="107" t="n"/>
      <c r="B899" s="110">
        <f>IFERROR(IF($A899="","",IFERROR(INDEX(tblCalisan[Brüt Ücret (₺)],MATCH($A899,tblCalisan[Çalışan Adı],0)),"")),"")</f>
        <v/>
      </c>
      <c r="C899" s="110">
        <f>IF($A899="","",$B899*IsverenPayiOrani)</f>
        <v/>
      </c>
      <c r="D899" s="110">
        <f>IF($A899="","",$B899*IssizlikOrani)</f>
        <v/>
      </c>
      <c r="E899" s="110">
        <f>IF($A899="","",$B899*KidemKarsilikOrani)</f>
        <v/>
      </c>
      <c r="F899" s="108" t="n"/>
      <c r="G899" s="110">
        <f>IF($A899="","",$B899+$C899+$D899+$E899+$F899)</f>
        <v/>
      </c>
      <c r="H899" s="110">
        <f>IF($A899="","",$G899*AySayisi)</f>
        <v/>
      </c>
    </row>
    <row r="900" ht="15" customHeight="1" s="62">
      <c r="A900" s="107" t="n"/>
      <c r="B900" s="110">
        <f>IFERROR(IF($A900="","",IFERROR(INDEX(tblCalisan[Brüt Ücret (₺)],MATCH($A900,tblCalisan[Çalışan Adı],0)),"")),"")</f>
        <v/>
      </c>
      <c r="C900" s="110">
        <f>IF($A900="","",$B900*IsverenPayiOrani)</f>
        <v/>
      </c>
      <c r="D900" s="110">
        <f>IF($A900="","",$B900*IssizlikOrani)</f>
        <v/>
      </c>
      <c r="E900" s="110">
        <f>IF($A900="","",$B900*KidemKarsilikOrani)</f>
        <v/>
      </c>
      <c r="F900" s="108" t="n"/>
      <c r="G900" s="110">
        <f>IF($A900="","",$B900+$C900+$D900+$E900+$F900)</f>
        <v/>
      </c>
      <c r="H900" s="110">
        <f>IF($A900="","",$G900*AySayisi)</f>
        <v/>
      </c>
    </row>
    <row r="901" ht="15" customHeight="1" s="62">
      <c r="A901" s="107" t="n"/>
      <c r="B901" s="110">
        <f>IFERROR(IF($A901="","",IFERROR(INDEX(tblCalisan[Brüt Ücret (₺)],MATCH($A901,tblCalisan[Çalışan Adı],0)),"")),"")</f>
        <v/>
      </c>
      <c r="C901" s="110">
        <f>IF($A901="","",$B901*IsverenPayiOrani)</f>
        <v/>
      </c>
      <c r="D901" s="110">
        <f>IF($A901="","",$B901*IssizlikOrani)</f>
        <v/>
      </c>
      <c r="E901" s="110">
        <f>IF($A901="","",$B901*KidemKarsilikOrani)</f>
        <v/>
      </c>
      <c r="F901" s="108" t="n"/>
      <c r="G901" s="110">
        <f>IF($A901="","",$B901+$C901+$D901+$E901+$F901)</f>
        <v/>
      </c>
      <c r="H901" s="110">
        <f>IF($A901="","",$G901*AySayisi)</f>
        <v/>
      </c>
    </row>
    <row r="902" ht="15" customHeight="1" s="62">
      <c r="A902" s="107" t="n"/>
      <c r="B902" s="110">
        <f>IFERROR(IF($A902="","",IFERROR(INDEX(tblCalisan[Brüt Ücret (₺)],MATCH($A902,tblCalisan[Çalışan Adı],0)),"")),"")</f>
        <v/>
      </c>
      <c r="C902" s="110">
        <f>IF($A902="","",$B902*IsverenPayiOrani)</f>
        <v/>
      </c>
      <c r="D902" s="110">
        <f>IF($A902="","",$B902*IssizlikOrani)</f>
        <v/>
      </c>
      <c r="E902" s="110">
        <f>IF($A902="","",$B902*KidemKarsilikOrani)</f>
        <v/>
      </c>
      <c r="F902" s="108" t="n"/>
      <c r="G902" s="110">
        <f>IF($A902="","",$B902+$C902+$D902+$E902+$F902)</f>
        <v/>
      </c>
      <c r="H902" s="110">
        <f>IF($A902="","",$G902*AySayisi)</f>
        <v/>
      </c>
    </row>
    <row r="903" ht="15" customHeight="1" s="62">
      <c r="A903" s="107" t="n"/>
      <c r="B903" s="110">
        <f>IFERROR(IF($A903="","",IFERROR(INDEX(tblCalisan[Brüt Ücret (₺)],MATCH($A903,tblCalisan[Çalışan Adı],0)),"")),"")</f>
        <v/>
      </c>
      <c r="C903" s="110">
        <f>IF($A903="","",$B903*IsverenPayiOrani)</f>
        <v/>
      </c>
      <c r="D903" s="110">
        <f>IF($A903="","",$B903*IssizlikOrani)</f>
        <v/>
      </c>
      <c r="E903" s="110">
        <f>IF($A903="","",$B903*KidemKarsilikOrani)</f>
        <v/>
      </c>
      <c r="F903" s="108" t="n"/>
      <c r="G903" s="110">
        <f>IF($A903="","",$B903+$C903+$D903+$E903+$F903)</f>
        <v/>
      </c>
      <c r="H903" s="110">
        <f>IF($A903="","",$G903*AySayisi)</f>
        <v/>
      </c>
    </row>
    <row r="904" ht="15" customHeight="1" s="62">
      <c r="A904" s="107" t="n"/>
      <c r="B904" s="110">
        <f>IFERROR(IF($A904="","",IFERROR(INDEX(tblCalisan[Brüt Ücret (₺)],MATCH($A904,tblCalisan[Çalışan Adı],0)),"")),"")</f>
        <v/>
      </c>
      <c r="C904" s="110">
        <f>IF($A904="","",$B904*IsverenPayiOrani)</f>
        <v/>
      </c>
      <c r="D904" s="110">
        <f>IF($A904="","",$B904*IssizlikOrani)</f>
        <v/>
      </c>
      <c r="E904" s="110">
        <f>IF($A904="","",$B904*KidemKarsilikOrani)</f>
        <v/>
      </c>
      <c r="F904" s="108" t="n"/>
      <c r="G904" s="110">
        <f>IF($A904="","",$B904+$C904+$D904+$E904+$F904)</f>
        <v/>
      </c>
      <c r="H904" s="110">
        <f>IF($A904="","",$G904*AySayisi)</f>
        <v/>
      </c>
    </row>
    <row r="905" ht="15" customHeight="1" s="62">
      <c r="A905" s="107" t="n"/>
      <c r="B905" s="110">
        <f>IFERROR(IF($A905="","",IFERROR(INDEX(tblCalisan[Brüt Ücret (₺)],MATCH($A905,tblCalisan[Çalışan Adı],0)),"")),"")</f>
        <v/>
      </c>
      <c r="C905" s="110">
        <f>IF($A905="","",$B905*IsverenPayiOrani)</f>
        <v/>
      </c>
      <c r="D905" s="110">
        <f>IF($A905="","",$B905*IssizlikOrani)</f>
        <v/>
      </c>
      <c r="E905" s="110">
        <f>IF($A905="","",$B905*KidemKarsilikOrani)</f>
        <v/>
      </c>
      <c r="F905" s="108" t="n"/>
      <c r="G905" s="110">
        <f>IF($A905="","",$B905+$C905+$D905+$E905+$F905)</f>
        <v/>
      </c>
      <c r="H905" s="110">
        <f>IF($A905="","",$G905*AySayisi)</f>
        <v/>
      </c>
    </row>
    <row r="906" ht="15" customHeight="1" s="62">
      <c r="A906" s="107" t="n"/>
      <c r="B906" s="110">
        <f>IFERROR(IF($A906="","",IFERROR(INDEX(tblCalisan[Brüt Ücret (₺)],MATCH($A906,tblCalisan[Çalışan Adı],0)),"")),"")</f>
        <v/>
      </c>
      <c r="C906" s="110">
        <f>IF($A906="","",$B906*IsverenPayiOrani)</f>
        <v/>
      </c>
      <c r="D906" s="110">
        <f>IF($A906="","",$B906*IssizlikOrani)</f>
        <v/>
      </c>
      <c r="E906" s="110">
        <f>IF($A906="","",$B906*KidemKarsilikOrani)</f>
        <v/>
      </c>
      <c r="F906" s="108" t="n"/>
      <c r="G906" s="110">
        <f>IF($A906="","",$B906+$C906+$D906+$E906+$F906)</f>
        <v/>
      </c>
      <c r="H906" s="110">
        <f>IF($A906="","",$G906*AySayisi)</f>
        <v/>
      </c>
    </row>
    <row r="907" ht="15" customHeight="1" s="62">
      <c r="A907" s="107" t="n"/>
      <c r="B907" s="110">
        <f>IFERROR(IF($A907="","",IFERROR(INDEX(tblCalisan[Brüt Ücret (₺)],MATCH($A907,tblCalisan[Çalışan Adı],0)),"")),"")</f>
        <v/>
      </c>
      <c r="C907" s="110">
        <f>IF($A907="","",$B907*IsverenPayiOrani)</f>
        <v/>
      </c>
      <c r="D907" s="110">
        <f>IF($A907="","",$B907*IssizlikOrani)</f>
        <v/>
      </c>
      <c r="E907" s="110">
        <f>IF($A907="","",$B907*KidemKarsilikOrani)</f>
        <v/>
      </c>
      <c r="F907" s="108" t="n"/>
      <c r="G907" s="110">
        <f>IF($A907="","",$B907+$C907+$D907+$E907+$F907)</f>
        <v/>
      </c>
      <c r="H907" s="110">
        <f>IF($A907="","",$G907*AySayisi)</f>
        <v/>
      </c>
    </row>
    <row r="908" ht="15" customHeight="1" s="62">
      <c r="A908" s="107" t="n"/>
      <c r="B908" s="110">
        <f>IFERROR(IF($A908="","",IFERROR(INDEX(tblCalisan[Brüt Ücret (₺)],MATCH($A908,tblCalisan[Çalışan Adı],0)),"")),"")</f>
        <v/>
      </c>
      <c r="C908" s="110">
        <f>IF($A908="","",$B908*IsverenPayiOrani)</f>
        <v/>
      </c>
      <c r="D908" s="110">
        <f>IF($A908="","",$B908*IssizlikOrani)</f>
        <v/>
      </c>
      <c r="E908" s="110">
        <f>IF($A908="","",$B908*KidemKarsilikOrani)</f>
        <v/>
      </c>
      <c r="F908" s="108" t="n"/>
      <c r="G908" s="110">
        <f>IF($A908="","",$B908+$C908+$D908+$E908+$F908)</f>
        <v/>
      </c>
      <c r="H908" s="110">
        <f>IF($A908="","",$G908*AySayisi)</f>
        <v/>
      </c>
    </row>
    <row r="909" ht="15" customHeight="1" s="62">
      <c r="A909" s="107" t="n"/>
      <c r="B909" s="110">
        <f>IFERROR(IF($A909="","",IFERROR(INDEX(tblCalisan[Brüt Ücret (₺)],MATCH($A909,tblCalisan[Çalışan Adı],0)),"")),"")</f>
        <v/>
      </c>
      <c r="C909" s="110">
        <f>IF($A909="","",$B909*IsverenPayiOrani)</f>
        <v/>
      </c>
      <c r="D909" s="110">
        <f>IF($A909="","",$B909*IssizlikOrani)</f>
        <v/>
      </c>
      <c r="E909" s="110">
        <f>IF($A909="","",$B909*KidemKarsilikOrani)</f>
        <v/>
      </c>
      <c r="F909" s="108" t="n"/>
      <c r="G909" s="110">
        <f>IF($A909="","",$B909+$C909+$D909+$E909+$F909)</f>
        <v/>
      </c>
      <c r="H909" s="110">
        <f>IF($A909="","",$G909*AySayisi)</f>
        <v/>
      </c>
    </row>
    <row r="910" ht="15" customHeight="1" s="62">
      <c r="A910" s="107" t="n"/>
      <c r="B910" s="110">
        <f>IFERROR(IF($A910="","",IFERROR(INDEX(tblCalisan[Brüt Ücret (₺)],MATCH($A910,tblCalisan[Çalışan Adı],0)),"")),"")</f>
        <v/>
      </c>
      <c r="C910" s="110">
        <f>IF($A910="","",$B910*IsverenPayiOrani)</f>
        <v/>
      </c>
      <c r="D910" s="110">
        <f>IF($A910="","",$B910*IssizlikOrani)</f>
        <v/>
      </c>
      <c r="E910" s="110">
        <f>IF($A910="","",$B910*KidemKarsilikOrani)</f>
        <v/>
      </c>
      <c r="F910" s="108" t="n"/>
      <c r="G910" s="110">
        <f>IF($A910="","",$B910+$C910+$D910+$E910+$F910)</f>
        <v/>
      </c>
      <c r="H910" s="110">
        <f>IF($A910="","",$G910*AySayisi)</f>
        <v/>
      </c>
    </row>
    <row r="911" ht="15" customHeight="1" s="62">
      <c r="A911" s="107" t="n"/>
      <c r="B911" s="110">
        <f>IFERROR(IF($A911="","",IFERROR(INDEX(tblCalisan[Brüt Ücret (₺)],MATCH($A911,tblCalisan[Çalışan Adı],0)),"")),"")</f>
        <v/>
      </c>
      <c r="C911" s="110">
        <f>IF($A911="","",$B911*IsverenPayiOrani)</f>
        <v/>
      </c>
      <c r="D911" s="110">
        <f>IF($A911="","",$B911*IssizlikOrani)</f>
        <v/>
      </c>
      <c r="E911" s="110">
        <f>IF($A911="","",$B911*KidemKarsilikOrani)</f>
        <v/>
      </c>
      <c r="F911" s="108" t="n"/>
      <c r="G911" s="110">
        <f>IF($A911="","",$B911+$C911+$D911+$E911+$F911)</f>
        <v/>
      </c>
      <c r="H911" s="110">
        <f>IF($A911="","",$G911*AySayisi)</f>
        <v/>
      </c>
    </row>
    <row r="912" ht="15" customHeight="1" s="62">
      <c r="A912" s="107" t="n"/>
      <c r="B912" s="110">
        <f>IFERROR(IF($A912="","",IFERROR(INDEX(tblCalisan[Brüt Ücret (₺)],MATCH($A912,tblCalisan[Çalışan Adı],0)),"")),"")</f>
        <v/>
      </c>
      <c r="C912" s="110">
        <f>IF($A912="","",$B912*IsverenPayiOrani)</f>
        <v/>
      </c>
      <c r="D912" s="110">
        <f>IF($A912="","",$B912*IssizlikOrani)</f>
        <v/>
      </c>
      <c r="E912" s="110">
        <f>IF($A912="","",$B912*KidemKarsilikOrani)</f>
        <v/>
      </c>
      <c r="F912" s="108" t="n"/>
      <c r="G912" s="110">
        <f>IF($A912="","",$B912+$C912+$D912+$E912+$F912)</f>
        <v/>
      </c>
      <c r="H912" s="110">
        <f>IF($A912="","",$G912*AySayisi)</f>
        <v/>
      </c>
    </row>
    <row r="913" ht="15" customHeight="1" s="62">
      <c r="A913" s="107" t="n"/>
      <c r="B913" s="110">
        <f>IFERROR(IF($A913="","",IFERROR(INDEX(tblCalisan[Brüt Ücret (₺)],MATCH($A913,tblCalisan[Çalışan Adı],0)),"")),"")</f>
        <v/>
      </c>
      <c r="C913" s="110">
        <f>IF($A913="","",$B913*IsverenPayiOrani)</f>
        <v/>
      </c>
      <c r="D913" s="110">
        <f>IF($A913="","",$B913*IssizlikOrani)</f>
        <v/>
      </c>
      <c r="E913" s="110">
        <f>IF($A913="","",$B913*KidemKarsilikOrani)</f>
        <v/>
      </c>
      <c r="F913" s="108" t="n"/>
      <c r="G913" s="110">
        <f>IF($A913="","",$B913+$C913+$D913+$E913+$F913)</f>
        <v/>
      </c>
      <c r="H913" s="110">
        <f>IF($A913="","",$G913*AySayisi)</f>
        <v/>
      </c>
    </row>
    <row r="914" ht="15" customHeight="1" s="62">
      <c r="A914" s="107" t="n"/>
      <c r="B914" s="110">
        <f>IFERROR(IF($A914="","",IFERROR(INDEX(tblCalisan[Brüt Ücret (₺)],MATCH($A914,tblCalisan[Çalışan Adı],0)),"")),"")</f>
        <v/>
      </c>
      <c r="C914" s="110">
        <f>IF($A914="","",$B914*IsverenPayiOrani)</f>
        <v/>
      </c>
      <c r="D914" s="110">
        <f>IF($A914="","",$B914*IssizlikOrani)</f>
        <v/>
      </c>
      <c r="E914" s="110">
        <f>IF($A914="","",$B914*KidemKarsilikOrani)</f>
        <v/>
      </c>
      <c r="F914" s="108" t="n"/>
      <c r="G914" s="110">
        <f>IF($A914="","",$B914+$C914+$D914+$E914+$F914)</f>
        <v/>
      </c>
      <c r="H914" s="110">
        <f>IF($A914="","",$G914*AySayisi)</f>
        <v/>
      </c>
    </row>
    <row r="915" ht="15" customHeight="1" s="62">
      <c r="A915" s="107" t="n"/>
      <c r="B915" s="110">
        <f>IFERROR(IF($A915="","",IFERROR(INDEX(tblCalisan[Brüt Ücret (₺)],MATCH($A915,tblCalisan[Çalışan Adı],0)),"")),"")</f>
        <v/>
      </c>
      <c r="C915" s="110">
        <f>IF($A915="","",$B915*IsverenPayiOrani)</f>
        <v/>
      </c>
      <c r="D915" s="110">
        <f>IF($A915="","",$B915*IssizlikOrani)</f>
        <v/>
      </c>
      <c r="E915" s="110">
        <f>IF($A915="","",$B915*KidemKarsilikOrani)</f>
        <v/>
      </c>
      <c r="F915" s="108" t="n"/>
      <c r="G915" s="110">
        <f>IF($A915="","",$B915+$C915+$D915+$E915+$F915)</f>
        <v/>
      </c>
      <c r="H915" s="110">
        <f>IF($A915="","",$G915*AySayisi)</f>
        <v/>
      </c>
    </row>
    <row r="916" ht="15" customHeight="1" s="62">
      <c r="A916" s="107" t="n"/>
      <c r="B916" s="110">
        <f>IFERROR(IF($A916="","",IFERROR(INDEX(tblCalisan[Brüt Ücret (₺)],MATCH($A916,tblCalisan[Çalışan Adı],0)),"")),"")</f>
        <v/>
      </c>
      <c r="C916" s="110">
        <f>IF($A916="","",$B916*IsverenPayiOrani)</f>
        <v/>
      </c>
      <c r="D916" s="110">
        <f>IF($A916="","",$B916*IssizlikOrani)</f>
        <v/>
      </c>
      <c r="E916" s="110">
        <f>IF($A916="","",$B916*KidemKarsilikOrani)</f>
        <v/>
      </c>
      <c r="F916" s="108" t="n"/>
      <c r="G916" s="110">
        <f>IF($A916="","",$B916+$C916+$D916+$E916+$F916)</f>
        <v/>
      </c>
      <c r="H916" s="110">
        <f>IF($A916="","",$G916*AySayisi)</f>
        <v/>
      </c>
    </row>
    <row r="917" ht="15" customHeight="1" s="62">
      <c r="A917" s="107" t="n"/>
      <c r="B917" s="110">
        <f>IFERROR(IF($A917="","",IFERROR(INDEX(tblCalisan[Brüt Ücret (₺)],MATCH($A917,tblCalisan[Çalışan Adı],0)),"")),"")</f>
        <v/>
      </c>
      <c r="C917" s="110">
        <f>IF($A917="","",$B917*IsverenPayiOrani)</f>
        <v/>
      </c>
      <c r="D917" s="110">
        <f>IF($A917="","",$B917*IssizlikOrani)</f>
        <v/>
      </c>
      <c r="E917" s="110">
        <f>IF($A917="","",$B917*KidemKarsilikOrani)</f>
        <v/>
      </c>
      <c r="F917" s="108" t="n"/>
      <c r="G917" s="110">
        <f>IF($A917="","",$B917+$C917+$D917+$E917+$F917)</f>
        <v/>
      </c>
      <c r="H917" s="110">
        <f>IF($A917="","",$G917*AySayisi)</f>
        <v/>
      </c>
    </row>
    <row r="918" ht="15" customHeight="1" s="62">
      <c r="A918" s="107" t="n"/>
      <c r="B918" s="110">
        <f>IFERROR(IF($A918="","",IFERROR(INDEX(tblCalisan[Brüt Ücret (₺)],MATCH($A918,tblCalisan[Çalışan Adı],0)),"")),"")</f>
        <v/>
      </c>
      <c r="C918" s="110">
        <f>IF($A918="","",$B918*IsverenPayiOrani)</f>
        <v/>
      </c>
      <c r="D918" s="110">
        <f>IF($A918="","",$B918*IssizlikOrani)</f>
        <v/>
      </c>
      <c r="E918" s="110">
        <f>IF($A918="","",$B918*KidemKarsilikOrani)</f>
        <v/>
      </c>
      <c r="F918" s="108" t="n"/>
      <c r="G918" s="110">
        <f>IF($A918="","",$B918+$C918+$D918+$E918+$F918)</f>
        <v/>
      </c>
      <c r="H918" s="110">
        <f>IF($A918="","",$G918*AySayisi)</f>
        <v/>
      </c>
    </row>
    <row r="919" ht="15" customHeight="1" s="62">
      <c r="A919" s="107" t="n"/>
      <c r="B919" s="110">
        <f>IFERROR(IF($A919="","",IFERROR(INDEX(tblCalisan[Brüt Ücret (₺)],MATCH($A919,tblCalisan[Çalışan Adı],0)),"")),"")</f>
        <v/>
      </c>
      <c r="C919" s="110">
        <f>IF($A919="","",$B919*IsverenPayiOrani)</f>
        <v/>
      </c>
      <c r="D919" s="110">
        <f>IF($A919="","",$B919*IssizlikOrani)</f>
        <v/>
      </c>
      <c r="E919" s="110">
        <f>IF($A919="","",$B919*KidemKarsilikOrani)</f>
        <v/>
      </c>
      <c r="F919" s="108" t="n"/>
      <c r="G919" s="110">
        <f>IF($A919="","",$B919+$C919+$D919+$E919+$F919)</f>
        <v/>
      </c>
      <c r="H919" s="110">
        <f>IF($A919="","",$G919*AySayisi)</f>
        <v/>
      </c>
    </row>
    <row r="920" ht="15" customHeight="1" s="62">
      <c r="A920" s="107" t="n"/>
      <c r="B920" s="110">
        <f>IFERROR(IF($A920="","",IFERROR(INDEX(tblCalisan[Brüt Ücret (₺)],MATCH($A920,tblCalisan[Çalışan Adı],0)),"")),"")</f>
        <v/>
      </c>
      <c r="C920" s="110">
        <f>IF($A920="","",$B920*IsverenPayiOrani)</f>
        <v/>
      </c>
      <c r="D920" s="110">
        <f>IF($A920="","",$B920*IssizlikOrani)</f>
        <v/>
      </c>
      <c r="E920" s="110">
        <f>IF($A920="","",$B920*KidemKarsilikOrani)</f>
        <v/>
      </c>
      <c r="F920" s="108" t="n"/>
      <c r="G920" s="110">
        <f>IF($A920="","",$B920+$C920+$D920+$E920+$F920)</f>
        <v/>
      </c>
      <c r="H920" s="110">
        <f>IF($A920="","",$G920*AySayisi)</f>
        <v/>
      </c>
    </row>
    <row r="921" ht="15" customHeight="1" s="62">
      <c r="A921" s="107" t="n"/>
      <c r="B921" s="110">
        <f>IFERROR(IF($A921="","",IFERROR(INDEX(tblCalisan[Brüt Ücret (₺)],MATCH($A921,tblCalisan[Çalışan Adı],0)),"")),"")</f>
        <v/>
      </c>
      <c r="C921" s="110">
        <f>IF($A921="","",$B921*IsverenPayiOrani)</f>
        <v/>
      </c>
      <c r="D921" s="110">
        <f>IF($A921="","",$B921*IssizlikOrani)</f>
        <v/>
      </c>
      <c r="E921" s="110">
        <f>IF($A921="","",$B921*KidemKarsilikOrani)</f>
        <v/>
      </c>
      <c r="F921" s="108" t="n"/>
      <c r="G921" s="110">
        <f>IF($A921="","",$B921+$C921+$D921+$E921+$F921)</f>
        <v/>
      </c>
      <c r="H921" s="110">
        <f>IF($A921="","",$G921*AySayisi)</f>
        <v/>
      </c>
    </row>
    <row r="922" ht="15" customHeight="1" s="62">
      <c r="A922" s="107" t="n"/>
      <c r="B922" s="110">
        <f>IFERROR(IF($A922="","",IFERROR(INDEX(tblCalisan[Brüt Ücret (₺)],MATCH($A922,tblCalisan[Çalışan Adı],0)),"")),"")</f>
        <v/>
      </c>
      <c r="C922" s="110">
        <f>IF($A922="","",$B922*IsverenPayiOrani)</f>
        <v/>
      </c>
      <c r="D922" s="110">
        <f>IF($A922="","",$B922*IssizlikOrani)</f>
        <v/>
      </c>
      <c r="E922" s="110">
        <f>IF($A922="","",$B922*KidemKarsilikOrani)</f>
        <v/>
      </c>
      <c r="F922" s="108" t="n"/>
      <c r="G922" s="110">
        <f>IF($A922="","",$B922+$C922+$D922+$E922+$F922)</f>
        <v/>
      </c>
      <c r="H922" s="110">
        <f>IF($A922="","",$G922*AySayisi)</f>
        <v/>
      </c>
    </row>
    <row r="923" ht="15" customHeight="1" s="62">
      <c r="A923" s="107" t="n"/>
      <c r="B923" s="110">
        <f>IFERROR(IF($A923="","",IFERROR(INDEX(tblCalisan[Brüt Ücret (₺)],MATCH($A923,tblCalisan[Çalışan Adı],0)),"")),"")</f>
        <v/>
      </c>
      <c r="C923" s="110">
        <f>IF($A923="","",$B923*IsverenPayiOrani)</f>
        <v/>
      </c>
      <c r="D923" s="110">
        <f>IF($A923="","",$B923*IssizlikOrani)</f>
        <v/>
      </c>
      <c r="E923" s="110">
        <f>IF($A923="","",$B923*KidemKarsilikOrani)</f>
        <v/>
      </c>
      <c r="F923" s="108" t="n"/>
      <c r="G923" s="110">
        <f>IF($A923="","",$B923+$C923+$D923+$E923+$F923)</f>
        <v/>
      </c>
      <c r="H923" s="110">
        <f>IF($A923="","",$G923*AySayisi)</f>
        <v/>
      </c>
    </row>
    <row r="924" ht="15" customHeight="1" s="62">
      <c r="A924" s="107" t="n"/>
      <c r="B924" s="110">
        <f>IFERROR(IF($A924="","",IFERROR(INDEX(tblCalisan[Brüt Ücret (₺)],MATCH($A924,tblCalisan[Çalışan Adı],0)),"")),"")</f>
        <v/>
      </c>
      <c r="C924" s="110">
        <f>IF($A924="","",$B924*IsverenPayiOrani)</f>
        <v/>
      </c>
      <c r="D924" s="110">
        <f>IF($A924="","",$B924*IssizlikOrani)</f>
        <v/>
      </c>
      <c r="E924" s="110">
        <f>IF($A924="","",$B924*KidemKarsilikOrani)</f>
        <v/>
      </c>
      <c r="F924" s="108" t="n"/>
      <c r="G924" s="110">
        <f>IF($A924="","",$B924+$C924+$D924+$E924+$F924)</f>
        <v/>
      </c>
      <c r="H924" s="110">
        <f>IF($A924="","",$G924*AySayisi)</f>
        <v/>
      </c>
    </row>
    <row r="925" ht="15" customHeight="1" s="62">
      <c r="A925" s="107" t="n"/>
      <c r="B925" s="110">
        <f>IFERROR(IF($A925="","",IFERROR(INDEX(tblCalisan[Brüt Ücret (₺)],MATCH($A925,tblCalisan[Çalışan Adı],0)),"")),"")</f>
        <v/>
      </c>
      <c r="C925" s="110">
        <f>IF($A925="","",$B925*IsverenPayiOrani)</f>
        <v/>
      </c>
      <c r="D925" s="110">
        <f>IF($A925="","",$B925*IssizlikOrani)</f>
        <v/>
      </c>
      <c r="E925" s="110">
        <f>IF($A925="","",$B925*KidemKarsilikOrani)</f>
        <v/>
      </c>
      <c r="F925" s="108" t="n"/>
      <c r="G925" s="110">
        <f>IF($A925="","",$B925+$C925+$D925+$E925+$F925)</f>
        <v/>
      </c>
      <c r="H925" s="110">
        <f>IF($A925="","",$G925*AySayisi)</f>
        <v/>
      </c>
    </row>
    <row r="926" ht="15" customHeight="1" s="62">
      <c r="A926" s="107" t="n"/>
      <c r="B926" s="110">
        <f>IFERROR(IF($A926="","",IFERROR(INDEX(tblCalisan[Brüt Ücret (₺)],MATCH($A926,tblCalisan[Çalışan Adı],0)),"")),"")</f>
        <v/>
      </c>
      <c r="C926" s="110">
        <f>IF($A926="","",$B926*IsverenPayiOrani)</f>
        <v/>
      </c>
      <c r="D926" s="110">
        <f>IF($A926="","",$B926*IssizlikOrani)</f>
        <v/>
      </c>
      <c r="E926" s="110">
        <f>IF($A926="","",$B926*KidemKarsilikOrani)</f>
        <v/>
      </c>
      <c r="F926" s="108" t="n"/>
      <c r="G926" s="110">
        <f>IF($A926="","",$B926+$C926+$D926+$E926+$F926)</f>
        <v/>
      </c>
      <c r="H926" s="110">
        <f>IF($A926="","",$G926*AySayisi)</f>
        <v/>
      </c>
    </row>
    <row r="927" ht="15" customHeight="1" s="62">
      <c r="A927" s="107" t="n"/>
      <c r="B927" s="110">
        <f>IFERROR(IF($A927="","",IFERROR(INDEX(tblCalisan[Brüt Ücret (₺)],MATCH($A927,tblCalisan[Çalışan Adı],0)),"")),"")</f>
        <v/>
      </c>
      <c r="C927" s="110">
        <f>IF($A927="","",$B927*IsverenPayiOrani)</f>
        <v/>
      </c>
      <c r="D927" s="110">
        <f>IF($A927="","",$B927*IssizlikOrani)</f>
        <v/>
      </c>
      <c r="E927" s="110">
        <f>IF($A927="","",$B927*KidemKarsilikOrani)</f>
        <v/>
      </c>
      <c r="F927" s="108" t="n"/>
      <c r="G927" s="110">
        <f>IF($A927="","",$B927+$C927+$D927+$E927+$F927)</f>
        <v/>
      </c>
      <c r="H927" s="110">
        <f>IF($A927="","",$G927*AySayisi)</f>
        <v/>
      </c>
    </row>
    <row r="928" ht="15" customHeight="1" s="62">
      <c r="A928" s="107" t="n"/>
      <c r="B928" s="110">
        <f>IFERROR(IF($A928="","",IFERROR(INDEX(tblCalisan[Brüt Ücret (₺)],MATCH($A928,tblCalisan[Çalışan Adı],0)),"")),"")</f>
        <v/>
      </c>
      <c r="C928" s="110">
        <f>IF($A928="","",$B928*IsverenPayiOrani)</f>
        <v/>
      </c>
      <c r="D928" s="110">
        <f>IF($A928="","",$B928*IssizlikOrani)</f>
        <v/>
      </c>
      <c r="E928" s="110">
        <f>IF($A928="","",$B928*KidemKarsilikOrani)</f>
        <v/>
      </c>
      <c r="F928" s="108" t="n"/>
      <c r="G928" s="110">
        <f>IF($A928="","",$B928+$C928+$D928+$E928+$F928)</f>
        <v/>
      </c>
      <c r="H928" s="110">
        <f>IF($A928="","",$G928*AySayisi)</f>
        <v/>
      </c>
    </row>
    <row r="929" ht="15" customHeight="1" s="62">
      <c r="A929" s="107" t="n"/>
      <c r="B929" s="110">
        <f>IFERROR(IF($A929="","",IFERROR(INDEX(tblCalisan[Brüt Ücret (₺)],MATCH($A929,tblCalisan[Çalışan Adı],0)),"")),"")</f>
        <v/>
      </c>
      <c r="C929" s="110">
        <f>IF($A929="","",$B929*IsverenPayiOrani)</f>
        <v/>
      </c>
      <c r="D929" s="110">
        <f>IF($A929="","",$B929*IssizlikOrani)</f>
        <v/>
      </c>
      <c r="E929" s="110">
        <f>IF($A929="","",$B929*KidemKarsilikOrani)</f>
        <v/>
      </c>
      <c r="F929" s="108" t="n"/>
      <c r="G929" s="110">
        <f>IF($A929="","",$B929+$C929+$D929+$E929+$F929)</f>
        <v/>
      </c>
      <c r="H929" s="110">
        <f>IF($A929="","",$G929*AySayisi)</f>
        <v/>
      </c>
    </row>
    <row r="930" ht="15" customHeight="1" s="62">
      <c r="A930" s="107" t="n"/>
      <c r="B930" s="110">
        <f>IFERROR(IF($A930="","",IFERROR(INDEX(tblCalisan[Brüt Ücret (₺)],MATCH($A930,tblCalisan[Çalışan Adı],0)),"")),"")</f>
        <v/>
      </c>
      <c r="C930" s="110">
        <f>IF($A930="","",$B930*IsverenPayiOrani)</f>
        <v/>
      </c>
      <c r="D930" s="110">
        <f>IF($A930="","",$B930*IssizlikOrani)</f>
        <v/>
      </c>
      <c r="E930" s="110">
        <f>IF($A930="","",$B930*KidemKarsilikOrani)</f>
        <v/>
      </c>
      <c r="F930" s="108" t="n"/>
      <c r="G930" s="110">
        <f>IF($A930="","",$B930+$C930+$D930+$E930+$F930)</f>
        <v/>
      </c>
      <c r="H930" s="110">
        <f>IF($A930="","",$G930*AySayisi)</f>
        <v/>
      </c>
    </row>
    <row r="931" ht="15" customHeight="1" s="62">
      <c r="A931" s="107" t="n"/>
      <c r="B931" s="110">
        <f>IFERROR(IF($A931="","",IFERROR(INDEX(tblCalisan[Brüt Ücret (₺)],MATCH($A931,tblCalisan[Çalışan Adı],0)),"")),"")</f>
        <v/>
      </c>
      <c r="C931" s="110">
        <f>IF($A931="","",$B931*IsverenPayiOrani)</f>
        <v/>
      </c>
      <c r="D931" s="110">
        <f>IF($A931="","",$B931*IssizlikOrani)</f>
        <v/>
      </c>
      <c r="E931" s="110">
        <f>IF($A931="","",$B931*KidemKarsilikOrani)</f>
        <v/>
      </c>
      <c r="F931" s="108" t="n"/>
      <c r="G931" s="110">
        <f>IF($A931="","",$B931+$C931+$D931+$E931+$F931)</f>
        <v/>
      </c>
      <c r="H931" s="110">
        <f>IF($A931="","",$G931*AySayisi)</f>
        <v/>
      </c>
    </row>
    <row r="932" ht="15" customHeight="1" s="62">
      <c r="A932" s="107" t="n"/>
      <c r="B932" s="110">
        <f>IFERROR(IF($A932="","",IFERROR(INDEX(tblCalisan[Brüt Ücret (₺)],MATCH($A932,tblCalisan[Çalışan Adı],0)),"")),"")</f>
        <v/>
      </c>
      <c r="C932" s="110">
        <f>IF($A932="","",$B932*IsverenPayiOrani)</f>
        <v/>
      </c>
      <c r="D932" s="110">
        <f>IF($A932="","",$B932*IssizlikOrani)</f>
        <v/>
      </c>
      <c r="E932" s="110">
        <f>IF($A932="","",$B932*KidemKarsilikOrani)</f>
        <v/>
      </c>
      <c r="F932" s="108" t="n"/>
      <c r="G932" s="110">
        <f>IF($A932="","",$B932+$C932+$D932+$E932+$F932)</f>
        <v/>
      </c>
      <c r="H932" s="110">
        <f>IF($A932="","",$G932*AySayisi)</f>
        <v/>
      </c>
    </row>
    <row r="933" ht="15" customHeight="1" s="62">
      <c r="A933" s="107" t="n"/>
      <c r="B933" s="110">
        <f>IFERROR(IF($A933="","",IFERROR(INDEX(tblCalisan[Brüt Ücret (₺)],MATCH($A933,tblCalisan[Çalışan Adı],0)),"")),"")</f>
        <v/>
      </c>
      <c r="C933" s="110">
        <f>IF($A933="","",$B933*IsverenPayiOrani)</f>
        <v/>
      </c>
      <c r="D933" s="110">
        <f>IF($A933="","",$B933*IssizlikOrani)</f>
        <v/>
      </c>
      <c r="E933" s="110">
        <f>IF($A933="","",$B933*KidemKarsilikOrani)</f>
        <v/>
      </c>
      <c r="F933" s="108" t="n"/>
      <c r="G933" s="110">
        <f>IF($A933="","",$B933+$C933+$D933+$E933+$F933)</f>
        <v/>
      </c>
      <c r="H933" s="110">
        <f>IF($A933="","",$G933*AySayisi)</f>
        <v/>
      </c>
    </row>
    <row r="934" ht="15" customHeight="1" s="62">
      <c r="A934" s="107" t="n"/>
      <c r="B934" s="110">
        <f>IFERROR(IF($A934="","",IFERROR(INDEX(tblCalisan[Brüt Ücret (₺)],MATCH($A934,tblCalisan[Çalışan Adı],0)),"")),"")</f>
        <v/>
      </c>
      <c r="C934" s="110">
        <f>IF($A934="","",$B934*IsverenPayiOrani)</f>
        <v/>
      </c>
      <c r="D934" s="110">
        <f>IF($A934="","",$B934*IssizlikOrani)</f>
        <v/>
      </c>
      <c r="E934" s="110">
        <f>IF($A934="","",$B934*KidemKarsilikOrani)</f>
        <v/>
      </c>
      <c r="F934" s="108" t="n"/>
      <c r="G934" s="110">
        <f>IF($A934="","",$B934+$C934+$D934+$E934+$F934)</f>
        <v/>
      </c>
      <c r="H934" s="110">
        <f>IF($A934="","",$G934*AySayisi)</f>
        <v/>
      </c>
    </row>
    <row r="935" ht="15" customHeight="1" s="62">
      <c r="A935" s="107" t="n"/>
      <c r="B935" s="110">
        <f>IFERROR(IF($A935="","",IFERROR(INDEX(tblCalisan[Brüt Ücret (₺)],MATCH($A935,tblCalisan[Çalışan Adı],0)),"")),"")</f>
        <v/>
      </c>
      <c r="C935" s="110">
        <f>IF($A935="","",$B935*IsverenPayiOrani)</f>
        <v/>
      </c>
      <c r="D935" s="110">
        <f>IF($A935="","",$B935*IssizlikOrani)</f>
        <v/>
      </c>
      <c r="E935" s="110">
        <f>IF($A935="","",$B935*KidemKarsilikOrani)</f>
        <v/>
      </c>
      <c r="F935" s="108" t="n"/>
      <c r="G935" s="110">
        <f>IF($A935="","",$B935+$C935+$D935+$E935+$F935)</f>
        <v/>
      </c>
      <c r="H935" s="110">
        <f>IF($A935="","",$G935*AySayisi)</f>
        <v/>
      </c>
    </row>
    <row r="936" ht="15" customHeight="1" s="62">
      <c r="A936" s="107" t="n"/>
      <c r="B936" s="110">
        <f>IFERROR(IF($A936="","",IFERROR(INDEX(tblCalisan[Brüt Ücret (₺)],MATCH($A936,tblCalisan[Çalışan Adı],0)),"")),"")</f>
        <v/>
      </c>
      <c r="C936" s="110">
        <f>IF($A936="","",$B936*IsverenPayiOrani)</f>
        <v/>
      </c>
      <c r="D936" s="110">
        <f>IF($A936="","",$B936*IssizlikOrani)</f>
        <v/>
      </c>
      <c r="E936" s="110">
        <f>IF($A936="","",$B936*KidemKarsilikOrani)</f>
        <v/>
      </c>
      <c r="F936" s="108" t="n"/>
      <c r="G936" s="110">
        <f>IF($A936="","",$B936+$C936+$D936+$E936+$F936)</f>
        <v/>
      </c>
      <c r="H936" s="110">
        <f>IF($A936="","",$G936*AySayisi)</f>
        <v/>
      </c>
    </row>
    <row r="937" ht="15" customHeight="1" s="62">
      <c r="A937" s="107" t="n"/>
      <c r="B937" s="110">
        <f>IFERROR(IF($A937="","",IFERROR(INDEX(tblCalisan[Brüt Ücret (₺)],MATCH($A937,tblCalisan[Çalışan Adı],0)),"")),"")</f>
        <v/>
      </c>
      <c r="C937" s="110">
        <f>IF($A937="","",$B937*IsverenPayiOrani)</f>
        <v/>
      </c>
      <c r="D937" s="110">
        <f>IF($A937="","",$B937*IssizlikOrani)</f>
        <v/>
      </c>
      <c r="E937" s="110">
        <f>IF($A937="","",$B937*KidemKarsilikOrani)</f>
        <v/>
      </c>
      <c r="F937" s="108" t="n"/>
      <c r="G937" s="110">
        <f>IF($A937="","",$B937+$C937+$D937+$E937+$F937)</f>
        <v/>
      </c>
      <c r="H937" s="110">
        <f>IF($A937="","",$G937*AySayisi)</f>
        <v/>
      </c>
    </row>
    <row r="938" ht="15" customHeight="1" s="62">
      <c r="A938" s="107" t="n"/>
      <c r="B938" s="110">
        <f>IFERROR(IF($A938="","",IFERROR(INDEX(tblCalisan[Brüt Ücret (₺)],MATCH($A938,tblCalisan[Çalışan Adı],0)),"")),"")</f>
        <v/>
      </c>
      <c r="C938" s="110">
        <f>IF($A938="","",$B938*IsverenPayiOrani)</f>
        <v/>
      </c>
      <c r="D938" s="110">
        <f>IF($A938="","",$B938*IssizlikOrani)</f>
        <v/>
      </c>
      <c r="E938" s="110">
        <f>IF($A938="","",$B938*KidemKarsilikOrani)</f>
        <v/>
      </c>
      <c r="F938" s="108" t="n"/>
      <c r="G938" s="110">
        <f>IF($A938="","",$B938+$C938+$D938+$E938+$F938)</f>
        <v/>
      </c>
      <c r="H938" s="110">
        <f>IF($A938="","",$G938*AySayisi)</f>
        <v/>
      </c>
    </row>
    <row r="939" ht="15" customHeight="1" s="62">
      <c r="A939" s="107" t="n"/>
      <c r="B939" s="110">
        <f>IFERROR(IF($A939="","",IFERROR(INDEX(tblCalisan[Brüt Ücret (₺)],MATCH($A939,tblCalisan[Çalışan Adı],0)),"")),"")</f>
        <v/>
      </c>
      <c r="C939" s="110">
        <f>IF($A939="","",$B939*IsverenPayiOrani)</f>
        <v/>
      </c>
      <c r="D939" s="110">
        <f>IF($A939="","",$B939*IssizlikOrani)</f>
        <v/>
      </c>
      <c r="E939" s="110">
        <f>IF($A939="","",$B939*KidemKarsilikOrani)</f>
        <v/>
      </c>
      <c r="F939" s="108" t="n"/>
      <c r="G939" s="110">
        <f>IF($A939="","",$B939+$C939+$D939+$E939+$F939)</f>
        <v/>
      </c>
      <c r="H939" s="110">
        <f>IF($A939="","",$G939*AySayisi)</f>
        <v/>
      </c>
    </row>
    <row r="940" ht="15" customHeight="1" s="62">
      <c r="A940" s="107" t="n"/>
      <c r="B940" s="110">
        <f>IFERROR(IF($A940="","",IFERROR(INDEX(tblCalisan[Brüt Ücret (₺)],MATCH($A940,tblCalisan[Çalışan Adı],0)),"")),"")</f>
        <v/>
      </c>
      <c r="C940" s="110">
        <f>IF($A940="","",$B940*IsverenPayiOrani)</f>
        <v/>
      </c>
      <c r="D940" s="110">
        <f>IF($A940="","",$B940*IssizlikOrani)</f>
        <v/>
      </c>
      <c r="E940" s="110">
        <f>IF($A940="","",$B940*KidemKarsilikOrani)</f>
        <v/>
      </c>
      <c r="F940" s="108" t="n"/>
      <c r="G940" s="110">
        <f>IF($A940="","",$B940+$C940+$D940+$E940+$F940)</f>
        <v/>
      </c>
      <c r="H940" s="110">
        <f>IF($A940="","",$G940*AySayisi)</f>
        <v/>
      </c>
    </row>
    <row r="941" ht="15" customHeight="1" s="62">
      <c r="A941" s="107" t="n"/>
      <c r="B941" s="110">
        <f>IFERROR(IF($A941="","",IFERROR(INDEX(tblCalisan[Brüt Ücret (₺)],MATCH($A941,tblCalisan[Çalışan Adı],0)),"")),"")</f>
        <v/>
      </c>
      <c r="C941" s="110">
        <f>IF($A941="","",$B941*IsverenPayiOrani)</f>
        <v/>
      </c>
      <c r="D941" s="110">
        <f>IF($A941="","",$B941*IssizlikOrani)</f>
        <v/>
      </c>
      <c r="E941" s="110">
        <f>IF($A941="","",$B941*KidemKarsilikOrani)</f>
        <v/>
      </c>
      <c r="F941" s="108" t="n"/>
      <c r="G941" s="110">
        <f>IF($A941="","",$B941+$C941+$D941+$E941+$F941)</f>
        <v/>
      </c>
      <c r="H941" s="110">
        <f>IF($A941="","",$G941*AySayisi)</f>
        <v/>
      </c>
    </row>
    <row r="942" ht="15" customHeight="1" s="62">
      <c r="A942" s="107" t="n"/>
      <c r="B942" s="110">
        <f>IFERROR(IF($A942="","",IFERROR(INDEX(tblCalisan[Brüt Ücret (₺)],MATCH($A942,tblCalisan[Çalışan Adı],0)),"")),"")</f>
        <v/>
      </c>
      <c r="C942" s="110">
        <f>IF($A942="","",$B942*IsverenPayiOrani)</f>
        <v/>
      </c>
      <c r="D942" s="110">
        <f>IF($A942="","",$B942*IssizlikOrani)</f>
        <v/>
      </c>
      <c r="E942" s="110">
        <f>IF($A942="","",$B942*KidemKarsilikOrani)</f>
        <v/>
      </c>
      <c r="F942" s="108" t="n"/>
      <c r="G942" s="110">
        <f>IF($A942="","",$B942+$C942+$D942+$E942+$F942)</f>
        <v/>
      </c>
      <c r="H942" s="110">
        <f>IF($A942="","",$G942*AySayisi)</f>
        <v/>
      </c>
    </row>
    <row r="943" ht="15" customHeight="1" s="62">
      <c r="A943" s="107" t="n"/>
      <c r="B943" s="110">
        <f>IFERROR(IF($A943="","",IFERROR(INDEX(tblCalisan[Brüt Ücret (₺)],MATCH($A943,tblCalisan[Çalışan Adı],0)),"")),"")</f>
        <v/>
      </c>
      <c r="C943" s="110">
        <f>IF($A943="","",$B943*IsverenPayiOrani)</f>
        <v/>
      </c>
      <c r="D943" s="110">
        <f>IF($A943="","",$B943*IssizlikOrani)</f>
        <v/>
      </c>
      <c r="E943" s="110">
        <f>IF($A943="","",$B943*KidemKarsilikOrani)</f>
        <v/>
      </c>
      <c r="F943" s="108" t="n"/>
      <c r="G943" s="110">
        <f>IF($A943="","",$B943+$C943+$D943+$E943+$F943)</f>
        <v/>
      </c>
      <c r="H943" s="110">
        <f>IF($A943="","",$G943*AySayisi)</f>
        <v/>
      </c>
    </row>
    <row r="944" ht="15" customHeight="1" s="62">
      <c r="A944" s="107" t="n"/>
      <c r="B944" s="110">
        <f>IFERROR(IF($A944="","",IFERROR(INDEX(tblCalisan[Brüt Ücret (₺)],MATCH($A944,tblCalisan[Çalışan Adı],0)),"")),"")</f>
        <v/>
      </c>
      <c r="C944" s="110">
        <f>IF($A944="","",$B944*IsverenPayiOrani)</f>
        <v/>
      </c>
      <c r="D944" s="110">
        <f>IF($A944="","",$B944*IssizlikOrani)</f>
        <v/>
      </c>
      <c r="E944" s="110">
        <f>IF($A944="","",$B944*KidemKarsilikOrani)</f>
        <v/>
      </c>
      <c r="F944" s="108" t="n"/>
      <c r="G944" s="110">
        <f>IF($A944="","",$B944+$C944+$D944+$E944+$F944)</f>
        <v/>
      </c>
      <c r="H944" s="110">
        <f>IF($A944="","",$G944*AySayisi)</f>
        <v/>
      </c>
    </row>
    <row r="945" ht="15" customHeight="1" s="62">
      <c r="A945" s="107" t="n"/>
      <c r="B945" s="110">
        <f>IFERROR(IF($A945="","",IFERROR(INDEX(tblCalisan[Brüt Ücret (₺)],MATCH($A945,tblCalisan[Çalışan Adı],0)),"")),"")</f>
        <v/>
      </c>
      <c r="C945" s="110">
        <f>IF($A945="","",$B945*IsverenPayiOrani)</f>
        <v/>
      </c>
      <c r="D945" s="110">
        <f>IF($A945="","",$B945*IssizlikOrani)</f>
        <v/>
      </c>
      <c r="E945" s="110">
        <f>IF($A945="","",$B945*KidemKarsilikOrani)</f>
        <v/>
      </c>
      <c r="F945" s="108" t="n"/>
      <c r="G945" s="110">
        <f>IF($A945="","",$B945+$C945+$D945+$E945+$F945)</f>
        <v/>
      </c>
      <c r="H945" s="110">
        <f>IF($A945="","",$G945*AySayisi)</f>
        <v/>
      </c>
    </row>
    <row r="946" ht="15" customHeight="1" s="62">
      <c r="A946" s="107" t="n"/>
      <c r="B946" s="110">
        <f>IFERROR(IF($A946="","",IFERROR(INDEX(tblCalisan[Brüt Ücret (₺)],MATCH($A946,tblCalisan[Çalışan Adı],0)),"")),"")</f>
        <v/>
      </c>
      <c r="C946" s="110">
        <f>IF($A946="","",$B946*IsverenPayiOrani)</f>
        <v/>
      </c>
      <c r="D946" s="110">
        <f>IF($A946="","",$B946*IssizlikOrani)</f>
        <v/>
      </c>
      <c r="E946" s="110">
        <f>IF($A946="","",$B946*KidemKarsilikOrani)</f>
        <v/>
      </c>
      <c r="F946" s="108" t="n"/>
      <c r="G946" s="110">
        <f>IF($A946="","",$B946+$C946+$D946+$E946+$F946)</f>
        <v/>
      </c>
      <c r="H946" s="110">
        <f>IF($A946="","",$G946*AySayisi)</f>
        <v/>
      </c>
    </row>
    <row r="947" ht="15" customHeight="1" s="62">
      <c r="A947" s="107" t="n"/>
      <c r="B947" s="110">
        <f>IFERROR(IF($A947="","",IFERROR(INDEX(tblCalisan[Brüt Ücret (₺)],MATCH($A947,tblCalisan[Çalışan Adı],0)),"")),"")</f>
        <v/>
      </c>
      <c r="C947" s="110">
        <f>IF($A947="","",$B947*IsverenPayiOrani)</f>
        <v/>
      </c>
      <c r="D947" s="110">
        <f>IF($A947="","",$B947*IssizlikOrani)</f>
        <v/>
      </c>
      <c r="E947" s="110">
        <f>IF($A947="","",$B947*KidemKarsilikOrani)</f>
        <v/>
      </c>
      <c r="F947" s="108" t="n"/>
      <c r="G947" s="110">
        <f>IF($A947="","",$B947+$C947+$D947+$E947+$F947)</f>
        <v/>
      </c>
      <c r="H947" s="110">
        <f>IF($A947="","",$G947*AySayisi)</f>
        <v/>
      </c>
    </row>
    <row r="948" ht="15" customHeight="1" s="62">
      <c r="A948" s="107" t="n"/>
      <c r="B948" s="110">
        <f>IFERROR(IF($A948="","",IFERROR(INDEX(tblCalisan[Brüt Ücret (₺)],MATCH($A948,tblCalisan[Çalışan Adı],0)),"")),"")</f>
        <v/>
      </c>
      <c r="C948" s="110">
        <f>IF($A948="","",$B948*IsverenPayiOrani)</f>
        <v/>
      </c>
      <c r="D948" s="110">
        <f>IF($A948="","",$B948*IssizlikOrani)</f>
        <v/>
      </c>
      <c r="E948" s="110">
        <f>IF($A948="","",$B948*KidemKarsilikOrani)</f>
        <v/>
      </c>
      <c r="F948" s="108" t="n"/>
      <c r="G948" s="110">
        <f>IF($A948="","",$B948+$C948+$D948+$E948+$F948)</f>
        <v/>
      </c>
      <c r="H948" s="110">
        <f>IF($A948="","",$G948*AySayisi)</f>
        <v/>
      </c>
    </row>
    <row r="949" ht="15" customHeight="1" s="62">
      <c r="A949" s="107" t="n"/>
      <c r="B949" s="110">
        <f>IFERROR(IF($A949="","",IFERROR(INDEX(tblCalisan[Brüt Ücret (₺)],MATCH($A949,tblCalisan[Çalışan Adı],0)),"")),"")</f>
        <v/>
      </c>
      <c r="C949" s="110">
        <f>IF($A949="","",$B949*IsverenPayiOrani)</f>
        <v/>
      </c>
      <c r="D949" s="110">
        <f>IF($A949="","",$B949*IssizlikOrani)</f>
        <v/>
      </c>
      <c r="E949" s="110">
        <f>IF($A949="","",$B949*KidemKarsilikOrani)</f>
        <v/>
      </c>
      <c r="F949" s="108" t="n"/>
      <c r="G949" s="110">
        <f>IF($A949="","",$B949+$C949+$D949+$E949+$F949)</f>
        <v/>
      </c>
      <c r="H949" s="110">
        <f>IF($A949="","",$G949*AySayisi)</f>
        <v/>
      </c>
    </row>
    <row r="950" ht="15" customHeight="1" s="62">
      <c r="A950" s="107" t="n"/>
      <c r="B950" s="110">
        <f>IFERROR(IF($A950="","",IFERROR(INDEX(tblCalisan[Brüt Ücret (₺)],MATCH($A950,tblCalisan[Çalışan Adı],0)),"")),"")</f>
        <v/>
      </c>
      <c r="C950" s="110">
        <f>IF($A950="","",$B950*IsverenPayiOrani)</f>
        <v/>
      </c>
      <c r="D950" s="110">
        <f>IF($A950="","",$B950*IssizlikOrani)</f>
        <v/>
      </c>
      <c r="E950" s="110">
        <f>IF($A950="","",$B950*KidemKarsilikOrani)</f>
        <v/>
      </c>
      <c r="F950" s="108" t="n"/>
      <c r="G950" s="110">
        <f>IF($A950="","",$B950+$C950+$D950+$E950+$F950)</f>
        <v/>
      </c>
      <c r="H950" s="110">
        <f>IF($A950="","",$G950*AySayisi)</f>
        <v/>
      </c>
    </row>
    <row r="951" ht="15" customHeight="1" s="62">
      <c r="A951" s="107" t="n"/>
      <c r="B951" s="110">
        <f>IFERROR(IF($A951="","",IFERROR(INDEX(tblCalisan[Brüt Ücret (₺)],MATCH($A951,tblCalisan[Çalışan Adı],0)),"")),"")</f>
        <v/>
      </c>
      <c r="C951" s="110">
        <f>IF($A951="","",$B951*IsverenPayiOrani)</f>
        <v/>
      </c>
      <c r="D951" s="110">
        <f>IF($A951="","",$B951*IssizlikOrani)</f>
        <v/>
      </c>
      <c r="E951" s="110">
        <f>IF($A951="","",$B951*KidemKarsilikOrani)</f>
        <v/>
      </c>
      <c r="F951" s="108" t="n"/>
      <c r="G951" s="110">
        <f>IF($A951="","",$B951+$C951+$D951+$E951+$F951)</f>
        <v/>
      </c>
      <c r="H951" s="110">
        <f>IF($A951="","",$G951*AySayisi)</f>
        <v/>
      </c>
    </row>
    <row r="952" ht="15" customHeight="1" s="62">
      <c r="A952" s="107" t="n"/>
      <c r="B952" s="110">
        <f>IFERROR(IF($A952="","",IFERROR(INDEX(tblCalisan[Brüt Ücret (₺)],MATCH($A952,tblCalisan[Çalışan Adı],0)),"")),"")</f>
        <v/>
      </c>
      <c r="C952" s="110">
        <f>IF($A952="","",$B952*IsverenPayiOrani)</f>
        <v/>
      </c>
      <c r="D952" s="110">
        <f>IF($A952="","",$B952*IssizlikOrani)</f>
        <v/>
      </c>
      <c r="E952" s="110">
        <f>IF($A952="","",$B952*KidemKarsilikOrani)</f>
        <v/>
      </c>
      <c r="F952" s="108" t="n"/>
      <c r="G952" s="110">
        <f>IF($A952="","",$B952+$C952+$D952+$E952+$F952)</f>
        <v/>
      </c>
      <c r="H952" s="110">
        <f>IF($A952="","",$G952*AySayisi)</f>
        <v/>
      </c>
    </row>
    <row r="953" ht="15" customHeight="1" s="62">
      <c r="A953" s="107" t="n"/>
      <c r="B953" s="110">
        <f>IFERROR(IF($A953="","",IFERROR(INDEX(tblCalisan[Brüt Ücret (₺)],MATCH($A953,tblCalisan[Çalışan Adı],0)),"")),"")</f>
        <v/>
      </c>
      <c r="C953" s="110">
        <f>IF($A953="","",$B953*IsverenPayiOrani)</f>
        <v/>
      </c>
      <c r="D953" s="110">
        <f>IF($A953="","",$B953*IssizlikOrani)</f>
        <v/>
      </c>
      <c r="E953" s="110">
        <f>IF($A953="","",$B953*KidemKarsilikOrani)</f>
        <v/>
      </c>
      <c r="F953" s="108" t="n"/>
      <c r="G953" s="110">
        <f>IF($A953="","",$B953+$C953+$D953+$E953+$F953)</f>
        <v/>
      </c>
      <c r="H953" s="110">
        <f>IF($A953="","",$G953*AySayisi)</f>
        <v/>
      </c>
    </row>
    <row r="954" ht="15" customHeight="1" s="62">
      <c r="A954" s="107" t="n"/>
      <c r="B954" s="110">
        <f>IFERROR(IF($A954="","",IFERROR(INDEX(tblCalisan[Brüt Ücret (₺)],MATCH($A954,tblCalisan[Çalışan Adı],0)),"")),"")</f>
        <v/>
      </c>
      <c r="C954" s="110">
        <f>IF($A954="","",$B954*IsverenPayiOrani)</f>
        <v/>
      </c>
      <c r="D954" s="110">
        <f>IF($A954="","",$B954*IssizlikOrani)</f>
        <v/>
      </c>
      <c r="E954" s="110">
        <f>IF($A954="","",$B954*KidemKarsilikOrani)</f>
        <v/>
      </c>
      <c r="F954" s="108" t="n"/>
      <c r="G954" s="110">
        <f>IF($A954="","",$B954+$C954+$D954+$E954+$F954)</f>
        <v/>
      </c>
      <c r="H954" s="110">
        <f>IF($A954="","",$G954*AySayisi)</f>
        <v/>
      </c>
    </row>
    <row r="955" ht="15" customHeight="1" s="62">
      <c r="A955" s="107" t="n"/>
      <c r="B955" s="110">
        <f>IFERROR(IF($A955="","",IFERROR(INDEX(tblCalisan[Brüt Ücret (₺)],MATCH($A955,tblCalisan[Çalışan Adı],0)),"")),"")</f>
        <v/>
      </c>
      <c r="C955" s="110">
        <f>IF($A955="","",$B955*IsverenPayiOrani)</f>
        <v/>
      </c>
      <c r="D955" s="110">
        <f>IF($A955="","",$B955*IssizlikOrani)</f>
        <v/>
      </c>
      <c r="E955" s="110">
        <f>IF($A955="","",$B955*KidemKarsilikOrani)</f>
        <v/>
      </c>
      <c r="F955" s="108" t="n"/>
      <c r="G955" s="110">
        <f>IF($A955="","",$B955+$C955+$D955+$E955+$F955)</f>
        <v/>
      </c>
      <c r="H955" s="110">
        <f>IF($A955="","",$G955*AySayisi)</f>
        <v/>
      </c>
    </row>
    <row r="956" ht="15" customHeight="1" s="62">
      <c r="A956" s="107" t="n"/>
      <c r="B956" s="110">
        <f>IFERROR(IF($A956="","",IFERROR(INDEX(tblCalisan[Brüt Ücret (₺)],MATCH($A956,tblCalisan[Çalışan Adı],0)),"")),"")</f>
        <v/>
      </c>
      <c r="C956" s="110">
        <f>IF($A956="","",$B956*IsverenPayiOrani)</f>
        <v/>
      </c>
      <c r="D956" s="110">
        <f>IF($A956="","",$B956*IssizlikOrani)</f>
        <v/>
      </c>
      <c r="E956" s="110">
        <f>IF($A956="","",$B956*KidemKarsilikOrani)</f>
        <v/>
      </c>
      <c r="F956" s="108" t="n"/>
      <c r="G956" s="110">
        <f>IF($A956="","",$B956+$C956+$D956+$E956+$F956)</f>
        <v/>
      </c>
      <c r="H956" s="110">
        <f>IF($A956="","",$G956*AySayisi)</f>
        <v/>
      </c>
    </row>
    <row r="957" ht="15" customHeight="1" s="62">
      <c r="A957" s="107" t="n"/>
      <c r="B957" s="110">
        <f>IFERROR(IF($A957="","",IFERROR(INDEX(tblCalisan[Brüt Ücret (₺)],MATCH($A957,tblCalisan[Çalışan Adı],0)),"")),"")</f>
        <v/>
      </c>
      <c r="C957" s="110">
        <f>IF($A957="","",$B957*IsverenPayiOrani)</f>
        <v/>
      </c>
      <c r="D957" s="110">
        <f>IF($A957="","",$B957*IssizlikOrani)</f>
        <v/>
      </c>
      <c r="E957" s="110">
        <f>IF($A957="","",$B957*KidemKarsilikOrani)</f>
        <v/>
      </c>
      <c r="F957" s="108" t="n"/>
      <c r="G957" s="110">
        <f>IF($A957="","",$B957+$C957+$D957+$E957+$F957)</f>
        <v/>
      </c>
      <c r="H957" s="110">
        <f>IF($A957="","",$G957*AySayisi)</f>
        <v/>
      </c>
    </row>
    <row r="958" ht="15" customHeight="1" s="62">
      <c r="A958" s="107" t="n"/>
      <c r="B958" s="110">
        <f>IFERROR(IF($A958="","",IFERROR(INDEX(tblCalisan[Brüt Ücret (₺)],MATCH($A958,tblCalisan[Çalışan Adı],0)),"")),"")</f>
        <v/>
      </c>
      <c r="C958" s="110">
        <f>IF($A958="","",$B958*IsverenPayiOrani)</f>
        <v/>
      </c>
      <c r="D958" s="110">
        <f>IF($A958="","",$B958*IssizlikOrani)</f>
        <v/>
      </c>
      <c r="E958" s="110">
        <f>IF($A958="","",$B958*KidemKarsilikOrani)</f>
        <v/>
      </c>
      <c r="F958" s="108" t="n"/>
      <c r="G958" s="110">
        <f>IF($A958="","",$B958+$C958+$D958+$E958+$F958)</f>
        <v/>
      </c>
      <c r="H958" s="110">
        <f>IF($A958="","",$G958*AySayisi)</f>
        <v/>
      </c>
    </row>
    <row r="959" ht="15" customHeight="1" s="62">
      <c r="A959" s="107" t="n"/>
      <c r="B959" s="110">
        <f>IFERROR(IF($A959="","",IFERROR(INDEX(tblCalisan[Brüt Ücret (₺)],MATCH($A959,tblCalisan[Çalışan Adı],0)),"")),"")</f>
        <v/>
      </c>
      <c r="C959" s="110">
        <f>IF($A959="","",$B959*IsverenPayiOrani)</f>
        <v/>
      </c>
      <c r="D959" s="110">
        <f>IF($A959="","",$B959*IssizlikOrani)</f>
        <v/>
      </c>
      <c r="E959" s="110">
        <f>IF($A959="","",$B959*KidemKarsilikOrani)</f>
        <v/>
      </c>
      <c r="F959" s="108" t="n"/>
      <c r="G959" s="110">
        <f>IF($A959="","",$B959+$C959+$D959+$E959+$F959)</f>
        <v/>
      </c>
      <c r="H959" s="110">
        <f>IF($A959="","",$G959*AySayisi)</f>
        <v/>
      </c>
    </row>
    <row r="960" ht="15" customHeight="1" s="62">
      <c r="A960" s="107" t="n"/>
      <c r="B960" s="110">
        <f>IFERROR(IF($A960="","",IFERROR(INDEX(tblCalisan[Brüt Ücret (₺)],MATCH($A960,tblCalisan[Çalışan Adı],0)),"")),"")</f>
        <v/>
      </c>
      <c r="C960" s="110">
        <f>IF($A960="","",$B960*IsverenPayiOrani)</f>
        <v/>
      </c>
      <c r="D960" s="110">
        <f>IF($A960="","",$B960*IssizlikOrani)</f>
        <v/>
      </c>
      <c r="E960" s="110">
        <f>IF($A960="","",$B960*KidemKarsilikOrani)</f>
        <v/>
      </c>
      <c r="F960" s="108" t="n"/>
      <c r="G960" s="110">
        <f>IF($A960="","",$B960+$C960+$D960+$E960+$F960)</f>
        <v/>
      </c>
      <c r="H960" s="110">
        <f>IF($A960="","",$G960*AySayisi)</f>
        <v/>
      </c>
    </row>
    <row r="961" ht="15" customHeight="1" s="62">
      <c r="A961" s="107" t="n"/>
      <c r="B961" s="110">
        <f>IFERROR(IF($A961="","",IFERROR(INDEX(tblCalisan[Brüt Ücret (₺)],MATCH($A961,tblCalisan[Çalışan Adı],0)),"")),"")</f>
        <v/>
      </c>
      <c r="C961" s="110">
        <f>IF($A961="","",$B961*IsverenPayiOrani)</f>
        <v/>
      </c>
      <c r="D961" s="110">
        <f>IF($A961="","",$B961*IssizlikOrani)</f>
        <v/>
      </c>
      <c r="E961" s="110">
        <f>IF($A961="","",$B961*KidemKarsilikOrani)</f>
        <v/>
      </c>
      <c r="F961" s="108" t="n"/>
      <c r="G961" s="110">
        <f>IF($A961="","",$B961+$C961+$D961+$E961+$F961)</f>
        <v/>
      </c>
      <c r="H961" s="110">
        <f>IF($A961="","",$G961*AySayisi)</f>
        <v/>
      </c>
    </row>
    <row r="962" ht="15" customHeight="1" s="62">
      <c r="A962" s="107" t="n"/>
      <c r="B962" s="110">
        <f>IFERROR(IF($A962="","",IFERROR(INDEX(tblCalisan[Brüt Ücret (₺)],MATCH($A962,tblCalisan[Çalışan Adı],0)),"")),"")</f>
        <v/>
      </c>
      <c r="C962" s="110">
        <f>IF($A962="","",$B962*IsverenPayiOrani)</f>
        <v/>
      </c>
      <c r="D962" s="110">
        <f>IF($A962="","",$B962*IssizlikOrani)</f>
        <v/>
      </c>
      <c r="E962" s="110">
        <f>IF($A962="","",$B962*KidemKarsilikOrani)</f>
        <v/>
      </c>
      <c r="F962" s="108" t="n"/>
      <c r="G962" s="110">
        <f>IF($A962="","",$B962+$C962+$D962+$E962+$F962)</f>
        <v/>
      </c>
      <c r="H962" s="110">
        <f>IF($A962="","",$G962*AySayisi)</f>
        <v/>
      </c>
    </row>
    <row r="963" ht="15" customHeight="1" s="62">
      <c r="A963" s="107" t="n"/>
      <c r="B963" s="110">
        <f>IFERROR(IF($A963="","",IFERROR(INDEX(tblCalisan[Brüt Ücret (₺)],MATCH($A963,tblCalisan[Çalışan Adı],0)),"")),"")</f>
        <v/>
      </c>
      <c r="C963" s="110">
        <f>IF($A963="","",$B963*IsverenPayiOrani)</f>
        <v/>
      </c>
      <c r="D963" s="110">
        <f>IF($A963="","",$B963*IssizlikOrani)</f>
        <v/>
      </c>
      <c r="E963" s="110">
        <f>IF($A963="","",$B963*KidemKarsilikOrani)</f>
        <v/>
      </c>
      <c r="F963" s="108" t="n"/>
      <c r="G963" s="110">
        <f>IF($A963="","",$B963+$C963+$D963+$E963+$F963)</f>
        <v/>
      </c>
      <c r="H963" s="110">
        <f>IF($A963="","",$G963*AySayisi)</f>
        <v/>
      </c>
    </row>
    <row r="964" ht="15" customHeight="1" s="62">
      <c r="A964" s="107" t="n"/>
      <c r="B964" s="110">
        <f>IFERROR(IF($A964="","",IFERROR(INDEX(tblCalisan[Brüt Ücret (₺)],MATCH($A964,tblCalisan[Çalışan Adı],0)),"")),"")</f>
        <v/>
      </c>
      <c r="C964" s="110">
        <f>IF($A964="","",$B964*IsverenPayiOrani)</f>
        <v/>
      </c>
      <c r="D964" s="110">
        <f>IF($A964="","",$B964*IssizlikOrani)</f>
        <v/>
      </c>
      <c r="E964" s="110">
        <f>IF($A964="","",$B964*KidemKarsilikOrani)</f>
        <v/>
      </c>
      <c r="F964" s="108" t="n"/>
      <c r="G964" s="110">
        <f>IF($A964="","",$B964+$C964+$D964+$E964+$F964)</f>
        <v/>
      </c>
      <c r="H964" s="110">
        <f>IF($A964="","",$G964*AySayisi)</f>
        <v/>
      </c>
    </row>
    <row r="965" ht="15" customHeight="1" s="62">
      <c r="A965" s="107" t="n"/>
      <c r="B965" s="110">
        <f>IFERROR(IF($A965="","",IFERROR(INDEX(tblCalisan[Brüt Ücret (₺)],MATCH($A965,tblCalisan[Çalışan Adı],0)),"")),"")</f>
        <v/>
      </c>
      <c r="C965" s="110">
        <f>IF($A965="","",$B965*IsverenPayiOrani)</f>
        <v/>
      </c>
      <c r="D965" s="110">
        <f>IF($A965="","",$B965*IssizlikOrani)</f>
        <v/>
      </c>
      <c r="E965" s="110">
        <f>IF($A965="","",$B965*KidemKarsilikOrani)</f>
        <v/>
      </c>
      <c r="F965" s="108" t="n"/>
      <c r="G965" s="110">
        <f>IF($A965="","",$B965+$C965+$D965+$E965+$F965)</f>
        <v/>
      </c>
      <c r="H965" s="110">
        <f>IF($A965="","",$G965*AySayisi)</f>
        <v/>
      </c>
    </row>
    <row r="966" ht="15" customHeight="1" s="62">
      <c r="A966" s="107" t="n"/>
      <c r="B966" s="110">
        <f>IFERROR(IF($A966="","",IFERROR(INDEX(tblCalisan[Brüt Ücret (₺)],MATCH($A966,tblCalisan[Çalışan Adı],0)),"")),"")</f>
        <v/>
      </c>
      <c r="C966" s="110">
        <f>IF($A966="","",$B966*IsverenPayiOrani)</f>
        <v/>
      </c>
      <c r="D966" s="110">
        <f>IF($A966="","",$B966*IssizlikOrani)</f>
        <v/>
      </c>
      <c r="E966" s="110">
        <f>IF($A966="","",$B966*KidemKarsilikOrani)</f>
        <v/>
      </c>
      <c r="F966" s="108" t="n"/>
      <c r="G966" s="110">
        <f>IF($A966="","",$B966+$C966+$D966+$E966+$F966)</f>
        <v/>
      </c>
      <c r="H966" s="110">
        <f>IF($A966="","",$G966*AySayisi)</f>
        <v/>
      </c>
    </row>
    <row r="967" ht="15" customHeight="1" s="62">
      <c r="A967" s="107" t="n"/>
      <c r="B967" s="110">
        <f>IFERROR(IF($A967="","",IFERROR(INDEX(tblCalisan[Brüt Ücret (₺)],MATCH($A967,tblCalisan[Çalışan Adı],0)),"")),"")</f>
        <v/>
      </c>
      <c r="C967" s="110">
        <f>IF($A967="","",$B967*IsverenPayiOrani)</f>
        <v/>
      </c>
      <c r="D967" s="110">
        <f>IF($A967="","",$B967*IssizlikOrani)</f>
        <v/>
      </c>
      <c r="E967" s="110">
        <f>IF($A967="","",$B967*KidemKarsilikOrani)</f>
        <v/>
      </c>
      <c r="F967" s="108" t="n"/>
      <c r="G967" s="110">
        <f>IF($A967="","",$B967+$C967+$D967+$E967+$F967)</f>
        <v/>
      </c>
      <c r="H967" s="110">
        <f>IF($A967="","",$G967*AySayisi)</f>
        <v/>
      </c>
    </row>
    <row r="968" ht="15" customHeight="1" s="62">
      <c r="A968" s="107" t="n"/>
      <c r="B968" s="110">
        <f>IFERROR(IF($A968="","",IFERROR(INDEX(tblCalisan[Brüt Ücret (₺)],MATCH($A968,tblCalisan[Çalışan Adı],0)),"")),"")</f>
        <v/>
      </c>
      <c r="C968" s="110">
        <f>IF($A968="","",$B968*IsverenPayiOrani)</f>
        <v/>
      </c>
      <c r="D968" s="110">
        <f>IF($A968="","",$B968*IssizlikOrani)</f>
        <v/>
      </c>
      <c r="E968" s="110">
        <f>IF($A968="","",$B968*KidemKarsilikOrani)</f>
        <v/>
      </c>
      <c r="F968" s="108" t="n"/>
      <c r="G968" s="110">
        <f>IF($A968="","",$B968+$C968+$D968+$E968+$F968)</f>
        <v/>
      </c>
      <c r="H968" s="110">
        <f>IF($A968="","",$G968*AySayisi)</f>
        <v/>
      </c>
    </row>
    <row r="969" ht="15" customHeight="1" s="62">
      <c r="A969" s="107" t="n"/>
      <c r="B969" s="110">
        <f>IFERROR(IF($A969="","",IFERROR(INDEX(tblCalisan[Brüt Ücret (₺)],MATCH($A969,tblCalisan[Çalışan Adı],0)),"")),"")</f>
        <v/>
      </c>
      <c r="C969" s="110">
        <f>IF($A969="","",$B969*IsverenPayiOrani)</f>
        <v/>
      </c>
      <c r="D969" s="110">
        <f>IF($A969="","",$B969*IssizlikOrani)</f>
        <v/>
      </c>
      <c r="E969" s="110">
        <f>IF($A969="","",$B969*KidemKarsilikOrani)</f>
        <v/>
      </c>
      <c r="F969" s="108" t="n"/>
      <c r="G969" s="110">
        <f>IF($A969="","",$B969+$C969+$D969+$E969+$F969)</f>
        <v/>
      </c>
      <c r="H969" s="110">
        <f>IF($A969="","",$G969*AySayisi)</f>
        <v/>
      </c>
    </row>
    <row r="970" ht="15" customHeight="1" s="62">
      <c r="A970" s="107" t="n"/>
      <c r="B970" s="110">
        <f>IFERROR(IF($A970="","",IFERROR(INDEX(tblCalisan[Brüt Ücret (₺)],MATCH($A970,tblCalisan[Çalışan Adı],0)),"")),"")</f>
        <v/>
      </c>
      <c r="C970" s="110">
        <f>IF($A970="","",$B970*IsverenPayiOrani)</f>
        <v/>
      </c>
      <c r="D970" s="110">
        <f>IF($A970="","",$B970*IssizlikOrani)</f>
        <v/>
      </c>
      <c r="E970" s="110">
        <f>IF($A970="","",$B970*KidemKarsilikOrani)</f>
        <v/>
      </c>
      <c r="F970" s="108" t="n"/>
      <c r="G970" s="110">
        <f>IF($A970="","",$B970+$C970+$D970+$E970+$F970)</f>
        <v/>
      </c>
      <c r="H970" s="110">
        <f>IF($A970="","",$G970*AySayisi)</f>
        <v/>
      </c>
    </row>
    <row r="971" ht="15" customHeight="1" s="62">
      <c r="A971" s="107" t="n"/>
      <c r="B971" s="110">
        <f>IFERROR(IF($A971="","",IFERROR(INDEX(tblCalisan[Brüt Ücret (₺)],MATCH($A971,tblCalisan[Çalışan Adı],0)),"")),"")</f>
        <v/>
      </c>
      <c r="C971" s="110">
        <f>IF($A971="","",$B971*IsverenPayiOrani)</f>
        <v/>
      </c>
      <c r="D971" s="110">
        <f>IF($A971="","",$B971*IssizlikOrani)</f>
        <v/>
      </c>
      <c r="E971" s="110">
        <f>IF($A971="","",$B971*KidemKarsilikOrani)</f>
        <v/>
      </c>
      <c r="F971" s="108" t="n"/>
      <c r="G971" s="110">
        <f>IF($A971="","",$B971+$C971+$D971+$E971+$F971)</f>
        <v/>
      </c>
      <c r="H971" s="110">
        <f>IF($A971="","",$G971*AySayisi)</f>
        <v/>
      </c>
    </row>
    <row r="972" ht="15" customHeight="1" s="62">
      <c r="A972" s="107" t="n"/>
      <c r="B972" s="110">
        <f>IFERROR(IF($A972="","",IFERROR(INDEX(tblCalisan[Brüt Ücret (₺)],MATCH($A972,tblCalisan[Çalışan Adı],0)),"")),"")</f>
        <v/>
      </c>
      <c r="C972" s="110">
        <f>IF($A972="","",$B972*IsverenPayiOrani)</f>
        <v/>
      </c>
      <c r="D972" s="110">
        <f>IF($A972="","",$B972*IssizlikOrani)</f>
        <v/>
      </c>
      <c r="E972" s="110">
        <f>IF($A972="","",$B972*KidemKarsilikOrani)</f>
        <v/>
      </c>
      <c r="F972" s="108" t="n"/>
      <c r="G972" s="110">
        <f>IF($A972="","",$B972+$C972+$D972+$E972+$F972)</f>
        <v/>
      </c>
      <c r="H972" s="110">
        <f>IF($A972="","",$G972*AySayisi)</f>
        <v/>
      </c>
    </row>
    <row r="973" ht="15" customHeight="1" s="62">
      <c r="A973" s="107" t="n"/>
      <c r="B973" s="110">
        <f>IFERROR(IF($A973="","",IFERROR(INDEX(tblCalisan[Brüt Ücret (₺)],MATCH($A973,tblCalisan[Çalışan Adı],0)),"")),"")</f>
        <v/>
      </c>
      <c r="C973" s="110">
        <f>IF($A973="","",$B973*IsverenPayiOrani)</f>
        <v/>
      </c>
      <c r="D973" s="110">
        <f>IF($A973="","",$B973*IssizlikOrani)</f>
        <v/>
      </c>
      <c r="E973" s="110">
        <f>IF($A973="","",$B973*KidemKarsilikOrani)</f>
        <v/>
      </c>
      <c r="F973" s="108" t="n"/>
      <c r="G973" s="110">
        <f>IF($A973="","",$B973+$C973+$D973+$E973+$F973)</f>
        <v/>
      </c>
      <c r="H973" s="110">
        <f>IF($A973="","",$G973*AySayisi)</f>
        <v/>
      </c>
    </row>
    <row r="974" ht="15" customHeight="1" s="62">
      <c r="A974" s="107" t="n"/>
      <c r="B974" s="110">
        <f>IFERROR(IF($A974="","",IFERROR(INDEX(tblCalisan[Brüt Ücret (₺)],MATCH($A974,tblCalisan[Çalışan Adı],0)),"")),"")</f>
        <v/>
      </c>
      <c r="C974" s="110">
        <f>IF($A974="","",$B974*IsverenPayiOrani)</f>
        <v/>
      </c>
      <c r="D974" s="110">
        <f>IF($A974="","",$B974*IssizlikOrani)</f>
        <v/>
      </c>
      <c r="E974" s="110">
        <f>IF($A974="","",$B974*KidemKarsilikOrani)</f>
        <v/>
      </c>
      <c r="F974" s="108" t="n"/>
      <c r="G974" s="110">
        <f>IF($A974="","",$B974+$C974+$D974+$E974+$F974)</f>
        <v/>
      </c>
      <c r="H974" s="110">
        <f>IF($A974="","",$G974*AySayisi)</f>
        <v/>
      </c>
    </row>
    <row r="975" ht="15" customHeight="1" s="62">
      <c r="A975" s="107" t="n"/>
      <c r="B975" s="110">
        <f>IFERROR(IF($A975="","",IFERROR(INDEX(tblCalisan[Brüt Ücret (₺)],MATCH($A975,tblCalisan[Çalışan Adı],0)),"")),"")</f>
        <v/>
      </c>
      <c r="C975" s="110">
        <f>IF($A975="","",$B975*IsverenPayiOrani)</f>
        <v/>
      </c>
      <c r="D975" s="110">
        <f>IF($A975="","",$B975*IssizlikOrani)</f>
        <v/>
      </c>
      <c r="E975" s="110">
        <f>IF($A975="","",$B975*KidemKarsilikOrani)</f>
        <v/>
      </c>
      <c r="F975" s="108" t="n"/>
      <c r="G975" s="110">
        <f>IF($A975="","",$B975+$C975+$D975+$E975+$F975)</f>
        <v/>
      </c>
      <c r="H975" s="110">
        <f>IF($A975="","",$G975*AySayisi)</f>
        <v/>
      </c>
    </row>
    <row r="976" ht="15" customHeight="1" s="62">
      <c r="A976" s="107" t="n"/>
      <c r="B976" s="110">
        <f>IFERROR(IF($A976="","",IFERROR(INDEX(tblCalisan[Brüt Ücret (₺)],MATCH($A976,tblCalisan[Çalışan Adı],0)),"")),"")</f>
        <v/>
      </c>
      <c r="C976" s="110">
        <f>IF($A976="","",$B976*IsverenPayiOrani)</f>
        <v/>
      </c>
      <c r="D976" s="110">
        <f>IF($A976="","",$B976*IssizlikOrani)</f>
        <v/>
      </c>
      <c r="E976" s="110">
        <f>IF($A976="","",$B976*KidemKarsilikOrani)</f>
        <v/>
      </c>
      <c r="F976" s="108" t="n"/>
      <c r="G976" s="110">
        <f>IF($A976="","",$B976+$C976+$D976+$E976+$F976)</f>
        <v/>
      </c>
      <c r="H976" s="110">
        <f>IF($A976="","",$G976*AySayisi)</f>
        <v/>
      </c>
    </row>
    <row r="977" ht="15" customHeight="1" s="62">
      <c r="A977" s="107" t="n"/>
      <c r="B977" s="110">
        <f>IFERROR(IF($A977="","",IFERROR(INDEX(tblCalisan[Brüt Ücret (₺)],MATCH($A977,tblCalisan[Çalışan Adı],0)),"")),"")</f>
        <v/>
      </c>
      <c r="C977" s="110">
        <f>IF($A977="","",$B977*IsverenPayiOrani)</f>
        <v/>
      </c>
      <c r="D977" s="110">
        <f>IF($A977="","",$B977*IssizlikOrani)</f>
        <v/>
      </c>
      <c r="E977" s="110">
        <f>IF($A977="","",$B977*KidemKarsilikOrani)</f>
        <v/>
      </c>
      <c r="F977" s="108" t="n"/>
      <c r="G977" s="110">
        <f>IF($A977="","",$B977+$C977+$D977+$E977+$F977)</f>
        <v/>
      </c>
      <c r="H977" s="110">
        <f>IF($A977="","",$G977*AySayisi)</f>
        <v/>
      </c>
    </row>
    <row r="978" ht="15" customHeight="1" s="62">
      <c r="A978" s="107" t="n"/>
      <c r="B978" s="110">
        <f>IFERROR(IF($A978="","",IFERROR(INDEX(tblCalisan[Brüt Ücret (₺)],MATCH($A978,tblCalisan[Çalışan Adı],0)),"")),"")</f>
        <v/>
      </c>
      <c r="C978" s="110">
        <f>IF($A978="","",$B978*IsverenPayiOrani)</f>
        <v/>
      </c>
      <c r="D978" s="110">
        <f>IF($A978="","",$B978*IssizlikOrani)</f>
        <v/>
      </c>
      <c r="E978" s="110">
        <f>IF($A978="","",$B978*KidemKarsilikOrani)</f>
        <v/>
      </c>
      <c r="F978" s="108" t="n"/>
      <c r="G978" s="110">
        <f>IF($A978="","",$B978+$C978+$D978+$E978+$F978)</f>
        <v/>
      </c>
      <c r="H978" s="110">
        <f>IF($A978="","",$G978*AySayisi)</f>
        <v/>
      </c>
    </row>
    <row r="979" ht="15" customHeight="1" s="62">
      <c r="A979" s="107" t="n"/>
      <c r="B979" s="110">
        <f>IFERROR(IF($A979="","",IFERROR(INDEX(tblCalisan[Brüt Ücret (₺)],MATCH($A979,tblCalisan[Çalışan Adı],0)),"")),"")</f>
        <v/>
      </c>
      <c r="C979" s="110">
        <f>IF($A979="","",$B979*IsverenPayiOrani)</f>
        <v/>
      </c>
      <c r="D979" s="110">
        <f>IF($A979="","",$B979*IssizlikOrani)</f>
        <v/>
      </c>
      <c r="E979" s="110">
        <f>IF($A979="","",$B979*KidemKarsilikOrani)</f>
        <v/>
      </c>
      <c r="F979" s="108" t="n"/>
      <c r="G979" s="110">
        <f>IF($A979="","",$B979+$C979+$D979+$E979+$F979)</f>
        <v/>
      </c>
      <c r="H979" s="110">
        <f>IF($A979="","",$G979*AySayisi)</f>
        <v/>
      </c>
    </row>
    <row r="980" ht="15" customHeight="1" s="62">
      <c r="A980" s="107" t="n"/>
      <c r="B980" s="110">
        <f>IFERROR(IF($A980="","",IFERROR(INDEX(tblCalisan[Brüt Ücret (₺)],MATCH($A980,tblCalisan[Çalışan Adı],0)),"")),"")</f>
        <v/>
      </c>
      <c r="C980" s="110">
        <f>IF($A980="","",$B980*IsverenPayiOrani)</f>
        <v/>
      </c>
      <c r="D980" s="110">
        <f>IF($A980="","",$B980*IssizlikOrani)</f>
        <v/>
      </c>
      <c r="E980" s="110">
        <f>IF($A980="","",$B980*KidemKarsilikOrani)</f>
        <v/>
      </c>
      <c r="F980" s="108" t="n"/>
      <c r="G980" s="110">
        <f>IF($A980="","",$B980+$C980+$D980+$E980+$F980)</f>
        <v/>
      </c>
      <c r="H980" s="110">
        <f>IF($A980="","",$G980*AySayisi)</f>
        <v/>
      </c>
    </row>
    <row r="981" ht="15" customHeight="1" s="62">
      <c r="A981" s="107" t="n"/>
      <c r="B981" s="110">
        <f>IFERROR(IF($A981="","",IFERROR(INDEX(tblCalisan[Brüt Ücret (₺)],MATCH($A981,tblCalisan[Çalışan Adı],0)),"")),"")</f>
        <v/>
      </c>
      <c r="C981" s="110">
        <f>IF($A981="","",$B981*IsverenPayiOrani)</f>
        <v/>
      </c>
      <c r="D981" s="110">
        <f>IF($A981="","",$B981*IssizlikOrani)</f>
        <v/>
      </c>
      <c r="E981" s="110">
        <f>IF($A981="","",$B981*KidemKarsilikOrani)</f>
        <v/>
      </c>
      <c r="F981" s="108" t="n"/>
      <c r="G981" s="110">
        <f>IF($A981="","",$B981+$C981+$D981+$E981+$F981)</f>
        <v/>
      </c>
      <c r="H981" s="110">
        <f>IF($A981="","",$G981*AySayisi)</f>
        <v/>
      </c>
    </row>
    <row r="982" ht="15" customHeight="1" s="62">
      <c r="A982" s="107" t="n"/>
      <c r="B982" s="110">
        <f>IFERROR(IF($A982="","",IFERROR(INDEX(tblCalisan[Brüt Ücret (₺)],MATCH($A982,tblCalisan[Çalışan Adı],0)),"")),"")</f>
        <v/>
      </c>
      <c r="C982" s="110">
        <f>IF($A982="","",$B982*IsverenPayiOrani)</f>
        <v/>
      </c>
      <c r="D982" s="110">
        <f>IF($A982="","",$B982*IssizlikOrani)</f>
        <v/>
      </c>
      <c r="E982" s="110">
        <f>IF($A982="","",$B982*KidemKarsilikOrani)</f>
        <v/>
      </c>
      <c r="F982" s="108" t="n"/>
      <c r="G982" s="110">
        <f>IF($A982="","",$B982+$C982+$D982+$E982+$F982)</f>
        <v/>
      </c>
      <c r="H982" s="110">
        <f>IF($A982="","",$G982*AySayisi)</f>
        <v/>
      </c>
    </row>
    <row r="983" ht="15" customHeight="1" s="62">
      <c r="A983" s="107" t="n"/>
      <c r="B983" s="110">
        <f>IFERROR(IF($A983="","",IFERROR(INDEX(tblCalisan[Brüt Ücret (₺)],MATCH($A983,tblCalisan[Çalışan Adı],0)),"")),"")</f>
        <v/>
      </c>
      <c r="C983" s="110">
        <f>IF($A983="","",$B983*IsverenPayiOrani)</f>
        <v/>
      </c>
      <c r="D983" s="110">
        <f>IF($A983="","",$B983*IssizlikOrani)</f>
        <v/>
      </c>
      <c r="E983" s="110">
        <f>IF($A983="","",$B983*KidemKarsilikOrani)</f>
        <v/>
      </c>
      <c r="F983" s="108" t="n"/>
      <c r="G983" s="110">
        <f>IF($A983="","",$B983+$C983+$D983+$E983+$F983)</f>
        <v/>
      </c>
      <c r="H983" s="110">
        <f>IF($A983="","",$G983*AySayisi)</f>
        <v/>
      </c>
    </row>
    <row r="984" ht="15" customHeight="1" s="62">
      <c r="A984" s="107" t="n"/>
      <c r="B984" s="110">
        <f>IFERROR(IF($A984="","",IFERROR(INDEX(tblCalisan[Brüt Ücret (₺)],MATCH($A984,tblCalisan[Çalışan Adı],0)),"")),"")</f>
        <v/>
      </c>
      <c r="C984" s="110">
        <f>IF($A984="","",$B984*IsverenPayiOrani)</f>
        <v/>
      </c>
      <c r="D984" s="110">
        <f>IF($A984="","",$B984*IssizlikOrani)</f>
        <v/>
      </c>
      <c r="E984" s="110">
        <f>IF($A984="","",$B984*KidemKarsilikOrani)</f>
        <v/>
      </c>
      <c r="F984" s="108" t="n"/>
      <c r="G984" s="110">
        <f>IF($A984="","",$B984+$C984+$D984+$E984+$F984)</f>
        <v/>
      </c>
      <c r="H984" s="110">
        <f>IF($A984="","",$G984*AySayisi)</f>
        <v/>
      </c>
    </row>
    <row r="985" ht="15" customHeight="1" s="62">
      <c r="A985" s="107" t="n"/>
      <c r="B985" s="110">
        <f>IFERROR(IF($A985="","",IFERROR(INDEX(tblCalisan[Brüt Ücret (₺)],MATCH($A985,tblCalisan[Çalışan Adı],0)),"")),"")</f>
        <v/>
      </c>
      <c r="C985" s="110">
        <f>IF($A985="","",$B985*IsverenPayiOrani)</f>
        <v/>
      </c>
      <c r="D985" s="110">
        <f>IF($A985="","",$B985*IssizlikOrani)</f>
        <v/>
      </c>
      <c r="E985" s="110">
        <f>IF($A985="","",$B985*KidemKarsilikOrani)</f>
        <v/>
      </c>
      <c r="F985" s="108" t="n"/>
      <c r="G985" s="110">
        <f>IF($A985="","",$B985+$C985+$D985+$E985+$F985)</f>
        <v/>
      </c>
      <c r="H985" s="110">
        <f>IF($A985="","",$G985*AySayisi)</f>
        <v/>
      </c>
    </row>
    <row r="986" ht="15" customHeight="1" s="62">
      <c r="A986" s="107" t="n"/>
      <c r="B986" s="110">
        <f>IFERROR(IF($A986="","",IFERROR(INDEX(tblCalisan[Brüt Ücret (₺)],MATCH($A986,tblCalisan[Çalışan Adı],0)),"")),"")</f>
        <v/>
      </c>
      <c r="C986" s="110">
        <f>IF($A986="","",$B986*IsverenPayiOrani)</f>
        <v/>
      </c>
      <c r="D986" s="110">
        <f>IF($A986="","",$B986*IssizlikOrani)</f>
        <v/>
      </c>
      <c r="E986" s="110">
        <f>IF($A986="","",$B986*KidemKarsilikOrani)</f>
        <v/>
      </c>
      <c r="F986" s="108" t="n"/>
      <c r="G986" s="110">
        <f>IF($A986="","",$B986+$C986+$D986+$E986+$F986)</f>
        <v/>
      </c>
      <c r="H986" s="110">
        <f>IF($A986="","",$G986*AySayisi)</f>
        <v/>
      </c>
    </row>
    <row r="987" ht="15" customHeight="1" s="62">
      <c r="A987" s="107" t="n"/>
      <c r="B987" s="110">
        <f>IFERROR(IF($A987="","",IFERROR(INDEX(tblCalisan[Brüt Ücret (₺)],MATCH($A987,tblCalisan[Çalışan Adı],0)),"")),"")</f>
        <v/>
      </c>
      <c r="C987" s="110">
        <f>IF($A987="","",$B987*IsverenPayiOrani)</f>
        <v/>
      </c>
      <c r="D987" s="110">
        <f>IF($A987="","",$B987*IssizlikOrani)</f>
        <v/>
      </c>
      <c r="E987" s="110">
        <f>IF($A987="","",$B987*KidemKarsilikOrani)</f>
        <v/>
      </c>
      <c r="F987" s="108" t="n"/>
      <c r="G987" s="110">
        <f>IF($A987="","",$B987+$C987+$D987+$E987+$F987)</f>
        <v/>
      </c>
      <c r="H987" s="110">
        <f>IF($A987="","",$G987*AySayisi)</f>
        <v/>
      </c>
    </row>
    <row r="988" ht="15" customHeight="1" s="62">
      <c r="A988" s="107" t="n"/>
      <c r="B988" s="110">
        <f>IFERROR(IF($A988="","",IFERROR(INDEX(tblCalisan[Brüt Ücret (₺)],MATCH($A988,tblCalisan[Çalışan Adı],0)),"")),"")</f>
        <v/>
      </c>
      <c r="C988" s="110">
        <f>IF($A988="","",$B988*IsverenPayiOrani)</f>
        <v/>
      </c>
      <c r="D988" s="110">
        <f>IF($A988="","",$B988*IssizlikOrani)</f>
        <v/>
      </c>
      <c r="E988" s="110">
        <f>IF($A988="","",$B988*KidemKarsilikOrani)</f>
        <v/>
      </c>
      <c r="F988" s="108" t="n"/>
      <c r="G988" s="110">
        <f>IF($A988="","",$B988+$C988+$D988+$E988+$F988)</f>
        <v/>
      </c>
      <c r="H988" s="110">
        <f>IF($A988="","",$G988*AySayisi)</f>
        <v/>
      </c>
    </row>
    <row r="989" ht="15" customHeight="1" s="62">
      <c r="A989" s="107" t="n"/>
      <c r="B989" s="110">
        <f>IFERROR(IF($A989="","",IFERROR(INDEX(tblCalisan[Brüt Ücret (₺)],MATCH($A989,tblCalisan[Çalışan Adı],0)),"")),"")</f>
        <v/>
      </c>
      <c r="C989" s="110">
        <f>IF($A989="","",$B989*IsverenPayiOrani)</f>
        <v/>
      </c>
      <c r="D989" s="110">
        <f>IF($A989="","",$B989*IssizlikOrani)</f>
        <v/>
      </c>
      <c r="E989" s="110">
        <f>IF($A989="","",$B989*KidemKarsilikOrani)</f>
        <v/>
      </c>
      <c r="F989" s="108" t="n"/>
      <c r="G989" s="110">
        <f>IF($A989="","",$B989+$C989+$D989+$E989+$F989)</f>
        <v/>
      </c>
      <c r="H989" s="110">
        <f>IF($A989="","",$G989*AySayisi)</f>
        <v/>
      </c>
    </row>
    <row r="990" ht="15" customHeight="1" s="62">
      <c r="A990" s="107" t="n"/>
      <c r="B990" s="110">
        <f>IFERROR(IF($A990="","",IFERROR(INDEX(tblCalisan[Brüt Ücret (₺)],MATCH($A990,tblCalisan[Çalışan Adı],0)),"")),"")</f>
        <v/>
      </c>
      <c r="C990" s="110">
        <f>IF($A990="","",$B990*IsverenPayiOrani)</f>
        <v/>
      </c>
      <c r="D990" s="110">
        <f>IF($A990="","",$B990*IssizlikOrani)</f>
        <v/>
      </c>
      <c r="E990" s="110">
        <f>IF($A990="","",$B990*KidemKarsilikOrani)</f>
        <v/>
      </c>
      <c r="F990" s="108" t="n"/>
      <c r="G990" s="110">
        <f>IF($A990="","",$B990+$C990+$D990+$E990+$F990)</f>
        <v/>
      </c>
      <c r="H990" s="110">
        <f>IF($A990="","",$G990*AySayisi)</f>
        <v/>
      </c>
    </row>
    <row r="991" ht="15" customHeight="1" s="62">
      <c r="A991" s="107" t="n"/>
      <c r="B991" s="110">
        <f>IFERROR(IF($A991="","",IFERROR(INDEX(tblCalisan[Brüt Ücret (₺)],MATCH($A991,tblCalisan[Çalışan Adı],0)),"")),"")</f>
        <v/>
      </c>
      <c r="C991" s="110">
        <f>IF($A991="","",$B991*IsverenPayiOrani)</f>
        <v/>
      </c>
      <c r="D991" s="110">
        <f>IF($A991="","",$B991*IssizlikOrani)</f>
        <v/>
      </c>
      <c r="E991" s="110">
        <f>IF($A991="","",$B991*KidemKarsilikOrani)</f>
        <v/>
      </c>
      <c r="F991" s="108" t="n"/>
      <c r="G991" s="110">
        <f>IF($A991="","",$B991+$C991+$D991+$E991+$F991)</f>
        <v/>
      </c>
      <c r="H991" s="110">
        <f>IF($A991="","",$G991*AySayisi)</f>
        <v/>
      </c>
    </row>
    <row r="992" ht="15" customHeight="1" s="62">
      <c r="A992" s="107" t="n"/>
      <c r="B992" s="110">
        <f>IFERROR(IF($A992="","",IFERROR(INDEX(tblCalisan[Brüt Ücret (₺)],MATCH($A992,tblCalisan[Çalışan Adı],0)),"")),"")</f>
        <v/>
      </c>
      <c r="C992" s="110">
        <f>IF($A992="","",$B992*IsverenPayiOrani)</f>
        <v/>
      </c>
      <c r="D992" s="110">
        <f>IF($A992="","",$B992*IssizlikOrani)</f>
        <v/>
      </c>
      <c r="E992" s="110">
        <f>IF($A992="","",$B992*KidemKarsilikOrani)</f>
        <v/>
      </c>
      <c r="F992" s="108" t="n"/>
      <c r="G992" s="110">
        <f>IF($A992="","",$B992+$C992+$D992+$E992+$F992)</f>
        <v/>
      </c>
      <c r="H992" s="110">
        <f>IF($A992="","",$G992*AySayisi)</f>
        <v/>
      </c>
    </row>
    <row r="993" ht="15" customHeight="1" s="62">
      <c r="A993" s="107" t="n"/>
      <c r="B993" s="110">
        <f>IFERROR(IF($A993="","",IFERROR(INDEX(tblCalisan[Brüt Ücret (₺)],MATCH($A993,tblCalisan[Çalışan Adı],0)),"")),"")</f>
        <v/>
      </c>
      <c r="C993" s="110">
        <f>IF($A993="","",$B993*IsverenPayiOrani)</f>
        <v/>
      </c>
      <c r="D993" s="110">
        <f>IF($A993="","",$B993*IssizlikOrani)</f>
        <v/>
      </c>
      <c r="E993" s="110">
        <f>IF($A993="","",$B993*KidemKarsilikOrani)</f>
        <v/>
      </c>
      <c r="F993" s="108" t="n"/>
      <c r="G993" s="110">
        <f>IF($A993="","",$B993+$C993+$D993+$E993+$F993)</f>
        <v/>
      </c>
      <c r="H993" s="110">
        <f>IF($A993="","",$G993*AySayisi)</f>
        <v/>
      </c>
    </row>
    <row r="994" ht="15" customHeight="1" s="62">
      <c r="A994" s="107" t="n"/>
      <c r="B994" s="110">
        <f>IFERROR(IF($A994="","",IFERROR(INDEX(tblCalisan[Brüt Ücret (₺)],MATCH($A994,tblCalisan[Çalışan Adı],0)),"")),"")</f>
        <v/>
      </c>
      <c r="C994" s="110">
        <f>IF($A994="","",$B994*IsverenPayiOrani)</f>
        <v/>
      </c>
      <c r="D994" s="110">
        <f>IF($A994="","",$B994*IssizlikOrani)</f>
        <v/>
      </c>
      <c r="E994" s="110">
        <f>IF($A994="","",$B994*KidemKarsilikOrani)</f>
        <v/>
      </c>
      <c r="F994" s="108" t="n"/>
      <c r="G994" s="110">
        <f>IF($A994="","",$B994+$C994+$D994+$E994+$F994)</f>
        <v/>
      </c>
      <c r="H994" s="110">
        <f>IF($A994="","",$G994*AySayisi)</f>
        <v/>
      </c>
    </row>
    <row r="995" ht="15" customHeight="1" s="62">
      <c r="A995" s="107" t="n"/>
      <c r="B995" s="110">
        <f>IFERROR(IF($A995="","",IFERROR(INDEX(tblCalisan[Brüt Ücret (₺)],MATCH($A995,tblCalisan[Çalışan Adı],0)),"")),"")</f>
        <v/>
      </c>
      <c r="C995" s="110">
        <f>IF($A995="","",$B995*IsverenPayiOrani)</f>
        <v/>
      </c>
      <c r="D995" s="110">
        <f>IF($A995="","",$B995*IssizlikOrani)</f>
        <v/>
      </c>
      <c r="E995" s="110">
        <f>IF($A995="","",$B995*KidemKarsilikOrani)</f>
        <v/>
      </c>
      <c r="F995" s="108" t="n"/>
      <c r="G995" s="110">
        <f>IF($A995="","",$B995+$C995+$D995+$E995+$F995)</f>
        <v/>
      </c>
      <c r="H995" s="110">
        <f>IF($A995="","",$G995*AySayisi)</f>
        <v/>
      </c>
    </row>
    <row r="996" ht="15" customHeight="1" s="62">
      <c r="A996" s="107" t="n"/>
      <c r="B996" s="110">
        <f>IFERROR(IF($A996="","",IFERROR(INDEX(tblCalisan[Brüt Ücret (₺)],MATCH($A996,tblCalisan[Çalışan Adı],0)),"")),"")</f>
        <v/>
      </c>
      <c r="C996" s="110">
        <f>IF($A996="","",$B996*IsverenPayiOrani)</f>
        <v/>
      </c>
      <c r="D996" s="110">
        <f>IF($A996="","",$B996*IssizlikOrani)</f>
        <v/>
      </c>
      <c r="E996" s="110">
        <f>IF($A996="","",$B996*KidemKarsilikOrani)</f>
        <v/>
      </c>
      <c r="F996" s="108" t="n"/>
      <c r="G996" s="110">
        <f>IF($A996="","",$B996+$C996+$D996+$E996+$F996)</f>
        <v/>
      </c>
      <c r="H996" s="110">
        <f>IF($A996="","",$G996*AySayisi)</f>
        <v/>
      </c>
    </row>
    <row r="997" ht="15" customHeight="1" s="62">
      <c r="A997" s="107" t="n"/>
      <c r="B997" s="110">
        <f>IFERROR(IF($A997="","",IFERROR(INDEX(tblCalisan[Brüt Ücret (₺)],MATCH($A997,tblCalisan[Çalışan Adı],0)),"")),"")</f>
        <v/>
      </c>
      <c r="C997" s="110">
        <f>IF($A997="","",$B997*IsverenPayiOrani)</f>
        <v/>
      </c>
      <c r="D997" s="110">
        <f>IF($A997="","",$B997*IssizlikOrani)</f>
        <v/>
      </c>
      <c r="E997" s="110">
        <f>IF($A997="","",$B997*KidemKarsilikOrani)</f>
        <v/>
      </c>
      <c r="F997" s="108" t="n"/>
      <c r="G997" s="110">
        <f>IF($A997="","",$B997+$C997+$D997+$E997+$F997)</f>
        <v/>
      </c>
      <c r="H997" s="110">
        <f>IF($A997="","",$G997*AySayisi)</f>
        <v/>
      </c>
    </row>
    <row r="998" ht="15" customHeight="1" s="62">
      <c r="A998" s="107" t="n"/>
      <c r="B998" s="110">
        <f>IFERROR(IF($A998="","",IFERROR(INDEX(tblCalisan[Brüt Ücret (₺)],MATCH($A998,tblCalisan[Çalışan Adı],0)),"")),"")</f>
        <v/>
      </c>
      <c r="C998" s="110">
        <f>IF($A998="","",$B998*IsverenPayiOrani)</f>
        <v/>
      </c>
      <c r="D998" s="110">
        <f>IF($A998="","",$B998*IssizlikOrani)</f>
        <v/>
      </c>
      <c r="E998" s="110">
        <f>IF($A998="","",$B998*KidemKarsilikOrani)</f>
        <v/>
      </c>
      <c r="F998" s="108" t="n"/>
      <c r="G998" s="110">
        <f>IF($A998="","",$B998+$C998+$D998+$E998+$F998)</f>
        <v/>
      </c>
      <c r="H998" s="110">
        <f>IF($A998="","",$G998*AySayisi)</f>
        <v/>
      </c>
    </row>
    <row r="999" ht="15" customHeight="1" s="62">
      <c r="A999" s="107" t="n"/>
      <c r="B999" s="110">
        <f>IFERROR(IF($A999="","",IFERROR(INDEX(tblCalisan[Brüt Ücret (₺)],MATCH($A999,tblCalisan[Çalışan Adı],0)),"")),"")</f>
        <v/>
      </c>
      <c r="C999" s="110">
        <f>IF($A999="","",$B999*IsverenPayiOrani)</f>
        <v/>
      </c>
      <c r="D999" s="110">
        <f>IF($A999="","",$B999*IssizlikOrani)</f>
        <v/>
      </c>
      <c r="E999" s="110">
        <f>IF($A999="","",$B999*KidemKarsilikOrani)</f>
        <v/>
      </c>
      <c r="F999" s="108" t="n"/>
      <c r="G999" s="110">
        <f>IF($A999="","",$B999+$C999+$D999+$E999+$F999)</f>
        <v/>
      </c>
      <c r="H999" s="110">
        <f>IF($A999="","",$G999*AySayisi)</f>
        <v/>
      </c>
    </row>
    <row r="1000" ht="15" customHeight="1" s="62">
      <c r="A1000" s="107" t="n"/>
      <c r="B1000" s="110">
        <f>IFERROR(IF($A1000="","",IFERROR(INDEX(tblCalisan[Brüt Ücret (₺)],MATCH($A1000,tblCalisan[Çalışan Adı],0)),"")),"")</f>
        <v/>
      </c>
      <c r="C1000" s="110">
        <f>IF($A1000="","",$B1000*IsverenPayiOrani)</f>
        <v/>
      </c>
      <c r="D1000" s="110">
        <f>IF($A1000="","",$B1000*IssizlikOrani)</f>
        <v/>
      </c>
      <c r="E1000" s="110">
        <f>IF($A1000="","",$B1000*KidemKarsilikOrani)</f>
        <v/>
      </c>
      <c r="F1000" s="108" t="n"/>
      <c r="G1000" s="110">
        <f>IF($A1000="","",$B1000+$C1000+$D1000+$E1000+$F1000)</f>
        <v/>
      </c>
      <c r="H1000" s="110">
        <f>IF($A1000="","",$G1000*AySayisi)</f>
        <v/>
      </c>
    </row>
    <row r="1001" ht="15" customHeight="1" s="62">
      <c r="A1001" s="107" t="n"/>
      <c r="B1001" s="110">
        <f>IFERROR(IF($A1001="","",IFERROR(INDEX(tblCalisan[Brüt Ücret (₺)],MATCH($A1001,tblCalisan[Çalışan Adı],0)),"")),"")</f>
        <v/>
      </c>
      <c r="C1001" s="110">
        <f>IF($A1001="","",$B1001*IsverenPayiOrani)</f>
        <v/>
      </c>
      <c r="D1001" s="110">
        <f>IF($A1001="","",$B1001*IssizlikOrani)</f>
        <v/>
      </c>
      <c r="E1001" s="110">
        <f>IF($A1001="","",$B1001*KidemKarsilikOrani)</f>
        <v/>
      </c>
      <c r="F1001" s="108" t="n"/>
      <c r="G1001" s="110">
        <f>IF($A1001="","",$B1001+$C1001+$D1001+$E1001+$F1001)</f>
        <v/>
      </c>
      <c r="H1001" s="110">
        <f>IF($A1001="","",$G1001*AySayisi)</f>
        <v/>
      </c>
    </row>
    <row r="1002" ht="15" customHeight="1" s="62">
      <c r="A1002" s="107" t="n"/>
      <c r="B1002" s="110">
        <f>IFERROR(IF($A1002="","",IFERROR(INDEX(tblCalisan[Brüt Ücret (₺)],MATCH($A1002,tblCalisan[Çalışan Adı],0)),"")),"")</f>
        <v/>
      </c>
      <c r="C1002" s="110">
        <f>IF($A1002="","",$B1002*IsverenPayiOrani)</f>
        <v/>
      </c>
      <c r="D1002" s="110">
        <f>IF($A1002="","",$B1002*IssizlikOrani)</f>
        <v/>
      </c>
      <c r="E1002" s="110">
        <f>IF($A1002="","",$B1002*KidemKarsilikOrani)</f>
        <v/>
      </c>
      <c r="F1002" s="108" t="n"/>
      <c r="G1002" s="110">
        <f>IF($A1002="","",$B1002+$C1002+$D1002+$E1002+$F1002)</f>
        <v/>
      </c>
      <c r="H1002" s="110">
        <f>IF($A1002="","",$G1002*AySayisi)</f>
        <v/>
      </c>
    </row>
    <row r="1003" ht="19.5" customHeight="1" s="62">
      <c r="A1003" s="111" t="inlineStr">
        <is>
          <t>Yan fayda (yemek/yol) kişi başı aylık sabittir; AYARLAR sayfasından değişir.</t>
        </is>
      </c>
      <c r="B1003" s="112" t="n"/>
      <c r="C1003" s="112" t="n"/>
      <c r="D1003" s="112" t="n"/>
      <c r="E1003" s="112" t="n"/>
      <c r="F1003" s="112" t="n"/>
      <c r="G1003" s="112" t="n"/>
      <c r="H1003" s="112" t="n"/>
      <c r="I1003" s="112" t="n"/>
      <c r="J1003" s="112" t="n"/>
      <c r="K1003" s="112" t="n"/>
      <c r="L1003" s="112" t="n"/>
      <c r="M1003" s="112" t="n"/>
      <c r="N1003" s="112" t="n"/>
      <c r="O1003" s="112" t="n"/>
      <c r="P1003" s="112" t="n"/>
      <c r="Q1003" s="112" t="n"/>
      <c r="R1003" s="112" t="n"/>
      <c r="S1003" s="112" t="n"/>
      <c r="T1003" s="112" t="n"/>
      <c r="U1003" s="112" t="n"/>
      <c r="V1003" s="112" t="n"/>
      <c r="W1003" s="112" t="n"/>
      <c r="X1003" s="112" t="n"/>
      <c r="Y1003" s="112" t="n"/>
      <c r="Z1003" s="112" t="n"/>
      <c r="AA1003" s="112" t="n"/>
      <c r="AB1003" s="112" t="n"/>
      <c r="AC1003" s="112" t="n"/>
      <c r="AD1003" s="112" t="n"/>
      <c r="AE1003" s="112" t="n"/>
      <c r="AF1003" s="112" t="n"/>
      <c r="AG1003" s="112" t="n"/>
      <c r="AH1003" s="112" t="n"/>
      <c r="AI1003" s="112" t="n"/>
      <c r="AJ1003" s="112" t="n"/>
      <c r="AK1003" s="112" t="n"/>
      <c r="AL1003" s="112" t="n"/>
      <c r="AM1003" s="112" t="n"/>
      <c r="AN1003" s="112" t="n"/>
    </row>
    <row r="1004" ht="15" customHeight="1" s="62">
      <c r="A1004" s="107" t="n"/>
      <c r="B1004" s="110">
        <f>IFERROR(IF($A1004="","",IFERROR(INDEX(tblCalisan[Brüt Ücret (₺)],MATCH($A1004,tblCalisan[Çalışan Adı],0)),"")),"")</f>
        <v/>
      </c>
      <c r="C1004" s="110">
        <f>IF($A1004="","",$B1004*IsverenPayiOrani)</f>
        <v/>
      </c>
      <c r="D1004" s="110">
        <f>IF($A1004="","",$B1004*IssizlikOrani)</f>
        <v/>
      </c>
      <c r="E1004" s="110">
        <f>IF($A1004="","",$B1004*KidemKarsilikOrani)</f>
        <v/>
      </c>
      <c r="F1004" s="108" t="n"/>
      <c r="G1004" s="110">
        <f>IF($A1004="","",$B1004+$C1004+$D1004+$E1004+$F1004)</f>
        <v/>
      </c>
      <c r="H1004" s="110">
        <f>IF($A1004="","",$G1004*AySayisi)</f>
        <v/>
      </c>
    </row>
    <row r="1005" ht="15" customHeight="1" s="62">
      <c r="A1005" s="107" t="n"/>
      <c r="B1005" s="110">
        <f>IFERROR(IF($A1005="","",IFERROR(INDEX(tblCalisan[Brüt Ücret (₺)],MATCH($A1005,tblCalisan[Çalışan Adı],0)),"")),"")</f>
        <v/>
      </c>
      <c r="C1005" s="110">
        <f>IF($A1005="","",$B1005*IsverenPayiOrani)</f>
        <v/>
      </c>
      <c r="D1005" s="110">
        <f>IF($A1005="","",$B1005*IssizlikOrani)</f>
        <v/>
      </c>
      <c r="E1005" s="110">
        <f>IF($A1005="","",$B1005*KidemKarsilikOrani)</f>
        <v/>
      </c>
      <c r="F1005" s="108" t="n"/>
      <c r="G1005" s="110">
        <f>IF($A1005="","",$B1005+$C1005+$D1005+$E1005+$F1005)</f>
        <v/>
      </c>
      <c r="H1005" s="110">
        <f>IF($A1005="","",$G1005*AySayisi)</f>
        <v/>
      </c>
    </row>
    <row r="1006" ht="15" customHeight="1" s="62">
      <c r="A1006" s="107" t="n"/>
      <c r="B1006" s="110">
        <f>IFERROR(IF($A1006="","",IFERROR(INDEX(tblCalisan[Brüt Ücret (₺)],MATCH($A1006,tblCalisan[Çalışan Adı],0)),"")),"")</f>
        <v/>
      </c>
      <c r="C1006" s="110">
        <f>IF($A1006="","",$B1006*IsverenPayiOrani)</f>
        <v/>
      </c>
      <c r="D1006" s="110">
        <f>IF($A1006="","",$B1006*IssizlikOrani)</f>
        <v/>
      </c>
      <c r="E1006" s="110">
        <f>IF($A1006="","",$B1006*KidemKarsilikOrani)</f>
        <v/>
      </c>
      <c r="F1006" s="108" t="n"/>
      <c r="G1006" s="110">
        <f>IF($A1006="","",$B1006+$C1006+$D1006+$E1006+$F1006)</f>
        <v/>
      </c>
      <c r="H1006" s="110">
        <f>IF($A1006="","",$G1006*AySayisi)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4:H4"/>
    <mergeCell ref="A1003:AN1003"/>
    <mergeCell ref="A1:AD1"/>
  </mergeCells>
  <conditionalFormatting sqref="C7">
    <cfRule type="cellIs" rank="0" priority="2" equalAverage="0" operator="greaterThan" aboveAverage="0" dxfId="8" text="" percent="0" bottom="0">
      <formula>0</formula>
    </cfRule>
  </conditionalFormatting>
  <conditionalFormatting sqref="G7">
    <cfRule type="cellIs" rank="0" priority="3" equalAverage="0" operator="greaterThan" aboveAverage="0" dxfId="8" text="" percent="0" bottom="0">
      <formula>0</formula>
    </cfRule>
  </conditionalFormatting>
  <conditionalFormatting sqref="H7">
    <cfRule type="cellIs" rank="0" priority="4" equalAverage="0" operator="greaterThan" aboveAverage="0" dxfId="8" text="" percent="0" bottom="0">
      <formula>0</formula>
    </cfRule>
  </conditionalFormatting>
  <conditionalFormatting sqref="C8">
    <cfRule type="cellIs" rank="0" priority="5" equalAverage="0" operator="greaterThan" aboveAverage="0" dxfId="8" text="" percent="0" bottom="0">
      <formula>0</formula>
    </cfRule>
  </conditionalFormatting>
  <conditionalFormatting sqref="G8">
    <cfRule type="cellIs" rank="0" priority="6" equalAverage="0" operator="greaterThan" aboveAverage="0" dxfId="8" text="" percent="0" bottom="0">
      <formula>0</formula>
    </cfRule>
  </conditionalFormatting>
  <conditionalFormatting sqref="H8">
    <cfRule type="cellIs" rank="0" priority="7" equalAverage="0" operator="greaterThan" aboveAverage="0" dxfId="8" text="" percent="0" bottom="0">
      <formula>0</formula>
    </cfRule>
  </conditionalFormatting>
  <conditionalFormatting sqref="C9">
    <cfRule type="cellIs" rank="0" priority="8" equalAverage="0" operator="greaterThan" aboveAverage="0" dxfId="8" text="" percent="0" bottom="0">
      <formula>0</formula>
    </cfRule>
  </conditionalFormatting>
  <conditionalFormatting sqref="G9">
    <cfRule type="cellIs" rank="0" priority="9" equalAverage="0" operator="greaterThan" aboveAverage="0" dxfId="8" text="" percent="0" bottom="0">
      <formula>0</formula>
    </cfRule>
  </conditionalFormatting>
  <conditionalFormatting sqref="H9">
    <cfRule type="cellIs" rank="0" priority="10" equalAverage="0" operator="greaterThan" aboveAverage="0" dxfId="8" text="" percent="0" bottom="0">
      <formula>0</formula>
    </cfRule>
  </conditionalFormatting>
  <conditionalFormatting sqref="C10">
    <cfRule type="cellIs" rank="0" priority="11" equalAverage="0" operator="greaterThan" aboveAverage="0" dxfId="8" text="" percent="0" bottom="0">
      <formula>0</formula>
    </cfRule>
  </conditionalFormatting>
  <conditionalFormatting sqref="G10">
    <cfRule type="cellIs" rank="0" priority="12" equalAverage="0" operator="greaterThan" aboveAverage="0" dxfId="8" text="" percent="0" bottom="0">
      <formula>0</formula>
    </cfRule>
  </conditionalFormatting>
  <conditionalFormatting sqref="H10">
    <cfRule type="cellIs" rank="0" priority="13" equalAverage="0" operator="greaterThan" aboveAverage="0" dxfId="8" text="" percent="0" bottom="0">
      <formula>0</formula>
    </cfRule>
  </conditionalFormatting>
  <conditionalFormatting sqref="C11">
    <cfRule type="cellIs" rank="0" priority="14" equalAverage="0" operator="greaterThan" aboveAverage="0" dxfId="8" text="" percent="0" bottom="0">
      <formula>0</formula>
    </cfRule>
  </conditionalFormatting>
  <conditionalFormatting sqref="G11">
    <cfRule type="cellIs" rank="0" priority="15" equalAverage="0" operator="greaterThan" aboveAverage="0" dxfId="8" text="" percent="0" bottom="0">
      <formula>0</formula>
    </cfRule>
  </conditionalFormatting>
  <conditionalFormatting sqref="H11">
    <cfRule type="cellIs" rank="0" priority="16" equalAverage="0" operator="greaterThan" aboveAverage="0" dxfId="8" text="" percent="0" bottom="0">
      <formula>0</formula>
    </cfRule>
  </conditionalFormatting>
  <conditionalFormatting sqref="C12">
    <cfRule type="cellIs" rank="0" priority="17" equalAverage="0" operator="greaterThan" aboveAverage="0" dxfId="8" text="" percent="0" bottom="0">
      <formula>0</formula>
    </cfRule>
  </conditionalFormatting>
  <conditionalFormatting sqref="G12">
    <cfRule type="cellIs" rank="0" priority="18" equalAverage="0" operator="greaterThan" aboveAverage="0" dxfId="8" text="" percent="0" bottom="0">
      <formula>0</formula>
    </cfRule>
  </conditionalFormatting>
  <conditionalFormatting sqref="H12">
    <cfRule type="cellIs" rank="0" priority="19" equalAverage="0" operator="greaterThan" aboveAverage="0" dxfId="8" text="" percent="0" bottom="0">
      <formula>0</formula>
    </cfRule>
  </conditionalFormatting>
  <conditionalFormatting sqref="C13">
    <cfRule type="cellIs" rank="0" priority="20" equalAverage="0" operator="greaterThan" aboveAverage="0" dxfId="8" text="" percent="0" bottom="0">
      <formula>0</formula>
    </cfRule>
  </conditionalFormatting>
  <conditionalFormatting sqref="G13">
    <cfRule type="cellIs" rank="0" priority="21" equalAverage="0" operator="greaterThan" aboveAverage="0" dxfId="8" text="" percent="0" bottom="0">
      <formula>0</formula>
    </cfRule>
  </conditionalFormatting>
  <conditionalFormatting sqref="H13">
    <cfRule type="cellIs" rank="0" priority="22" equalAverage="0" operator="greaterThan" aboveAverage="0" dxfId="8" text="" percent="0" bottom="0">
      <formula>0</formula>
    </cfRule>
  </conditionalFormatting>
  <conditionalFormatting sqref="C14">
    <cfRule type="cellIs" rank="0" priority="23" equalAverage="0" operator="greaterThan" aboveAverage="0" dxfId="8" text="" percent="0" bottom="0">
      <formula>0</formula>
    </cfRule>
  </conditionalFormatting>
  <conditionalFormatting sqref="G14">
    <cfRule type="cellIs" rank="0" priority="24" equalAverage="0" operator="greaterThan" aboveAverage="0" dxfId="8" text="" percent="0" bottom="0">
      <formula>0</formula>
    </cfRule>
  </conditionalFormatting>
  <conditionalFormatting sqref="H14">
    <cfRule type="cellIs" rank="0" priority="25" equalAverage="0" operator="greaterThan" aboveAverage="0" dxfId="8" text="" percent="0" bottom="0">
      <formula>0</formula>
    </cfRule>
  </conditionalFormatting>
  <conditionalFormatting sqref="C15">
    <cfRule type="cellIs" rank="0" priority="26" equalAverage="0" operator="greaterThan" aboveAverage="0" dxfId="8" text="" percent="0" bottom="0">
      <formula>0</formula>
    </cfRule>
  </conditionalFormatting>
  <conditionalFormatting sqref="G15">
    <cfRule type="cellIs" rank="0" priority="27" equalAverage="0" operator="greaterThan" aboveAverage="0" dxfId="8" text="" percent="0" bottom="0">
      <formula>0</formula>
    </cfRule>
  </conditionalFormatting>
  <conditionalFormatting sqref="H15">
    <cfRule type="cellIs" rank="0" priority="28" equalAverage="0" operator="greaterThan" aboveAverage="0" dxfId="8" text="" percent="0" bottom="0">
      <formula>0</formula>
    </cfRule>
  </conditionalFormatting>
  <conditionalFormatting sqref="C16">
    <cfRule type="cellIs" rank="0" priority="29" equalAverage="0" operator="greaterThan" aboveAverage="0" dxfId="8" text="" percent="0" bottom="0">
      <formula>0</formula>
    </cfRule>
  </conditionalFormatting>
  <conditionalFormatting sqref="G16">
    <cfRule type="cellIs" rank="0" priority="30" equalAverage="0" operator="greaterThan" aboveAverage="0" dxfId="8" text="" percent="0" bottom="0">
      <formula>0</formula>
    </cfRule>
  </conditionalFormatting>
  <conditionalFormatting sqref="H16">
    <cfRule type="cellIs" rank="0" priority="31" equalAverage="0" operator="greaterThan" aboveAverage="0" dxfId="8" text="" percent="0" bottom="0">
      <formula>0</formula>
    </cfRule>
  </conditionalFormatting>
  <conditionalFormatting sqref="C17">
    <cfRule type="cellIs" rank="0" priority="32" equalAverage="0" operator="greaterThan" aboveAverage="0" dxfId="8" text="" percent="0" bottom="0">
      <formula>0</formula>
    </cfRule>
  </conditionalFormatting>
  <conditionalFormatting sqref="G17">
    <cfRule type="cellIs" rank="0" priority="33" equalAverage="0" operator="greaterThan" aboveAverage="0" dxfId="8" text="" percent="0" bottom="0">
      <formula>0</formula>
    </cfRule>
  </conditionalFormatting>
  <conditionalFormatting sqref="H17">
    <cfRule type="cellIs" rank="0" priority="34" equalAverage="0" operator="greaterThan" aboveAverage="0" dxfId="8" text="" percent="0" bottom="0">
      <formula>0</formula>
    </cfRule>
  </conditionalFormatting>
  <conditionalFormatting sqref="C18">
    <cfRule type="cellIs" rank="0" priority="35" equalAverage="0" operator="greaterThan" aboveAverage="0" dxfId="8" text="" percent="0" bottom="0">
      <formula>0</formula>
    </cfRule>
  </conditionalFormatting>
  <conditionalFormatting sqref="G18">
    <cfRule type="cellIs" rank="0" priority="36" equalAverage="0" operator="greaterThan" aboveAverage="0" dxfId="8" text="" percent="0" bottom="0">
      <formula>0</formula>
    </cfRule>
  </conditionalFormatting>
  <conditionalFormatting sqref="H18">
    <cfRule type="cellIs" rank="0" priority="37" equalAverage="0" operator="greaterThan" aboveAverage="0" dxfId="8" text="" percent="0" bottom="0">
      <formula>0</formula>
    </cfRule>
  </conditionalFormatting>
  <conditionalFormatting sqref="C19">
    <cfRule type="cellIs" rank="0" priority="38" equalAverage="0" operator="greaterThan" aboveAverage="0" dxfId="8" text="" percent="0" bottom="0">
      <formula>0</formula>
    </cfRule>
  </conditionalFormatting>
  <conditionalFormatting sqref="G19">
    <cfRule type="cellIs" rank="0" priority="39" equalAverage="0" operator="greaterThan" aboveAverage="0" dxfId="8" text="" percent="0" bottom="0">
      <formula>0</formula>
    </cfRule>
  </conditionalFormatting>
  <conditionalFormatting sqref="H19">
    <cfRule type="cellIs" rank="0" priority="40" equalAverage="0" operator="greaterThan" aboveAverage="0" dxfId="8" text="" percent="0" bottom="0">
      <formula>0</formula>
    </cfRule>
  </conditionalFormatting>
  <conditionalFormatting sqref="C20">
    <cfRule type="cellIs" rank="0" priority="41" equalAverage="0" operator="greaterThan" aboveAverage="0" dxfId="8" text="" percent="0" bottom="0">
      <formula>0</formula>
    </cfRule>
  </conditionalFormatting>
  <conditionalFormatting sqref="G20">
    <cfRule type="cellIs" rank="0" priority="42" equalAverage="0" operator="greaterThan" aboveAverage="0" dxfId="8" text="" percent="0" bottom="0">
      <formula>0</formula>
    </cfRule>
  </conditionalFormatting>
  <conditionalFormatting sqref="H20">
    <cfRule type="cellIs" rank="0" priority="43" equalAverage="0" operator="greaterThan" aboveAverage="0" dxfId="8" text="" percent="0" bottom="0">
      <formula>0</formula>
    </cfRule>
  </conditionalFormatting>
  <conditionalFormatting sqref="C21">
    <cfRule type="cellIs" rank="0" priority="44" equalAverage="0" operator="greaterThan" aboveAverage="0" dxfId="8" text="" percent="0" bottom="0">
      <formula>0</formula>
    </cfRule>
  </conditionalFormatting>
  <conditionalFormatting sqref="G21">
    <cfRule type="cellIs" rank="0" priority="45" equalAverage="0" operator="greaterThan" aboveAverage="0" dxfId="8" text="" percent="0" bottom="0">
      <formula>0</formula>
    </cfRule>
  </conditionalFormatting>
  <conditionalFormatting sqref="H21">
    <cfRule type="cellIs" rank="0" priority="46" equalAverage="0" operator="greaterThan" aboveAverage="0" dxfId="8" text="" percent="0" bottom="0">
      <formula>0</formula>
    </cfRule>
  </conditionalFormatting>
  <conditionalFormatting sqref="C22">
    <cfRule type="cellIs" rank="0" priority="47" equalAverage="0" operator="greaterThan" aboveAverage="0" dxfId="8" text="" percent="0" bottom="0">
      <formula>0</formula>
    </cfRule>
  </conditionalFormatting>
  <conditionalFormatting sqref="G22">
    <cfRule type="cellIs" rank="0" priority="48" equalAverage="0" operator="greaterThan" aboveAverage="0" dxfId="8" text="" percent="0" bottom="0">
      <formula>0</formula>
    </cfRule>
  </conditionalFormatting>
  <conditionalFormatting sqref="H22">
    <cfRule type="cellIs" rank="0" priority="49" equalAverage="0" operator="greaterThan" aboveAverage="0" dxfId="8" text="" percent="0" bottom="0">
      <formula>0</formula>
    </cfRule>
  </conditionalFormatting>
  <conditionalFormatting sqref="C23">
    <cfRule type="cellIs" rank="0" priority="50" equalAverage="0" operator="greaterThan" aboveAverage="0" dxfId="8" text="" percent="0" bottom="0">
      <formula>0</formula>
    </cfRule>
  </conditionalFormatting>
  <conditionalFormatting sqref="G23">
    <cfRule type="cellIs" rank="0" priority="51" equalAverage="0" operator="greaterThan" aboveAverage="0" dxfId="8" text="" percent="0" bottom="0">
      <formula>0</formula>
    </cfRule>
  </conditionalFormatting>
  <conditionalFormatting sqref="H23">
    <cfRule type="cellIs" rank="0" priority="52" equalAverage="0" operator="greaterThan" aboveAverage="0" dxfId="8" text="" percent="0" bottom="0">
      <formula>0</formula>
    </cfRule>
  </conditionalFormatting>
  <conditionalFormatting sqref="C24">
    <cfRule type="cellIs" rank="0" priority="53" equalAverage="0" operator="greaterThan" aboveAverage="0" dxfId="8" text="" percent="0" bottom="0">
      <formula>0</formula>
    </cfRule>
  </conditionalFormatting>
  <conditionalFormatting sqref="G24">
    <cfRule type="cellIs" rank="0" priority="54" equalAverage="0" operator="greaterThan" aboveAverage="0" dxfId="8" text="" percent="0" bottom="0">
      <formula>0</formula>
    </cfRule>
  </conditionalFormatting>
  <conditionalFormatting sqref="H24">
    <cfRule type="cellIs" rank="0" priority="55" equalAverage="0" operator="greaterThan" aboveAverage="0" dxfId="8" text="" percent="0" bottom="0">
      <formula>0</formula>
    </cfRule>
  </conditionalFormatting>
  <conditionalFormatting sqref="C25">
    <cfRule type="cellIs" rank="0" priority="56" equalAverage="0" operator="greaterThan" aboveAverage="0" dxfId="8" text="" percent="0" bottom="0">
      <formula>0</formula>
    </cfRule>
  </conditionalFormatting>
  <conditionalFormatting sqref="G25">
    <cfRule type="cellIs" rank="0" priority="57" equalAverage="0" operator="greaterThan" aboveAverage="0" dxfId="8" text="" percent="0" bottom="0">
      <formula>0</formula>
    </cfRule>
  </conditionalFormatting>
  <conditionalFormatting sqref="H25">
    <cfRule type="cellIs" rank="0" priority="58" equalAverage="0" operator="greaterThan" aboveAverage="0" dxfId="8" text="" percent="0" bottom="0">
      <formula>0</formula>
    </cfRule>
  </conditionalFormatting>
  <conditionalFormatting sqref="C26">
    <cfRule type="cellIs" rank="0" priority="59" equalAverage="0" operator="greaterThan" aboveAverage="0" dxfId="8" text="" percent="0" bottom="0">
      <formula>0</formula>
    </cfRule>
  </conditionalFormatting>
  <conditionalFormatting sqref="G26">
    <cfRule type="cellIs" rank="0" priority="60" equalAverage="0" operator="greaterThan" aboveAverage="0" dxfId="8" text="" percent="0" bottom="0">
      <formula>0</formula>
    </cfRule>
  </conditionalFormatting>
  <conditionalFormatting sqref="H26">
    <cfRule type="cellIs" rank="0" priority="61" equalAverage="0" operator="greaterThan" aboveAverage="0" dxfId="8" text="" percent="0" bottom="0">
      <formula>0</formula>
    </cfRule>
  </conditionalFormatting>
  <conditionalFormatting sqref="C27">
    <cfRule type="cellIs" rank="0" priority="62" equalAverage="0" operator="greaterThan" aboveAverage="0" dxfId="8" text="" percent="0" bottom="0">
      <formula>0</formula>
    </cfRule>
  </conditionalFormatting>
  <conditionalFormatting sqref="G27">
    <cfRule type="cellIs" rank="0" priority="63" equalAverage="0" operator="greaterThan" aboveAverage="0" dxfId="8" text="" percent="0" bottom="0">
      <formula>0</formula>
    </cfRule>
  </conditionalFormatting>
  <conditionalFormatting sqref="H27">
    <cfRule type="cellIs" rank="0" priority="64" equalAverage="0" operator="greaterThan" aboveAverage="0" dxfId="8" text="" percent="0" bottom="0">
      <formula>0</formula>
    </cfRule>
  </conditionalFormatting>
  <conditionalFormatting sqref="C28">
    <cfRule type="cellIs" rank="0" priority="65" equalAverage="0" operator="greaterThan" aboveAverage="0" dxfId="8" text="" percent="0" bottom="0">
      <formula>0</formula>
    </cfRule>
  </conditionalFormatting>
  <conditionalFormatting sqref="G28">
    <cfRule type="cellIs" rank="0" priority="66" equalAverage="0" operator="greaterThan" aboveAverage="0" dxfId="8" text="" percent="0" bottom="0">
      <formula>0</formula>
    </cfRule>
  </conditionalFormatting>
  <conditionalFormatting sqref="H28">
    <cfRule type="cellIs" rank="0" priority="67" equalAverage="0" operator="greaterThan" aboveAverage="0" dxfId="8" text="" percent="0" bottom="0">
      <formula>0</formula>
    </cfRule>
  </conditionalFormatting>
  <conditionalFormatting sqref="C29">
    <cfRule type="cellIs" rank="0" priority="68" equalAverage="0" operator="greaterThan" aboveAverage="0" dxfId="8" text="" percent="0" bottom="0">
      <formula>0</formula>
    </cfRule>
  </conditionalFormatting>
  <conditionalFormatting sqref="G29">
    <cfRule type="cellIs" rank="0" priority="69" equalAverage="0" operator="greaterThan" aboveAverage="0" dxfId="8" text="" percent="0" bottom="0">
      <formula>0</formula>
    </cfRule>
  </conditionalFormatting>
  <conditionalFormatting sqref="H29">
    <cfRule type="cellIs" rank="0" priority="70" equalAverage="0" operator="greaterThan" aboveAverage="0" dxfId="8" text="" percent="0" bottom="0">
      <formula>0</formula>
    </cfRule>
  </conditionalFormatting>
  <conditionalFormatting sqref="C30">
    <cfRule type="cellIs" rank="0" priority="71" equalAverage="0" operator="greaterThan" aboveAverage="0" dxfId="8" text="" percent="0" bottom="0">
      <formula>0</formula>
    </cfRule>
  </conditionalFormatting>
  <conditionalFormatting sqref="G30">
    <cfRule type="cellIs" rank="0" priority="72" equalAverage="0" operator="greaterThan" aboveAverage="0" dxfId="8" text="" percent="0" bottom="0">
      <formula>0</formula>
    </cfRule>
  </conditionalFormatting>
  <conditionalFormatting sqref="H30">
    <cfRule type="cellIs" rank="0" priority="73" equalAverage="0" operator="greaterThan" aboveAverage="0" dxfId="8" text="" percent="0" bottom="0">
      <formula>0</formula>
    </cfRule>
  </conditionalFormatting>
  <conditionalFormatting sqref="C31">
    <cfRule type="cellIs" rank="0" priority="74" equalAverage="0" operator="greaterThan" aboveAverage="0" dxfId="8" text="" percent="0" bottom="0">
      <formula>0</formula>
    </cfRule>
  </conditionalFormatting>
  <conditionalFormatting sqref="G31">
    <cfRule type="cellIs" rank="0" priority="75" equalAverage="0" operator="greaterThan" aboveAverage="0" dxfId="8" text="" percent="0" bottom="0">
      <formula>0</formula>
    </cfRule>
  </conditionalFormatting>
  <conditionalFormatting sqref="H31">
    <cfRule type="cellIs" rank="0" priority="76" equalAverage="0" operator="greaterThan" aboveAverage="0" dxfId="8" text="" percent="0" bottom="0">
      <formula>0</formula>
    </cfRule>
  </conditionalFormatting>
  <conditionalFormatting sqref="C32">
    <cfRule type="cellIs" rank="0" priority="77" equalAverage="0" operator="greaterThan" aboveAverage="0" dxfId="8" text="" percent="0" bottom="0">
      <formula>0</formula>
    </cfRule>
  </conditionalFormatting>
  <conditionalFormatting sqref="G32">
    <cfRule type="cellIs" rank="0" priority="78" equalAverage="0" operator="greaterThan" aboveAverage="0" dxfId="8" text="" percent="0" bottom="0">
      <formula>0</formula>
    </cfRule>
  </conditionalFormatting>
  <conditionalFormatting sqref="H32">
    <cfRule type="cellIs" rank="0" priority="79" equalAverage="0" operator="greaterThan" aboveAverage="0" dxfId="8" text="" percent="0" bottom="0">
      <formula>0</formula>
    </cfRule>
  </conditionalFormatting>
  <conditionalFormatting sqref="C33">
    <cfRule type="cellIs" rank="0" priority="80" equalAverage="0" operator="greaterThan" aboveAverage="0" dxfId="8" text="" percent="0" bottom="0">
      <formula>0</formula>
    </cfRule>
  </conditionalFormatting>
  <conditionalFormatting sqref="G33">
    <cfRule type="cellIs" rank="0" priority="81" equalAverage="0" operator="greaterThan" aboveAverage="0" dxfId="8" text="" percent="0" bottom="0">
      <formula>0</formula>
    </cfRule>
  </conditionalFormatting>
  <conditionalFormatting sqref="H33">
    <cfRule type="cellIs" rank="0" priority="82" equalAverage="0" operator="greaterThan" aboveAverage="0" dxfId="8" text="" percent="0" bottom="0">
      <formula>0</formula>
    </cfRule>
  </conditionalFormatting>
  <conditionalFormatting sqref="C34">
    <cfRule type="cellIs" rank="0" priority="83" equalAverage="0" operator="greaterThan" aboveAverage="0" dxfId="8" text="" percent="0" bottom="0">
      <formula>0</formula>
    </cfRule>
  </conditionalFormatting>
  <conditionalFormatting sqref="G34">
    <cfRule type="cellIs" rank="0" priority="84" equalAverage="0" operator="greaterThan" aboveAverage="0" dxfId="8" text="" percent="0" bottom="0">
      <formula>0</formula>
    </cfRule>
  </conditionalFormatting>
  <conditionalFormatting sqref="H34">
    <cfRule type="cellIs" rank="0" priority="85" equalAverage="0" operator="greaterThan" aboveAverage="0" dxfId="8" text="" percent="0" bottom="0">
      <formula>0</formula>
    </cfRule>
  </conditionalFormatting>
  <conditionalFormatting sqref="C35">
    <cfRule type="cellIs" rank="0" priority="86" equalAverage="0" operator="greaterThan" aboveAverage="0" dxfId="8" text="" percent="0" bottom="0">
      <formula>0</formula>
    </cfRule>
  </conditionalFormatting>
  <conditionalFormatting sqref="G35">
    <cfRule type="cellIs" rank="0" priority="87" equalAverage="0" operator="greaterThan" aboveAverage="0" dxfId="8" text="" percent="0" bottom="0">
      <formula>0</formula>
    </cfRule>
  </conditionalFormatting>
  <conditionalFormatting sqref="H35">
    <cfRule type="cellIs" rank="0" priority="88" equalAverage="0" operator="greaterThan" aboveAverage="0" dxfId="8" text="" percent="0" bottom="0">
      <formula>0</formula>
    </cfRule>
  </conditionalFormatting>
  <conditionalFormatting sqref="C36">
    <cfRule type="cellIs" rank="0" priority="89" equalAverage="0" operator="greaterThan" aboveAverage="0" dxfId="8" text="" percent="0" bottom="0">
      <formula>0</formula>
    </cfRule>
  </conditionalFormatting>
  <conditionalFormatting sqref="G36">
    <cfRule type="cellIs" rank="0" priority="90" equalAverage="0" operator="greaterThan" aboveAverage="0" dxfId="8" text="" percent="0" bottom="0">
      <formula>0</formula>
    </cfRule>
  </conditionalFormatting>
  <conditionalFormatting sqref="H36">
    <cfRule type="cellIs" rank="0" priority="91" equalAverage="0" operator="greaterThan" aboveAverage="0" dxfId="8" text="" percent="0" bottom="0">
      <formula>0</formula>
    </cfRule>
  </conditionalFormatting>
  <conditionalFormatting sqref="C37">
    <cfRule type="cellIs" rank="0" priority="92" equalAverage="0" operator="greaterThan" aboveAverage="0" dxfId="8" text="" percent="0" bottom="0">
      <formula>0</formula>
    </cfRule>
  </conditionalFormatting>
  <conditionalFormatting sqref="G37">
    <cfRule type="cellIs" rank="0" priority="93" equalAverage="0" operator="greaterThan" aboveAverage="0" dxfId="8" text="" percent="0" bottom="0">
      <formula>0</formula>
    </cfRule>
  </conditionalFormatting>
  <conditionalFormatting sqref="H37">
    <cfRule type="cellIs" rank="0" priority="94" equalAverage="0" operator="greaterThan" aboveAverage="0" dxfId="8" text="" percent="0" bottom="0">
      <formula>0</formula>
    </cfRule>
  </conditionalFormatting>
  <conditionalFormatting sqref="C38">
    <cfRule type="cellIs" rank="0" priority="95" equalAverage="0" operator="greaterThan" aboveAverage="0" dxfId="8" text="" percent="0" bottom="0">
      <formula>0</formula>
    </cfRule>
  </conditionalFormatting>
  <conditionalFormatting sqref="G38">
    <cfRule type="cellIs" rank="0" priority="96" equalAverage="0" operator="greaterThan" aboveAverage="0" dxfId="8" text="" percent="0" bottom="0">
      <formula>0</formula>
    </cfRule>
  </conditionalFormatting>
  <conditionalFormatting sqref="H38">
    <cfRule type="cellIs" rank="0" priority="97" equalAverage="0" operator="greaterThan" aboveAverage="0" dxfId="8" text="" percent="0" bottom="0">
      <formula>0</formula>
    </cfRule>
  </conditionalFormatting>
  <conditionalFormatting sqref="C39">
    <cfRule type="cellIs" rank="0" priority="98" equalAverage="0" operator="greaterThan" aboveAverage="0" dxfId="8" text="" percent="0" bottom="0">
      <formula>0</formula>
    </cfRule>
  </conditionalFormatting>
  <conditionalFormatting sqref="G39">
    <cfRule type="cellIs" rank="0" priority="99" equalAverage="0" operator="greaterThan" aboveAverage="0" dxfId="8" text="" percent="0" bottom="0">
      <formula>0</formula>
    </cfRule>
  </conditionalFormatting>
  <conditionalFormatting sqref="H39">
    <cfRule type="cellIs" rank="0" priority="100" equalAverage="0" operator="greaterThan" aboveAverage="0" dxfId="8" text="" percent="0" bottom="0">
      <formula>0</formula>
    </cfRule>
  </conditionalFormatting>
  <conditionalFormatting sqref="C40">
    <cfRule type="cellIs" rank="0" priority="101" equalAverage="0" operator="greaterThan" aboveAverage="0" dxfId="8" text="" percent="0" bottom="0">
      <formula>0</formula>
    </cfRule>
  </conditionalFormatting>
  <conditionalFormatting sqref="G40">
    <cfRule type="cellIs" rank="0" priority="102" equalAverage="0" operator="greaterThan" aboveAverage="0" dxfId="8" text="" percent="0" bottom="0">
      <formula>0</formula>
    </cfRule>
  </conditionalFormatting>
  <conditionalFormatting sqref="H40">
    <cfRule type="cellIs" rank="0" priority="103" equalAverage="0" operator="greaterThan" aboveAverage="0" dxfId="8" text="" percent="0" bottom="0">
      <formula>0</formula>
    </cfRule>
  </conditionalFormatting>
  <conditionalFormatting sqref="C41">
    <cfRule type="cellIs" rank="0" priority="104" equalAverage="0" operator="greaterThan" aboveAverage="0" dxfId="8" text="" percent="0" bottom="0">
      <formula>0</formula>
    </cfRule>
  </conditionalFormatting>
  <conditionalFormatting sqref="G41">
    <cfRule type="cellIs" rank="0" priority="105" equalAverage="0" operator="greaterThan" aboveAverage="0" dxfId="8" text="" percent="0" bottom="0">
      <formula>0</formula>
    </cfRule>
  </conditionalFormatting>
  <conditionalFormatting sqref="H41">
    <cfRule type="cellIs" rank="0" priority="106" equalAverage="0" operator="greaterThan" aboveAverage="0" dxfId="8" text="" percent="0" bottom="0">
      <formula>0</formula>
    </cfRule>
  </conditionalFormatting>
  <conditionalFormatting sqref="C42">
    <cfRule type="cellIs" rank="0" priority="107" equalAverage="0" operator="greaterThan" aboveAverage="0" dxfId="8" text="" percent="0" bottom="0">
      <formula>0</formula>
    </cfRule>
  </conditionalFormatting>
  <conditionalFormatting sqref="G42">
    <cfRule type="cellIs" rank="0" priority="108" equalAverage="0" operator="greaterThan" aboveAverage="0" dxfId="8" text="" percent="0" bottom="0">
      <formula>0</formula>
    </cfRule>
  </conditionalFormatting>
  <conditionalFormatting sqref="H42">
    <cfRule type="cellIs" rank="0" priority="109" equalAverage="0" operator="greaterThan" aboveAverage="0" dxfId="8" text="" percent="0" bottom="0">
      <formula>0</formula>
    </cfRule>
  </conditionalFormatting>
  <conditionalFormatting sqref="C43">
    <cfRule type="cellIs" rank="0" priority="110" equalAverage="0" operator="greaterThan" aboveAverage="0" dxfId="8" text="" percent="0" bottom="0">
      <formula>0</formula>
    </cfRule>
  </conditionalFormatting>
  <conditionalFormatting sqref="G43">
    <cfRule type="cellIs" rank="0" priority="111" equalAverage="0" operator="greaterThan" aboveAverage="0" dxfId="8" text="" percent="0" bottom="0">
      <formula>0</formula>
    </cfRule>
  </conditionalFormatting>
  <conditionalFormatting sqref="H43">
    <cfRule type="cellIs" rank="0" priority="112" equalAverage="0" operator="greaterThan" aboveAverage="0" dxfId="8" text="" percent="0" bottom="0">
      <formula>0</formula>
    </cfRule>
  </conditionalFormatting>
  <conditionalFormatting sqref="C44">
    <cfRule type="cellIs" rank="0" priority="113" equalAverage="0" operator="greaterThan" aboveAverage="0" dxfId="8" text="" percent="0" bottom="0">
      <formula>0</formula>
    </cfRule>
  </conditionalFormatting>
  <conditionalFormatting sqref="G44">
    <cfRule type="cellIs" rank="0" priority="114" equalAverage="0" operator="greaterThan" aboveAverage="0" dxfId="8" text="" percent="0" bottom="0">
      <formula>0</formula>
    </cfRule>
  </conditionalFormatting>
  <conditionalFormatting sqref="H44">
    <cfRule type="cellIs" rank="0" priority="115" equalAverage="0" operator="greaterThan" aboveAverage="0" dxfId="8" text="" percent="0" bottom="0">
      <formula>0</formula>
    </cfRule>
  </conditionalFormatting>
  <conditionalFormatting sqref="C45">
    <cfRule type="cellIs" rank="0" priority="116" equalAverage="0" operator="greaterThan" aboveAverage="0" dxfId="8" text="" percent="0" bottom="0">
      <formula>0</formula>
    </cfRule>
  </conditionalFormatting>
  <conditionalFormatting sqref="G45">
    <cfRule type="cellIs" rank="0" priority="117" equalAverage="0" operator="greaterThan" aboveAverage="0" dxfId="8" text="" percent="0" bottom="0">
      <formula>0</formula>
    </cfRule>
  </conditionalFormatting>
  <conditionalFormatting sqref="H45">
    <cfRule type="cellIs" rank="0" priority="118" equalAverage="0" operator="greaterThan" aboveAverage="0" dxfId="8" text="" percent="0" bottom="0">
      <formula>0</formula>
    </cfRule>
  </conditionalFormatting>
  <conditionalFormatting sqref="C46">
    <cfRule type="cellIs" rank="0" priority="119" equalAverage="0" operator="greaterThan" aboveAverage="0" dxfId="8" text="" percent="0" bottom="0">
      <formula>0</formula>
    </cfRule>
  </conditionalFormatting>
  <conditionalFormatting sqref="G46">
    <cfRule type="cellIs" rank="0" priority="120" equalAverage="0" operator="greaterThan" aboveAverage="0" dxfId="8" text="" percent="0" bottom="0">
      <formula>0</formula>
    </cfRule>
  </conditionalFormatting>
  <conditionalFormatting sqref="H46">
    <cfRule type="cellIs" rank="0" priority="121" equalAverage="0" operator="greaterThan" aboveAverage="0" dxfId="8" text="" percent="0" bottom="0">
      <formula>0</formula>
    </cfRule>
  </conditionalFormatting>
  <conditionalFormatting sqref="C47">
    <cfRule type="cellIs" rank="0" priority="122" equalAverage="0" operator="greaterThan" aboveAverage="0" dxfId="8" text="" percent="0" bottom="0">
      <formula>0</formula>
    </cfRule>
  </conditionalFormatting>
  <conditionalFormatting sqref="G47">
    <cfRule type="cellIs" rank="0" priority="123" equalAverage="0" operator="greaterThan" aboveAverage="0" dxfId="8" text="" percent="0" bottom="0">
      <formula>0</formula>
    </cfRule>
  </conditionalFormatting>
  <conditionalFormatting sqref="H47">
    <cfRule type="cellIs" rank="0" priority="124" equalAverage="0" operator="greaterThan" aboveAverage="0" dxfId="8" text="" percent="0" bottom="0">
      <formula>0</formula>
    </cfRule>
  </conditionalFormatting>
  <conditionalFormatting sqref="C48">
    <cfRule type="cellIs" rank="0" priority="125" equalAverage="0" operator="greaterThan" aboveAverage="0" dxfId="8" text="" percent="0" bottom="0">
      <formula>0</formula>
    </cfRule>
  </conditionalFormatting>
  <conditionalFormatting sqref="G48">
    <cfRule type="cellIs" rank="0" priority="126" equalAverage="0" operator="greaterThan" aboveAverage="0" dxfId="8" text="" percent="0" bottom="0">
      <formula>0</formula>
    </cfRule>
  </conditionalFormatting>
  <conditionalFormatting sqref="H48">
    <cfRule type="cellIs" rank="0" priority="127" equalAverage="0" operator="greaterThan" aboveAverage="0" dxfId="8" text="" percent="0" bottom="0">
      <formula>0</formula>
    </cfRule>
  </conditionalFormatting>
  <conditionalFormatting sqref="C49">
    <cfRule type="cellIs" rank="0" priority="128" equalAverage="0" operator="greaterThan" aboveAverage="0" dxfId="8" text="" percent="0" bottom="0">
      <formula>0</formula>
    </cfRule>
  </conditionalFormatting>
  <conditionalFormatting sqref="G49">
    <cfRule type="cellIs" rank="0" priority="129" equalAverage="0" operator="greaterThan" aboveAverage="0" dxfId="8" text="" percent="0" bottom="0">
      <formula>0</formula>
    </cfRule>
  </conditionalFormatting>
  <conditionalFormatting sqref="H49">
    <cfRule type="cellIs" rank="0" priority="130" equalAverage="0" operator="greaterThan" aboveAverage="0" dxfId="8" text="" percent="0" bottom="0">
      <formula>0</formula>
    </cfRule>
  </conditionalFormatting>
  <conditionalFormatting sqref="C50">
    <cfRule type="cellIs" rank="0" priority="131" equalAverage="0" operator="greaterThan" aboveAverage="0" dxfId="8" text="" percent="0" bottom="0">
      <formula>0</formula>
    </cfRule>
  </conditionalFormatting>
  <conditionalFormatting sqref="G50">
    <cfRule type="cellIs" rank="0" priority="132" equalAverage="0" operator="greaterThan" aboveAverage="0" dxfId="8" text="" percent="0" bottom="0">
      <formula>0</formula>
    </cfRule>
  </conditionalFormatting>
  <conditionalFormatting sqref="H50">
    <cfRule type="cellIs" rank="0" priority="133" equalAverage="0" operator="greaterThan" aboveAverage="0" dxfId="8" text="" percent="0" bottom="0">
      <formula>0</formula>
    </cfRule>
  </conditionalFormatting>
  <conditionalFormatting sqref="C51">
    <cfRule type="cellIs" rank="0" priority="134" equalAverage="0" operator="greaterThan" aboveAverage="0" dxfId="8" text="" percent="0" bottom="0">
      <formula>0</formula>
    </cfRule>
  </conditionalFormatting>
  <conditionalFormatting sqref="G51">
    <cfRule type="cellIs" rank="0" priority="135" equalAverage="0" operator="greaterThan" aboveAverage="0" dxfId="8" text="" percent="0" bottom="0">
      <formula>0</formula>
    </cfRule>
  </conditionalFormatting>
  <conditionalFormatting sqref="H51">
    <cfRule type="cellIs" rank="0" priority="136" equalAverage="0" operator="greaterThan" aboveAverage="0" dxfId="8" text="" percent="0" bottom="0">
      <formula>0</formula>
    </cfRule>
  </conditionalFormatting>
  <conditionalFormatting sqref="C52">
    <cfRule type="cellIs" rank="0" priority="137" equalAverage="0" operator="greaterThan" aboveAverage="0" dxfId="8" text="" percent="0" bottom="0">
      <formula>0</formula>
    </cfRule>
  </conditionalFormatting>
  <conditionalFormatting sqref="G52">
    <cfRule type="cellIs" rank="0" priority="138" equalAverage="0" operator="greaterThan" aboveAverage="0" dxfId="8" text="" percent="0" bottom="0">
      <formula>0</formula>
    </cfRule>
  </conditionalFormatting>
  <conditionalFormatting sqref="H52">
    <cfRule type="cellIs" rank="0" priority="139" equalAverage="0" operator="greaterThan" aboveAverage="0" dxfId="8" text="" percent="0" bottom="0">
      <formula>0</formula>
    </cfRule>
  </conditionalFormatting>
  <conditionalFormatting sqref="C53">
    <cfRule type="cellIs" rank="0" priority="140" equalAverage="0" operator="greaterThan" aboveAverage="0" dxfId="8" text="" percent="0" bottom="0">
      <formula>0</formula>
    </cfRule>
  </conditionalFormatting>
  <conditionalFormatting sqref="G53">
    <cfRule type="cellIs" rank="0" priority="141" equalAverage="0" operator="greaterThan" aboveAverage="0" dxfId="8" text="" percent="0" bottom="0">
      <formula>0</formula>
    </cfRule>
  </conditionalFormatting>
  <conditionalFormatting sqref="H53">
    <cfRule type="cellIs" rank="0" priority="142" equalAverage="0" operator="greaterThan" aboveAverage="0" dxfId="8" text="" percent="0" bottom="0">
      <formula>0</formula>
    </cfRule>
  </conditionalFormatting>
  <conditionalFormatting sqref="C54">
    <cfRule type="cellIs" rank="0" priority="143" equalAverage="0" operator="greaterThan" aboveAverage="0" dxfId="8" text="" percent="0" bottom="0">
      <formula>0</formula>
    </cfRule>
  </conditionalFormatting>
  <conditionalFormatting sqref="G54">
    <cfRule type="cellIs" rank="0" priority="144" equalAverage="0" operator="greaterThan" aboveAverage="0" dxfId="8" text="" percent="0" bottom="0">
      <formula>0</formula>
    </cfRule>
  </conditionalFormatting>
  <conditionalFormatting sqref="H54">
    <cfRule type="cellIs" rank="0" priority="145" equalAverage="0" operator="greaterThan" aboveAverage="0" dxfId="8" text="" percent="0" bottom="0">
      <formula>0</formula>
    </cfRule>
  </conditionalFormatting>
  <conditionalFormatting sqref="C55">
    <cfRule type="cellIs" rank="0" priority="146" equalAverage="0" operator="greaterThan" aboveAverage="0" dxfId="8" text="" percent="0" bottom="0">
      <formula>0</formula>
    </cfRule>
  </conditionalFormatting>
  <conditionalFormatting sqref="G55">
    <cfRule type="cellIs" rank="0" priority="147" equalAverage="0" operator="greaterThan" aboveAverage="0" dxfId="8" text="" percent="0" bottom="0">
      <formula>0</formula>
    </cfRule>
  </conditionalFormatting>
  <conditionalFormatting sqref="H55">
    <cfRule type="cellIs" rank="0" priority="148" equalAverage="0" operator="greaterThan" aboveAverage="0" dxfId="8" text="" percent="0" bottom="0">
      <formula>0</formula>
    </cfRule>
  </conditionalFormatting>
  <conditionalFormatting sqref="C56">
    <cfRule type="cellIs" rank="0" priority="149" equalAverage="0" operator="greaterThan" aboveAverage="0" dxfId="8" text="" percent="0" bottom="0">
      <formula>0</formula>
    </cfRule>
  </conditionalFormatting>
  <conditionalFormatting sqref="G56">
    <cfRule type="cellIs" rank="0" priority="150" equalAverage="0" operator="greaterThan" aboveAverage="0" dxfId="8" text="" percent="0" bottom="0">
      <formula>0</formula>
    </cfRule>
  </conditionalFormatting>
  <conditionalFormatting sqref="H56">
    <cfRule type="cellIs" rank="0" priority="151" equalAverage="0" operator="greaterThan" aboveAverage="0" dxfId="8" text="" percent="0" bottom="0">
      <formula>0</formula>
    </cfRule>
  </conditionalFormatting>
  <conditionalFormatting sqref="C57">
    <cfRule type="cellIs" rank="0" priority="152" equalAverage="0" operator="greaterThan" aboveAverage="0" dxfId="8" text="" percent="0" bottom="0">
      <formula>0</formula>
    </cfRule>
  </conditionalFormatting>
  <conditionalFormatting sqref="G57">
    <cfRule type="cellIs" rank="0" priority="153" equalAverage="0" operator="greaterThan" aboveAverage="0" dxfId="8" text="" percent="0" bottom="0">
      <formula>0</formula>
    </cfRule>
  </conditionalFormatting>
  <conditionalFormatting sqref="H57">
    <cfRule type="cellIs" rank="0" priority="154" equalAverage="0" operator="greaterThan" aboveAverage="0" dxfId="8" text="" percent="0" bottom="0">
      <formula>0</formula>
    </cfRule>
  </conditionalFormatting>
  <conditionalFormatting sqref="C58">
    <cfRule type="cellIs" rank="0" priority="155" equalAverage="0" operator="greaterThan" aboveAverage="0" dxfId="8" text="" percent="0" bottom="0">
      <formula>0</formula>
    </cfRule>
  </conditionalFormatting>
  <conditionalFormatting sqref="G58">
    <cfRule type="cellIs" rank="0" priority="156" equalAverage="0" operator="greaterThan" aboveAverage="0" dxfId="8" text="" percent="0" bottom="0">
      <formula>0</formula>
    </cfRule>
  </conditionalFormatting>
  <conditionalFormatting sqref="H58">
    <cfRule type="cellIs" rank="0" priority="157" equalAverage="0" operator="greaterThan" aboveAverage="0" dxfId="8" text="" percent="0" bottom="0">
      <formula>0</formula>
    </cfRule>
  </conditionalFormatting>
  <conditionalFormatting sqref="C59">
    <cfRule type="cellIs" rank="0" priority="158" equalAverage="0" operator="greaterThan" aboveAverage="0" dxfId="8" text="" percent="0" bottom="0">
      <formula>0</formula>
    </cfRule>
  </conditionalFormatting>
  <conditionalFormatting sqref="G59">
    <cfRule type="cellIs" rank="0" priority="159" equalAverage="0" operator="greaterThan" aboveAverage="0" dxfId="8" text="" percent="0" bottom="0">
      <formula>0</formula>
    </cfRule>
  </conditionalFormatting>
  <conditionalFormatting sqref="H59">
    <cfRule type="cellIs" rank="0" priority="160" equalAverage="0" operator="greaterThan" aboveAverage="0" dxfId="8" text="" percent="0" bottom="0">
      <formula>0</formula>
    </cfRule>
  </conditionalFormatting>
  <conditionalFormatting sqref="C60">
    <cfRule type="cellIs" rank="0" priority="161" equalAverage="0" operator="greaterThan" aboveAverage="0" dxfId="8" text="" percent="0" bottom="0">
      <formula>0</formula>
    </cfRule>
  </conditionalFormatting>
  <conditionalFormatting sqref="G60">
    <cfRule type="cellIs" rank="0" priority="162" equalAverage="0" operator="greaterThan" aboveAverage="0" dxfId="8" text="" percent="0" bottom="0">
      <formula>0</formula>
    </cfRule>
  </conditionalFormatting>
  <conditionalFormatting sqref="H60">
    <cfRule type="cellIs" rank="0" priority="163" equalAverage="0" operator="greaterThan" aboveAverage="0" dxfId="8" text="" percent="0" bottom="0">
      <formula>0</formula>
    </cfRule>
  </conditionalFormatting>
  <conditionalFormatting sqref="C61">
    <cfRule type="cellIs" rank="0" priority="164" equalAverage="0" operator="greaterThan" aboveAverage="0" dxfId="8" text="" percent="0" bottom="0">
      <formula>0</formula>
    </cfRule>
  </conditionalFormatting>
  <conditionalFormatting sqref="G61">
    <cfRule type="cellIs" rank="0" priority="165" equalAverage="0" operator="greaterThan" aboveAverage="0" dxfId="8" text="" percent="0" bottom="0">
      <formula>0</formula>
    </cfRule>
  </conditionalFormatting>
  <conditionalFormatting sqref="H61">
    <cfRule type="cellIs" rank="0" priority="166" equalAverage="0" operator="greaterThan" aboveAverage="0" dxfId="8" text="" percent="0" bottom="0">
      <formula>0</formula>
    </cfRule>
  </conditionalFormatting>
  <conditionalFormatting sqref="C62">
    <cfRule type="cellIs" rank="0" priority="167" equalAverage="0" operator="greaterThan" aboveAverage="0" dxfId="8" text="" percent="0" bottom="0">
      <formula>0</formula>
    </cfRule>
  </conditionalFormatting>
  <conditionalFormatting sqref="G62">
    <cfRule type="cellIs" rank="0" priority="168" equalAverage="0" operator="greaterThan" aboveAverage="0" dxfId="8" text="" percent="0" bottom="0">
      <formula>0</formula>
    </cfRule>
  </conditionalFormatting>
  <conditionalFormatting sqref="H62">
    <cfRule type="cellIs" rank="0" priority="169" equalAverage="0" operator="greaterThan" aboveAverage="0" dxfId="8" text="" percent="0" bottom="0">
      <formula>0</formula>
    </cfRule>
  </conditionalFormatting>
  <conditionalFormatting sqref="C63">
    <cfRule type="cellIs" rank="0" priority="170" equalAverage="0" operator="greaterThan" aboveAverage="0" dxfId="8" text="" percent="0" bottom="0">
      <formula>0</formula>
    </cfRule>
  </conditionalFormatting>
  <conditionalFormatting sqref="G63">
    <cfRule type="cellIs" rank="0" priority="171" equalAverage="0" operator="greaterThan" aboveAverage="0" dxfId="8" text="" percent="0" bottom="0">
      <formula>0</formula>
    </cfRule>
  </conditionalFormatting>
  <conditionalFormatting sqref="H63">
    <cfRule type="cellIs" rank="0" priority="172" equalAverage="0" operator="greaterThan" aboveAverage="0" dxfId="8" text="" percent="0" bottom="0">
      <formula>0</formula>
    </cfRule>
  </conditionalFormatting>
  <conditionalFormatting sqref="C64">
    <cfRule type="cellIs" rank="0" priority="173" equalAverage="0" operator="greaterThan" aboveAverage="0" dxfId="8" text="" percent="0" bottom="0">
      <formula>0</formula>
    </cfRule>
  </conditionalFormatting>
  <conditionalFormatting sqref="G64">
    <cfRule type="cellIs" rank="0" priority="174" equalAverage="0" operator="greaterThan" aboveAverage="0" dxfId="8" text="" percent="0" bottom="0">
      <formula>0</formula>
    </cfRule>
  </conditionalFormatting>
  <conditionalFormatting sqref="H64">
    <cfRule type="cellIs" rank="0" priority="175" equalAverage="0" operator="greaterThan" aboveAverage="0" dxfId="8" text="" percent="0" bottom="0">
      <formula>0</formula>
    </cfRule>
  </conditionalFormatting>
  <conditionalFormatting sqref="C65">
    <cfRule type="cellIs" rank="0" priority="176" equalAverage="0" operator="greaterThan" aboveAverage="0" dxfId="8" text="" percent="0" bottom="0">
      <formula>0</formula>
    </cfRule>
  </conditionalFormatting>
  <conditionalFormatting sqref="G65">
    <cfRule type="cellIs" rank="0" priority="177" equalAverage="0" operator="greaterThan" aboveAverage="0" dxfId="8" text="" percent="0" bottom="0">
      <formula>0</formula>
    </cfRule>
  </conditionalFormatting>
  <conditionalFormatting sqref="H65">
    <cfRule type="cellIs" rank="0" priority="178" equalAverage="0" operator="greaterThan" aboveAverage="0" dxfId="8" text="" percent="0" bottom="0">
      <formula>0</formula>
    </cfRule>
  </conditionalFormatting>
  <conditionalFormatting sqref="C66">
    <cfRule type="cellIs" rank="0" priority="179" equalAverage="0" operator="greaterThan" aboveAverage="0" dxfId="8" text="" percent="0" bottom="0">
      <formula>0</formula>
    </cfRule>
  </conditionalFormatting>
  <conditionalFormatting sqref="G66">
    <cfRule type="cellIs" rank="0" priority="180" equalAverage="0" operator="greaterThan" aboveAverage="0" dxfId="8" text="" percent="0" bottom="0">
      <formula>0</formula>
    </cfRule>
  </conditionalFormatting>
  <conditionalFormatting sqref="H66">
    <cfRule type="cellIs" rank="0" priority="181" equalAverage="0" operator="greaterThan" aboveAverage="0" dxfId="8" text="" percent="0" bottom="0">
      <formula>0</formula>
    </cfRule>
  </conditionalFormatting>
  <conditionalFormatting sqref="C67">
    <cfRule type="cellIs" rank="0" priority="182" equalAverage="0" operator="greaterThan" aboveAverage="0" dxfId="8" text="" percent="0" bottom="0">
      <formula>0</formula>
    </cfRule>
  </conditionalFormatting>
  <conditionalFormatting sqref="G67">
    <cfRule type="cellIs" rank="0" priority="183" equalAverage="0" operator="greaterThan" aboveAverage="0" dxfId="8" text="" percent="0" bottom="0">
      <formula>0</formula>
    </cfRule>
  </conditionalFormatting>
  <conditionalFormatting sqref="H67">
    <cfRule type="cellIs" rank="0" priority="184" equalAverage="0" operator="greaterThan" aboveAverage="0" dxfId="8" text="" percent="0" bottom="0">
      <formula>0</formula>
    </cfRule>
  </conditionalFormatting>
  <conditionalFormatting sqref="C68">
    <cfRule type="cellIs" rank="0" priority="185" equalAverage="0" operator="greaterThan" aboveAverage="0" dxfId="8" text="" percent="0" bottom="0">
      <formula>0</formula>
    </cfRule>
  </conditionalFormatting>
  <conditionalFormatting sqref="G68">
    <cfRule type="cellIs" rank="0" priority="186" equalAverage="0" operator="greaterThan" aboveAverage="0" dxfId="8" text="" percent="0" bottom="0">
      <formula>0</formula>
    </cfRule>
  </conditionalFormatting>
  <conditionalFormatting sqref="H68">
    <cfRule type="cellIs" rank="0" priority="187" equalAverage="0" operator="greaterThan" aboveAverage="0" dxfId="8" text="" percent="0" bottom="0">
      <formula>0</formula>
    </cfRule>
  </conditionalFormatting>
  <conditionalFormatting sqref="C69">
    <cfRule type="cellIs" rank="0" priority="188" equalAverage="0" operator="greaterThan" aboveAverage="0" dxfId="8" text="" percent="0" bottom="0">
      <formula>0</formula>
    </cfRule>
  </conditionalFormatting>
  <conditionalFormatting sqref="G69">
    <cfRule type="cellIs" rank="0" priority="189" equalAverage="0" operator="greaterThan" aboveAverage="0" dxfId="8" text="" percent="0" bottom="0">
      <formula>0</formula>
    </cfRule>
  </conditionalFormatting>
  <conditionalFormatting sqref="H69">
    <cfRule type="cellIs" rank="0" priority="190" equalAverage="0" operator="greaterThan" aboveAverage="0" dxfId="8" text="" percent="0" bottom="0">
      <formula>0</formula>
    </cfRule>
  </conditionalFormatting>
  <conditionalFormatting sqref="C70">
    <cfRule type="cellIs" rank="0" priority="191" equalAverage="0" operator="greaterThan" aboveAverage="0" dxfId="8" text="" percent="0" bottom="0">
      <formula>0</formula>
    </cfRule>
  </conditionalFormatting>
  <conditionalFormatting sqref="G70">
    <cfRule type="cellIs" rank="0" priority="192" equalAverage="0" operator="greaterThan" aboveAverage="0" dxfId="8" text="" percent="0" bottom="0">
      <formula>0</formula>
    </cfRule>
  </conditionalFormatting>
  <conditionalFormatting sqref="H70">
    <cfRule type="cellIs" rank="0" priority="193" equalAverage="0" operator="greaterThan" aboveAverage="0" dxfId="8" text="" percent="0" bottom="0">
      <formula>0</formula>
    </cfRule>
  </conditionalFormatting>
  <conditionalFormatting sqref="C71">
    <cfRule type="cellIs" rank="0" priority="194" equalAverage="0" operator="greaterThan" aboveAverage="0" dxfId="8" text="" percent="0" bottom="0">
      <formula>0</formula>
    </cfRule>
  </conditionalFormatting>
  <conditionalFormatting sqref="G71">
    <cfRule type="cellIs" rank="0" priority="195" equalAverage="0" operator="greaterThan" aboveAverage="0" dxfId="8" text="" percent="0" bottom="0">
      <formula>0</formula>
    </cfRule>
  </conditionalFormatting>
  <conditionalFormatting sqref="H71">
    <cfRule type="cellIs" rank="0" priority="196" equalAverage="0" operator="greaterThan" aboveAverage="0" dxfId="8" text="" percent="0" bottom="0">
      <formula>0</formula>
    </cfRule>
  </conditionalFormatting>
  <conditionalFormatting sqref="C72">
    <cfRule type="cellIs" rank="0" priority="197" equalAverage="0" operator="greaterThan" aboveAverage="0" dxfId="8" text="" percent="0" bottom="0">
      <formula>0</formula>
    </cfRule>
  </conditionalFormatting>
  <conditionalFormatting sqref="G72">
    <cfRule type="cellIs" rank="0" priority="198" equalAverage="0" operator="greaterThan" aboveAverage="0" dxfId="8" text="" percent="0" bottom="0">
      <formula>0</formula>
    </cfRule>
  </conditionalFormatting>
  <conditionalFormatting sqref="H72">
    <cfRule type="cellIs" rank="0" priority="199" equalAverage="0" operator="greaterThan" aboveAverage="0" dxfId="8" text="" percent="0" bottom="0">
      <formula>0</formula>
    </cfRule>
  </conditionalFormatting>
  <conditionalFormatting sqref="C73">
    <cfRule type="cellIs" rank="0" priority="200" equalAverage="0" operator="greaterThan" aboveAverage="0" dxfId="8" text="" percent="0" bottom="0">
      <formula>0</formula>
    </cfRule>
  </conditionalFormatting>
  <conditionalFormatting sqref="G73">
    <cfRule type="cellIs" rank="0" priority="201" equalAverage="0" operator="greaterThan" aboveAverage="0" dxfId="8" text="" percent="0" bottom="0">
      <formula>0</formula>
    </cfRule>
  </conditionalFormatting>
  <conditionalFormatting sqref="H73">
    <cfRule type="cellIs" rank="0" priority="202" equalAverage="0" operator="greaterThan" aboveAverage="0" dxfId="8" text="" percent="0" bottom="0">
      <formula>0</formula>
    </cfRule>
  </conditionalFormatting>
  <conditionalFormatting sqref="C74">
    <cfRule type="cellIs" rank="0" priority="203" equalAverage="0" operator="greaterThan" aboveAverage="0" dxfId="8" text="" percent="0" bottom="0">
      <formula>0</formula>
    </cfRule>
  </conditionalFormatting>
  <conditionalFormatting sqref="G74">
    <cfRule type="cellIs" rank="0" priority="204" equalAverage="0" operator="greaterThan" aboveAverage="0" dxfId="8" text="" percent="0" bottom="0">
      <formula>0</formula>
    </cfRule>
  </conditionalFormatting>
  <conditionalFormatting sqref="H74">
    <cfRule type="cellIs" rank="0" priority="205" equalAverage="0" operator="greaterThan" aboveAverage="0" dxfId="8" text="" percent="0" bottom="0">
      <formula>0</formula>
    </cfRule>
  </conditionalFormatting>
  <conditionalFormatting sqref="C75">
    <cfRule type="cellIs" rank="0" priority="206" equalAverage="0" operator="greaterThan" aboveAverage="0" dxfId="8" text="" percent="0" bottom="0">
      <formula>0</formula>
    </cfRule>
  </conditionalFormatting>
  <conditionalFormatting sqref="G75">
    <cfRule type="cellIs" rank="0" priority="207" equalAverage="0" operator="greaterThan" aboveAverage="0" dxfId="8" text="" percent="0" bottom="0">
      <formula>0</formula>
    </cfRule>
  </conditionalFormatting>
  <conditionalFormatting sqref="H75">
    <cfRule type="cellIs" rank="0" priority="208" equalAverage="0" operator="greaterThan" aboveAverage="0" dxfId="8" text="" percent="0" bottom="0">
      <formula>0</formula>
    </cfRule>
  </conditionalFormatting>
  <conditionalFormatting sqref="C76">
    <cfRule type="cellIs" rank="0" priority="209" equalAverage="0" operator="greaterThan" aboveAverage="0" dxfId="8" text="" percent="0" bottom="0">
      <formula>0</formula>
    </cfRule>
  </conditionalFormatting>
  <conditionalFormatting sqref="G76">
    <cfRule type="cellIs" rank="0" priority="210" equalAverage="0" operator="greaterThan" aboveAverage="0" dxfId="8" text="" percent="0" bottom="0">
      <formula>0</formula>
    </cfRule>
  </conditionalFormatting>
  <conditionalFormatting sqref="H76">
    <cfRule type="cellIs" rank="0" priority="211" equalAverage="0" operator="greaterThan" aboveAverage="0" dxfId="8" text="" percent="0" bottom="0">
      <formula>0</formula>
    </cfRule>
  </conditionalFormatting>
  <conditionalFormatting sqref="C77">
    <cfRule type="cellIs" rank="0" priority="212" equalAverage="0" operator="greaterThan" aboveAverage="0" dxfId="8" text="" percent="0" bottom="0">
      <formula>0</formula>
    </cfRule>
  </conditionalFormatting>
  <conditionalFormatting sqref="G77">
    <cfRule type="cellIs" rank="0" priority="213" equalAverage="0" operator="greaterThan" aboveAverage="0" dxfId="8" text="" percent="0" bottom="0">
      <formula>0</formula>
    </cfRule>
  </conditionalFormatting>
  <conditionalFormatting sqref="H77">
    <cfRule type="cellIs" rank="0" priority="214" equalAverage="0" operator="greaterThan" aboveAverage="0" dxfId="8" text="" percent="0" bottom="0">
      <formula>0</formula>
    </cfRule>
  </conditionalFormatting>
  <conditionalFormatting sqref="C78">
    <cfRule type="cellIs" rank="0" priority="215" equalAverage="0" operator="greaterThan" aboveAverage="0" dxfId="8" text="" percent="0" bottom="0">
      <formula>0</formula>
    </cfRule>
  </conditionalFormatting>
  <conditionalFormatting sqref="G78">
    <cfRule type="cellIs" rank="0" priority="216" equalAverage="0" operator="greaterThan" aboveAverage="0" dxfId="8" text="" percent="0" bottom="0">
      <formula>0</formula>
    </cfRule>
  </conditionalFormatting>
  <conditionalFormatting sqref="H78">
    <cfRule type="cellIs" rank="0" priority="217" equalAverage="0" operator="greaterThan" aboveAverage="0" dxfId="8" text="" percent="0" bottom="0">
      <formula>0</formula>
    </cfRule>
  </conditionalFormatting>
  <conditionalFormatting sqref="C79">
    <cfRule type="cellIs" rank="0" priority="218" equalAverage="0" operator="greaterThan" aboveAverage="0" dxfId="8" text="" percent="0" bottom="0">
      <formula>0</formula>
    </cfRule>
  </conditionalFormatting>
  <conditionalFormatting sqref="G79">
    <cfRule type="cellIs" rank="0" priority="219" equalAverage="0" operator="greaterThan" aboveAverage="0" dxfId="8" text="" percent="0" bottom="0">
      <formula>0</formula>
    </cfRule>
  </conditionalFormatting>
  <conditionalFormatting sqref="H79">
    <cfRule type="cellIs" rank="0" priority="220" equalAverage="0" operator="greaterThan" aboveAverage="0" dxfId="8" text="" percent="0" bottom="0">
      <formula>0</formula>
    </cfRule>
  </conditionalFormatting>
  <conditionalFormatting sqref="C80">
    <cfRule type="cellIs" rank="0" priority="221" equalAverage="0" operator="greaterThan" aboveAverage="0" dxfId="8" text="" percent="0" bottom="0">
      <formula>0</formula>
    </cfRule>
  </conditionalFormatting>
  <conditionalFormatting sqref="G80">
    <cfRule type="cellIs" rank="0" priority="222" equalAverage="0" operator="greaterThan" aboveAverage="0" dxfId="8" text="" percent="0" bottom="0">
      <formula>0</formula>
    </cfRule>
  </conditionalFormatting>
  <conditionalFormatting sqref="H80">
    <cfRule type="cellIs" rank="0" priority="223" equalAverage="0" operator="greaterThan" aboveAverage="0" dxfId="8" text="" percent="0" bottom="0">
      <formula>0</formula>
    </cfRule>
  </conditionalFormatting>
  <conditionalFormatting sqref="C81">
    <cfRule type="cellIs" rank="0" priority="224" equalAverage="0" operator="greaterThan" aboveAverage="0" dxfId="8" text="" percent="0" bottom="0">
      <formula>0</formula>
    </cfRule>
  </conditionalFormatting>
  <conditionalFormatting sqref="G81">
    <cfRule type="cellIs" rank="0" priority="225" equalAverage="0" operator="greaterThan" aboveAverage="0" dxfId="8" text="" percent="0" bottom="0">
      <formula>0</formula>
    </cfRule>
  </conditionalFormatting>
  <conditionalFormatting sqref="H81">
    <cfRule type="cellIs" rank="0" priority="226" equalAverage="0" operator="greaterThan" aboveAverage="0" dxfId="8" text="" percent="0" bottom="0">
      <formula>0</formula>
    </cfRule>
  </conditionalFormatting>
  <conditionalFormatting sqref="C82">
    <cfRule type="cellIs" rank="0" priority="227" equalAverage="0" operator="greaterThan" aboveAverage="0" dxfId="8" text="" percent="0" bottom="0">
      <formula>0</formula>
    </cfRule>
  </conditionalFormatting>
  <conditionalFormatting sqref="G82">
    <cfRule type="cellIs" rank="0" priority="228" equalAverage="0" operator="greaterThan" aboveAverage="0" dxfId="8" text="" percent="0" bottom="0">
      <formula>0</formula>
    </cfRule>
  </conditionalFormatting>
  <conditionalFormatting sqref="H82">
    <cfRule type="cellIs" rank="0" priority="229" equalAverage="0" operator="greaterThan" aboveAverage="0" dxfId="8" text="" percent="0" bottom="0">
      <formula>0</formula>
    </cfRule>
  </conditionalFormatting>
  <conditionalFormatting sqref="C83">
    <cfRule type="cellIs" rank="0" priority="230" equalAverage="0" operator="greaterThan" aboveAverage="0" dxfId="8" text="" percent="0" bottom="0">
      <formula>0</formula>
    </cfRule>
  </conditionalFormatting>
  <conditionalFormatting sqref="G83">
    <cfRule type="cellIs" rank="0" priority="231" equalAverage="0" operator="greaterThan" aboveAverage="0" dxfId="8" text="" percent="0" bottom="0">
      <formula>0</formula>
    </cfRule>
  </conditionalFormatting>
  <conditionalFormatting sqref="H83">
    <cfRule type="cellIs" rank="0" priority="232" equalAverage="0" operator="greaterThan" aboveAverage="0" dxfId="8" text="" percent="0" bottom="0">
      <formula>0</formula>
    </cfRule>
  </conditionalFormatting>
  <conditionalFormatting sqref="C84">
    <cfRule type="cellIs" rank="0" priority="233" equalAverage="0" operator="greaterThan" aboveAverage="0" dxfId="8" text="" percent="0" bottom="0">
      <formula>0</formula>
    </cfRule>
  </conditionalFormatting>
  <conditionalFormatting sqref="G84">
    <cfRule type="cellIs" rank="0" priority="234" equalAverage="0" operator="greaterThan" aboveAverage="0" dxfId="8" text="" percent="0" bottom="0">
      <formula>0</formula>
    </cfRule>
  </conditionalFormatting>
  <conditionalFormatting sqref="H84">
    <cfRule type="cellIs" rank="0" priority="235" equalAverage="0" operator="greaterThan" aboveAverage="0" dxfId="8" text="" percent="0" bottom="0">
      <formula>0</formula>
    </cfRule>
  </conditionalFormatting>
  <conditionalFormatting sqref="C85">
    <cfRule type="cellIs" rank="0" priority="236" equalAverage="0" operator="greaterThan" aboveAverage="0" dxfId="8" text="" percent="0" bottom="0">
      <formula>0</formula>
    </cfRule>
  </conditionalFormatting>
  <conditionalFormatting sqref="G85">
    <cfRule type="cellIs" rank="0" priority="237" equalAverage="0" operator="greaterThan" aboveAverage="0" dxfId="8" text="" percent="0" bottom="0">
      <formula>0</formula>
    </cfRule>
  </conditionalFormatting>
  <conditionalFormatting sqref="H85">
    <cfRule type="cellIs" rank="0" priority="238" equalAverage="0" operator="greaterThan" aboveAverage="0" dxfId="8" text="" percent="0" bottom="0">
      <formula>0</formula>
    </cfRule>
  </conditionalFormatting>
  <conditionalFormatting sqref="C86">
    <cfRule type="cellIs" rank="0" priority="239" equalAverage="0" operator="greaterThan" aboveAverage="0" dxfId="8" text="" percent="0" bottom="0">
      <formula>0</formula>
    </cfRule>
  </conditionalFormatting>
  <conditionalFormatting sqref="G86">
    <cfRule type="cellIs" rank="0" priority="240" equalAverage="0" operator="greaterThan" aboveAverage="0" dxfId="8" text="" percent="0" bottom="0">
      <formula>0</formula>
    </cfRule>
  </conditionalFormatting>
  <conditionalFormatting sqref="H86">
    <cfRule type="cellIs" rank="0" priority="241" equalAverage="0" operator="greaterThan" aboveAverage="0" dxfId="8" text="" percent="0" bottom="0">
      <formula>0</formula>
    </cfRule>
  </conditionalFormatting>
  <conditionalFormatting sqref="C87">
    <cfRule type="cellIs" rank="0" priority="242" equalAverage="0" operator="greaterThan" aboveAverage="0" dxfId="8" text="" percent="0" bottom="0">
      <formula>0</formula>
    </cfRule>
  </conditionalFormatting>
  <conditionalFormatting sqref="G87">
    <cfRule type="cellIs" rank="0" priority="243" equalAverage="0" operator="greaterThan" aboveAverage="0" dxfId="8" text="" percent="0" bottom="0">
      <formula>0</formula>
    </cfRule>
  </conditionalFormatting>
  <conditionalFormatting sqref="H87">
    <cfRule type="cellIs" rank="0" priority="244" equalAverage="0" operator="greaterThan" aboveAverage="0" dxfId="8" text="" percent="0" bottom="0">
      <formula>0</formula>
    </cfRule>
  </conditionalFormatting>
  <conditionalFormatting sqref="C88">
    <cfRule type="cellIs" rank="0" priority="245" equalAverage="0" operator="greaterThan" aboveAverage="0" dxfId="8" text="" percent="0" bottom="0">
      <formula>0</formula>
    </cfRule>
  </conditionalFormatting>
  <conditionalFormatting sqref="G88">
    <cfRule type="cellIs" rank="0" priority="246" equalAverage="0" operator="greaterThan" aboveAverage="0" dxfId="8" text="" percent="0" bottom="0">
      <formula>0</formula>
    </cfRule>
  </conditionalFormatting>
  <conditionalFormatting sqref="H88">
    <cfRule type="cellIs" rank="0" priority="247" equalAverage="0" operator="greaterThan" aboveAverage="0" dxfId="8" text="" percent="0" bottom="0">
      <formula>0</formula>
    </cfRule>
  </conditionalFormatting>
  <conditionalFormatting sqref="C89">
    <cfRule type="cellIs" rank="0" priority="248" equalAverage="0" operator="greaterThan" aboveAverage="0" dxfId="8" text="" percent="0" bottom="0">
      <formula>0</formula>
    </cfRule>
  </conditionalFormatting>
  <conditionalFormatting sqref="G89">
    <cfRule type="cellIs" rank="0" priority="249" equalAverage="0" operator="greaterThan" aboveAverage="0" dxfId="8" text="" percent="0" bottom="0">
      <formula>0</formula>
    </cfRule>
  </conditionalFormatting>
  <conditionalFormatting sqref="H89">
    <cfRule type="cellIs" rank="0" priority="250" equalAverage="0" operator="greaterThan" aboveAverage="0" dxfId="8" text="" percent="0" bottom="0">
      <formula>0</formula>
    </cfRule>
  </conditionalFormatting>
  <conditionalFormatting sqref="C90">
    <cfRule type="cellIs" rank="0" priority="251" equalAverage="0" operator="greaterThan" aboveAverage="0" dxfId="8" text="" percent="0" bottom="0">
      <formula>0</formula>
    </cfRule>
  </conditionalFormatting>
  <conditionalFormatting sqref="G90">
    <cfRule type="cellIs" rank="0" priority="252" equalAverage="0" operator="greaterThan" aboveAverage="0" dxfId="8" text="" percent="0" bottom="0">
      <formula>0</formula>
    </cfRule>
  </conditionalFormatting>
  <conditionalFormatting sqref="H90">
    <cfRule type="cellIs" rank="0" priority="253" equalAverage="0" operator="greaterThan" aboveAverage="0" dxfId="8" text="" percent="0" bottom="0">
      <formula>0</formula>
    </cfRule>
  </conditionalFormatting>
  <conditionalFormatting sqref="C91">
    <cfRule type="cellIs" rank="0" priority="254" equalAverage="0" operator="greaterThan" aboveAverage="0" dxfId="8" text="" percent="0" bottom="0">
      <formula>0</formula>
    </cfRule>
  </conditionalFormatting>
  <conditionalFormatting sqref="G91">
    <cfRule type="cellIs" rank="0" priority="255" equalAverage="0" operator="greaterThan" aboveAverage="0" dxfId="8" text="" percent="0" bottom="0">
      <formula>0</formula>
    </cfRule>
  </conditionalFormatting>
  <conditionalFormatting sqref="H91">
    <cfRule type="cellIs" rank="0" priority="256" equalAverage="0" operator="greaterThan" aboveAverage="0" dxfId="8" text="" percent="0" bottom="0">
      <formula>0</formula>
    </cfRule>
  </conditionalFormatting>
  <conditionalFormatting sqref="C92">
    <cfRule type="cellIs" rank="0" priority="257" equalAverage="0" operator="greaterThan" aboveAverage="0" dxfId="8" text="" percent="0" bottom="0">
      <formula>0</formula>
    </cfRule>
  </conditionalFormatting>
  <conditionalFormatting sqref="G92">
    <cfRule type="cellIs" rank="0" priority="258" equalAverage="0" operator="greaterThan" aboveAverage="0" dxfId="8" text="" percent="0" bottom="0">
      <formula>0</formula>
    </cfRule>
  </conditionalFormatting>
  <conditionalFormatting sqref="H92">
    <cfRule type="cellIs" rank="0" priority="259" equalAverage="0" operator="greaterThan" aboveAverage="0" dxfId="8" text="" percent="0" bottom="0">
      <formula>0</formula>
    </cfRule>
  </conditionalFormatting>
  <conditionalFormatting sqref="C93">
    <cfRule type="cellIs" rank="0" priority="260" equalAverage="0" operator="greaterThan" aboveAverage="0" dxfId="8" text="" percent="0" bottom="0">
      <formula>0</formula>
    </cfRule>
  </conditionalFormatting>
  <conditionalFormatting sqref="G93">
    <cfRule type="cellIs" rank="0" priority="261" equalAverage="0" operator="greaterThan" aboveAverage="0" dxfId="8" text="" percent="0" bottom="0">
      <formula>0</formula>
    </cfRule>
  </conditionalFormatting>
  <conditionalFormatting sqref="H93">
    <cfRule type="cellIs" rank="0" priority="262" equalAverage="0" operator="greaterThan" aboveAverage="0" dxfId="8" text="" percent="0" bottom="0">
      <formula>0</formula>
    </cfRule>
  </conditionalFormatting>
  <conditionalFormatting sqref="C94">
    <cfRule type="cellIs" rank="0" priority="263" equalAverage="0" operator="greaterThan" aboveAverage="0" dxfId="8" text="" percent="0" bottom="0">
      <formula>0</formula>
    </cfRule>
  </conditionalFormatting>
  <conditionalFormatting sqref="G94">
    <cfRule type="cellIs" rank="0" priority="264" equalAverage="0" operator="greaterThan" aboveAverage="0" dxfId="8" text="" percent="0" bottom="0">
      <formula>0</formula>
    </cfRule>
  </conditionalFormatting>
  <conditionalFormatting sqref="H94">
    <cfRule type="cellIs" rank="0" priority="265" equalAverage="0" operator="greaterThan" aboveAverage="0" dxfId="8" text="" percent="0" bottom="0">
      <formula>0</formula>
    </cfRule>
  </conditionalFormatting>
  <conditionalFormatting sqref="C95">
    <cfRule type="cellIs" rank="0" priority="266" equalAverage="0" operator="greaterThan" aboveAverage="0" dxfId="8" text="" percent="0" bottom="0">
      <formula>0</formula>
    </cfRule>
  </conditionalFormatting>
  <conditionalFormatting sqref="G95">
    <cfRule type="cellIs" rank="0" priority="267" equalAverage="0" operator="greaterThan" aboveAverage="0" dxfId="8" text="" percent="0" bottom="0">
      <formula>0</formula>
    </cfRule>
  </conditionalFormatting>
  <conditionalFormatting sqref="H95">
    <cfRule type="cellIs" rank="0" priority="268" equalAverage="0" operator="greaterThan" aboveAverage="0" dxfId="8" text="" percent="0" bottom="0">
      <formula>0</formula>
    </cfRule>
  </conditionalFormatting>
  <conditionalFormatting sqref="C96">
    <cfRule type="cellIs" rank="0" priority="269" equalAverage="0" operator="greaterThan" aboveAverage="0" dxfId="8" text="" percent="0" bottom="0">
      <formula>0</formula>
    </cfRule>
  </conditionalFormatting>
  <conditionalFormatting sqref="G96">
    <cfRule type="cellIs" rank="0" priority="270" equalAverage="0" operator="greaterThan" aboveAverage="0" dxfId="8" text="" percent="0" bottom="0">
      <formula>0</formula>
    </cfRule>
  </conditionalFormatting>
  <conditionalFormatting sqref="H96">
    <cfRule type="cellIs" rank="0" priority="271" equalAverage="0" operator="greaterThan" aboveAverage="0" dxfId="8" text="" percent="0" bottom="0">
      <formula>0</formula>
    </cfRule>
  </conditionalFormatting>
  <conditionalFormatting sqref="C97">
    <cfRule type="cellIs" rank="0" priority="272" equalAverage="0" operator="greaterThan" aboveAverage="0" dxfId="8" text="" percent="0" bottom="0">
      <formula>0</formula>
    </cfRule>
  </conditionalFormatting>
  <conditionalFormatting sqref="G97">
    <cfRule type="cellIs" rank="0" priority="273" equalAverage="0" operator="greaterThan" aboveAverage="0" dxfId="8" text="" percent="0" bottom="0">
      <formula>0</formula>
    </cfRule>
  </conditionalFormatting>
  <conditionalFormatting sqref="H97">
    <cfRule type="cellIs" rank="0" priority="274" equalAverage="0" operator="greaterThan" aboveAverage="0" dxfId="8" text="" percent="0" bottom="0">
      <formula>0</formula>
    </cfRule>
  </conditionalFormatting>
  <conditionalFormatting sqref="C98">
    <cfRule type="cellIs" rank="0" priority="275" equalAverage="0" operator="greaterThan" aboveAverage="0" dxfId="8" text="" percent="0" bottom="0">
      <formula>0</formula>
    </cfRule>
  </conditionalFormatting>
  <conditionalFormatting sqref="G98">
    <cfRule type="cellIs" rank="0" priority="276" equalAverage="0" operator="greaterThan" aboveAverage="0" dxfId="8" text="" percent="0" bottom="0">
      <formula>0</formula>
    </cfRule>
  </conditionalFormatting>
  <conditionalFormatting sqref="H98">
    <cfRule type="cellIs" rank="0" priority="277" equalAverage="0" operator="greaterThan" aboveAverage="0" dxfId="8" text="" percent="0" bottom="0">
      <formula>0</formula>
    </cfRule>
  </conditionalFormatting>
  <conditionalFormatting sqref="C99">
    <cfRule type="cellIs" rank="0" priority="278" equalAverage="0" operator="greaterThan" aboveAverage="0" dxfId="8" text="" percent="0" bottom="0">
      <formula>0</formula>
    </cfRule>
  </conditionalFormatting>
  <conditionalFormatting sqref="G99">
    <cfRule type="cellIs" rank="0" priority="279" equalAverage="0" operator="greaterThan" aboveAverage="0" dxfId="8" text="" percent="0" bottom="0">
      <formula>0</formula>
    </cfRule>
  </conditionalFormatting>
  <conditionalFormatting sqref="H99">
    <cfRule type="cellIs" rank="0" priority="280" equalAverage="0" operator="greaterThan" aboveAverage="0" dxfId="8" text="" percent="0" bottom="0">
      <formula>0</formula>
    </cfRule>
  </conditionalFormatting>
  <conditionalFormatting sqref="C100">
    <cfRule type="cellIs" rank="0" priority="281" equalAverage="0" operator="greaterThan" aboveAverage="0" dxfId="8" text="" percent="0" bottom="0">
      <formula>0</formula>
    </cfRule>
  </conditionalFormatting>
  <conditionalFormatting sqref="G100">
    <cfRule type="cellIs" rank="0" priority="282" equalAverage="0" operator="greaterThan" aboveAverage="0" dxfId="8" text="" percent="0" bottom="0">
      <formula>0</formula>
    </cfRule>
  </conditionalFormatting>
  <conditionalFormatting sqref="H100">
    <cfRule type="cellIs" rank="0" priority="283" equalAverage="0" operator="greaterThan" aboveAverage="0" dxfId="8" text="" percent="0" bottom="0">
      <formula>0</formula>
    </cfRule>
  </conditionalFormatting>
  <conditionalFormatting sqref="C101">
    <cfRule type="cellIs" rank="0" priority="284" equalAverage="0" operator="greaterThan" aboveAverage="0" dxfId="8" text="" percent="0" bottom="0">
      <formula>0</formula>
    </cfRule>
  </conditionalFormatting>
  <conditionalFormatting sqref="G101">
    <cfRule type="cellIs" rank="0" priority="285" equalAverage="0" operator="greaterThan" aboveAverage="0" dxfId="8" text="" percent="0" bottom="0">
      <formula>0</formula>
    </cfRule>
  </conditionalFormatting>
  <conditionalFormatting sqref="H101">
    <cfRule type="cellIs" rank="0" priority="286" equalAverage="0" operator="greaterThan" aboveAverage="0" dxfId="8" text="" percent="0" bottom="0">
      <formula>0</formula>
    </cfRule>
  </conditionalFormatting>
  <conditionalFormatting sqref="C102">
    <cfRule type="cellIs" rank="0" priority="287" equalAverage="0" operator="greaterThan" aboveAverage="0" dxfId="8" text="" percent="0" bottom="0">
      <formula>0</formula>
    </cfRule>
  </conditionalFormatting>
  <conditionalFormatting sqref="G102">
    <cfRule type="cellIs" rank="0" priority="288" equalAverage="0" operator="greaterThan" aboveAverage="0" dxfId="8" text="" percent="0" bottom="0">
      <formula>0</formula>
    </cfRule>
  </conditionalFormatting>
  <conditionalFormatting sqref="H102">
    <cfRule type="cellIs" rank="0" priority="289" equalAverage="0" operator="greaterThan" aboveAverage="0" dxfId="8" text="" percent="0" bottom="0">
      <formula>0</formula>
    </cfRule>
  </conditionalFormatting>
  <conditionalFormatting sqref="C103">
    <cfRule type="cellIs" rank="0" priority="290" equalAverage="0" operator="greaterThan" aboveAverage="0" dxfId="8" text="" percent="0" bottom="0">
      <formula>0</formula>
    </cfRule>
  </conditionalFormatting>
  <conditionalFormatting sqref="G103">
    <cfRule type="cellIs" rank="0" priority="291" equalAverage="0" operator="greaterThan" aboveAverage="0" dxfId="8" text="" percent="0" bottom="0">
      <formula>0</formula>
    </cfRule>
  </conditionalFormatting>
  <conditionalFormatting sqref="H103">
    <cfRule type="cellIs" rank="0" priority="292" equalAverage="0" operator="greaterThan" aboveAverage="0" dxfId="8" text="" percent="0" bottom="0">
      <formula>0</formula>
    </cfRule>
  </conditionalFormatting>
  <conditionalFormatting sqref="C104">
    <cfRule type="cellIs" rank="0" priority="293" equalAverage="0" operator="greaterThan" aboveAverage="0" dxfId="8" text="" percent="0" bottom="0">
      <formula>0</formula>
    </cfRule>
  </conditionalFormatting>
  <conditionalFormatting sqref="G104">
    <cfRule type="cellIs" rank="0" priority="294" equalAverage="0" operator="greaterThan" aboveAverage="0" dxfId="8" text="" percent="0" bottom="0">
      <formula>0</formula>
    </cfRule>
  </conditionalFormatting>
  <conditionalFormatting sqref="H104">
    <cfRule type="cellIs" rank="0" priority="295" equalAverage="0" operator="greaterThan" aboveAverage="0" dxfId="8" text="" percent="0" bottom="0">
      <formula>0</formula>
    </cfRule>
  </conditionalFormatting>
  <conditionalFormatting sqref="C105">
    <cfRule type="cellIs" rank="0" priority="296" equalAverage="0" operator="greaterThan" aboveAverage="0" dxfId="8" text="" percent="0" bottom="0">
      <formula>0</formula>
    </cfRule>
  </conditionalFormatting>
  <conditionalFormatting sqref="G105">
    <cfRule type="cellIs" rank="0" priority="297" equalAverage="0" operator="greaterThan" aboveAverage="0" dxfId="8" text="" percent="0" bottom="0">
      <formula>0</formula>
    </cfRule>
  </conditionalFormatting>
  <conditionalFormatting sqref="H105">
    <cfRule type="cellIs" rank="0" priority="298" equalAverage="0" operator="greaterThan" aboveAverage="0" dxfId="8" text="" percent="0" bottom="0">
      <formula>0</formula>
    </cfRule>
  </conditionalFormatting>
  <conditionalFormatting sqref="C106">
    <cfRule type="cellIs" rank="0" priority="299" equalAverage="0" operator="greaterThan" aboveAverage="0" dxfId="8" text="" percent="0" bottom="0">
      <formula>0</formula>
    </cfRule>
  </conditionalFormatting>
  <conditionalFormatting sqref="G106">
    <cfRule type="cellIs" rank="0" priority="300" equalAverage="0" operator="greaterThan" aboveAverage="0" dxfId="8" text="" percent="0" bottom="0">
      <formula>0</formula>
    </cfRule>
  </conditionalFormatting>
  <conditionalFormatting sqref="H106">
    <cfRule type="cellIs" rank="0" priority="301" equalAverage="0" operator="greaterThan" aboveAverage="0" dxfId="8" text="" percent="0" bottom="0">
      <formula>0</formula>
    </cfRule>
  </conditionalFormatting>
  <conditionalFormatting sqref="C107">
    <cfRule type="cellIs" rank="0" priority="302" equalAverage="0" operator="greaterThan" aboveAverage="0" dxfId="8" text="" percent="0" bottom="0">
      <formula>0</formula>
    </cfRule>
  </conditionalFormatting>
  <conditionalFormatting sqref="G107">
    <cfRule type="cellIs" rank="0" priority="303" equalAverage="0" operator="greaterThan" aboveAverage="0" dxfId="8" text="" percent="0" bottom="0">
      <formula>0</formula>
    </cfRule>
  </conditionalFormatting>
  <conditionalFormatting sqref="H107">
    <cfRule type="cellIs" rank="0" priority="304" equalAverage="0" operator="greaterThan" aboveAverage="0" dxfId="8" text="" percent="0" bottom="0">
      <formula>0</formula>
    </cfRule>
  </conditionalFormatting>
  <conditionalFormatting sqref="C108">
    <cfRule type="cellIs" rank="0" priority="305" equalAverage="0" operator="greaterThan" aboveAverage="0" dxfId="8" text="" percent="0" bottom="0">
      <formula>0</formula>
    </cfRule>
  </conditionalFormatting>
  <conditionalFormatting sqref="G108">
    <cfRule type="cellIs" rank="0" priority="306" equalAverage="0" operator="greaterThan" aboveAverage="0" dxfId="8" text="" percent="0" bottom="0">
      <formula>0</formula>
    </cfRule>
  </conditionalFormatting>
  <conditionalFormatting sqref="H108">
    <cfRule type="cellIs" rank="0" priority="307" equalAverage="0" operator="greaterThan" aboveAverage="0" dxfId="8" text="" percent="0" bottom="0">
      <formula>0</formula>
    </cfRule>
  </conditionalFormatting>
  <conditionalFormatting sqref="C109">
    <cfRule type="cellIs" rank="0" priority="308" equalAverage="0" operator="greaterThan" aboveAverage="0" dxfId="8" text="" percent="0" bottom="0">
      <formula>0</formula>
    </cfRule>
  </conditionalFormatting>
  <conditionalFormatting sqref="G109">
    <cfRule type="cellIs" rank="0" priority="309" equalAverage="0" operator="greaterThan" aboveAverage="0" dxfId="8" text="" percent="0" bottom="0">
      <formula>0</formula>
    </cfRule>
  </conditionalFormatting>
  <conditionalFormatting sqref="H109">
    <cfRule type="cellIs" rank="0" priority="310" equalAverage="0" operator="greaterThan" aboveAverage="0" dxfId="8" text="" percent="0" bottom="0">
      <formula>0</formula>
    </cfRule>
  </conditionalFormatting>
  <conditionalFormatting sqref="C110">
    <cfRule type="cellIs" rank="0" priority="311" equalAverage="0" operator="greaterThan" aboveAverage="0" dxfId="8" text="" percent="0" bottom="0">
      <formula>0</formula>
    </cfRule>
  </conditionalFormatting>
  <conditionalFormatting sqref="G110">
    <cfRule type="cellIs" rank="0" priority="312" equalAverage="0" operator="greaterThan" aboveAverage="0" dxfId="8" text="" percent="0" bottom="0">
      <formula>0</formula>
    </cfRule>
  </conditionalFormatting>
  <conditionalFormatting sqref="H110">
    <cfRule type="cellIs" rank="0" priority="313" equalAverage="0" operator="greaterThan" aboveAverage="0" dxfId="8" text="" percent="0" bottom="0">
      <formula>0</formula>
    </cfRule>
  </conditionalFormatting>
  <conditionalFormatting sqref="C111">
    <cfRule type="cellIs" rank="0" priority="314" equalAverage="0" operator="greaterThan" aboveAverage="0" dxfId="8" text="" percent="0" bottom="0">
      <formula>0</formula>
    </cfRule>
  </conditionalFormatting>
  <conditionalFormatting sqref="G111">
    <cfRule type="cellIs" rank="0" priority="315" equalAverage="0" operator="greaterThan" aboveAverage="0" dxfId="8" text="" percent="0" bottom="0">
      <formula>0</formula>
    </cfRule>
  </conditionalFormatting>
  <conditionalFormatting sqref="H111">
    <cfRule type="cellIs" rank="0" priority="316" equalAverage="0" operator="greaterThan" aboveAverage="0" dxfId="8" text="" percent="0" bottom="0">
      <formula>0</formula>
    </cfRule>
  </conditionalFormatting>
  <conditionalFormatting sqref="C112">
    <cfRule type="cellIs" rank="0" priority="317" equalAverage="0" operator="greaterThan" aboveAverage="0" dxfId="8" text="" percent="0" bottom="0">
      <formula>0</formula>
    </cfRule>
  </conditionalFormatting>
  <conditionalFormatting sqref="G112">
    <cfRule type="cellIs" rank="0" priority="318" equalAverage="0" operator="greaterThan" aboveAverage="0" dxfId="8" text="" percent="0" bottom="0">
      <formula>0</formula>
    </cfRule>
  </conditionalFormatting>
  <conditionalFormatting sqref="H112">
    <cfRule type="cellIs" rank="0" priority="319" equalAverage="0" operator="greaterThan" aboveAverage="0" dxfId="8" text="" percent="0" bottom="0">
      <formula>0</formula>
    </cfRule>
  </conditionalFormatting>
  <conditionalFormatting sqref="C113">
    <cfRule type="cellIs" rank="0" priority="320" equalAverage="0" operator="greaterThan" aboveAverage="0" dxfId="8" text="" percent="0" bottom="0">
      <formula>0</formula>
    </cfRule>
  </conditionalFormatting>
  <conditionalFormatting sqref="G113">
    <cfRule type="cellIs" rank="0" priority="321" equalAverage="0" operator="greaterThan" aboveAverage="0" dxfId="8" text="" percent="0" bottom="0">
      <formula>0</formula>
    </cfRule>
  </conditionalFormatting>
  <conditionalFormatting sqref="H113">
    <cfRule type="cellIs" rank="0" priority="322" equalAverage="0" operator="greaterThan" aboveAverage="0" dxfId="8" text="" percent="0" bottom="0">
      <formula>0</formula>
    </cfRule>
  </conditionalFormatting>
  <conditionalFormatting sqref="C114">
    <cfRule type="cellIs" rank="0" priority="323" equalAverage="0" operator="greaterThan" aboveAverage="0" dxfId="8" text="" percent="0" bottom="0">
      <formula>0</formula>
    </cfRule>
  </conditionalFormatting>
  <conditionalFormatting sqref="G114">
    <cfRule type="cellIs" rank="0" priority="324" equalAverage="0" operator="greaterThan" aboveAverage="0" dxfId="8" text="" percent="0" bottom="0">
      <formula>0</formula>
    </cfRule>
  </conditionalFormatting>
  <conditionalFormatting sqref="H114">
    <cfRule type="cellIs" rank="0" priority="325" equalAverage="0" operator="greaterThan" aboveAverage="0" dxfId="8" text="" percent="0" bottom="0">
      <formula>0</formula>
    </cfRule>
  </conditionalFormatting>
  <conditionalFormatting sqref="C115">
    <cfRule type="cellIs" rank="0" priority="326" equalAverage="0" operator="greaterThan" aboveAverage="0" dxfId="8" text="" percent="0" bottom="0">
      <formula>0</formula>
    </cfRule>
  </conditionalFormatting>
  <conditionalFormatting sqref="G115">
    <cfRule type="cellIs" rank="0" priority="327" equalAverage="0" operator="greaterThan" aboveAverage="0" dxfId="8" text="" percent="0" bottom="0">
      <formula>0</formula>
    </cfRule>
  </conditionalFormatting>
  <conditionalFormatting sqref="H115">
    <cfRule type="cellIs" rank="0" priority="328" equalAverage="0" operator="greaterThan" aboveAverage="0" dxfId="8" text="" percent="0" bottom="0">
      <formula>0</formula>
    </cfRule>
  </conditionalFormatting>
  <conditionalFormatting sqref="C116">
    <cfRule type="cellIs" rank="0" priority="329" equalAverage="0" operator="greaterThan" aboveAverage="0" dxfId="8" text="" percent="0" bottom="0">
      <formula>0</formula>
    </cfRule>
  </conditionalFormatting>
  <conditionalFormatting sqref="G116">
    <cfRule type="cellIs" rank="0" priority="330" equalAverage="0" operator="greaterThan" aboveAverage="0" dxfId="8" text="" percent="0" bottom="0">
      <formula>0</formula>
    </cfRule>
  </conditionalFormatting>
  <conditionalFormatting sqref="H116">
    <cfRule type="cellIs" rank="0" priority="331" equalAverage="0" operator="greaterThan" aboveAverage="0" dxfId="8" text="" percent="0" bottom="0">
      <formula>0</formula>
    </cfRule>
  </conditionalFormatting>
  <conditionalFormatting sqref="C117">
    <cfRule type="cellIs" rank="0" priority="332" equalAverage="0" operator="greaterThan" aboveAverage="0" dxfId="8" text="" percent="0" bottom="0">
      <formula>0</formula>
    </cfRule>
  </conditionalFormatting>
  <conditionalFormatting sqref="G117">
    <cfRule type="cellIs" rank="0" priority="333" equalAverage="0" operator="greaterThan" aboveAverage="0" dxfId="8" text="" percent="0" bottom="0">
      <formula>0</formula>
    </cfRule>
  </conditionalFormatting>
  <conditionalFormatting sqref="H117">
    <cfRule type="cellIs" rank="0" priority="334" equalAverage="0" operator="greaterThan" aboveAverage="0" dxfId="8" text="" percent="0" bottom="0">
      <formula>0</formula>
    </cfRule>
  </conditionalFormatting>
  <conditionalFormatting sqref="C118">
    <cfRule type="cellIs" rank="0" priority="335" equalAverage="0" operator="greaterThan" aboveAverage="0" dxfId="8" text="" percent="0" bottom="0">
      <formula>0</formula>
    </cfRule>
  </conditionalFormatting>
  <conditionalFormatting sqref="G118">
    <cfRule type="cellIs" rank="0" priority="336" equalAverage="0" operator="greaterThan" aboveAverage="0" dxfId="8" text="" percent="0" bottom="0">
      <formula>0</formula>
    </cfRule>
  </conditionalFormatting>
  <conditionalFormatting sqref="H118">
    <cfRule type="cellIs" rank="0" priority="337" equalAverage="0" operator="greaterThan" aboveAverage="0" dxfId="8" text="" percent="0" bottom="0">
      <formula>0</formula>
    </cfRule>
  </conditionalFormatting>
  <conditionalFormatting sqref="C119">
    <cfRule type="cellIs" rank="0" priority="338" equalAverage="0" operator="greaterThan" aboveAverage="0" dxfId="8" text="" percent="0" bottom="0">
      <formula>0</formula>
    </cfRule>
  </conditionalFormatting>
  <conditionalFormatting sqref="G119">
    <cfRule type="cellIs" rank="0" priority="339" equalAverage="0" operator="greaterThan" aboveAverage="0" dxfId="8" text="" percent="0" bottom="0">
      <formula>0</formula>
    </cfRule>
  </conditionalFormatting>
  <conditionalFormatting sqref="H119">
    <cfRule type="cellIs" rank="0" priority="340" equalAverage="0" operator="greaterThan" aboveAverage="0" dxfId="8" text="" percent="0" bottom="0">
      <formula>0</formula>
    </cfRule>
  </conditionalFormatting>
  <conditionalFormatting sqref="C120">
    <cfRule type="cellIs" rank="0" priority="341" equalAverage="0" operator="greaterThan" aboveAverage="0" dxfId="8" text="" percent="0" bottom="0">
      <formula>0</formula>
    </cfRule>
  </conditionalFormatting>
  <conditionalFormatting sqref="G120">
    <cfRule type="cellIs" rank="0" priority="342" equalAverage="0" operator="greaterThan" aboveAverage="0" dxfId="8" text="" percent="0" bottom="0">
      <formula>0</formula>
    </cfRule>
  </conditionalFormatting>
  <conditionalFormatting sqref="H120">
    <cfRule type="cellIs" rank="0" priority="343" equalAverage="0" operator="greaterThan" aboveAverage="0" dxfId="8" text="" percent="0" bottom="0">
      <formula>0</formula>
    </cfRule>
  </conditionalFormatting>
  <conditionalFormatting sqref="C121">
    <cfRule type="cellIs" rank="0" priority="344" equalAverage="0" operator="greaterThan" aboveAverage="0" dxfId="8" text="" percent="0" bottom="0">
      <formula>0</formula>
    </cfRule>
  </conditionalFormatting>
  <conditionalFormatting sqref="G121">
    <cfRule type="cellIs" rank="0" priority="345" equalAverage="0" operator="greaterThan" aboveAverage="0" dxfId="8" text="" percent="0" bottom="0">
      <formula>0</formula>
    </cfRule>
  </conditionalFormatting>
  <conditionalFormatting sqref="H121">
    <cfRule type="cellIs" rank="0" priority="346" equalAverage="0" operator="greaterThan" aboveAverage="0" dxfId="8" text="" percent="0" bottom="0">
      <formula>0</formula>
    </cfRule>
  </conditionalFormatting>
  <conditionalFormatting sqref="C122">
    <cfRule type="cellIs" rank="0" priority="347" equalAverage="0" operator="greaterThan" aboveAverage="0" dxfId="8" text="" percent="0" bottom="0">
      <formula>0</formula>
    </cfRule>
  </conditionalFormatting>
  <conditionalFormatting sqref="G122">
    <cfRule type="cellIs" rank="0" priority="348" equalAverage="0" operator="greaterThan" aboveAverage="0" dxfId="8" text="" percent="0" bottom="0">
      <formula>0</formula>
    </cfRule>
  </conditionalFormatting>
  <conditionalFormatting sqref="H122">
    <cfRule type="cellIs" rank="0" priority="349" equalAverage="0" operator="greaterThan" aboveAverage="0" dxfId="8" text="" percent="0" bottom="0">
      <formula>0</formula>
    </cfRule>
  </conditionalFormatting>
  <conditionalFormatting sqref="C123">
    <cfRule type="cellIs" rank="0" priority="350" equalAverage="0" operator="greaterThan" aboveAverage="0" dxfId="8" text="" percent="0" bottom="0">
      <formula>0</formula>
    </cfRule>
  </conditionalFormatting>
  <conditionalFormatting sqref="G123">
    <cfRule type="cellIs" rank="0" priority="351" equalAverage="0" operator="greaterThan" aboveAverage="0" dxfId="8" text="" percent="0" bottom="0">
      <formula>0</formula>
    </cfRule>
  </conditionalFormatting>
  <conditionalFormatting sqref="H123">
    <cfRule type="cellIs" rank="0" priority="352" equalAverage="0" operator="greaterThan" aboveAverage="0" dxfId="8" text="" percent="0" bottom="0">
      <formula>0</formula>
    </cfRule>
  </conditionalFormatting>
  <conditionalFormatting sqref="C124">
    <cfRule type="cellIs" rank="0" priority="353" equalAverage="0" operator="greaterThan" aboveAverage="0" dxfId="8" text="" percent="0" bottom="0">
      <formula>0</formula>
    </cfRule>
  </conditionalFormatting>
  <conditionalFormatting sqref="G124">
    <cfRule type="cellIs" rank="0" priority="354" equalAverage="0" operator="greaterThan" aboveAverage="0" dxfId="8" text="" percent="0" bottom="0">
      <formula>0</formula>
    </cfRule>
  </conditionalFormatting>
  <conditionalFormatting sqref="H124">
    <cfRule type="cellIs" rank="0" priority="355" equalAverage="0" operator="greaterThan" aboveAverage="0" dxfId="8" text="" percent="0" bottom="0">
      <formula>0</formula>
    </cfRule>
  </conditionalFormatting>
  <conditionalFormatting sqref="C125">
    <cfRule type="cellIs" rank="0" priority="356" equalAverage="0" operator="greaterThan" aboveAverage="0" dxfId="8" text="" percent="0" bottom="0">
      <formula>0</formula>
    </cfRule>
  </conditionalFormatting>
  <conditionalFormatting sqref="G125">
    <cfRule type="cellIs" rank="0" priority="357" equalAverage="0" operator="greaterThan" aboveAverage="0" dxfId="8" text="" percent="0" bottom="0">
      <formula>0</formula>
    </cfRule>
  </conditionalFormatting>
  <conditionalFormatting sqref="H125">
    <cfRule type="cellIs" rank="0" priority="358" equalAverage="0" operator="greaterThan" aboveAverage="0" dxfId="8" text="" percent="0" bottom="0">
      <formula>0</formula>
    </cfRule>
  </conditionalFormatting>
  <conditionalFormatting sqref="C126">
    <cfRule type="cellIs" rank="0" priority="359" equalAverage="0" operator="greaterThan" aboveAverage="0" dxfId="8" text="" percent="0" bottom="0">
      <formula>0</formula>
    </cfRule>
  </conditionalFormatting>
  <conditionalFormatting sqref="G126">
    <cfRule type="cellIs" rank="0" priority="360" equalAverage="0" operator="greaterThan" aboveAverage="0" dxfId="8" text="" percent="0" bottom="0">
      <formula>0</formula>
    </cfRule>
  </conditionalFormatting>
  <conditionalFormatting sqref="H126">
    <cfRule type="cellIs" rank="0" priority="361" equalAverage="0" operator="greaterThan" aboveAverage="0" dxfId="8" text="" percent="0" bottom="0">
      <formula>0</formula>
    </cfRule>
  </conditionalFormatting>
  <conditionalFormatting sqref="C127">
    <cfRule type="cellIs" rank="0" priority="362" equalAverage="0" operator="greaterThan" aboveAverage="0" dxfId="8" text="" percent="0" bottom="0">
      <formula>0</formula>
    </cfRule>
  </conditionalFormatting>
  <conditionalFormatting sqref="G127">
    <cfRule type="cellIs" rank="0" priority="363" equalAverage="0" operator="greaterThan" aboveAverage="0" dxfId="8" text="" percent="0" bottom="0">
      <formula>0</formula>
    </cfRule>
  </conditionalFormatting>
  <conditionalFormatting sqref="H127">
    <cfRule type="cellIs" rank="0" priority="364" equalAverage="0" operator="greaterThan" aboveAverage="0" dxfId="8" text="" percent="0" bottom="0">
      <formula>0</formula>
    </cfRule>
  </conditionalFormatting>
  <conditionalFormatting sqref="C128">
    <cfRule type="cellIs" rank="0" priority="365" equalAverage="0" operator="greaterThan" aboveAverage="0" dxfId="8" text="" percent="0" bottom="0">
      <formula>0</formula>
    </cfRule>
  </conditionalFormatting>
  <conditionalFormatting sqref="G128">
    <cfRule type="cellIs" rank="0" priority="366" equalAverage="0" operator="greaterThan" aboveAverage="0" dxfId="8" text="" percent="0" bottom="0">
      <formula>0</formula>
    </cfRule>
  </conditionalFormatting>
  <conditionalFormatting sqref="H128">
    <cfRule type="cellIs" rank="0" priority="367" equalAverage="0" operator="greaterThan" aboveAverage="0" dxfId="8" text="" percent="0" bottom="0">
      <formula>0</formula>
    </cfRule>
  </conditionalFormatting>
  <conditionalFormatting sqref="C129">
    <cfRule type="cellIs" rank="0" priority="368" equalAverage="0" operator="greaterThan" aboveAverage="0" dxfId="8" text="" percent="0" bottom="0">
      <formula>0</formula>
    </cfRule>
  </conditionalFormatting>
  <conditionalFormatting sqref="G129">
    <cfRule type="cellIs" rank="0" priority="369" equalAverage="0" operator="greaterThan" aboveAverage="0" dxfId="8" text="" percent="0" bottom="0">
      <formula>0</formula>
    </cfRule>
  </conditionalFormatting>
  <conditionalFormatting sqref="H129">
    <cfRule type="cellIs" rank="0" priority="370" equalAverage="0" operator="greaterThan" aboveAverage="0" dxfId="8" text="" percent="0" bottom="0">
      <formula>0</formula>
    </cfRule>
  </conditionalFormatting>
  <conditionalFormatting sqref="C130">
    <cfRule type="cellIs" rank="0" priority="371" equalAverage="0" operator="greaterThan" aboveAverage="0" dxfId="8" text="" percent="0" bottom="0">
      <formula>0</formula>
    </cfRule>
  </conditionalFormatting>
  <conditionalFormatting sqref="G130">
    <cfRule type="cellIs" rank="0" priority="372" equalAverage="0" operator="greaterThan" aboveAverage="0" dxfId="8" text="" percent="0" bottom="0">
      <formula>0</formula>
    </cfRule>
  </conditionalFormatting>
  <conditionalFormatting sqref="H130">
    <cfRule type="cellIs" rank="0" priority="373" equalAverage="0" operator="greaterThan" aboveAverage="0" dxfId="8" text="" percent="0" bottom="0">
      <formula>0</formula>
    </cfRule>
  </conditionalFormatting>
  <conditionalFormatting sqref="C131">
    <cfRule type="cellIs" rank="0" priority="374" equalAverage="0" operator="greaterThan" aboveAverage="0" dxfId="8" text="" percent="0" bottom="0">
      <formula>0</formula>
    </cfRule>
  </conditionalFormatting>
  <conditionalFormatting sqref="G131">
    <cfRule type="cellIs" rank="0" priority="375" equalAverage="0" operator="greaterThan" aboveAverage="0" dxfId="8" text="" percent="0" bottom="0">
      <formula>0</formula>
    </cfRule>
  </conditionalFormatting>
  <conditionalFormatting sqref="H131">
    <cfRule type="cellIs" rank="0" priority="376" equalAverage="0" operator="greaterThan" aboveAverage="0" dxfId="8" text="" percent="0" bottom="0">
      <formula>0</formula>
    </cfRule>
  </conditionalFormatting>
  <conditionalFormatting sqref="C132">
    <cfRule type="cellIs" rank="0" priority="377" equalAverage="0" operator="greaterThan" aboveAverage="0" dxfId="8" text="" percent="0" bottom="0">
      <formula>0</formula>
    </cfRule>
  </conditionalFormatting>
  <conditionalFormatting sqref="G132">
    <cfRule type="cellIs" rank="0" priority="378" equalAverage="0" operator="greaterThan" aboveAverage="0" dxfId="8" text="" percent="0" bottom="0">
      <formula>0</formula>
    </cfRule>
  </conditionalFormatting>
  <conditionalFormatting sqref="H132">
    <cfRule type="cellIs" rank="0" priority="379" equalAverage="0" operator="greaterThan" aboveAverage="0" dxfId="8" text="" percent="0" bottom="0">
      <formula>0</formula>
    </cfRule>
  </conditionalFormatting>
  <conditionalFormatting sqref="C133">
    <cfRule type="cellIs" rank="0" priority="380" equalAverage="0" operator="greaterThan" aboveAverage="0" dxfId="8" text="" percent="0" bottom="0">
      <formula>0</formula>
    </cfRule>
  </conditionalFormatting>
  <conditionalFormatting sqref="G133">
    <cfRule type="cellIs" rank="0" priority="381" equalAverage="0" operator="greaterThan" aboveAverage="0" dxfId="8" text="" percent="0" bottom="0">
      <formula>0</formula>
    </cfRule>
  </conditionalFormatting>
  <conditionalFormatting sqref="H133">
    <cfRule type="cellIs" rank="0" priority="382" equalAverage="0" operator="greaterThan" aboveAverage="0" dxfId="8" text="" percent="0" bottom="0">
      <formula>0</formula>
    </cfRule>
  </conditionalFormatting>
  <conditionalFormatting sqref="C134">
    <cfRule type="cellIs" rank="0" priority="383" equalAverage="0" operator="greaterThan" aboveAverage="0" dxfId="8" text="" percent="0" bottom="0">
      <formula>0</formula>
    </cfRule>
  </conditionalFormatting>
  <conditionalFormatting sqref="G134">
    <cfRule type="cellIs" rank="0" priority="384" equalAverage="0" operator="greaterThan" aboveAverage="0" dxfId="8" text="" percent="0" bottom="0">
      <formula>0</formula>
    </cfRule>
  </conditionalFormatting>
  <conditionalFormatting sqref="H134">
    <cfRule type="cellIs" rank="0" priority="385" equalAverage="0" operator="greaterThan" aboveAverage="0" dxfId="8" text="" percent="0" bottom="0">
      <formula>0</formula>
    </cfRule>
  </conditionalFormatting>
  <conditionalFormatting sqref="C135">
    <cfRule type="cellIs" rank="0" priority="386" equalAverage="0" operator="greaterThan" aboveAverage="0" dxfId="8" text="" percent="0" bottom="0">
      <formula>0</formula>
    </cfRule>
  </conditionalFormatting>
  <conditionalFormatting sqref="G135">
    <cfRule type="cellIs" rank="0" priority="387" equalAverage="0" operator="greaterThan" aboveAverage="0" dxfId="8" text="" percent="0" bottom="0">
      <formula>0</formula>
    </cfRule>
  </conditionalFormatting>
  <conditionalFormatting sqref="H135">
    <cfRule type="cellIs" rank="0" priority="388" equalAverage="0" operator="greaterThan" aboveAverage="0" dxfId="8" text="" percent="0" bottom="0">
      <formula>0</formula>
    </cfRule>
  </conditionalFormatting>
  <conditionalFormatting sqref="C136">
    <cfRule type="cellIs" rank="0" priority="389" equalAverage="0" operator="greaterThan" aboveAverage="0" dxfId="8" text="" percent="0" bottom="0">
      <formula>0</formula>
    </cfRule>
  </conditionalFormatting>
  <conditionalFormatting sqref="G136">
    <cfRule type="cellIs" rank="0" priority="390" equalAverage="0" operator="greaterThan" aboveAverage="0" dxfId="8" text="" percent="0" bottom="0">
      <formula>0</formula>
    </cfRule>
  </conditionalFormatting>
  <conditionalFormatting sqref="H136">
    <cfRule type="cellIs" rank="0" priority="391" equalAverage="0" operator="greaterThan" aboveAverage="0" dxfId="8" text="" percent="0" bottom="0">
      <formula>0</formula>
    </cfRule>
  </conditionalFormatting>
  <conditionalFormatting sqref="C137">
    <cfRule type="cellIs" rank="0" priority="392" equalAverage="0" operator="greaterThan" aboveAverage="0" dxfId="8" text="" percent="0" bottom="0">
      <formula>0</formula>
    </cfRule>
  </conditionalFormatting>
  <conditionalFormatting sqref="G137">
    <cfRule type="cellIs" rank="0" priority="393" equalAverage="0" operator="greaterThan" aboveAverage="0" dxfId="8" text="" percent="0" bottom="0">
      <formula>0</formula>
    </cfRule>
  </conditionalFormatting>
  <conditionalFormatting sqref="H137">
    <cfRule type="cellIs" rank="0" priority="394" equalAverage="0" operator="greaterThan" aboveAverage="0" dxfId="8" text="" percent="0" bottom="0">
      <formula>0</formula>
    </cfRule>
  </conditionalFormatting>
  <conditionalFormatting sqref="C138">
    <cfRule type="cellIs" rank="0" priority="395" equalAverage="0" operator="greaterThan" aboveAverage="0" dxfId="8" text="" percent="0" bottom="0">
      <formula>0</formula>
    </cfRule>
  </conditionalFormatting>
  <conditionalFormatting sqref="G138">
    <cfRule type="cellIs" rank="0" priority="396" equalAverage="0" operator="greaterThan" aboveAverage="0" dxfId="8" text="" percent="0" bottom="0">
      <formula>0</formula>
    </cfRule>
  </conditionalFormatting>
  <conditionalFormatting sqref="H138">
    <cfRule type="cellIs" rank="0" priority="397" equalAverage="0" operator="greaterThan" aboveAverage="0" dxfId="8" text="" percent="0" bottom="0">
      <formula>0</formula>
    </cfRule>
  </conditionalFormatting>
  <conditionalFormatting sqref="C139">
    <cfRule type="cellIs" rank="0" priority="398" equalAverage="0" operator="greaterThan" aboveAverage="0" dxfId="8" text="" percent="0" bottom="0">
      <formula>0</formula>
    </cfRule>
  </conditionalFormatting>
  <conditionalFormatting sqref="G139">
    <cfRule type="cellIs" rank="0" priority="399" equalAverage="0" operator="greaterThan" aboveAverage="0" dxfId="8" text="" percent="0" bottom="0">
      <formula>0</formula>
    </cfRule>
  </conditionalFormatting>
  <conditionalFormatting sqref="H139">
    <cfRule type="cellIs" rank="0" priority="400" equalAverage="0" operator="greaterThan" aboveAverage="0" dxfId="8" text="" percent="0" bottom="0">
      <formula>0</formula>
    </cfRule>
  </conditionalFormatting>
  <conditionalFormatting sqref="C140">
    <cfRule type="cellIs" rank="0" priority="401" equalAverage="0" operator="greaterThan" aboveAverage="0" dxfId="8" text="" percent="0" bottom="0">
      <formula>0</formula>
    </cfRule>
  </conditionalFormatting>
  <conditionalFormatting sqref="G140">
    <cfRule type="cellIs" rank="0" priority="402" equalAverage="0" operator="greaterThan" aboveAverage="0" dxfId="8" text="" percent="0" bottom="0">
      <formula>0</formula>
    </cfRule>
  </conditionalFormatting>
  <conditionalFormatting sqref="H140">
    <cfRule type="cellIs" rank="0" priority="403" equalAverage="0" operator="greaterThan" aboveAverage="0" dxfId="8" text="" percent="0" bottom="0">
      <formula>0</formula>
    </cfRule>
  </conditionalFormatting>
  <conditionalFormatting sqref="C141">
    <cfRule type="cellIs" rank="0" priority="404" equalAverage="0" operator="greaterThan" aboveAverage="0" dxfId="8" text="" percent="0" bottom="0">
      <formula>0</formula>
    </cfRule>
  </conditionalFormatting>
  <conditionalFormatting sqref="G141">
    <cfRule type="cellIs" rank="0" priority="405" equalAverage="0" operator="greaterThan" aboveAverage="0" dxfId="8" text="" percent="0" bottom="0">
      <formula>0</formula>
    </cfRule>
  </conditionalFormatting>
  <conditionalFormatting sqref="H141">
    <cfRule type="cellIs" rank="0" priority="406" equalAverage="0" operator="greaterThan" aboveAverage="0" dxfId="8" text="" percent="0" bottom="0">
      <formula>0</formula>
    </cfRule>
  </conditionalFormatting>
  <conditionalFormatting sqref="C142">
    <cfRule type="cellIs" rank="0" priority="407" equalAverage="0" operator="greaterThan" aboveAverage="0" dxfId="8" text="" percent="0" bottom="0">
      <formula>0</formula>
    </cfRule>
  </conditionalFormatting>
  <conditionalFormatting sqref="G142">
    <cfRule type="cellIs" rank="0" priority="408" equalAverage="0" operator="greaterThan" aboveAverage="0" dxfId="8" text="" percent="0" bottom="0">
      <formula>0</formula>
    </cfRule>
  </conditionalFormatting>
  <conditionalFormatting sqref="H142">
    <cfRule type="cellIs" rank="0" priority="409" equalAverage="0" operator="greaterThan" aboveAverage="0" dxfId="8" text="" percent="0" bottom="0">
      <formula>0</formula>
    </cfRule>
  </conditionalFormatting>
  <conditionalFormatting sqref="C143">
    <cfRule type="cellIs" rank="0" priority="410" equalAverage="0" operator="greaterThan" aboveAverage="0" dxfId="8" text="" percent="0" bottom="0">
      <formula>0</formula>
    </cfRule>
  </conditionalFormatting>
  <conditionalFormatting sqref="G143">
    <cfRule type="cellIs" rank="0" priority="411" equalAverage="0" operator="greaterThan" aboveAverage="0" dxfId="8" text="" percent="0" bottom="0">
      <formula>0</formula>
    </cfRule>
  </conditionalFormatting>
  <conditionalFormatting sqref="H143">
    <cfRule type="cellIs" rank="0" priority="412" equalAverage="0" operator="greaterThan" aboveAverage="0" dxfId="8" text="" percent="0" bottom="0">
      <formula>0</formula>
    </cfRule>
  </conditionalFormatting>
  <conditionalFormatting sqref="C144">
    <cfRule type="cellIs" rank="0" priority="413" equalAverage="0" operator="greaterThan" aboveAverage="0" dxfId="8" text="" percent="0" bottom="0">
      <formula>0</formula>
    </cfRule>
  </conditionalFormatting>
  <conditionalFormatting sqref="G144">
    <cfRule type="cellIs" rank="0" priority="414" equalAverage="0" operator="greaterThan" aboveAverage="0" dxfId="8" text="" percent="0" bottom="0">
      <formula>0</formula>
    </cfRule>
  </conditionalFormatting>
  <conditionalFormatting sqref="H144">
    <cfRule type="cellIs" rank="0" priority="415" equalAverage="0" operator="greaterThan" aboveAverage="0" dxfId="8" text="" percent="0" bottom="0">
      <formula>0</formula>
    </cfRule>
  </conditionalFormatting>
  <conditionalFormatting sqref="C145">
    <cfRule type="cellIs" rank="0" priority="416" equalAverage="0" operator="greaterThan" aboveAverage="0" dxfId="8" text="" percent="0" bottom="0">
      <formula>0</formula>
    </cfRule>
  </conditionalFormatting>
  <conditionalFormatting sqref="G145">
    <cfRule type="cellIs" rank="0" priority="417" equalAverage="0" operator="greaterThan" aboveAverage="0" dxfId="8" text="" percent="0" bottom="0">
      <formula>0</formula>
    </cfRule>
  </conditionalFormatting>
  <conditionalFormatting sqref="H145">
    <cfRule type="cellIs" rank="0" priority="418" equalAverage="0" operator="greaterThan" aboveAverage="0" dxfId="8" text="" percent="0" bottom="0">
      <formula>0</formula>
    </cfRule>
  </conditionalFormatting>
  <conditionalFormatting sqref="C146">
    <cfRule type="cellIs" rank="0" priority="419" equalAverage="0" operator="greaterThan" aboveAverage="0" dxfId="8" text="" percent="0" bottom="0">
      <formula>0</formula>
    </cfRule>
  </conditionalFormatting>
  <conditionalFormatting sqref="G146">
    <cfRule type="cellIs" rank="0" priority="420" equalAverage="0" operator="greaterThan" aboveAverage="0" dxfId="8" text="" percent="0" bottom="0">
      <formula>0</formula>
    </cfRule>
  </conditionalFormatting>
  <conditionalFormatting sqref="H146">
    <cfRule type="cellIs" rank="0" priority="421" equalAverage="0" operator="greaterThan" aboveAverage="0" dxfId="8" text="" percent="0" bottom="0">
      <formula>0</formula>
    </cfRule>
  </conditionalFormatting>
  <conditionalFormatting sqref="C147">
    <cfRule type="cellIs" rank="0" priority="422" equalAverage="0" operator="greaterThan" aboveAverage="0" dxfId="8" text="" percent="0" bottom="0">
      <formula>0</formula>
    </cfRule>
  </conditionalFormatting>
  <conditionalFormatting sqref="G147">
    <cfRule type="cellIs" rank="0" priority="423" equalAverage="0" operator="greaterThan" aboveAverage="0" dxfId="8" text="" percent="0" bottom="0">
      <formula>0</formula>
    </cfRule>
  </conditionalFormatting>
  <conditionalFormatting sqref="H147">
    <cfRule type="cellIs" rank="0" priority="424" equalAverage="0" operator="greaterThan" aboveAverage="0" dxfId="8" text="" percent="0" bottom="0">
      <formula>0</formula>
    </cfRule>
  </conditionalFormatting>
  <conditionalFormatting sqref="C148">
    <cfRule type="cellIs" rank="0" priority="425" equalAverage="0" operator="greaterThan" aboveAverage="0" dxfId="8" text="" percent="0" bottom="0">
      <formula>0</formula>
    </cfRule>
  </conditionalFormatting>
  <conditionalFormatting sqref="G148">
    <cfRule type="cellIs" rank="0" priority="426" equalAverage="0" operator="greaterThan" aboveAverage="0" dxfId="8" text="" percent="0" bottom="0">
      <formula>0</formula>
    </cfRule>
  </conditionalFormatting>
  <conditionalFormatting sqref="H148">
    <cfRule type="cellIs" rank="0" priority="427" equalAverage="0" operator="greaterThan" aboveAverage="0" dxfId="8" text="" percent="0" bottom="0">
      <formula>0</formula>
    </cfRule>
  </conditionalFormatting>
  <conditionalFormatting sqref="C149">
    <cfRule type="cellIs" rank="0" priority="428" equalAverage="0" operator="greaterThan" aboveAverage="0" dxfId="8" text="" percent="0" bottom="0">
      <formula>0</formula>
    </cfRule>
  </conditionalFormatting>
  <conditionalFormatting sqref="G149">
    <cfRule type="cellIs" rank="0" priority="429" equalAverage="0" operator="greaterThan" aboveAverage="0" dxfId="8" text="" percent="0" bottom="0">
      <formula>0</formula>
    </cfRule>
  </conditionalFormatting>
  <conditionalFormatting sqref="H149">
    <cfRule type="cellIs" rank="0" priority="430" equalAverage="0" operator="greaterThan" aboveAverage="0" dxfId="8" text="" percent="0" bottom="0">
      <formula>0</formula>
    </cfRule>
  </conditionalFormatting>
  <conditionalFormatting sqref="C150">
    <cfRule type="cellIs" rank="0" priority="431" equalAverage="0" operator="greaterThan" aboveAverage="0" dxfId="8" text="" percent="0" bottom="0">
      <formula>0</formula>
    </cfRule>
  </conditionalFormatting>
  <conditionalFormatting sqref="G150">
    <cfRule type="cellIs" rank="0" priority="432" equalAverage="0" operator="greaterThan" aboveAverage="0" dxfId="8" text="" percent="0" bottom="0">
      <formula>0</formula>
    </cfRule>
  </conditionalFormatting>
  <conditionalFormatting sqref="H150">
    <cfRule type="cellIs" rank="0" priority="433" equalAverage="0" operator="greaterThan" aboveAverage="0" dxfId="8" text="" percent="0" bottom="0">
      <formula>0</formula>
    </cfRule>
  </conditionalFormatting>
  <conditionalFormatting sqref="C151">
    <cfRule type="cellIs" rank="0" priority="434" equalAverage="0" operator="greaterThan" aboveAverage="0" dxfId="8" text="" percent="0" bottom="0">
      <formula>0</formula>
    </cfRule>
  </conditionalFormatting>
  <conditionalFormatting sqref="G151">
    <cfRule type="cellIs" rank="0" priority="435" equalAverage="0" operator="greaterThan" aboveAverage="0" dxfId="8" text="" percent="0" bottom="0">
      <formula>0</formula>
    </cfRule>
  </conditionalFormatting>
  <conditionalFormatting sqref="H151">
    <cfRule type="cellIs" rank="0" priority="436" equalAverage="0" operator="greaterThan" aboveAverage="0" dxfId="8" text="" percent="0" bottom="0">
      <formula>0</formula>
    </cfRule>
  </conditionalFormatting>
  <conditionalFormatting sqref="C152">
    <cfRule type="cellIs" rank="0" priority="437" equalAverage="0" operator="greaterThan" aboveAverage="0" dxfId="8" text="" percent="0" bottom="0">
      <formula>0</formula>
    </cfRule>
  </conditionalFormatting>
  <conditionalFormatting sqref="G152">
    <cfRule type="cellIs" rank="0" priority="438" equalAverage="0" operator="greaterThan" aboveAverage="0" dxfId="8" text="" percent="0" bottom="0">
      <formula>0</formula>
    </cfRule>
  </conditionalFormatting>
  <conditionalFormatting sqref="H152">
    <cfRule type="cellIs" rank="0" priority="439" equalAverage="0" operator="greaterThan" aboveAverage="0" dxfId="8" text="" percent="0" bottom="0">
      <formula>0</formula>
    </cfRule>
  </conditionalFormatting>
  <conditionalFormatting sqref="C153">
    <cfRule type="cellIs" rank="0" priority="440" equalAverage="0" operator="greaterThan" aboveAverage="0" dxfId="8" text="" percent="0" bottom="0">
      <formula>0</formula>
    </cfRule>
  </conditionalFormatting>
  <conditionalFormatting sqref="G153">
    <cfRule type="cellIs" rank="0" priority="441" equalAverage="0" operator="greaterThan" aboveAverage="0" dxfId="8" text="" percent="0" bottom="0">
      <formula>0</formula>
    </cfRule>
  </conditionalFormatting>
  <conditionalFormatting sqref="H153">
    <cfRule type="cellIs" rank="0" priority="442" equalAverage="0" operator="greaterThan" aboveAverage="0" dxfId="8" text="" percent="0" bottom="0">
      <formula>0</formula>
    </cfRule>
  </conditionalFormatting>
  <conditionalFormatting sqref="C154">
    <cfRule type="cellIs" rank="0" priority="443" equalAverage="0" operator="greaterThan" aboveAverage="0" dxfId="8" text="" percent="0" bottom="0">
      <formula>0</formula>
    </cfRule>
  </conditionalFormatting>
  <conditionalFormatting sqref="G154">
    <cfRule type="cellIs" rank="0" priority="444" equalAverage="0" operator="greaterThan" aboveAverage="0" dxfId="8" text="" percent="0" bottom="0">
      <formula>0</formula>
    </cfRule>
  </conditionalFormatting>
  <conditionalFormatting sqref="H154">
    <cfRule type="cellIs" rank="0" priority="445" equalAverage="0" operator="greaterThan" aboveAverage="0" dxfId="8" text="" percent="0" bottom="0">
      <formula>0</formula>
    </cfRule>
  </conditionalFormatting>
  <conditionalFormatting sqref="C155">
    <cfRule type="cellIs" rank="0" priority="446" equalAverage="0" operator="greaterThan" aboveAverage="0" dxfId="8" text="" percent="0" bottom="0">
      <formula>0</formula>
    </cfRule>
  </conditionalFormatting>
  <conditionalFormatting sqref="G155">
    <cfRule type="cellIs" rank="0" priority="447" equalAverage="0" operator="greaterThan" aboveAverage="0" dxfId="8" text="" percent="0" bottom="0">
      <formula>0</formula>
    </cfRule>
  </conditionalFormatting>
  <conditionalFormatting sqref="H155">
    <cfRule type="cellIs" rank="0" priority="448" equalAverage="0" operator="greaterThan" aboveAverage="0" dxfId="8" text="" percent="0" bottom="0">
      <formula>0</formula>
    </cfRule>
  </conditionalFormatting>
  <conditionalFormatting sqref="C156">
    <cfRule type="cellIs" rank="0" priority="449" equalAverage="0" operator="greaterThan" aboveAverage="0" dxfId="8" text="" percent="0" bottom="0">
      <formula>0</formula>
    </cfRule>
  </conditionalFormatting>
  <conditionalFormatting sqref="G156">
    <cfRule type="cellIs" rank="0" priority="450" equalAverage="0" operator="greaterThan" aboveAverage="0" dxfId="8" text="" percent="0" bottom="0">
      <formula>0</formula>
    </cfRule>
  </conditionalFormatting>
  <conditionalFormatting sqref="H156">
    <cfRule type="cellIs" rank="0" priority="451" equalAverage="0" operator="greaterThan" aboveAverage="0" dxfId="8" text="" percent="0" bottom="0">
      <formula>0</formula>
    </cfRule>
  </conditionalFormatting>
  <conditionalFormatting sqref="C157">
    <cfRule type="cellIs" rank="0" priority="452" equalAverage="0" operator="greaterThan" aboveAverage="0" dxfId="8" text="" percent="0" bottom="0">
      <formula>0</formula>
    </cfRule>
  </conditionalFormatting>
  <conditionalFormatting sqref="G157">
    <cfRule type="cellIs" rank="0" priority="453" equalAverage="0" operator="greaterThan" aboveAverage="0" dxfId="8" text="" percent="0" bottom="0">
      <formula>0</formula>
    </cfRule>
  </conditionalFormatting>
  <conditionalFormatting sqref="H157">
    <cfRule type="cellIs" rank="0" priority="454" equalAverage="0" operator="greaterThan" aboveAverage="0" dxfId="8" text="" percent="0" bottom="0">
      <formula>0</formula>
    </cfRule>
  </conditionalFormatting>
  <conditionalFormatting sqref="C158">
    <cfRule type="cellIs" rank="0" priority="455" equalAverage="0" operator="greaterThan" aboveAverage="0" dxfId="8" text="" percent="0" bottom="0">
      <formula>0</formula>
    </cfRule>
  </conditionalFormatting>
  <conditionalFormatting sqref="G158">
    <cfRule type="cellIs" rank="0" priority="456" equalAverage="0" operator="greaterThan" aboveAverage="0" dxfId="8" text="" percent="0" bottom="0">
      <formula>0</formula>
    </cfRule>
  </conditionalFormatting>
  <conditionalFormatting sqref="H158">
    <cfRule type="cellIs" rank="0" priority="457" equalAverage="0" operator="greaterThan" aboveAverage="0" dxfId="8" text="" percent="0" bottom="0">
      <formula>0</formula>
    </cfRule>
  </conditionalFormatting>
  <conditionalFormatting sqref="C159">
    <cfRule type="cellIs" rank="0" priority="458" equalAverage="0" operator="greaterThan" aboveAverage="0" dxfId="8" text="" percent="0" bottom="0">
      <formula>0</formula>
    </cfRule>
  </conditionalFormatting>
  <conditionalFormatting sqref="G159">
    <cfRule type="cellIs" rank="0" priority="459" equalAverage="0" operator="greaterThan" aboveAverage="0" dxfId="8" text="" percent="0" bottom="0">
      <formula>0</formula>
    </cfRule>
  </conditionalFormatting>
  <conditionalFormatting sqref="H159">
    <cfRule type="cellIs" rank="0" priority="460" equalAverage="0" operator="greaterThan" aboveAverage="0" dxfId="8" text="" percent="0" bottom="0">
      <formula>0</formula>
    </cfRule>
  </conditionalFormatting>
  <conditionalFormatting sqref="C160">
    <cfRule type="cellIs" rank="0" priority="461" equalAverage="0" operator="greaterThan" aboveAverage="0" dxfId="8" text="" percent="0" bottom="0">
      <formula>0</formula>
    </cfRule>
  </conditionalFormatting>
  <conditionalFormatting sqref="G160">
    <cfRule type="cellIs" rank="0" priority="462" equalAverage="0" operator="greaterThan" aboveAverage="0" dxfId="8" text="" percent="0" bottom="0">
      <formula>0</formula>
    </cfRule>
  </conditionalFormatting>
  <conditionalFormatting sqref="H160">
    <cfRule type="cellIs" rank="0" priority="463" equalAverage="0" operator="greaterThan" aboveAverage="0" dxfId="8" text="" percent="0" bottom="0">
      <formula>0</formula>
    </cfRule>
  </conditionalFormatting>
  <conditionalFormatting sqref="C161">
    <cfRule type="cellIs" rank="0" priority="464" equalAverage="0" operator="greaterThan" aboveAverage="0" dxfId="8" text="" percent="0" bottom="0">
      <formula>0</formula>
    </cfRule>
  </conditionalFormatting>
  <conditionalFormatting sqref="G161">
    <cfRule type="cellIs" rank="0" priority="465" equalAverage="0" operator="greaterThan" aboveAverage="0" dxfId="8" text="" percent="0" bottom="0">
      <formula>0</formula>
    </cfRule>
  </conditionalFormatting>
  <conditionalFormatting sqref="H161">
    <cfRule type="cellIs" rank="0" priority="466" equalAverage="0" operator="greaterThan" aboveAverage="0" dxfId="8" text="" percent="0" bottom="0">
      <formula>0</formula>
    </cfRule>
  </conditionalFormatting>
  <conditionalFormatting sqref="C162">
    <cfRule type="cellIs" rank="0" priority="467" equalAverage="0" operator="greaterThan" aboveAverage="0" dxfId="8" text="" percent="0" bottom="0">
      <formula>0</formula>
    </cfRule>
  </conditionalFormatting>
  <conditionalFormatting sqref="G162">
    <cfRule type="cellIs" rank="0" priority="468" equalAverage="0" operator="greaterThan" aboveAverage="0" dxfId="8" text="" percent="0" bottom="0">
      <formula>0</formula>
    </cfRule>
  </conditionalFormatting>
  <conditionalFormatting sqref="H162">
    <cfRule type="cellIs" rank="0" priority="469" equalAverage="0" operator="greaterThan" aboveAverage="0" dxfId="8" text="" percent="0" bottom="0">
      <formula>0</formula>
    </cfRule>
  </conditionalFormatting>
  <conditionalFormatting sqref="C163">
    <cfRule type="cellIs" rank="0" priority="470" equalAverage="0" operator="greaterThan" aboveAverage="0" dxfId="8" text="" percent="0" bottom="0">
      <formula>0</formula>
    </cfRule>
  </conditionalFormatting>
  <conditionalFormatting sqref="G163">
    <cfRule type="cellIs" rank="0" priority="471" equalAverage="0" operator="greaterThan" aboveAverage="0" dxfId="8" text="" percent="0" bottom="0">
      <formula>0</formula>
    </cfRule>
  </conditionalFormatting>
  <conditionalFormatting sqref="H163">
    <cfRule type="cellIs" rank="0" priority="472" equalAverage="0" operator="greaterThan" aboveAverage="0" dxfId="8" text="" percent="0" bottom="0">
      <formula>0</formula>
    </cfRule>
  </conditionalFormatting>
  <conditionalFormatting sqref="C164">
    <cfRule type="cellIs" rank="0" priority="473" equalAverage="0" operator="greaterThan" aboveAverage="0" dxfId="8" text="" percent="0" bottom="0">
      <formula>0</formula>
    </cfRule>
  </conditionalFormatting>
  <conditionalFormatting sqref="G164">
    <cfRule type="cellIs" rank="0" priority="474" equalAverage="0" operator="greaterThan" aboveAverage="0" dxfId="8" text="" percent="0" bottom="0">
      <formula>0</formula>
    </cfRule>
  </conditionalFormatting>
  <conditionalFormatting sqref="H164">
    <cfRule type="cellIs" rank="0" priority="475" equalAverage="0" operator="greaterThan" aboveAverage="0" dxfId="8" text="" percent="0" bottom="0">
      <formula>0</formula>
    </cfRule>
  </conditionalFormatting>
  <conditionalFormatting sqref="C165">
    <cfRule type="cellIs" rank="0" priority="476" equalAverage="0" operator="greaterThan" aboveAverage="0" dxfId="8" text="" percent="0" bottom="0">
      <formula>0</formula>
    </cfRule>
  </conditionalFormatting>
  <conditionalFormatting sqref="G165">
    <cfRule type="cellIs" rank="0" priority="477" equalAverage="0" operator="greaterThan" aboveAverage="0" dxfId="8" text="" percent="0" bottom="0">
      <formula>0</formula>
    </cfRule>
  </conditionalFormatting>
  <conditionalFormatting sqref="H165">
    <cfRule type="cellIs" rank="0" priority="478" equalAverage="0" operator="greaterThan" aboveAverage="0" dxfId="8" text="" percent="0" bottom="0">
      <formula>0</formula>
    </cfRule>
  </conditionalFormatting>
  <conditionalFormatting sqref="C166">
    <cfRule type="cellIs" rank="0" priority="479" equalAverage="0" operator="greaterThan" aboveAverage="0" dxfId="8" text="" percent="0" bottom="0">
      <formula>0</formula>
    </cfRule>
  </conditionalFormatting>
  <conditionalFormatting sqref="G166">
    <cfRule type="cellIs" rank="0" priority="480" equalAverage="0" operator="greaterThan" aboveAverage="0" dxfId="8" text="" percent="0" bottom="0">
      <formula>0</formula>
    </cfRule>
  </conditionalFormatting>
  <conditionalFormatting sqref="H166">
    <cfRule type="cellIs" rank="0" priority="481" equalAverage="0" operator="greaterThan" aboveAverage="0" dxfId="8" text="" percent="0" bottom="0">
      <formula>0</formula>
    </cfRule>
  </conditionalFormatting>
  <conditionalFormatting sqref="C167">
    <cfRule type="cellIs" rank="0" priority="482" equalAverage="0" operator="greaterThan" aboveAverage="0" dxfId="8" text="" percent="0" bottom="0">
      <formula>0</formula>
    </cfRule>
  </conditionalFormatting>
  <conditionalFormatting sqref="G167">
    <cfRule type="cellIs" rank="0" priority="483" equalAverage="0" operator="greaterThan" aboveAverage="0" dxfId="8" text="" percent="0" bottom="0">
      <formula>0</formula>
    </cfRule>
  </conditionalFormatting>
  <conditionalFormatting sqref="H167">
    <cfRule type="cellIs" rank="0" priority="484" equalAverage="0" operator="greaterThan" aboveAverage="0" dxfId="8" text="" percent="0" bottom="0">
      <formula>0</formula>
    </cfRule>
  </conditionalFormatting>
  <conditionalFormatting sqref="C168">
    <cfRule type="cellIs" rank="0" priority="485" equalAverage="0" operator="greaterThan" aboveAverage="0" dxfId="8" text="" percent="0" bottom="0">
      <formula>0</formula>
    </cfRule>
  </conditionalFormatting>
  <conditionalFormatting sqref="G168">
    <cfRule type="cellIs" rank="0" priority="486" equalAverage="0" operator="greaterThan" aboveAverage="0" dxfId="8" text="" percent="0" bottom="0">
      <formula>0</formula>
    </cfRule>
  </conditionalFormatting>
  <conditionalFormatting sqref="H168">
    <cfRule type="cellIs" rank="0" priority="487" equalAverage="0" operator="greaterThan" aboveAverage="0" dxfId="8" text="" percent="0" bottom="0">
      <formula>0</formula>
    </cfRule>
  </conditionalFormatting>
  <conditionalFormatting sqref="C169">
    <cfRule type="cellIs" rank="0" priority="488" equalAverage="0" operator="greaterThan" aboveAverage="0" dxfId="8" text="" percent="0" bottom="0">
      <formula>0</formula>
    </cfRule>
  </conditionalFormatting>
  <conditionalFormatting sqref="G169">
    <cfRule type="cellIs" rank="0" priority="489" equalAverage="0" operator="greaterThan" aboveAverage="0" dxfId="8" text="" percent="0" bottom="0">
      <formula>0</formula>
    </cfRule>
  </conditionalFormatting>
  <conditionalFormatting sqref="H169">
    <cfRule type="cellIs" rank="0" priority="490" equalAverage="0" operator="greaterThan" aboveAverage="0" dxfId="8" text="" percent="0" bottom="0">
      <formula>0</formula>
    </cfRule>
  </conditionalFormatting>
  <conditionalFormatting sqref="C170">
    <cfRule type="cellIs" rank="0" priority="491" equalAverage="0" operator="greaterThan" aboveAverage="0" dxfId="8" text="" percent="0" bottom="0">
      <formula>0</formula>
    </cfRule>
  </conditionalFormatting>
  <conditionalFormatting sqref="G170">
    <cfRule type="cellIs" rank="0" priority="492" equalAverage="0" operator="greaterThan" aboveAverage="0" dxfId="8" text="" percent="0" bottom="0">
      <formula>0</formula>
    </cfRule>
  </conditionalFormatting>
  <conditionalFormatting sqref="H170">
    <cfRule type="cellIs" rank="0" priority="493" equalAverage="0" operator="greaterThan" aboveAverage="0" dxfId="8" text="" percent="0" bottom="0">
      <formula>0</formula>
    </cfRule>
  </conditionalFormatting>
  <conditionalFormatting sqref="C171">
    <cfRule type="cellIs" rank="0" priority="494" equalAverage="0" operator="greaterThan" aboveAverage="0" dxfId="8" text="" percent="0" bottom="0">
      <formula>0</formula>
    </cfRule>
  </conditionalFormatting>
  <conditionalFormatting sqref="G171">
    <cfRule type="cellIs" rank="0" priority="495" equalAverage="0" operator="greaterThan" aboveAverage="0" dxfId="8" text="" percent="0" bottom="0">
      <formula>0</formula>
    </cfRule>
  </conditionalFormatting>
  <conditionalFormatting sqref="H171">
    <cfRule type="cellIs" rank="0" priority="496" equalAverage="0" operator="greaterThan" aboveAverage="0" dxfId="8" text="" percent="0" bottom="0">
      <formula>0</formula>
    </cfRule>
  </conditionalFormatting>
  <conditionalFormatting sqref="C172">
    <cfRule type="cellIs" rank="0" priority="497" equalAverage="0" operator="greaterThan" aboveAverage="0" dxfId="8" text="" percent="0" bottom="0">
      <formula>0</formula>
    </cfRule>
  </conditionalFormatting>
  <conditionalFormatting sqref="G172">
    <cfRule type="cellIs" rank="0" priority="498" equalAverage="0" operator="greaterThan" aboveAverage="0" dxfId="8" text="" percent="0" bottom="0">
      <formula>0</formula>
    </cfRule>
  </conditionalFormatting>
  <conditionalFormatting sqref="H172">
    <cfRule type="cellIs" rank="0" priority="499" equalAverage="0" operator="greaterThan" aboveAverage="0" dxfId="8" text="" percent="0" bottom="0">
      <formula>0</formula>
    </cfRule>
  </conditionalFormatting>
  <conditionalFormatting sqref="C173">
    <cfRule type="cellIs" rank="0" priority="500" equalAverage="0" operator="greaterThan" aboveAverage="0" dxfId="8" text="" percent="0" bottom="0">
      <formula>0</formula>
    </cfRule>
  </conditionalFormatting>
  <conditionalFormatting sqref="G173">
    <cfRule type="cellIs" rank="0" priority="501" equalAverage="0" operator="greaterThan" aboveAverage="0" dxfId="8" text="" percent="0" bottom="0">
      <formula>0</formula>
    </cfRule>
  </conditionalFormatting>
  <conditionalFormatting sqref="H173">
    <cfRule type="cellIs" rank="0" priority="502" equalAverage="0" operator="greaterThan" aboveAverage="0" dxfId="8" text="" percent="0" bottom="0">
      <formula>0</formula>
    </cfRule>
  </conditionalFormatting>
  <conditionalFormatting sqref="C174">
    <cfRule type="cellIs" rank="0" priority="503" equalAverage="0" operator="greaterThan" aboveAverage="0" dxfId="8" text="" percent="0" bottom="0">
      <formula>0</formula>
    </cfRule>
  </conditionalFormatting>
  <conditionalFormatting sqref="G174">
    <cfRule type="cellIs" rank="0" priority="504" equalAverage="0" operator="greaterThan" aboveAverage="0" dxfId="8" text="" percent="0" bottom="0">
      <formula>0</formula>
    </cfRule>
  </conditionalFormatting>
  <conditionalFormatting sqref="H174">
    <cfRule type="cellIs" rank="0" priority="505" equalAverage="0" operator="greaterThan" aboveAverage="0" dxfId="8" text="" percent="0" bottom="0">
      <formula>0</formula>
    </cfRule>
  </conditionalFormatting>
  <conditionalFormatting sqref="C175">
    <cfRule type="cellIs" rank="0" priority="506" equalAverage="0" operator="greaterThan" aboveAverage="0" dxfId="8" text="" percent="0" bottom="0">
      <formula>0</formula>
    </cfRule>
  </conditionalFormatting>
  <conditionalFormatting sqref="G175">
    <cfRule type="cellIs" rank="0" priority="507" equalAverage="0" operator="greaterThan" aboveAverage="0" dxfId="8" text="" percent="0" bottom="0">
      <formula>0</formula>
    </cfRule>
  </conditionalFormatting>
  <conditionalFormatting sqref="H175">
    <cfRule type="cellIs" rank="0" priority="508" equalAverage="0" operator="greaterThan" aboveAverage="0" dxfId="8" text="" percent="0" bottom="0">
      <formula>0</formula>
    </cfRule>
  </conditionalFormatting>
  <conditionalFormatting sqref="C176">
    <cfRule type="cellIs" rank="0" priority="509" equalAverage="0" operator="greaterThan" aboveAverage="0" dxfId="8" text="" percent="0" bottom="0">
      <formula>0</formula>
    </cfRule>
  </conditionalFormatting>
  <conditionalFormatting sqref="G176">
    <cfRule type="cellIs" rank="0" priority="510" equalAverage="0" operator="greaterThan" aboveAverage="0" dxfId="8" text="" percent="0" bottom="0">
      <formula>0</formula>
    </cfRule>
  </conditionalFormatting>
  <conditionalFormatting sqref="H176">
    <cfRule type="cellIs" rank="0" priority="511" equalAverage="0" operator="greaterThan" aboveAverage="0" dxfId="8" text="" percent="0" bottom="0">
      <formula>0</formula>
    </cfRule>
  </conditionalFormatting>
  <conditionalFormatting sqref="C177">
    <cfRule type="cellIs" rank="0" priority="512" equalAverage="0" operator="greaterThan" aboveAverage="0" dxfId="8" text="" percent="0" bottom="0">
      <formula>0</formula>
    </cfRule>
  </conditionalFormatting>
  <conditionalFormatting sqref="G177">
    <cfRule type="cellIs" rank="0" priority="513" equalAverage="0" operator="greaterThan" aboveAverage="0" dxfId="8" text="" percent="0" bottom="0">
      <formula>0</formula>
    </cfRule>
  </conditionalFormatting>
  <conditionalFormatting sqref="H177">
    <cfRule type="cellIs" rank="0" priority="514" equalAverage="0" operator="greaterThan" aboveAverage="0" dxfId="8" text="" percent="0" bottom="0">
      <formula>0</formula>
    </cfRule>
  </conditionalFormatting>
  <conditionalFormatting sqref="C178">
    <cfRule type="cellIs" rank="0" priority="515" equalAverage="0" operator="greaterThan" aboveAverage="0" dxfId="8" text="" percent="0" bottom="0">
      <formula>0</formula>
    </cfRule>
  </conditionalFormatting>
  <conditionalFormatting sqref="G178">
    <cfRule type="cellIs" rank="0" priority="516" equalAverage="0" operator="greaterThan" aboveAverage="0" dxfId="8" text="" percent="0" bottom="0">
      <formula>0</formula>
    </cfRule>
  </conditionalFormatting>
  <conditionalFormatting sqref="H178">
    <cfRule type="cellIs" rank="0" priority="517" equalAverage="0" operator="greaterThan" aboveAverage="0" dxfId="8" text="" percent="0" bottom="0">
      <formula>0</formula>
    </cfRule>
  </conditionalFormatting>
  <conditionalFormatting sqref="C179">
    <cfRule type="cellIs" rank="0" priority="518" equalAverage="0" operator="greaterThan" aboveAverage="0" dxfId="8" text="" percent="0" bottom="0">
      <formula>0</formula>
    </cfRule>
  </conditionalFormatting>
  <conditionalFormatting sqref="G179">
    <cfRule type="cellIs" rank="0" priority="519" equalAverage="0" operator="greaterThan" aboveAverage="0" dxfId="8" text="" percent="0" bottom="0">
      <formula>0</formula>
    </cfRule>
  </conditionalFormatting>
  <conditionalFormatting sqref="H179">
    <cfRule type="cellIs" rank="0" priority="520" equalAverage="0" operator="greaterThan" aboveAverage="0" dxfId="8" text="" percent="0" bottom="0">
      <formula>0</formula>
    </cfRule>
  </conditionalFormatting>
  <conditionalFormatting sqref="C180">
    <cfRule type="cellIs" rank="0" priority="521" equalAverage="0" operator="greaterThan" aboveAverage="0" dxfId="8" text="" percent="0" bottom="0">
      <formula>0</formula>
    </cfRule>
  </conditionalFormatting>
  <conditionalFormatting sqref="G180">
    <cfRule type="cellIs" rank="0" priority="522" equalAverage="0" operator="greaterThan" aboveAverage="0" dxfId="8" text="" percent="0" bottom="0">
      <formula>0</formula>
    </cfRule>
  </conditionalFormatting>
  <conditionalFormatting sqref="H180">
    <cfRule type="cellIs" rank="0" priority="523" equalAverage="0" operator="greaterThan" aboveAverage="0" dxfId="8" text="" percent="0" bottom="0">
      <formula>0</formula>
    </cfRule>
  </conditionalFormatting>
  <conditionalFormatting sqref="C181">
    <cfRule type="cellIs" rank="0" priority="524" equalAverage="0" operator="greaterThan" aboveAverage="0" dxfId="8" text="" percent="0" bottom="0">
      <formula>0</formula>
    </cfRule>
  </conditionalFormatting>
  <conditionalFormatting sqref="G181">
    <cfRule type="cellIs" rank="0" priority="525" equalAverage="0" operator="greaterThan" aboveAverage="0" dxfId="8" text="" percent="0" bottom="0">
      <formula>0</formula>
    </cfRule>
  </conditionalFormatting>
  <conditionalFormatting sqref="H181">
    <cfRule type="cellIs" rank="0" priority="526" equalAverage="0" operator="greaterThan" aboveAverage="0" dxfId="8" text="" percent="0" bottom="0">
      <formula>0</formula>
    </cfRule>
  </conditionalFormatting>
  <conditionalFormatting sqref="C182">
    <cfRule type="cellIs" rank="0" priority="527" equalAverage="0" operator="greaterThan" aboveAverage="0" dxfId="8" text="" percent="0" bottom="0">
      <formula>0</formula>
    </cfRule>
  </conditionalFormatting>
  <conditionalFormatting sqref="G182">
    <cfRule type="cellIs" rank="0" priority="528" equalAverage="0" operator="greaterThan" aboveAverage="0" dxfId="8" text="" percent="0" bottom="0">
      <formula>0</formula>
    </cfRule>
  </conditionalFormatting>
  <conditionalFormatting sqref="H182">
    <cfRule type="cellIs" rank="0" priority="529" equalAverage="0" operator="greaterThan" aboveAverage="0" dxfId="8" text="" percent="0" bottom="0">
      <formula>0</formula>
    </cfRule>
  </conditionalFormatting>
  <conditionalFormatting sqref="C183">
    <cfRule type="cellIs" rank="0" priority="530" equalAverage="0" operator="greaterThan" aboveAverage="0" dxfId="8" text="" percent="0" bottom="0">
      <formula>0</formula>
    </cfRule>
  </conditionalFormatting>
  <conditionalFormatting sqref="G183">
    <cfRule type="cellIs" rank="0" priority="531" equalAverage="0" operator="greaterThan" aboveAverage="0" dxfId="8" text="" percent="0" bottom="0">
      <formula>0</formula>
    </cfRule>
  </conditionalFormatting>
  <conditionalFormatting sqref="H183">
    <cfRule type="cellIs" rank="0" priority="532" equalAverage="0" operator="greaterThan" aboveAverage="0" dxfId="8" text="" percent="0" bottom="0">
      <formula>0</formula>
    </cfRule>
  </conditionalFormatting>
  <conditionalFormatting sqref="C184">
    <cfRule type="cellIs" rank="0" priority="533" equalAverage="0" operator="greaterThan" aboveAverage="0" dxfId="8" text="" percent="0" bottom="0">
      <formula>0</formula>
    </cfRule>
  </conditionalFormatting>
  <conditionalFormatting sqref="G184">
    <cfRule type="cellIs" rank="0" priority="534" equalAverage="0" operator="greaterThan" aboveAverage="0" dxfId="8" text="" percent="0" bottom="0">
      <formula>0</formula>
    </cfRule>
  </conditionalFormatting>
  <conditionalFormatting sqref="H184">
    <cfRule type="cellIs" rank="0" priority="535" equalAverage="0" operator="greaterThan" aboveAverage="0" dxfId="8" text="" percent="0" bottom="0">
      <formula>0</formula>
    </cfRule>
  </conditionalFormatting>
  <conditionalFormatting sqref="C185">
    <cfRule type="cellIs" rank="0" priority="536" equalAverage="0" operator="greaterThan" aboveAverage="0" dxfId="8" text="" percent="0" bottom="0">
      <formula>0</formula>
    </cfRule>
  </conditionalFormatting>
  <conditionalFormatting sqref="G185">
    <cfRule type="cellIs" rank="0" priority="537" equalAverage="0" operator="greaterThan" aboveAverage="0" dxfId="8" text="" percent="0" bottom="0">
      <formula>0</formula>
    </cfRule>
  </conditionalFormatting>
  <conditionalFormatting sqref="H185">
    <cfRule type="cellIs" rank="0" priority="538" equalAverage="0" operator="greaterThan" aboveAverage="0" dxfId="8" text="" percent="0" bottom="0">
      <formula>0</formula>
    </cfRule>
  </conditionalFormatting>
  <conditionalFormatting sqref="C186">
    <cfRule type="cellIs" rank="0" priority="539" equalAverage="0" operator="greaterThan" aboveAverage="0" dxfId="8" text="" percent="0" bottom="0">
      <formula>0</formula>
    </cfRule>
  </conditionalFormatting>
  <conditionalFormatting sqref="G186">
    <cfRule type="cellIs" rank="0" priority="540" equalAverage="0" operator="greaterThan" aboveAverage="0" dxfId="8" text="" percent="0" bottom="0">
      <formula>0</formula>
    </cfRule>
  </conditionalFormatting>
  <conditionalFormatting sqref="H186">
    <cfRule type="cellIs" rank="0" priority="541" equalAverage="0" operator="greaterThan" aboveAverage="0" dxfId="8" text="" percent="0" bottom="0">
      <formula>0</formula>
    </cfRule>
  </conditionalFormatting>
  <conditionalFormatting sqref="C187">
    <cfRule type="cellIs" rank="0" priority="542" equalAverage="0" operator="greaterThan" aboveAverage="0" dxfId="8" text="" percent="0" bottom="0">
      <formula>0</formula>
    </cfRule>
  </conditionalFormatting>
  <conditionalFormatting sqref="G187">
    <cfRule type="cellIs" rank="0" priority="543" equalAverage="0" operator="greaterThan" aboveAverage="0" dxfId="8" text="" percent="0" bottom="0">
      <formula>0</formula>
    </cfRule>
  </conditionalFormatting>
  <conditionalFormatting sqref="H187">
    <cfRule type="cellIs" rank="0" priority="544" equalAverage="0" operator="greaterThan" aboveAverage="0" dxfId="8" text="" percent="0" bottom="0">
      <formula>0</formula>
    </cfRule>
  </conditionalFormatting>
  <conditionalFormatting sqref="C188">
    <cfRule type="cellIs" rank="0" priority="545" equalAverage="0" operator="greaterThan" aboveAverage="0" dxfId="8" text="" percent="0" bottom="0">
      <formula>0</formula>
    </cfRule>
  </conditionalFormatting>
  <conditionalFormatting sqref="G188">
    <cfRule type="cellIs" rank="0" priority="546" equalAverage="0" operator="greaterThan" aboveAverage="0" dxfId="8" text="" percent="0" bottom="0">
      <formula>0</formula>
    </cfRule>
  </conditionalFormatting>
  <conditionalFormatting sqref="H188">
    <cfRule type="cellIs" rank="0" priority="547" equalAverage="0" operator="greaterThan" aboveAverage="0" dxfId="8" text="" percent="0" bottom="0">
      <formula>0</formula>
    </cfRule>
  </conditionalFormatting>
  <conditionalFormatting sqref="C189">
    <cfRule type="cellIs" rank="0" priority="548" equalAverage="0" operator="greaterThan" aboveAverage="0" dxfId="8" text="" percent="0" bottom="0">
      <formula>0</formula>
    </cfRule>
  </conditionalFormatting>
  <conditionalFormatting sqref="G189">
    <cfRule type="cellIs" rank="0" priority="549" equalAverage="0" operator="greaterThan" aboveAverage="0" dxfId="8" text="" percent="0" bottom="0">
      <formula>0</formula>
    </cfRule>
  </conditionalFormatting>
  <conditionalFormatting sqref="H189">
    <cfRule type="cellIs" rank="0" priority="550" equalAverage="0" operator="greaterThan" aboveAverage="0" dxfId="8" text="" percent="0" bottom="0">
      <formula>0</formula>
    </cfRule>
  </conditionalFormatting>
  <conditionalFormatting sqref="C190">
    <cfRule type="cellIs" rank="0" priority="551" equalAverage="0" operator="greaterThan" aboveAverage="0" dxfId="8" text="" percent="0" bottom="0">
      <formula>0</formula>
    </cfRule>
  </conditionalFormatting>
  <conditionalFormatting sqref="G190">
    <cfRule type="cellIs" rank="0" priority="552" equalAverage="0" operator="greaterThan" aboveAverage="0" dxfId="8" text="" percent="0" bottom="0">
      <formula>0</formula>
    </cfRule>
  </conditionalFormatting>
  <conditionalFormatting sqref="H190">
    <cfRule type="cellIs" rank="0" priority="553" equalAverage="0" operator="greaterThan" aboveAverage="0" dxfId="8" text="" percent="0" bottom="0">
      <formula>0</formula>
    </cfRule>
  </conditionalFormatting>
  <conditionalFormatting sqref="C191">
    <cfRule type="cellIs" rank="0" priority="554" equalAverage="0" operator="greaterThan" aboveAverage="0" dxfId="8" text="" percent="0" bottom="0">
      <formula>0</formula>
    </cfRule>
  </conditionalFormatting>
  <conditionalFormatting sqref="G191">
    <cfRule type="cellIs" rank="0" priority="555" equalAverage="0" operator="greaterThan" aboveAverage="0" dxfId="8" text="" percent="0" bottom="0">
      <formula>0</formula>
    </cfRule>
  </conditionalFormatting>
  <conditionalFormatting sqref="H191">
    <cfRule type="cellIs" rank="0" priority="556" equalAverage="0" operator="greaterThan" aboveAverage="0" dxfId="8" text="" percent="0" bottom="0">
      <formula>0</formula>
    </cfRule>
  </conditionalFormatting>
  <conditionalFormatting sqref="C192">
    <cfRule type="cellIs" rank="0" priority="557" equalAverage="0" operator="greaterThan" aboveAverage="0" dxfId="8" text="" percent="0" bottom="0">
      <formula>0</formula>
    </cfRule>
  </conditionalFormatting>
  <conditionalFormatting sqref="G192">
    <cfRule type="cellIs" rank="0" priority="558" equalAverage="0" operator="greaterThan" aboveAverage="0" dxfId="8" text="" percent="0" bottom="0">
      <formula>0</formula>
    </cfRule>
  </conditionalFormatting>
  <conditionalFormatting sqref="H192">
    <cfRule type="cellIs" rank="0" priority="559" equalAverage="0" operator="greaterThan" aboveAverage="0" dxfId="8" text="" percent="0" bottom="0">
      <formula>0</formula>
    </cfRule>
  </conditionalFormatting>
  <conditionalFormatting sqref="C193">
    <cfRule type="cellIs" rank="0" priority="560" equalAverage="0" operator="greaterThan" aboveAverage="0" dxfId="8" text="" percent="0" bottom="0">
      <formula>0</formula>
    </cfRule>
  </conditionalFormatting>
  <conditionalFormatting sqref="G193">
    <cfRule type="cellIs" rank="0" priority="561" equalAverage="0" operator="greaterThan" aboveAverage="0" dxfId="8" text="" percent="0" bottom="0">
      <formula>0</formula>
    </cfRule>
  </conditionalFormatting>
  <conditionalFormatting sqref="H193">
    <cfRule type="cellIs" rank="0" priority="562" equalAverage="0" operator="greaterThan" aboveAverage="0" dxfId="8" text="" percent="0" bottom="0">
      <formula>0</formula>
    </cfRule>
  </conditionalFormatting>
  <conditionalFormatting sqref="C194">
    <cfRule type="cellIs" rank="0" priority="563" equalAverage="0" operator="greaterThan" aboveAverage="0" dxfId="8" text="" percent="0" bottom="0">
      <formula>0</formula>
    </cfRule>
  </conditionalFormatting>
  <conditionalFormatting sqref="G194">
    <cfRule type="cellIs" rank="0" priority="564" equalAverage="0" operator="greaterThan" aboveAverage="0" dxfId="8" text="" percent="0" bottom="0">
      <formula>0</formula>
    </cfRule>
  </conditionalFormatting>
  <conditionalFormatting sqref="H194">
    <cfRule type="cellIs" rank="0" priority="565" equalAverage="0" operator="greaterThan" aboveAverage="0" dxfId="8" text="" percent="0" bottom="0">
      <formula>0</formula>
    </cfRule>
  </conditionalFormatting>
  <conditionalFormatting sqref="C195">
    <cfRule type="cellIs" rank="0" priority="566" equalAverage="0" operator="greaterThan" aboveAverage="0" dxfId="8" text="" percent="0" bottom="0">
      <formula>0</formula>
    </cfRule>
  </conditionalFormatting>
  <conditionalFormatting sqref="G195">
    <cfRule type="cellIs" rank="0" priority="567" equalAverage="0" operator="greaterThan" aboveAverage="0" dxfId="8" text="" percent="0" bottom="0">
      <formula>0</formula>
    </cfRule>
  </conditionalFormatting>
  <conditionalFormatting sqref="H195">
    <cfRule type="cellIs" rank="0" priority="568" equalAverage="0" operator="greaterThan" aboveAverage="0" dxfId="8" text="" percent="0" bottom="0">
      <formula>0</formula>
    </cfRule>
  </conditionalFormatting>
  <conditionalFormatting sqref="C196">
    <cfRule type="cellIs" rank="0" priority="569" equalAverage="0" operator="greaterThan" aboveAverage="0" dxfId="8" text="" percent="0" bottom="0">
      <formula>0</formula>
    </cfRule>
  </conditionalFormatting>
  <conditionalFormatting sqref="G196">
    <cfRule type="cellIs" rank="0" priority="570" equalAverage="0" operator="greaterThan" aboveAverage="0" dxfId="8" text="" percent="0" bottom="0">
      <formula>0</formula>
    </cfRule>
  </conditionalFormatting>
  <conditionalFormatting sqref="H196">
    <cfRule type="cellIs" rank="0" priority="571" equalAverage="0" operator="greaterThan" aboveAverage="0" dxfId="8" text="" percent="0" bottom="0">
      <formula>0</formula>
    </cfRule>
  </conditionalFormatting>
  <conditionalFormatting sqref="C197">
    <cfRule type="cellIs" rank="0" priority="572" equalAverage="0" operator="greaterThan" aboveAverage="0" dxfId="8" text="" percent="0" bottom="0">
      <formula>0</formula>
    </cfRule>
  </conditionalFormatting>
  <conditionalFormatting sqref="G197">
    <cfRule type="cellIs" rank="0" priority="573" equalAverage="0" operator="greaterThan" aboveAverage="0" dxfId="8" text="" percent="0" bottom="0">
      <formula>0</formula>
    </cfRule>
  </conditionalFormatting>
  <conditionalFormatting sqref="H197">
    <cfRule type="cellIs" rank="0" priority="574" equalAverage="0" operator="greaterThan" aboveAverage="0" dxfId="8" text="" percent="0" bottom="0">
      <formula>0</formula>
    </cfRule>
  </conditionalFormatting>
  <conditionalFormatting sqref="C198">
    <cfRule type="cellIs" rank="0" priority="575" equalAverage="0" operator="greaterThan" aboveAverage="0" dxfId="8" text="" percent="0" bottom="0">
      <formula>0</formula>
    </cfRule>
  </conditionalFormatting>
  <conditionalFormatting sqref="G198">
    <cfRule type="cellIs" rank="0" priority="576" equalAverage="0" operator="greaterThan" aboveAverage="0" dxfId="8" text="" percent="0" bottom="0">
      <formula>0</formula>
    </cfRule>
  </conditionalFormatting>
  <conditionalFormatting sqref="H198">
    <cfRule type="cellIs" rank="0" priority="577" equalAverage="0" operator="greaterThan" aboveAverage="0" dxfId="8" text="" percent="0" bottom="0">
      <formula>0</formula>
    </cfRule>
  </conditionalFormatting>
  <conditionalFormatting sqref="C199">
    <cfRule type="cellIs" rank="0" priority="578" equalAverage="0" operator="greaterThan" aboveAverage="0" dxfId="8" text="" percent="0" bottom="0">
      <formula>0</formula>
    </cfRule>
  </conditionalFormatting>
  <conditionalFormatting sqref="G199">
    <cfRule type="cellIs" rank="0" priority="579" equalAverage="0" operator="greaterThan" aboveAverage="0" dxfId="8" text="" percent="0" bottom="0">
      <formula>0</formula>
    </cfRule>
  </conditionalFormatting>
  <conditionalFormatting sqref="H199">
    <cfRule type="cellIs" rank="0" priority="580" equalAverage="0" operator="greaterThan" aboveAverage="0" dxfId="8" text="" percent="0" bottom="0">
      <formula>0</formula>
    </cfRule>
  </conditionalFormatting>
  <conditionalFormatting sqref="C200">
    <cfRule type="cellIs" rank="0" priority="581" equalAverage="0" operator="greaterThan" aboveAverage="0" dxfId="8" text="" percent="0" bottom="0">
      <formula>0</formula>
    </cfRule>
  </conditionalFormatting>
  <conditionalFormatting sqref="G200">
    <cfRule type="cellIs" rank="0" priority="582" equalAverage="0" operator="greaterThan" aboveAverage="0" dxfId="8" text="" percent="0" bottom="0">
      <formula>0</formula>
    </cfRule>
  </conditionalFormatting>
  <conditionalFormatting sqref="H200">
    <cfRule type="cellIs" rank="0" priority="583" equalAverage="0" operator="greaterThan" aboveAverage="0" dxfId="8" text="" percent="0" bottom="0">
      <formula>0</formula>
    </cfRule>
  </conditionalFormatting>
  <conditionalFormatting sqref="C201">
    <cfRule type="cellIs" rank="0" priority="584" equalAverage="0" operator="greaterThan" aboveAverage="0" dxfId="8" text="" percent="0" bottom="0">
      <formula>0</formula>
    </cfRule>
  </conditionalFormatting>
  <conditionalFormatting sqref="G201">
    <cfRule type="cellIs" rank="0" priority="585" equalAverage="0" operator="greaterThan" aboveAverage="0" dxfId="8" text="" percent="0" bottom="0">
      <formula>0</formula>
    </cfRule>
  </conditionalFormatting>
  <conditionalFormatting sqref="H201">
    <cfRule type="cellIs" rank="0" priority="586" equalAverage="0" operator="greaterThan" aboveAverage="0" dxfId="8" text="" percent="0" bottom="0">
      <formula>0</formula>
    </cfRule>
  </conditionalFormatting>
  <conditionalFormatting sqref="C202">
    <cfRule type="cellIs" rank="0" priority="587" equalAverage="0" operator="greaterThan" aboveAverage="0" dxfId="8" text="" percent="0" bottom="0">
      <formula>0</formula>
    </cfRule>
  </conditionalFormatting>
  <conditionalFormatting sqref="G202">
    <cfRule type="cellIs" rank="0" priority="588" equalAverage="0" operator="greaterThan" aboveAverage="0" dxfId="8" text="" percent="0" bottom="0">
      <formula>0</formula>
    </cfRule>
  </conditionalFormatting>
  <conditionalFormatting sqref="H202">
    <cfRule type="cellIs" rank="0" priority="589" equalAverage="0" operator="greaterThan" aboveAverage="0" dxfId="8" text="" percent="0" bottom="0">
      <formula>0</formula>
    </cfRule>
  </conditionalFormatting>
  <conditionalFormatting sqref="C203">
    <cfRule type="cellIs" rank="0" priority="590" equalAverage="0" operator="greaterThan" aboveAverage="0" dxfId="8" text="" percent="0" bottom="0">
      <formula>0</formula>
    </cfRule>
  </conditionalFormatting>
  <conditionalFormatting sqref="G203">
    <cfRule type="cellIs" rank="0" priority="591" equalAverage="0" operator="greaterThan" aboveAverage="0" dxfId="8" text="" percent="0" bottom="0">
      <formula>0</formula>
    </cfRule>
  </conditionalFormatting>
  <conditionalFormatting sqref="H203">
    <cfRule type="cellIs" rank="0" priority="592" equalAverage="0" operator="greaterThan" aboveAverage="0" dxfId="8" text="" percent="0" bottom="0">
      <formula>0</formula>
    </cfRule>
  </conditionalFormatting>
  <conditionalFormatting sqref="C204">
    <cfRule type="cellIs" rank="0" priority="593" equalAverage="0" operator="greaterThan" aboveAverage="0" dxfId="8" text="" percent="0" bottom="0">
      <formula>0</formula>
    </cfRule>
  </conditionalFormatting>
  <conditionalFormatting sqref="G204">
    <cfRule type="cellIs" rank="0" priority="594" equalAverage="0" operator="greaterThan" aboveAverage="0" dxfId="8" text="" percent="0" bottom="0">
      <formula>0</formula>
    </cfRule>
  </conditionalFormatting>
  <conditionalFormatting sqref="H204">
    <cfRule type="cellIs" rank="0" priority="595" equalAverage="0" operator="greaterThan" aboveAverage="0" dxfId="8" text="" percent="0" bottom="0">
      <formula>0</formula>
    </cfRule>
  </conditionalFormatting>
  <conditionalFormatting sqref="C205">
    <cfRule type="cellIs" rank="0" priority="596" equalAverage="0" operator="greaterThan" aboveAverage="0" dxfId="8" text="" percent="0" bottom="0">
      <formula>0</formula>
    </cfRule>
  </conditionalFormatting>
  <conditionalFormatting sqref="G205">
    <cfRule type="cellIs" rank="0" priority="597" equalAverage="0" operator="greaterThan" aboveAverage="0" dxfId="8" text="" percent="0" bottom="0">
      <formula>0</formula>
    </cfRule>
  </conditionalFormatting>
  <conditionalFormatting sqref="H205">
    <cfRule type="cellIs" rank="0" priority="598" equalAverage="0" operator="greaterThan" aboveAverage="0" dxfId="8" text="" percent="0" bottom="0">
      <formula>0</formula>
    </cfRule>
  </conditionalFormatting>
  <conditionalFormatting sqref="C206">
    <cfRule type="cellIs" rank="0" priority="599" equalAverage="0" operator="greaterThan" aboveAverage="0" dxfId="8" text="" percent="0" bottom="0">
      <formula>0</formula>
    </cfRule>
  </conditionalFormatting>
  <conditionalFormatting sqref="G206">
    <cfRule type="cellIs" rank="0" priority="600" equalAverage="0" operator="greaterThan" aboveAverage="0" dxfId="8" text="" percent="0" bottom="0">
      <formula>0</formula>
    </cfRule>
  </conditionalFormatting>
  <conditionalFormatting sqref="H206">
    <cfRule type="cellIs" rank="0" priority="601" equalAverage="0" operator="greaterThan" aboveAverage="0" dxfId="8" text="" percent="0" bottom="0">
      <formula>0</formula>
    </cfRule>
  </conditionalFormatting>
  <conditionalFormatting sqref="C207">
    <cfRule type="cellIs" rank="0" priority="602" equalAverage="0" operator="greaterThan" aboveAverage="0" dxfId="8" text="" percent="0" bottom="0">
      <formula>0</formula>
    </cfRule>
  </conditionalFormatting>
  <conditionalFormatting sqref="G207">
    <cfRule type="cellIs" rank="0" priority="603" equalAverage="0" operator="greaterThan" aboveAverage="0" dxfId="8" text="" percent="0" bottom="0">
      <formula>0</formula>
    </cfRule>
  </conditionalFormatting>
  <conditionalFormatting sqref="H207">
    <cfRule type="cellIs" rank="0" priority="604" equalAverage="0" operator="greaterThan" aboveAverage="0" dxfId="8" text="" percent="0" bottom="0">
      <formula>0</formula>
    </cfRule>
  </conditionalFormatting>
  <conditionalFormatting sqref="C208">
    <cfRule type="cellIs" rank="0" priority="605" equalAverage="0" operator="greaterThan" aboveAverage="0" dxfId="8" text="" percent="0" bottom="0">
      <formula>0</formula>
    </cfRule>
  </conditionalFormatting>
  <conditionalFormatting sqref="G208">
    <cfRule type="cellIs" rank="0" priority="606" equalAverage="0" operator="greaterThan" aboveAverage="0" dxfId="8" text="" percent="0" bottom="0">
      <formula>0</formula>
    </cfRule>
  </conditionalFormatting>
  <conditionalFormatting sqref="H208">
    <cfRule type="cellIs" rank="0" priority="607" equalAverage="0" operator="greaterThan" aboveAverage="0" dxfId="8" text="" percent="0" bottom="0">
      <formula>0</formula>
    </cfRule>
  </conditionalFormatting>
  <conditionalFormatting sqref="C209">
    <cfRule type="cellIs" rank="0" priority="608" equalAverage="0" operator="greaterThan" aboveAverage="0" dxfId="8" text="" percent="0" bottom="0">
      <formula>0</formula>
    </cfRule>
  </conditionalFormatting>
  <conditionalFormatting sqref="G209">
    <cfRule type="cellIs" rank="0" priority="609" equalAverage="0" operator="greaterThan" aboveAverage="0" dxfId="8" text="" percent="0" bottom="0">
      <formula>0</formula>
    </cfRule>
  </conditionalFormatting>
  <conditionalFormatting sqref="H209">
    <cfRule type="cellIs" rank="0" priority="610" equalAverage="0" operator="greaterThan" aboveAverage="0" dxfId="8" text="" percent="0" bottom="0">
      <formula>0</formula>
    </cfRule>
  </conditionalFormatting>
  <conditionalFormatting sqref="C210">
    <cfRule type="cellIs" rank="0" priority="611" equalAverage="0" operator="greaterThan" aboveAverage="0" dxfId="8" text="" percent="0" bottom="0">
      <formula>0</formula>
    </cfRule>
  </conditionalFormatting>
  <conditionalFormatting sqref="G210">
    <cfRule type="cellIs" rank="0" priority="612" equalAverage="0" operator="greaterThan" aboveAverage="0" dxfId="8" text="" percent="0" bottom="0">
      <formula>0</formula>
    </cfRule>
  </conditionalFormatting>
  <conditionalFormatting sqref="H210">
    <cfRule type="cellIs" rank="0" priority="613" equalAverage="0" operator="greaterThan" aboveAverage="0" dxfId="8" text="" percent="0" bottom="0">
      <formula>0</formula>
    </cfRule>
  </conditionalFormatting>
  <conditionalFormatting sqref="C211">
    <cfRule type="cellIs" rank="0" priority="614" equalAverage="0" operator="greaterThan" aboveAverage="0" dxfId="8" text="" percent="0" bottom="0">
      <formula>0</formula>
    </cfRule>
  </conditionalFormatting>
  <conditionalFormatting sqref="G211">
    <cfRule type="cellIs" rank="0" priority="615" equalAverage="0" operator="greaterThan" aboveAverage="0" dxfId="8" text="" percent="0" bottom="0">
      <formula>0</formula>
    </cfRule>
  </conditionalFormatting>
  <conditionalFormatting sqref="H211">
    <cfRule type="cellIs" rank="0" priority="616" equalAverage="0" operator="greaterThan" aboveAverage="0" dxfId="8" text="" percent="0" bottom="0">
      <formula>0</formula>
    </cfRule>
  </conditionalFormatting>
  <conditionalFormatting sqref="C212">
    <cfRule type="cellIs" rank="0" priority="617" equalAverage="0" operator="greaterThan" aboveAverage="0" dxfId="8" text="" percent="0" bottom="0">
      <formula>0</formula>
    </cfRule>
  </conditionalFormatting>
  <conditionalFormatting sqref="G212">
    <cfRule type="cellIs" rank="0" priority="618" equalAverage="0" operator="greaterThan" aboveAverage="0" dxfId="8" text="" percent="0" bottom="0">
      <formula>0</formula>
    </cfRule>
  </conditionalFormatting>
  <conditionalFormatting sqref="H212">
    <cfRule type="cellIs" rank="0" priority="619" equalAverage="0" operator="greaterThan" aboveAverage="0" dxfId="8" text="" percent="0" bottom="0">
      <formula>0</formula>
    </cfRule>
  </conditionalFormatting>
  <conditionalFormatting sqref="C213">
    <cfRule type="cellIs" rank="0" priority="620" equalAverage="0" operator="greaterThan" aboveAverage="0" dxfId="8" text="" percent="0" bottom="0">
      <formula>0</formula>
    </cfRule>
  </conditionalFormatting>
  <conditionalFormatting sqref="G213">
    <cfRule type="cellIs" rank="0" priority="621" equalAverage="0" operator="greaterThan" aboveAverage="0" dxfId="8" text="" percent="0" bottom="0">
      <formula>0</formula>
    </cfRule>
  </conditionalFormatting>
  <conditionalFormatting sqref="H213">
    <cfRule type="cellIs" rank="0" priority="622" equalAverage="0" operator="greaterThan" aboveAverage="0" dxfId="8" text="" percent="0" bottom="0">
      <formula>0</formula>
    </cfRule>
  </conditionalFormatting>
  <conditionalFormatting sqref="C214">
    <cfRule type="cellIs" rank="0" priority="623" equalAverage="0" operator="greaterThan" aboveAverage="0" dxfId="8" text="" percent="0" bottom="0">
      <formula>0</formula>
    </cfRule>
  </conditionalFormatting>
  <conditionalFormatting sqref="G214">
    <cfRule type="cellIs" rank="0" priority="624" equalAverage="0" operator="greaterThan" aboveAverage="0" dxfId="8" text="" percent="0" bottom="0">
      <formula>0</formula>
    </cfRule>
  </conditionalFormatting>
  <conditionalFormatting sqref="H214">
    <cfRule type="cellIs" rank="0" priority="625" equalAverage="0" operator="greaterThan" aboveAverage="0" dxfId="8" text="" percent="0" bottom="0">
      <formula>0</formula>
    </cfRule>
  </conditionalFormatting>
  <conditionalFormatting sqref="C215">
    <cfRule type="cellIs" rank="0" priority="626" equalAverage="0" operator="greaterThan" aboveAverage="0" dxfId="8" text="" percent="0" bottom="0">
      <formula>0</formula>
    </cfRule>
  </conditionalFormatting>
  <conditionalFormatting sqref="G215">
    <cfRule type="cellIs" rank="0" priority="627" equalAverage="0" operator="greaterThan" aboveAverage="0" dxfId="8" text="" percent="0" bottom="0">
      <formula>0</formula>
    </cfRule>
  </conditionalFormatting>
  <conditionalFormatting sqref="H215">
    <cfRule type="cellIs" rank="0" priority="628" equalAverage="0" operator="greaterThan" aboveAverage="0" dxfId="8" text="" percent="0" bottom="0">
      <formula>0</formula>
    </cfRule>
  </conditionalFormatting>
  <conditionalFormatting sqref="C216">
    <cfRule type="cellIs" rank="0" priority="629" equalAverage="0" operator="greaterThan" aboveAverage="0" dxfId="8" text="" percent="0" bottom="0">
      <formula>0</formula>
    </cfRule>
  </conditionalFormatting>
  <conditionalFormatting sqref="G216">
    <cfRule type="cellIs" rank="0" priority="630" equalAverage="0" operator="greaterThan" aboveAverage="0" dxfId="8" text="" percent="0" bottom="0">
      <formula>0</formula>
    </cfRule>
  </conditionalFormatting>
  <conditionalFormatting sqref="H216">
    <cfRule type="cellIs" rank="0" priority="631" equalAverage="0" operator="greaterThan" aboveAverage="0" dxfId="8" text="" percent="0" bottom="0">
      <formula>0</formula>
    </cfRule>
  </conditionalFormatting>
  <conditionalFormatting sqref="C217">
    <cfRule type="cellIs" rank="0" priority="632" equalAverage="0" operator="greaterThan" aboveAverage="0" dxfId="8" text="" percent="0" bottom="0">
      <formula>0</formula>
    </cfRule>
  </conditionalFormatting>
  <conditionalFormatting sqref="G217">
    <cfRule type="cellIs" rank="0" priority="633" equalAverage="0" operator="greaterThan" aboveAverage="0" dxfId="8" text="" percent="0" bottom="0">
      <formula>0</formula>
    </cfRule>
  </conditionalFormatting>
  <conditionalFormatting sqref="H217">
    <cfRule type="cellIs" rank="0" priority="634" equalAverage="0" operator="greaterThan" aboveAverage="0" dxfId="8" text="" percent="0" bottom="0">
      <formula>0</formula>
    </cfRule>
  </conditionalFormatting>
  <conditionalFormatting sqref="C218">
    <cfRule type="cellIs" rank="0" priority="635" equalAverage="0" operator="greaterThan" aboveAverage="0" dxfId="8" text="" percent="0" bottom="0">
      <formula>0</formula>
    </cfRule>
  </conditionalFormatting>
  <conditionalFormatting sqref="G218">
    <cfRule type="cellIs" rank="0" priority="636" equalAverage="0" operator="greaterThan" aboveAverage="0" dxfId="8" text="" percent="0" bottom="0">
      <formula>0</formula>
    </cfRule>
  </conditionalFormatting>
  <conditionalFormatting sqref="H218">
    <cfRule type="cellIs" rank="0" priority="637" equalAverage="0" operator="greaterThan" aboveAverage="0" dxfId="8" text="" percent="0" bottom="0">
      <formula>0</formula>
    </cfRule>
  </conditionalFormatting>
  <conditionalFormatting sqref="C219">
    <cfRule type="cellIs" rank="0" priority="638" equalAverage="0" operator="greaterThan" aboveAverage="0" dxfId="8" text="" percent="0" bottom="0">
      <formula>0</formula>
    </cfRule>
  </conditionalFormatting>
  <conditionalFormatting sqref="G219">
    <cfRule type="cellIs" rank="0" priority="639" equalAverage="0" operator="greaterThan" aboveAverage="0" dxfId="8" text="" percent="0" bottom="0">
      <formula>0</formula>
    </cfRule>
  </conditionalFormatting>
  <conditionalFormatting sqref="H219">
    <cfRule type="cellIs" rank="0" priority="640" equalAverage="0" operator="greaterThan" aboveAverage="0" dxfId="8" text="" percent="0" bottom="0">
      <formula>0</formula>
    </cfRule>
  </conditionalFormatting>
  <conditionalFormatting sqref="C220">
    <cfRule type="cellIs" rank="0" priority="641" equalAverage="0" operator="greaterThan" aboveAverage="0" dxfId="8" text="" percent="0" bottom="0">
      <formula>0</formula>
    </cfRule>
  </conditionalFormatting>
  <conditionalFormatting sqref="G220">
    <cfRule type="cellIs" rank="0" priority="642" equalAverage="0" operator="greaterThan" aboveAverage="0" dxfId="8" text="" percent="0" bottom="0">
      <formula>0</formula>
    </cfRule>
  </conditionalFormatting>
  <conditionalFormatting sqref="H220">
    <cfRule type="cellIs" rank="0" priority="643" equalAverage="0" operator="greaterThan" aboveAverage="0" dxfId="8" text="" percent="0" bottom="0">
      <formula>0</formula>
    </cfRule>
  </conditionalFormatting>
  <conditionalFormatting sqref="C221">
    <cfRule type="cellIs" rank="0" priority="644" equalAverage="0" operator="greaterThan" aboveAverage="0" dxfId="8" text="" percent="0" bottom="0">
      <formula>0</formula>
    </cfRule>
  </conditionalFormatting>
  <conditionalFormatting sqref="G221">
    <cfRule type="cellIs" rank="0" priority="645" equalAverage="0" operator="greaterThan" aboveAverage="0" dxfId="8" text="" percent="0" bottom="0">
      <formula>0</formula>
    </cfRule>
  </conditionalFormatting>
  <conditionalFormatting sqref="H221">
    <cfRule type="cellIs" rank="0" priority="646" equalAverage="0" operator="greaterThan" aboveAverage="0" dxfId="8" text="" percent="0" bottom="0">
      <formula>0</formula>
    </cfRule>
  </conditionalFormatting>
  <conditionalFormatting sqref="C222">
    <cfRule type="cellIs" rank="0" priority="647" equalAverage="0" operator="greaterThan" aboveAverage="0" dxfId="8" text="" percent="0" bottom="0">
      <formula>0</formula>
    </cfRule>
  </conditionalFormatting>
  <conditionalFormatting sqref="G222">
    <cfRule type="cellIs" rank="0" priority="648" equalAverage="0" operator="greaterThan" aboveAverage="0" dxfId="8" text="" percent="0" bottom="0">
      <formula>0</formula>
    </cfRule>
  </conditionalFormatting>
  <conditionalFormatting sqref="H222">
    <cfRule type="cellIs" rank="0" priority="649" equalAverage="0" operator="greaterThan" aboveAverage="0" dxfId="8" text="" percent="0" bottom="0">
      <formula>0</formula>
    </cfRule>
  </conditionalFormatting>
  <conditionalFormatting sqref="C223">
    <cfRule type="cellIs" rank="0" priority="650" equalAverage="0" operator="greaterThan" aboveAverage="0" dxfId="8" text="" percent="0" bottom="0">
      <formula>0</formula>
    </cfRule>
  </conditionalFormatting>
  <conditionalFormatting sqref="G223">
    <cfRule type="cellIs" rank="0" priority="651" equalAverage="0" operator="greaterThan" aboveAverage="0" dxfId="8" text="" percent="0" bottom="0">
      <formula>0</formula>
    </cfRule>
  </conditionalFormatting>
  <conditionalFormatting sqref="H223">
    <cfRule type="cellIs" rank="0" priority="652" equalAverage="0" operator="greaterThan" aboveAverage="0" dxfId="8" text="" percent="0" bottom="0">
      <formula>0</formula>
    </cfRule>
  </conditionalFormatting>
  <conditionalFormatting sqref="C224">
    <cfRule type="cellIs" rank="0" priority="653" equalAverage="0" operator="greaterThan" aboveAverage="0" dxfId="8" text="" percent="0" bottom="0">
      <formula>0</formula>
    </cfRule>
  </conditionalFormatting>
  <conditionalFormatting sqref="G224">
    <cfRule type="cellIs" rank="0" priority="654" equalAverage="0" operator="greaterThan" aboveAverage="0" dxfId="8" text="" percent="0" bottom="0">
      <formula>0</formula>
    </cfRule>
  </conditionalFormatting>
  <conditionalFormatting sqref="H224">
    <cfRule type="cellIs" rank="0" priority="655" equalAverage="0" operator="greaterThan" aboveAverage="0" dxfId="8" text="" percent="0" bottom="0">
      <formula>0</formula>
    </cfRule>
  </conditionalFormatting>
  <conditionalFormatting sqref="C225">
    <cfRule type="cellIs" rank="0" priority="656" equalAverage="0" operator="greaterThan" aboveAverage="0" dxfId="8" text="" percent="0" bottom="0">
      <formula>0</formula>
    </cfRule>
  </conditionalFormatting>
  <conditionalFormatting sqref="G225">
    <cfRule type="cellIs" rank="0" priority="657" equalAverage="0" operator="greaterThan" aboveAverage="0" dxfId="8" text="" percent="0" bottom="0">
      <formula>0</formula>
    </cfRule>
  </conditionalFormatting>
  <conditionalFormatting sqref="H225">
    <cfRule type="cellIs" rank="0" priority="658" equalAverage="0" operator="greaterThan" aboveAverage="0" dxfId="8" text="" percent="0" bottom="0">
      <formula>0</formula>
    </cfRule>
  </conditionalFormatting>
  <conditionalFormatting sqref="C226">
    <cfRule type="cellIs" rank="0" priority="659" equalAverage="0" operator="greaterThan" aboveAverage="0" dxfId="8" text="" percent="0" bottom="0">
      <formula>0</formula>
    </cfRule>
  </conditionalFormatting>
  <conditionalFormatting sqref="G226">
    <cfRule type="cellIs" rank="0" priority="660" equalAverage="0" operator="greaterThan" aboveAverage="0" dxfId="8" text="" percent="0" bottom="0">
      <formula>0</formula>
    </cfRule>
  </conditionalFormatting>
  <conditionalFormatting sqref="H226">
    <cfRule type="cellIs" rank="0" priority="661" equalAverage="0" operator="greaterThan" aboveAverage="0" dxfId="8" text="" percent="0" bottom="0">
      <formula>0</formula>
    </cfRule>
  </conditionalFormatting>
  <conditionalFormatting sqref="C227">
    <cfRule type="cellIs" rank="0" priority="662" equalAverage="0" operator="greaterThan" aboveAverage="0" dxfId="8" text="" percent="0" bottom="0">
      <formula>0</formula>
    </cfRule>
  </conditionalFormatting>
  <conditionalFormatting sqref="G227">
    <cfRule type="cellIs" rank="0" priority="663" equalAverage="0" operator="greaterThan" aboveAverage="0" dxfId="8" text="" percent="0" bottom="0">
      <formula>0</formula>
    </cfRule>
  </conditionalFormatting>
  <conditionalFormatting sqref="H227">
    <cfRule type="cellIs" rank="0" priority="664" equalAverage="0" operator="greaterThan" aboveAverage="0" dxfId="8" text="" percent="0" bottom="0">
      <formula>0</formula>
    </cfRule>
  </conditionalFormatting>
  <conditionalFormatting sqref="C228">
    <cfRule type="cellIs" rank="0" priority="665" equalAverage="0" operator="greaterThan" aboveAverage="0" dxfId="8" text="" percent="0" bottom="0">
      <formula>0</formula>
    </cfRule>
  </conditionalFormatting>
  <conditionalFormatting sqref="G228">
    <cfRule type="cellIs" rank="0" priority="666" equalAverage="0" operator="greaterThan" aboveAverage="0" dxfId="8" text="" percent="0" bottom="0">
      <formula>0</formula>
    </cfRule>
  </conditionalFormatting>
  <conditionalFormatting sqref="H228">
    <cfRule type="cellIs" rank="0" priority="667" equalAverage="0" operator="greaterThan" aboveAverage="0" dxfId="8" text="" percent="0" bottom="0">
      <formula>0</formula>
    </cfRule>
  </conditionalFormatting>
  <conditionalFormatting sqref="C229">
    <cfRule type="cellIs" rank="0" priority="668" equalAverage="0" operator="greaterThan" aboveAverage="0" dxfId="8" text="" percent="0" bottom="0">
      <formula>0</formula>
    </cfRule>
  </conditionalFormatting>
  <conditionalFormatting sqref="G229">
    <cfRule type="cellIs" rank="0" priority="669" equalAverage="0" operator="greaterThan" aboveAverage="0" dxfId="8" text="" percent="0" bottom="0">
      <formula>0</formula>
    </cfRule>
  </conditionalFormatting>
  <conditionalFormatting sqref="H229">
    <cfRule type="cellIs" rank="0" priority="670" equalAverage="0" operator="greaterThan" aboveAverage="0" dxfId="8" text="" percent="0" bottom="0">
      <formula>0</formula>
    </cfRule>
  </conditionalFormatting>
  <conditionalFormatting sqref="C230">
    <cfRule type="cellIs" rank="0" priority="671" equalAverage="0" operator="greaterThan" aboveAverage="0" dxfId="8" text="" percent="0" bottom="0">
      <formula>0</formula>
    </cfRule>
  </conditionalFormatting>
  <conditionalFormatting sqref="G230">
    <cfRule type="cellIs" rank="0" priority="672" equalAverage="0" operator="greaterThan" aboveAverage="0" dxfId="8" text="" percent="0" bottom="0">
      <formula>0</formula>
    </cfRule>
  </conditionalFormatting>
  <conditionalFormatting sqref="H230">
    <cfRule type="cellIs" rank="0" priority="673" equalAverage="0" operator="greaterThan" aboveAverage="0" dxfId="8" text="" percent="0" bottom="0">
      <formula>0</formula>
    </cfRule>
  </conditionalFormatting>
  <conditionalFormatting sqref="C231">
    <cfRule type="cellIs" rank="0" priority="674" equalAverage="0" operator="greaterThan" aboveAverage="0" dxfId="8" text="" percent="0" bottom="0">
      <formula>0</formula>
    </cfRule>
  </conditionalFormatting>
  <conditionalFormatting sqref="G231">
    <cfRule type="cellIs" rank="0" priority="675" equalAverage="0" operator="greaterThan" aboveAverage="0" dxfId="8" text="" percent="0" bottom="0">
      <formula>0</formula>
    </cfRule>
  </conditionalFormatting>
  <conditionalFormatting sqref="H231">
    <cfRule type="cellIs" rank="0" priority="676" equalAverage="0" operator="greaterThan" aboveAverage="0" dxfId="8" text="" percent="0" bottom="0">
      <formula>0</formula>
    </cfRule>
  </conditionalFormatting>
  <conditionalFormatting sqref="C232">
    <cfRule type="cellIs" rank="0" priority="677" equalAverage="0" operator="greaterThan" aboveAverage="0" dxfId="8" text="" percent="0" bottom="0">
      <formula>0</formula>
    </cfRule>
  </conditionalFormatting>
  <conditionalFormatting sqref="G232">
    <cfRule type="cellIs" rank="0" priority="678" equalAverage="0" operator="greaterThan" aboveAverage="0" dxfId="8" text="" percent="0" bottom="0">
      <formula>0</formula>
    </cfRule>
  </conditionalFormatting>
  <conditionalFormatting sqref="H232">
    <cfRule type="cellIs" rank="0" priority="679" equalAverage="0" operator="greaterThan" aboveAverage="0" dxfId="8" text="" percent="0" bottom="0">
      <formula>0</formula>
    </cfRule>
  </conditionalFormatting>
  <conditionalFormatting sqref="C233">
    <cfRule type="cellIs" rank="0" priority="680" equalAverage="0" operator="greaterThan" aboveAverage="0" dxfId="8" text="" percent="0" bottom="0">
      <formula>0</formula>
    </cfRule>
  </conditionalFormatting>
  <conditionalFormatting sqref="G233">
    <cfRule type="cellIs" rank="0" priority="681" equalAverage="0" operator="greaterThan" aboveAverage="0" dxfId="8" text="" percent="0" bottom="0">
      <formula>0</formula>
    </cfRule>
  </conditionalFormatting>
  <conditionalFormatting sqref="H233">
    <cfRule type="cellIs" rank="0" priority="682" equalAverage="0" operator="greaterThan" aboveAverage="0" dxfId="8" text="" percent="0" bottom="0">
      <formula>0</formula>
    </cfRule>
  </conditionalFormatting>
  <conditionalFormatting sqref="C234">
    <cfRule type="cellIs" rank="0" priority="683" equalAverage="0" operator="greaterThan" aboveAverage="0" dxfId="8" text="" percent="0" bottom="0">
      <formula>0</formula>
    </cfRule>
  </conditionalFormatting>
  <conditionalFormatting sqref="G234">
    <cfRule type="cellIs" rank="0" priority="684" equalAverage="0" operator="greaterThan" aboveAverage="0" dxfId="8" text="" percent="0" bottom="0">
      <formula>0</formula>
    </cfRule>
  </conditionalFormatting>
  <conditionalFormatting sqref="H234">
    <cfRule type="cellIs" rank="0" priority="685" equalAverage="0" operator="greaterThan" aboveAverage="0" dxfId="8" text="" percent="0" bottom="0">
      <formula>0</formula>
    </cfRule>
  </conditionalFormatting>
  <conditionalFormatting sqref="C235">
    <cfRule type="cellIs" rank="0" priority="686" equalAverage="0" operator="greaterThan" aboveAverage="0" dxfId="8" text="" percent="0" bottom="0">
      <formula>0</formula>
    </cfRule>
  </conditionalFormatting>
  <conditionalFormatting sqref="G235">
    <cfRule type="cellIs" rank="0" priority="687" equalAverage="0" operator="greaterThan" aboveAverage="0" dxfId="8" text="" percent="0" bottom="0">
      <formula>0</formula>
    </cfRule>
  </conditionalFormatting>
  <conditionalFormatting sqref="H235">
    <cfRule type="cellIs" rank="0" priority="688" equalAverage="0" operator="greaterThan" aboveAverage="0" dxfId="8" text="" percent="0" bottom="0">
      <formula>0</formula>
    </cfRule>
  </conditionalFormatting>
  <conditionalFormatting sqref="C236">
    <cfRule type="cellIs" rank="0" priority="689" equalAverage="0" operator="greaterThan" aboveAverage="0" dxfId="8" text="" percent="0" bottom="0">
      <formula>0</formula>
    </cfRule>
  </conditionalFormatting>
  <conditionalFormatting sqref="G236">
    <cfRule type="cellIs" rank="0" priority="690" equalAverage="0" operator="greaterThan" aboveAverage="0" dxfId="8" text="" percent="0" bottom="0">
      <formula>0</formula>
    </cfRule>
  </conditionalFormatting>
  <conditionalFormatting sqref="H236">
    <cfRule type="cellIs" rank="0" priority="691" equalAverage="0" operator="greaterThan" aboveAverage="0" dxfId="8" text="" percent="0" bottom="0">
      <formula>0</formula>
    </cfRule>
  </conditionalFormatting>
  <conditionalFormatting sqref="C237">
    <cfRule type="cellIs" rank="0" priority="692" equalAverage="0" operator="greaterThan" aboveAverage="0" dxfId="8" text="" percent="0" bottom="0">
      <formula>0</formula>
    </cfRule>
  </conditionalFormatting>
  <conditionalFormatting sqref="G237">
    <cfRule type="cellIs" rank="0" priority="693" equalAverage="0" operator="greaterThan" aboveAverage="0" dxfId="8" text="" percent="0" bottom="0">
      <formula>0</formula>
    </cfRule>
  </conditionalFormatting>
  <conditionalFormatting sqref="H237">
    <cfRule type="cellIs" rank="0" priority="694" equalAverage="0" operator="greaterThan" aboveAverage="0" dxfId="8" text="" percent="0" bottom="0">
      <formula>0</formula>
    </cfRule>
  </conditionalFormatting>
  <conditionalFormatting sqref="C238">
    <cfRule type="cellIs" rank="0" priority="695" equalAverage="0" operator="greaterThan" aboveAverage="0" dxfId="8" text="" percent="0" bottom="0">
      <formula>0</formula>
    </cfRule>
  </conditionalFormatting>
  <conditionalFormatting sqref="G238">
    <cfRule type="cellIs" rank="0" priority="696" equalAverage="0" operator="greaterThan" aboveAverage="0" dxfId="8" text="" percent="0" bottom="0">
      <formula>0</formula>
    </cfRule>
  </conditionalFormatting>
  <conditionalFormatting sqref="H238">
    <cfRule type="cellIs" rank="0" priority="697" equalAverage="0" operator="greaterThan" aboveAverage="0" dxfId="8" text="" percent="0" bottom="0">
      <formula>0</formula>
    </cfRule>
  </conditionalFormatting>
  <conditionalFormatting sqref="C239">
    <cfRule type="cellIs" rank="0" priority="698" equalAverage="0" operator="greaterThan" aboveAverage="0" dxfId="8" text="" percent="0" bottom="0">
      <formula>0</formula>
    </cfRule>
  </conditionalFormatting>
  <conditionalFormatting sqref="G239">
    <cfRule type="cellIs" rank="0" priority="699" equalAverage="0" operator="greaterThan" aboveAverage="0" dxfId="8" text="" percent="0" bottom="0">
      <formula>0</formula>
    </cfRule>
  </conditionalFormatting>
  <conditionalFormatting sqref="H239">
    <cfRule type="cellIs" rank="0" priority="700" equalAverage="0" operator="greaterThan" aboveAverage="0" dxfId="8" text="" percent="0" bottom="0">
      <formula>0</formula>
    </cfRule>
  </conditionalFormatting>
  <conditionalFormatting sqref="C240">
    <cfRule type="cellIs" rank="0" priority="701" equalAverage="0" operator="greaterThan" aboveAverage="0" dxfId="8" text="" percent="0" bottom="0">
      <formula>0</formula>
    </cfRule>
  </conditionalFormatting>
  <conditionalFormatting sqref="G240">
    <cfRule type="cellIs" rank="0" priority="702" equalAverage="0" operator="greaterThan" aboveAverage="0" dxfId="8" text="" percent="0" bottom="0">
      <formula>0</formula>
    </cfRule>
  </conditionalFormatting>
  <conditionalFormatting sqref="H240">
    <cfRule type="cellIs" rank="0" priority="703" equalAverage="0" operator="greaterThan" aboveAverage="0" dxfId="8" text="" percent="0" bottom="0">
      <formula>0</formula>
    </cfRule>
  </conditionalFormatting>
  <conditionalFormatting sqref="C241">
    <cfRule type="cellIs" rank="0" priority="704" equalAverage="0" operator="greaterThan" aboveAverage="0" dxfId="8" text="" percent="0" bottom="0">
      <formula>0</formula>
    </cfRule>
  </conditionalFormatting>
  <conditionalFormatting sqref="G241">
    <cfRule type="cellIs" rank="0" priority="705" equalAverage="0" operator="greaterThan" aboveAverage="0" dxfId="8" text="" percent="0" bottom="0">
      <formula>0</formula>
    </cfRule>
  </conditionalFormatting>
  <conditionalFormatting sqref="H241">
    <cfRule type="cellIs" rank="0" priority="706" equalAverage="0" operator="greaterThan" aboveAverage="0" dxfId="8" text="" percent="0" bottom="0">
      <formula>0</formula>
    </cfRule>
  </conditionalFormatting>
  <conditionalFormatting sqref="C242">
    <cfRule type="cellIs" rank="0" priority="707" equalAverage="0" operator="greaterThan" aboveAverage="0" dxfId="8" text="" percent="0" bottom="0">
      <formula>0</formula>
    </cfRule>
  </conditionalFormatting>
  <conditionalFormatting sqref="G242">
    <cfRule type="cellIs" rank="0" priority="708" equalAverage="0" operator="greaterThan" aboveAverage="0" dxfId="8" text="" percent="0" bottom="0">
      <formula>0</formula>
    </cfRule>
  </conditionalFormatting>
  <conditionalFormatting sqref="H242">
    <cfRule type="cellIs" rank="0" priority="709" equalAverage="0" operator="greaterThan" aboveAverage="0" dxfId="8" text="" percent="0" bottom="0">
      <formula>0</formula>
    </cfRule>
  </conditionalFormatting>
  <conditionalFormatting sqref="C243">
    <cfRule type="cellIs" rank="0" priority="710" equalAverage="0" operator="greaterThan" aboveAverage="0" dxfId="8" text="" percent="0" bottom="0">
      <formula>0</formula>
    </cfRule>
  </conditionalFormatting>
  <conditionalFormatting sqref="G243">
    <cfRule type="cellIs" rank="0" priority="711" equalAverage="0" operator="greaterThan" aboveAverage="0" dxfId="8" text="" percent="0" bottom="0">
      <formula>0</formula>
    </cfRule>
  </conditionalFormatting>
  <conditionalFormatting sqref="H243">
    <cfRule type="cellIs" rank="0" priority="712" equalAverage="0" operator="greaterThan" aboveAverage="0" dxfId="8" text="" percent="0" bottom="0">
      <formula>0</formula>
    </cfRule>
  </conditionalFormatting>
  <conditionalFormatting sqref="C244">
    <cfRule type="cellIs" rank="0" priority="713" equalAverage="0" operator="greaterThan" aboveAverage="0" dxfId="8" text="" percent="0" bottom="0">
      <formula>0</formula>
    </cfRule>
  </conditionalFormatting>
  <conditionalFormatting sqref="G244">
    <cfRule type="cellIs" rank="0" priority="714" equalAverage="0" operator="greaterThan" aboveAverage="0" dxfId="8" text="" percent="0" bottom="0">
      <formula>0</formula>
    </cfRule>
  </conditionalFormatting>
  <conditionalFormatting sqref="H244">
    <cfRule type="cellIs" rank="0" priority="715" equalAverage="0" operator="greaterThan" aboveAverage="0" dxfId="8" text="" percent="0" bottom="0">
      <formula>0</formula>
    </cfRule>
  </conditionalFormatting>
  <conditionalFormatting sqref="C245">
    <cfRule type="cellIs" rank="0" priority="716" equalAverage="0" operator="greaterThan" aboveAverage="0" dxfId="8" text="" percent="0" bottom="0">
      <formula>0</formula>
    </cfRule>
  </conditionalFormatting>
  <conditionalFormatting sqref="G245">
    <cfRule type="cellIs" rank="0" priority="717" equalAverage="0" operator="greaterThan" aboveAverage="0" dxfId="8" text="" percent="0" bottom="0">
      <formula>0</formula>
    </cfRule>
  </conditionalFormatting>
  <conditionalFormatting sqref="H245">
    <cfRule type="cellIs" rank="0" priority="718" equalAverage="0" operator="greaterThan" aboveAverage="0" dxfId="8" text="" percent="0" bottom="0">
      <formula>0</formula>
    </cfRule>
  </conditionalFormatting>
  <conditionalFormatting sqref="C246">
    <cfRule type="cellIs" rank="0" priority="719" equalAverage="0" operator="greaterThan" aboveAverage="0" dxfId="8" text="" percent="0" bottom="0">
      <formula>0</formula>
    </cfRule>
  </conditionalFormatting>
  <conditionalFormatting sqref="G246">
    <cfRule type="cellIs" rank="0" priority="720" equalAverage="0" operator="greaterThan" aboveAverage="0" dxfId="8" text="" percent="0" bottom="0">
      <formula>0</formula>
    </cfRule>
  </conditionalFormatting>
  <conditionalFormatting sqref="H246">
    <cfRule type="cellIs" rank="0" priority="721" equalAverage="0" operator="greaterThan" aboveAverage="0" dxfId="8" text="" percent="0" bottom="0">
      <formula>0</formula>
    </cfRule>
  </conditionalFormatting>
  <conditionalFormatting sqref="C247">
    <cfRule type="cellIs" rank="0" priority="722" equalAverage="0" operator="greaterThan" aboveAverage="0" dxfId="8" text="" percent="0" bottom="0">
      <formula>0</formula>
    </cfRule>
  </conditionalFormatting>
  <conditionalFormatting sqref="G247">
    <cfRule type="cellIs" rank="0" priority="723" equalAverage="0" operator="greaterThan" aboveAverage="0" dxfId="8" text="" percent="0" bottom="0">
      <formula>0</formula>
    </cfRule>
  </conditionalFormatting>
  <conditionalFormatting sqref="H247">
    <cfRule type="cellIs" rank="0" priority="724" equalAverage="0" operator="greaterThan" aboveAverage="0" dxfId="8" text="" percent="0" bottom="0">
      <formula>0</formula>
    </cfRule>
  </conditionalFormatting>
  <conditionalFormatting sqref="C248">
    <cfRule type="cellIs" rank="0" priority="725" equalAverage="0" operator="greaterThan" aboveAverage="0" dxfId="8" text="" percent="0" bottom="0">
      <formula>0</formula>
    </cfRule>
  </conditionalFormatting>
  <conditionalFormatting sqref="G248">
    <cfRule type="cellIs" rank="0" priority="726" equalAverage="0" operator="greaterThan" aboveAverage="0" dxfId="8" text="" percent="0" bottom="0">
      <formula>0</formula>
    </cfRule>
  </conditionalFormatting>
  <conditionalFormatting sqref="H248">
    <cfRule type="cellIs" rank="0" priority="727" equalAverage="0" operator="greaterThan" aboveAverage="0" dxfId="8" text="" percent="0" bottom="0">
      <formula>0</formula>
    </cfRule>
  </conditionalFormatting>
  <conditionalFormatting sqref="C249">
    <cfRule type="cellIs" rank="0" priority="728" equalAverage="0" operator="greaterThan" aboveAverage="0" dxfId="8" text="" percent="0" bottom="0">
      <formula>0</formula>
    </cfRule>
  </conditionalFormatting>
  <conditionalFormatting sqref="G249">
    <cfRule type="cellIs" rank="0" priority="729" equalAverage="0" operator="greaterThan" aboveAverage="0" dxfId="8" text="" percent="0" bottom="0">
      <formula>0</formula>
    </cfRule>
  </conditionalFormatting>
  <conditionalFormatting sqref="H249">
    <cfRule type="cellIs" rank="0" priority="730" equalAverage="0" operator="greaterThan" aboveAverage="0" dxfId="8" text="" percent="0" bottom="0">
      <formula>0</formula>
    </cfRule>
  </conditionalFormatting>
  <conditionalFormatting sqref="C250">
    <cfRule type="cellIs" rank="0" priority="731" equalAverage="0" operator="greaterThan" aboveAverage="0" dxfId="8" text="" percent="0" bottom="0">
      <formula>0</formula>
    </cfRule>
  </conditionalFormatting>
  <conditionalFormatting sqref="G250">
    <cfRule type="cellIs" rank="0" priority="732" equalAverage="0" operator="greaterThan" aboveAverage="0" dxfId="8" text="" percent="0" bottom="0">
      <formula>0</formula>
    </cfRule>
  </conditionalFormatting>
  <conditionalFormatting sqref="H250">
    <cfRule type="cellIs" rank="0" priority="733" equalAverage="0" operator="greaterThan" aboveAverage="0" dxfId="8" text="" percent="0" bottom="0">
      <formula>0</formula>
    </cfRule>
  </conditionalFormatting>
  <conditionalFormatting sqref="C251">
    <cfRule type="cellIs" rank="0" priority="734" equalAverage="0" operator="greaterThan" aboveAverage="0" dxfId="8" text="" percent="0" bottom="0">
      <formula>0</formula>
    </cfRule>
  </conditionalFormatting>
  <conditionalFormatting sqref="G251">
    <cfRule type="cellIs" rank="0" priority="735" equalAverage="0" operator="greaterThan" aboveAverage="0" dxfId="8" text="" percent="0" bottom="0">
      <formula>0</formula>
    </cfRule>
  </conditionalFormatting>
  <conditionalFormatting sqref="H251">
    <cfRule type="cellIs" rank="0" priority="736" equalAverage="0" operator="greaterThan" aboveAverage="0" dxfId="8" text="" percent="0" bottom="0">
      <formula>0</formula>
    </cfRule>
  </conditionalFormatting>
  <conditionalFormatting sqref="C252">
    <cfRule type="cellIs" rank="0" priority="737" equalAverage="0" operator="greaterThan" aboveAverage="0" dxfId="8" text="" percent="0" bottom="0">
      <formula>0</formula>
    </cfRule>
  </conditionalFormatting>
  <conditionalFormatting sqref="G252">
    <cfRule type="cellIs" rank="0" priority="738" equalAverage="0" operator="greaterThan" aboveAverage="0" dxfId="8" text="" percent="0" bottom="0">
      <formula>0</formula>
    </cfRule>
  </conditionalFormatting>
  <conditionalFormatting sqref="H252">
    <cfRule type="cellIs" rank="0" priority="739" equalAverage="0" operator="greaterThan" aboveAverage="0" dxfId="8" text="" percent="0" bottom="0">
      <formula>0</formula>
    </cfRule>
  </conditionalFormatting>
  <conditionalFormatting sqref="C253">
    <cfRule type="cellIs" rank="0" priority="740" equalAverage="0" operator="greaterThan" aboveAverage="0" dxfId="8" text="" percent="0" bottom="0">
      <formula>0</formula>
    </cfRule>
  </conditionalFormatting>
  <conditionalFormatting sqref="G253">
    <cfRule type="cellIs" rank="0" priority="741" equalAverage="0" operator="greaterThan" aboveAverage="0" dxfId="8" text="" percent="0" bottom="0">
      <formula>0</formula>
    </cfRule>
  </conditionalFormatting>
  <conditionalFormatting sqref="H253">
    <cfRule type="cellIs" rank="0" priority="742" equalAverage="0" operator="greaterThan" aboveAverage="0" dxfId="8" text="" percent="0" bottom="0">
      <formula>0</formula>
    </cfRule>
  </conditionalFormatting>
  <conditionalFormatting sqref="C254">
    <cfRule type="cellIs" rank="0" priority="743" equalAverage="0" operator="greaterThan" aboveAverage="0" dxfId="8" text="" percent="0" bottom="0">
      <formula>0</formula>
    </cfRule>
  </conditionalFormatting>
  <conditionalFormatting sqref="G254">
    <cfRule type="cellIs" rank="0" priority="744" equalAverage="0" operator="greaterThan" aboveAverage="0" dxfId="8" text="" percent="0" bottom="0">
      <formula>0</formula>
    </cfRule>
  </conditionalFormatting>
  <conditionalFormatting sqref="H254">
    <cfRule type="cellIs" rank="0" priority="745" equalAverage="0" operator="greaterThan" aboveAverage="0" dxfId="8" text="" percent="0" bottom="0">
      <formula>0</formula>
    </cfRule>
  </conditionalFormatting>
  <conditionalFormatting sqref="C255">
    <cfRule type="cellIs" rank="0" priority="746" equalAverage="0" operator="greaterThan" aboveAverage="0" dxfId="8" text="" percent="0" bottom="0">
      <formula>0</formula>
    </cfRule>
  </conditionalFormatting>
  <conditionalFormatting sqref="G255">
    <cfRule type="cellIs" rank="0" priority="747" equalAverage="0" operator="greaterThan" aboveAverage="0" dxfId="8" text="" percent="0" bottom="0">
      <formula>0</formula>
    </cfRule>
  </conditionalFormatting>
  <conditionalFormatting sqref="H255">
    <cfRule type="cellIs" rank="0" priority="748" equalAverage="0" operator="greaterThan" aboveAverage="0" dxfId="8" text="" percent="0" bottom="0">
      <formula>0</formula>
    </cfRule>
  </conditionalFormatting>
  <conditionalFormatting sqref="C256">
    <cfRule type="cellIs" rank="0" priority="749" equalAverage="0" operator="greaterThan" aboveAverage="0" dxfId="8" text="" percent="0" bottom="0">
      <formula>0</formula>
    </cfRule>
  </conditionalFormatting>
  <conditionalFormatting sqref="G256">
    <cfRule type="cellIs" rank="0" priority="750" equalAverage="0" operator="greaterThan" aboveAverage="0" dxfId="8" text="" percent="0" bottom="0">
      <formula>0</formula>
    </cfRule>
  </conditionalFormatting>
  <conditionalFormatting sqref="H256">
    <cfRule type="cellIs" rank="0" priority="751" equalAverage="0" operator="greaterThan" aboveAverage="0" dxfId="8" text="" percent="0" bottom="0">
      <formula>0</formula>
    </cfRule>
  </conditionalFormatting>
  <conditionalFormatting sqref="C257">
    <cfRule type="cellIs" rank="0" priority="752" equalAverage="0" operator="greaterThan" aboveAverage="0" dxfId="8" text="" percent="0" bottom="0">
      <formula>0</formula>
    </cfRule>
  </conditionalFormatting>
  <conditionalFormatting sqref="G257">
    <cfRule type="cellIs" rank="0" priority="753" equalAverage="0" operator="greaterThan" aboveAverage="0" dxfId="8" text="" percent="0" bottom="0">
      <formula>0</formula>
    </cfRule>
  </conditionalFormatting>
  <conditionalFormatting sqref="H257">
    <cfRule type="cellIs" rank="0" priority="754" equalAverage="0" operator="greaterThan" aboveAverage="0" dxfId="8" text="" percent="0" bottom="0">
      <formula>0</formula>
    </cfRule>
  </conditionalFormatting>
  <conditionalFormatting sqref="C258">
    <cfRule type="cellIs" rank="0" priority="755" equalAverage="0" operator="greaterThan" aboveAverage="0" dxfId="8" text="" percent="0" bottom="0">
      <formula>0</formula>
    </cfRule>
  </conditionalFormatting>
  <conditionalFormatting sqref="G258">
    <cfRule type="cellIs" rank="0" priority="756" equalAverage="0" operator="greaterThan" aboveAverage="0" dxfId="8" text="" percent="0" bottom="0">
      <formula>0</formula>
    </cfRule>
  </conditionalFormatting>
  <conditionalFormatting sqref="H258">
    <cfRule type="cellIs" rank="0" priority="757" equalAverage="0" operator="greaterThan" aboveAverage="0" dxfId="8" text="" percent="0" bottom="0">
      <formula>0</formula>
    </cfRule>
  </conditionalFormatting>
  <conditionalFormatting sqref="C259">
    <cfRule type="cellIs" rank="0" priority="758" equalAverage="0" operator="greaterThan" aboveAverage="0" dxfId="8" text="" percent="0" bottom="0">
      <formula>0</formula>
    </cfRule>
  </conditionalFormatting>
  <conditionalFormatting sqref="G259">
    <cfRule type="cellIs" rank="0" priority="759" equalAverage="0" operator="greaterThan" aboveAverage="0" dxfId="8" text="" percent="0" bottom="0">
      <formula>0</formula>
    </cfRule>
  </conditionalFormatting>
  <conditionalFormatting sqref="H259">
    <cfRule type="cellIs" rank="0" priority="760" equalAverage="0" operator="greaterThan" aboveAverage="0" dxfId="8" text="" percent="0" bottom="0">
      <formula>0</formula>
    </cfRule>
  </conditionalFormatting>
  <conditionalFormatting sqref="C260">
    <cfRule type="cellIs" rank="0" priority="761" equalAverage="0" operator="greaterThan" aboveAverage="0" dxfId="8" text="" percent="0" bottom="0">
      <formula>0</formula>
    </cfRule>
  </conditionalFormatting>
  <conditionalFormatting sqref="G260">
    <cfRule type="cellIs" rank="0" priority="762" equalAverage="0" operator="greaterThan" aboveAverage="0" dxfId="8" text="" percent="0" bottom="0">
      <formula>0</formula>
    </cfRule>
  </conditionalFormatting>
  <conditionalFormatting sqref="H260">
    <cfRule type="cellIs" rank="0" priority="763" equalAverage="0" operator="greaterThan" aboveAverage="0" dxfId="8" text="" percent="0" bottom="0">
      <formula>0</formula>
    </cfRule>
  </conditionalFormatting>
  <conditionalFormatting sqref="C261">
    <cfRule type="cellIs" rank="0" priority="764" equalAverage="0" operator="greaterThan" aboveAverage="0" dxfId="8" text="" percent="0" bottom="0">
      <formula>0</formula>
    </cfRule>
  </conditionalFormatting>
  <conditionalFormatting sqref="G261">
    <cfRule type="cellIs" rank="0" priority="765" equalAverage="0" operator="greaterThan" aboveAverage="0" dxfId="8" text="" percent="0" bottom="0">
      <formula>0</formula>
    </cfRule>
  </conditionalFormatting>
  <conditionalFormatting sqref="H261">
    <cfRule type="cellIs" rank="0" priority="766" equalAverage="0" operator="greaterThan" aboveAverage="0" dxfId="8" text="" percent="0" bottom="0">
      <formula>0</formula>
    </cfRule>
  </conditionalFormatting>
  <conditionalFormatting sqref="C262">
    <cfRule type="cellIs" rank="0" priority="767" equalAverage="0" operator="greaterThan" aboveAverage="0" dxfId="8" text="" percent="0" bottom="0">
      <formula>0</formula>
    </cfRule>
  </conditionalFormatting>
  <conditionalFormatting sqref="G262">
    <cfRule type="cellIs" rank="0" priority="768" equalAverage="0" operator="greaterThan" aboveAverage="0" dxfId="8" text="" percent="0" bottom="0">
      <formula>0</formula>
    </cfRule>
  </conditionalFormatting>
  <conditionalFormatting sqref="H262">
    <cfRule type="cellIs" rank="0" priority="769" equalAverage="0" operator="greaterThan" aboveAverage="0" dxfId="8" text="" percent="0" bottom="0">
      <formula>0</formula>
    </cfRule>
  </conditionalFormatting>
  <conditionalFormatting sqref="C263">
    <cfRule type="cellIs" rank="0" priority="770" equalAverage="0" operator="greaterThan" aboveAverage="0" dxfId="8" text="" percent="0" bottom="0">
      <formula>0</formula>
    </cfRule>
  </conditionalFormatting>
  <conditionalFormatting sqref="G263">
    <cfRule type="cellIs" rank="0" priority="771" equalAverage="0" operator="greaterThan" aboveAverage="0" dxfId="8" text="" percent="0" bottom="0">
      <formula>0</formula>
    </cfRule>
  </conditionalFormatting>
  <conditionalFormatting sqref="H263">
    <cfRule type="cellIs" rank="0" priority="772" equalAverage="0" operator="greaterThan" aboveAverage="0" dxfId="8" text="" percent="0" bottom="0">
      <formula>0</formula>
    </cfRule>
  </conditionalFormatting>
  <conditionalFormatting sqref="C264">
    <cfRule type="cellIs" rank="0" priority="773" equalAverage="0" operator="greaterThan" aboveAverage="0" dxfId="8" text="" percent="0" bottom="0">
      <formula>0</formula>
    </cfRule>
  </conditionalFormatting>
  <conditionalFormatting sqref="G264">
    <cfRule type="cellIs" rank="0" priority="774" equalAverage="0" operator="greaterThan" aboveAverage="0" dxfId="8" text="" percent="0" bottom="0">
      <formula>0</formula>
    </cfRule>
  </conditionalFormatting>
  <conditionalFormatting sqref="H264">
    <cfRule type="cellIs" rank="0" priority="775" equalAverage="0" operator="greaterThan" aboveAverage="0" dxfId="8" text="" percent="0" bottom="0">
      <formula>0</formula>
    </cfRule>
  </conditionalFormatting>
  <conditionalFormatting sqref="C265">
    <cfRule type="cellIs" rank="0" priority="776" equalAverage="0" operator="greaterThan" aboveAverage="0" dxfId="8" text="" percent="0" bottom="0">
      <formula>0</formula>
    </cfRule>
  </conditionalFormatting>
  <conditionalFormatting sqref="G265">
    <cfRule type="cellIs" rank="0" priority="777" equalAverage="0" operator="greaterThan" aboveAverage="0" dxfId="8" text="" percent="0" bottom="0">
      <formula>0</formula>
    </cfRule>
  </conditionalFormatting>
  <conditionalFormatting sqref="H265">
    <cfRule type="cellIs" rank="0" priority="778" equalAverage="0" operator="greaterThan" aboveAverage="0" dxfId="8" text="" percent="0" bottom="0">
      <formula>0</formula>
    </cfRule>
  </conditionalFormatting>
  <conditionalFormatting sqref="C266">
    <cfRule type="cellIs" rank="0" priority="779" equalAverage="0" operator="greaterThan" aboveAverage="0" dxfId="8" text="" percent="0" bottom="0">
      <formula>0</formula>
    </cfRule>
  </conditionalFormatting>
  <conditionalFormatting sqref="G266">
    <cfRule type="cellIs" rank="0" priority="780" equalAverage="0" operator="greaterThan" aboveAverage="0" dxfId="8" text="" percent="0" bottom="0">
      <formula>0</formula>
    </cfRule>
  </conditionalFormatting>
  <conditionalFormatting sqref="H266">
    <cfRule type="cellIs" rank="0" priority="781" equalAverage="0" operator="greaterThan" aboveAverage="0" dxfId="8" text="" percent="0" bottom="0">
      <formula>0</formula>
    </cfRule>
  </conditionalFormatting>
  <conditionalFormatting sqref="C267">
    <cfRule type="cellIs" rank="0" priority="782" equalAverage="0" operator="greaterThan" aboveAverage="0" dxfId="8" text="" percent="0" bottom="0">
      <formula>0</formula>
    </cfRule>
  </conditionalFormatting>
  <conditionalFormatting sqref="G267">
    <cfRule type="cellIs" rank="0" priority="783" equalAverage="0" operator="greaterThan" aboveAverage="0" dxfId="8" text="" percent="0" bottom="0">
      <formula>0</formula>
    </cfRule>
  </conditionalFormatting>
  <conditionalFormatting sqref="H267">
    <cfRule type="cellIs" rank="0" priority="784" equalAverage="0" operator="greaterThan" aboveAverage="0" dxfId="8" text="" percent="0" bottom="0">
      <formula>0</formula>
    </cfRule>
  </conditionalFormatting>
  <conditionalFormatting sqref="C268">
    <cfRule type="cellIs" rank="0" priority="785" equalAverage="0" operator="greaterThan" aboveAverage="0" dxfId="8" text="" percent="0" bottom="0">
      <formula>0</formula>
    </cfRule>
  </conditionalFormatting>
  <conditionalFormatting sqref="G268">
    <cfRule type="cellIs" rank="0" priority="786" equalAverage="0" operator="greaterThan" aboveAverage="0" dxfId="8" text="" percent="0" bottom="0">
      <formula>0</formula>
    </cfRule>
  </conditionalFormatting>
  <conditionalFormatting sqref="H268">
    <cfRule type="cellIs" rank="0" priority="787" equalAverage="0" operator="greaterThan" aboveAverage="0" dxfId="8" text="" percent="0" bottom="0">
      <formula>0</formula>
    </cfRule>
  </conditionalFormatting>
  <conditionalFormatting sqref="C269">
    <cfRule type="cellIs" rank="0" priority="788" equalAverage="0" operator="greaterThan" aboveAverage="0" dxfId="8" text="" percent="0" bottom="0">
      <formula>0</formula>
    </cfRule>
  </conditionalFormatting>
  <conditionalFormatting sqref="G269">
    <cfRule type="cellIs" rank="0" priority="789" equalAverage="0" operator="greaterThan" aboveAverage="0" dxfId="8" text="" percent="0" bottom="0">
      <formula>0</formula>
    </cfRule>
  </conditionalFormatting>
  <conditionalFormatting sqref="H269">
    <cfRule type="cellIs" rank="0" priority="790" equalAverage="0" operator="greaterThan" aboveAverage="0" dxfId="8" text="" percent="0" bottom="0">
      <formula>0</formula>
    </cfRule>
  </conditionalFormatting>
  <conditionalFormatting sqref="C270">
    <cfRule type="cellIs" rank="0" priority="791" equalAverage="0" operator="greaterThan" aboveAverage="0" dxfId="8" text="" percent="0" bottom="0">
      <formula>0</formula>
    </cfRule>
  </conditionalFormatting>
  <conditionalFormatting sqref="G270">
    <cfRule type="cellIs" rank="0" priority="792" equalAverage="0" operator="greaterThan" aboveAverage="0" dxfId="8" text="" percent="0" bottom="0">
      <formula>0</formula>
    </cfRule>
  </conditionalFormatting>
  <conditionalFormatting sqref="H270">
    <cfRule type="cellIs" rank="0" priority="793" equalAverage="0" operator="greaterThan" aboveAverage="0" dxfId="8" text="" percent="0" bottom="0">
      <formula>0</formula>
    </cfRule>
  </conditionalFormatting>
  <conditionalFormatting sqref="C271">
    <cfRule type="cellIs" rank="0" priority="794" equalAverage="0" operator="greaterThan" aboveAverage="0" dxfId="8" text="" percent="0" bottom="0">
      <formula>0</formula>
    </cfRule>
  </conditionalFormatting>
  <conditionalFormatting sqref="G271">
    <cfRule type="cellIs" rank="0" priority="795" equalAverage="0" operator="greaterThan" aboveAverage="0" dxfId="8" text="" percent="0" bottom="0">
      <formula>0</formula>
    </cfRule>
  </conditionalFormatting>
  <conditionalFormatting sqref="H271">
    <cfRule type="cellIs" rank="0" priority="796" equalAverage="0" operator="greaterThan" aboveAverage="0" dxfId="8" text="" percent="0" bottom="0">
      <formula>0</formula>
    </cfRule>
  </conditionalFormatting>
  <conditionalFormatting sqref="C272">
    <cfRule type="cellIs" rank="0" priority="797" equalAverage="0" operator="greaterThan" aboveAverage="0" dxfId="8" text="" percent="0" bottom="0">
      <formula>0</formula>
    </cfRule>
  </conditionalFormatting>
  <conditionalFormatting sqref="G272">
    <cfRule type="cellIs" rank="0" priority="798" equalAverage="0" operator="greaterThan" aboveAverage="0" dxfId="8" text="" percent="0" bottom="0">
      <formula>0</formula>
    </cfRule>
  </conditionalFormatting>
  <conditionalFormatting sqref="H272">
    <cfRule type="cellIs" rank="0" priority="799" equalAverage="0" operator="greaterThan" aboveAverage="0" dxfId="8" text="" percent="0" bottom="0">
      <formula>0</formula>
    </cfRule>
  </conditionalFormatting>
  <conditionalFormatting sqref="C273">
    <cfRule type="cellIs" rank="0" priority="800" equalAverage="0" operator="greaterThan" aboveAverage="0" dxfId="8" text="" percent="0" bottom="0">
      <formula>0</formula>
    </cfRule>
  </conditionalFormatting>
  <conditionalFormatting sqref="G273">
    <cfRule type="cellIs" rank="0" priority="801" equalAverage="0" operator="greaterThan" aboveAverage="0" dxfId="8" text="" percent="0" bottom="0">
      <formula>0</formula>
    </cfRule>
  </conditionalFormatting>
  <conditionalFormatting sqref="H273">
    <cfRule type="cellIs" rank="0" priority="802" equalAverage="0" operator="greaterThan" aboveAverage="0" dxfId="8" text="" percent="0" bottom="0">
      <formula>0</formula>
    </cfRule>
  </conditionalFormatting>
  <conditionalFormatting sqref="C274">
    <cfRule type="cellIs" rank="0" priority="803" equalAverage="0" operator="greaterThan" aboveAverage="0" dxfId="8" text="" percent="0" bottom="0">
      <formula>0</formula>
    </cfRule>
  </conditionalFormatting>
  <conditionalFormatting sqref="G274">
    <cfRule type="cellIs" rank="0" priority="804" equalAverage="0" operator="greaterThan" aboveAverage="0" dxfId="8" text="" percent="0" bottom="0">
      <formula>0</formula>
    </cfRule>
  </conditionalFormatting>
  <conditionalFormatting sqref="H274">
    <cfRule type="cellIs" rank="0" priority="805" equalAverage="0" operator="greaterThan" aboveAverage="0" dxfId="8" text="" percent="0" bottom="0">
      <formula>0</formula>
    </cfRule>
  </conditionalFormatting>
  <conditionalFormatting sqref="C275">
    <cfRule type="cellIs" rank="0" priority="806" equalAverage="0" operator="greaterThan" aboveAverage="0" dxfId="8" text="" percent="0" bottom="0">
      <formula>0</formula>
    </cfRule>
  </conditionalFormatting>
  <conditionalFormatting sqref="G275">
    <cfRule type="cellIs" rank="0" priority="807" equalAverage="0" operator="greaterThan" aboveAverage="0" dxfId="8" text="" percent="0" bottom="0">
      <formula>0</formula>
    </cfRule>
  </conditionalFormatting>
  <conditionalFormatting sqref="H275">
    <cfRule type="cellIs" rank="0" priority="808" equalAverage="0" operator="greaterThan" aboveAverage="0" dxfId="8" text="" percent="0" bottom="0">
      <formula>0</formula>
    </cfRule>
  </conditionalFormatting>
  <conditionalFormatting sqref="C276">
    <cfRule type="cellIs" rank="0" priority="809" equalAverage="0" operator="greaterThan" aboveAverage="0" dxfId="8" text="" percent="0" bottom="0">
      <formula>0</formula>
    </cfRule>
  </conditionalFormatting>
  <conditionalFormatting sqref="G276">
    <cfRule type="cellIs" rank="0" priority="810" equalAverage="0" operator="greaterThan" aboveAverage="0" dxfId="8" text="" percent="0" bottom="0">
      <formula>0</formula>
    </cfRule>
  </conditionalFormatting>
  <conditionalFormatting sqref="H276">
    <cfRule type="cellIs" rank="0" priority="811" equalAverage="0" operator="greaterThan" aboveAverage="0" dxfId="8" text="" percent="0" bottom="0">
      <formula>0</formula>
    </cfRule>
  </conditionalFormatting>
  <conditionalFormatting sqref="C277">
    <cfRule type="cellIs" rank="0" priority="812" equalAverage="0" operator="greaterThan" aboveAverage="0" dxfId="8" text="" percent="0" bottom="0">
      <formula>0</formula>
    </cfRule>
  </conditionalFormatting>
  <conditionalFormatting sqref="G277">
    <cfRule type="cellIs" rank="0" priority="813" equalAverage="0" operator="greaterThan" aboveAverage="0" dxfId="8" text="" percent="0" bottom="0">
      <formula>0</formula>
    </cfRule>
  </conditionalFormatting>
  <conditionalFormatting sqref="H277">
    <cfRule type="cellIs" rank="0" priority="814" equalAverage="0" operator="greaterThan" aboveAverage="0" dxfId="8" text="" percent="0" bottom="0">
      <formula>0</formula>
    </cfRule>
  </conditionalFormatting>
  <conditionalFormatting sqref="C278">
    <cfRule type="cellIs" rank="0" priority="815" equalAverage="0" operator="greaterThan" aboveAverage="0" dxfId="8" text="" percent="0" bottom="0">
      <formula>0</formula>
    </cfRule>
  </conditionalFormatting>
  <conditionalFormatting sqref="G278">
    <cfRule type="cellIs" rank="0" priority="816" equalAverage="0" operator="greaterThan" aboveAverage="0" dxfId="8" text="" percent="0" bottom="0">
      <formula>0</formula>
    </cfRule>
  </conditionalFormatting>
  <conditionalFormatting sqref="H278">
    <cfRule type="cellIs" rank="0" priority="817" equalAverage="0" operator="greaterThan" aboveAverage="0" dxfId="8" text="" percent="0" bottom="0">
      <formula>0</formula>
    </cfRule>
  </conditionalFormatting>
  <conditionalFormatting sqref="C279">
    <cfRule type="cellIs" rank="0" priority="818" equalAverage="0" operator="greaterThan" aboveAverage="0" dxfId="8" text="" percent="0" bottom="0">
      <formula>0</formula>
    </cfRule>
  </conditionalFormatting>
  <conditionalFormatting sqref="G279">
    <cfRule type="cellIs" rank="0" priority="819" equalAverage="0" operator="greaterThan" aboveAverage="0" dxfId="8" text="" percent="0" bottom="0">
      <formula>0</formula>
    </cfRule>
  </conditionalFormatting>
  <conditionalFormatting sqref="H279">
    <cfRule type="cellIs" rank="0" priority="820" equalAverage="0" operator="greaterThan" aboveAverage="0" dxfId="8" text="" percent="0" bottom="0">
      <formula>0</formula>
    </cfRule>
  </conditionalFormatting>
  <conditionalFormatting sqref="C280">
    <cfRule type="cellIs" rank="0" priority="821" equalAverage="0" operator="greaterThan" aboveAverage="0" dxfId="8" text="" percent="0" bottom="0">
      <formula>0</formula>
    </cfRule>
  </conditionalFormatting>
  <conditionalFormatting sqref="G280">
    <cfRule type="cellIs" rank="0" priority="822" equalAverage="0" operator="greaterThan" aboveAverage="0" dxfId="8" text="" percent="0" bottom="0">
      <formula>0</formula>
    </cfRule>
  </conditionalFormatting>
  <conditionalFormatting sqref="H280">
    <cfRule type="cellIs" rank="0" priority="823" equalAverage="0" operator="greaterThan" aboveAverage="0" dxfId="8" text="" percent="0" bottom="0">
      <formula>0</formula>
    </cfRule>
  </conditionalFormatting>
  <conditionalFormatting sqref="C281">
    <cfRule type="cellIs" rank="0" priority="824" equalAverage="0" operator="greaterThan" aboveAverage="0" dxfId="8" text="" percent="0" bottom="0">
      <formula>0</formula>
    </cfRule>
  </conditionalFormatting>
  <conditionalFormatting sqref="G281">
    <cfRule type="cellIs" rank="0" priority="825" equalAverage="0" operator="greaterThan" aboveAverage="0" dxfId="8" text="" percent="0" bottom="0">
      <formula>0</formula>
    </cfRule>
  </conditionalFormatting>
  <conditionalFormatting sqref="H281">
    <cfRule type="cellIs" rank="0" priority="826" equalAverage="0" operator="greaterThan" aboveAverage="0" dxfId="8" text="" percent="0" bottom="0">
      <formula>0</formula>
    </cfRule>
  </conditionalFormatting>
  <conditionalFormatting sqref="C282">
    <cfRule type="cellIs" rank="0" priority="827" equalAverage="0" operator="greaterThan" aboveAverage="0" dxfId="8" text="" percent="0" bottom="0">
      <formula>0</formula>
    </cfRule>
  </conditionalFormatting>
  <conditionalFormatting sqref="G282">
    <cfRule type="cellIs" rank="0" priority="828" equalAverage="0" operator="greaterThan" aboveAverage="0" dxfId="8" text="" percent="0" bottom="0">
      <formula>0</formula>
    </cfRule>
  </conditionalFormatting>
  <conditionalFormatting sqref="H282">
    <cfRule type="cellIs" rank="0" priority="829" equalAverage="0" operator="greaterThan" aboveAverage="0" dxfId="8" text="" percent="0" bottom="0">
      <formula>0</formula>
    </cfRule>
  </conditionalFormatting>
  <conditionalFormatting sqref="C283">
    <cfRule type="cellIs" rank="0" priority="830" equalAverage="0" operator="greaterThan" aboveAverage="0" dxfId="8" text="" percent="0" bottom="0">
      <formula>0</formula>
    </cfRule>
  </conditionalFormatting>
  <conditionalFormatting sqref="G283">
    <cfRule type="cellIs" rank="0" priority="831" equalAverage="0" operator="greaterThan" aboveAverage="0" dxfId="8" text="" percent="0" bottom="0">
      <formula>0</formula>
    </cfRule>
  </conditionalFormatting>
  <conditionalFormatting sqref="H283">
    <cfRule type="cellIs" rank="0" priority="832" equalAverage="0" operator="greaterThan" aboveAverage="0" dxfId="8" text="" percent="0" bottom="0">
      <formula>0</formula>
    </cfRule>
  </conditionalFormatting>
  <conditionalFormatting sqref="C284">
    <cfRule type="cellIs" rank="0" priority="833" equalAverage="0" operator="greaterThan" aboveAverage="0" dxfId="8" text="" percent="0" bottom="0">
      <formula>0</formula>
    </cfRule>
  </conditionalFormatting>
  <conditionalFormatting sqref="G284">
    <cfRule type="cellIs" rank="0" priority="834" equalAverage="0" operator="greaterThan" aboveAverage="0" dxfId="8" text="" percent="0" bottom="0">
      <formula>0</formula>
    </cfRule>
  </conditionalFormatting>
  <conditionalFormatting sqref="H284">
    <cfRule type="cellIs" rank="0" priority="835" equalAverage="0" operator="greaterThan" aboveAverage="0" dxfId="8" text="" percent="0" bottom="0">
      <formula>0</formula>
    </cfRule>
  </conditionalFormatting>
  <conditionalFormatting sqref="C285">
    <cfRule type="cellIs" rank="0" priority="836" equalAverage="0" operator="greaterThan" aboveAverage="0" dxfId="8" text="" percent="0" bottom="0">
      <formula>0</formula>
    </cfRule>
  </conditionalFormatting>
  <conditionalFormatting sqref="G285">
    <cfRule type="cellIs" rank="0" priority="837" equalAverage="0" operator="greaterThan" aboveAverage="0" dxfId="8" text="" percent="0" bottom="0">
      <formula>0</formula>
    </cfRule>
  </conditionalFormatting>
  <conditionalFormatting sqref="H285">
    <cfRule type="cellIs" rank="0" priority="838" equalAverage="0" operator="greaterThan" aboveAverage="0" dxfId="8" text="" percent="0" bottom="0">
      <formula>0</formula>
    </cfRule>
  </conditionalFormatting>
  <conditionalFormatting sqref="C286">
    <cfRule type="cellIs" rank="0" priority="839" equalAverage="0" operator="greaterThan" aboveAverage="0" dxfId="8" text="" percent="0" bottom="0">
      <formula>0</formula>
    </cfRule>
  </conditionalFormatting>
  <conditionalFormatting sqref="G286">
    <cfRule type="cellIs" rank="0" priority="840" equalAverage="0" operator="greaterThan" aboveAverage="0" dxfId="8" text="" percent="0" bottom="0">
      <formula>0</formula>
    </cfRule>
  </conditionalFormatting>
  <conditionalFormatting sqref="H286">
    <cfRule type="cellIs" rank="0" priority="841" equalAverage="0" operator="greaterThan" aboveAverage="0" dxfId="8" text="" percent="0" bottom="0">
      <formula>0</formula>
    </cfRule>
  </conditionalFormatting>
  <conditionalFormatting sqref="C287">
    <cfRule type="cellIs" rank="0" priority="842" equalAverage="0" operator="greaterThan" aboveAverage="0" dxfId="8" text="" percent="0" bottom="0">
      <formula>0</formula>
    </cfRule>
  </conditionalFormatting>
  <conditionalFormatting sqref="G287">
    <cfRule type="cellIs" rank="0" priority="843" equalAverage="0" operator="greaterThan" aboveAverage="0" dxfId="8" text="" percent="0" bottom="0">
      <formula>0</formula>
    </cfRule>
  </conditionalFormatting>
  <conditionalFormatting sqref="H287">
    <cfRule type="cellIs" rank="0" priority="844" equalAverage="0" operator="greaterThan" aboveAverage="0" dxfId="8" text="" percent="0" bottom="0">
      <formula>0</formula>
    </cfRule>
  </conditionalFormatting>
  <conditionalFormatting sqref="C288">
    <cfRule type="cellIs" rank="0" priority="845" equalAverage="0" operator="greaterThan" aboveAverage="0" dxfId="8" text="" percent="0" bottom="0">
      <formula>0</formula>
    </cfRule>
  </conditionalFormatting>
  <conditionalFormatting sqref="G288">
    <cfRule type="cellIs" rank="0" priority="846" equalAverage="0" operator="greaterThan" aboveAverage="0" dxfId="8" text="" percent="0" bottom="0">
      <formula>0</formula>
    </cfRule>
  </conditionalFormatting>
  <conditionalFormatting sqref="H288">
    <cfRule type="cellIs" rank="0" priority="847" equalAverage="0" operator="greaterThan" aboveAverage="0" dxfId="8" text="" percent="0" bottom="0">
      <formula>0</formula>
    </cfRule>
  </conditionalFormatting>
  <conditionalFormatting sqref="C289">
    <cfRule type="cellIs" rank="0" priority="848" equalAverage="0" operator="greaterThan" aboveAverage="0" dxfId="8" text="" percent="0" bottom="0">
      <formula>0</formula>
    </cfRule>
  </conditionalFormatting>
  <conditionalFormatting sqref="G289">
    <cfRule type="cellIs" rank="0" priority="849" equalAverage="0" operator="greaterThan" aboveAverage="0" dxfId="8" text="" percent="0" bottom="0">
      <formula>0</formula>
    </cfRule>
  </conditionalFormatting>
  <conditionalFormatting sqref="H289">
    <cfRule type="cellIs" rank="0" priority="850" equalAverage="0" operator="greaterThan" aboveAverage="0" dxfId="8" text="" percent="0" bottom="0">
      <formula>0</formula>
    </cfRule>
  </conditionalFormatting>
  <conditionalFormatting sqref="C290">
    <cfRule type="cellIs" rank="0" priority="851" equalAverage="0" operator="greaterThan" aboveAverage="0" dxfId="8" text="" percent="0" bottom="0">
      <formula>0</formula>
    </cfRule>
  </conditionalFormatting>
  <conditionalFormatting sqref="G290">
    <cfRule type="cellIs" rank="0" priority="852" equalAverage="0" operator="greaterThan" aboveAverage="0" dxfId="8" text="" percent="0" bottom="0">
      <formula>0</formula>
    </cfRule>
  </conditionalFormatting>
  <conditionalFormatting sqref="H290">
    <cfRule type="cellIs" rank="0" priority="853" equalAverage="0" operator="greaterThan" aboveAverage="0" dxfId="8" text="" percent="0" bottom="0">
      <formula>0</formula>
    </cfRule>
  </conditionalFormatting>
  <conditionalFormatting sqref="C291">
    <cfRule type="cellIs" rank="0" priority="854" equalAverage="0" operator="greaterThan" aboveAverage="0" dxfId="8" text="" percent="0" bottom="0">
      <formula>0</formula>
    </cfRule>
  </conditionalFormatting>
  <conditionalFormatting sqref="G291">
    <cfRule type="cellIs" rank="0" priority="855" equalAverage="0" operator="greaterThan" aboveAverage="0" dxfId="8" text="" percent="0" bottom="0">
      <formula>0</formula>
    </cfRule>
  </conditionalFormatting>
  <conditionalFormatting sqref="H291">
    <cfRule type="cellIs" rank="0" priority="856" equalAverage="0" operator="greaterThan" aboveAverage="0" dxfId="8" text="" percent="0" bottom="0">
      <formula>0</formula>
    </cfRule>
  </conditionalFormatting>
  <conditionalFormatting sqref="C292">
    <cfRule type="cellIs" rank="0" priority="857" equalAverage="0" operator="greaterThan" aboveAverage="0" dxfId="8" text="" percent="0" bottom="0">
      <formula>0</formula>
    </cfRule>
  </conditionalFormatting>
  <conditionalFormatting sqref="G292">
    <cfRule type="cellIs" rank="0" priority="858" equalAverage="0" operator="greaterThan" aboveAverage="0" dxfId="8" text="" percent="0" bottom="0">
      <formula>0</formula>
    </cfRule>
  </conditionalFormatting>
  <conditionalFormatting sqref="H292">
    <cfRule type="cellIs" rank="0" priority="859" equalAverage="0" operator="greaterThan" aboveAverage="0" dxfId="8" text="" percent="0" bottom="0">
      <formula>0</formula>
    </cfRule>
  </conditionalFormatting>
  <conditionalFormatting sqref="C293">
    <cfRule type="cellIs" rank="0" priority="860" equalAverage="0" operator="greaterThan" aboveAverage="0" dxfId="8" text="" percent="0" bottom="0">
      <formula>0</formula>
    </cfRule>
  </conditionalFormatting>
  <conditionalFormatting sqref="G293">
    <cfRule type="cellIs" rank="0" priority="861" equalAverage="0" operator="greaterThan" aboveAverage="0" dxfId="8" text="" percent="0" bottom="0">
      <formula>0</formula>
    </cfRule>
  </conditionalFormatting>
  <conditionalFormatting sqref="H293">
    <cfRule type="cellIs" rank="0" priority="862" equalAverage="0" operator="greaterThan" aboveAverage="0" dxfId="8" text="" percent="0" bottom="0">
      <formula>0</formula>
    </cfRule>
  </conditionalFormatting>
  <conditionalFormatting sqref="C294">
    <cfRule type="cellIs" rank="0" priority="863" equalAverage="0" operator="greaterThan" aboveAverage="0" dxfId="8" text="" percent="0" bottom="0">
      <formula>0</formula>
    </cfRule>
  </conditionalFormatting>
  <conditionalFormatting sqref="G294">
    <cfRule type="cellIs" rank="0" priority="864" equalAverage="0" operator="greaterThan" aboveAverage="0" dxfId="8" text="" percent="0" bottom="0">
      <formula>0</formula>
    </cfRule>
  </conditionalFormatting>
  <conditionalFormatting sqref="H294">
    <cfRule type="cellIs" rank="0" priority="865" equalAverage="0" operator="greaterThan" aboveAverage="0" dxfId="8" text="" percent="0" bottom="0">
      <formula>0</formula>
    </cfRule>
  </conditionalFormatting>
  <conditionalFormatting sqref="C295">
    <cfRule type="cellIs" rank="0" priority="866" equalAverage="0" operator="greaterThan" aboveAverage="0" dxfId="8" text="" percent="0" bottom="0">
      <formula>0</formula>
    </cfRule>
  </conditionalFormatting>
  <conditionalFormatting sqref="G295">
    <cfRule type="cellIs" rank="0" priority="867" equalAverage="0" operator="greaterThan" aboveAverage="0" dxfId="8" text="" percent="0" bottom="0">
      <formula>0</formula>
    </cfRule>
  </conditionalFormatting>
  <conditionalFormatting sqref="H295">
    <cfRule type="cellIs" rank="0" priority="868" equalAverage="0" operator="greaterThan" aboveAverage="0" dxfId="8" text="" percent="0" bottom="0">
      <formula>0</formula>
    </cfRule>
  </conditionalFormatting>
  <conditionalFormatting sqref="C296">
    <cfRule type="cellIs" rank="0" priority="869" equalAverage="0" operator="greaterThan" aboveAverage="0" dxfId="8" text="" percent="0" bottom="0">
      <formula>0</formula>
    </cfRule>
  </conditionalFormatting>
  <conditionalFormatting sqref="G296">
    <cfRule type="cellIs" rank="0" priority="870" equalAverage="0" operator="greaterThan" aboveAverage="0" dxfId="8" text="" percent="0" bottom="0">
      <formula>0</formula>
    </cfRule>
  </conditionalFormatting>
  <conditionalFormatting sqref="H296">
    <cfRule type="cellIs" rank="0" priority="871" equalAverage="0" operator="greaterThan" aboveAverage="0" dxfId="8" text="" percent="0" bottom="0">
      <formula>0</formula>
    </cfRule>
  </conditionalFormatting>
  <conditionalFormatting sqref="C297">
    <cfRule type="cellIs" rank="0" priority="872" equalAverage="0" operator="greaterThan" aboveAverage="0" dxfId="8" text="" percent="0" bottom="0">
      <formula>0</formula>
    </cfRule>
  </conditionalFormatting>
  <conditionalFormatting sqref="G297">
    <cfRule type="cellIs" rank="0" priority="873" equalAverage="0" operator="greaterThan" aboveAverage="0" dxfId="8" text="" percent="0" bottom="0">
      <formula>0</formula>
    </cfRule>
  </conditionalFormatting>
  <conditionalFormatting sqref="H297">
    <cfRule type="cellIs" rank="0" priority="874" equalAverage="0" operator="greaterThan" aboveAverage="0" dxfId="8" text="" percent="0" bottom="0">
      <formula>0</formula>
    </cfRule>
  </conditionalFormatting>
  <conditionalFormatting sqref="C298">
    <cfRule type="cellIs" rank="0" priority="875" equalAverage="0" operator="greaterThan" aboveAverage="0" dxfId="8" text="" percent="0" bottom="0">
      <formula>0</formula>
    </cfRule>
  </conditionalFormatting>
  <conditionalFormatting sqref="G298">
    <cfRule type="cellIs" rank="0" priority="876" equalAverage="0" operator="greaterThan" aboveAverage="0" dxfId="8" text="" percent="0" bottom="0">
      <formula>0</formula>
    </cfRule>
  </conditionalFormatting>
  <conditionalFormatting sqref="H298">
    <cfRule type="cellIs" rank="0" priority="877" equalAverage="0" operator="greaterThan" aboveAverage="0" dxfId="8" text="" percent="0" bottom="0">
      <formula>0</formula>
    </cfRule>
  </conditionalFormatting>
  <conditionalFormatting sqref="C299">
    <cfRule type="cellIs" rank="0" priority="878" equalAverage="0" operator="greaterThan" aboveAverage="0" dxfId="8" text="" percent="0" bottom="0">
      <formula>0</formula>
    </cfRule>
  </conditionalFormatting>
  <conditionalFormatting sqref="G299">
    <cfRule type="cellIs" rank="0" priority="879" equalAverage="0" operator="greaterThan" aboveAverage="0" dxfId="8" text="" percent="0" bottom="0">
      <formula>0</formula>
    </cfRule>
  </conditionalFormatting>
  <conditionalFormatting sqref="H299">
    <cfRule type="cellIs" rank="0" priority="880" equalAverage="0" operator="greaterThan" aboveAverage="0" dxfId="8" text="" percent="0" bottom="0">
      <formula>0</formula>
    </cfRule>
  </conditionalFormatting>
  <conditionalFormatting sqref="C300">
    <cfRule type="cellIs" rank="0" priority="881" equalAverage="0" operator="greaterThan" aboveAverage="0" dxfId="8" text="" percent="0" bottom="0">
      <formula>0</formula>
    </cfRule>
  </conditionalFormatting>
  <conditionalFormatting sqref="G300">
    <cfRule type="cellIs" rank="0" priority="882" equalAverage="0" operator="greaterThan" aboveAverage="0" dxfId="8" text="" percent="0" bottom="0">
      <formula>0</formula>
    </cfRule>
  </conditionalFormatting>
  <conditionalFormatting sqref="H300">
    <cfRule type="cellIs" rank="0" priority="883" equalAverage="0" operator="greaterThan" aboveAverage="0" dxfId="8" text="" percent="0" bottom="0">
      <formula>0</formula>
    </cfRule>
  </conditionalFormatting>
  <conditionalFormatting sqref="C301">
    <cfRule type="cellIs" rank="0" priority="884" equalAverage="0" operator="greaterThan" aboveAverage="0" dxfId="8" text="" percent="0" bottom="0">
      <formula>0</formula>
    </cfRule>
  </conditionalFormatting>
  <conditionalFormatting sqref="G301">
    <cfRule type="cellIs" rank="0" priority="885" equalAverage="0" operator="greaterThan" aboveAverage="0" dxfId="8" text="" percent="0" bottom="0">
      <formula>0</formula>
    </cfRule>
  </conditionalFormatting>
  <conditionalFormatting sqref="H301">
    <cfRule type="cellIs" rank="0" priority="886" equalAverage="0" operator="greaterThan" aboveAverage="0" dxfId="8" text="" percent="0" bottom="0">
      <formula>0</formula>
    </cfRule>
  </conditionalFormatting>
  <conditionalFormatting sqref="C302">
    <cfRule type="cellIs" rank="0" priority="887" equalAverage="0" operator="greaterThan" aboveAverage="0" dxfId="8" text="" percent="0" bottom="0">
      <formula>0</formula>
    </cfRule>
  </conditionalFormatting>
  <conditionalFormatting sqref="G302">
    <cfRule type="cellIs" rank="0" priority="888" equalAverage="0" operator="greaterThan" aboveAverage="0" dxfId="8" text="" percent="0" bottom="0">
      <formula>0</formula>
    </cfRule>
  </conditionalFormatting>
  <conditionalFormatting sqref="H302">
    <cfRule type="cellIs" rank="0" priority="889" equalAverage="0" operator="greaterThan" aboveAverage="0" dxfId="8" text="" percent="0" bottom="0">
      <formula>0</formula>
    </cfRule>
  </conditionalFormatting>
  <conditionalFormatting sqref="C303">
    <cfRule type="cellIs" rank="0" priority="890" equalAverage="0" operator="greaterThan" aboveAverage="0" dxfId="8" text="" percent="0" bottom="0">
      <formula>0</formula>
    </cfRule>
  </conditionalFormatting>
  <conditionalFormatting sqref="G303">
    <cfRule type="cellIs" rank="0" priority="891" equalAverage="0" operator="greaterThan" aboveAverage="0" dxfId="8" text="" percent="0" bottom="0">
      <formula>0</formula>
    </cfRule>
  </conditionalFormatting>
  <conditionalFormatting sqref="H303">
    <cfRule type="cellIs" rank="0" priority="892" equalAverage="0" operator="greaterThan" aboveAverage="0" dxfId="8" text="" percent="0" bottom="0">
      <formula>0</formula>
    </cfRule>
  </conditionalFormatting>
  <conditionalFormatting sqref="C304">
    <cfRule type="cellIs" rank="0" priority="893" equalAverage="0" operator="greaterThan" aboveAverage="0" dxfId="8" text="" percent="0" bottom="0">
      <formula>0</formula>
    </cfRule>
  </conditionalFormatting>
  <conditionalFormatting sqref="G304">
    <cfRule type="cellIs" rank="0" priority="894" equalAverage="0" operator="greaterThan" aboveAverage="0" dxfId="8" text="" percent="0" bottom="0">
      <formula>0</formula>
    </cfRule>
  </conditionalFormatting>
  <conditionalFormatting sqref="H304">
    <cfRule type="cellIs" rank="0" priority="895" equalAverage="0" operator="greaterThan" aboveAverage="0" dxfId="8" text="" percent="0" bottom="0">
      <formula>0</formula>
    </cfRule>
  </conditionalFormatting>
  <conditionalFormatting sqref="C305">
    <cfRule type="cellIs" rank="0" priority="896" equalAverage="0" operator="greaterThan" aboveAverage="0" dxfId="8" text="" percent="0" bottom="0">
      <formula>0</formula>
    </cfRule>
  </conditionalFormatting>
  <conditionalFormatting sqref="G305">
    <cfRule type="cellIs" rank="0" priority="897" equalAverage="0" operator="greaterThan" aboveAverage="0" dxfId="8" text="" percent="0" bottom="0">
      <formula>0</formula>
    </cfRule>
  </conditionalFormatting>
  <conditionalFormatting sqref="H305">
    <cfRule type="cellIs" rank="0" priority="898" equalAverage="0" operator="greaterThan" aboveAverage="0" dxfId="8" text="" percent="0" bottom="0">
      <formula>0</formula>
    </cfRule>
  </conditionalFormatting>
  <conditionalFormatting sqref="C306">
    <cfRule type="cellIs" rank="0" priority="899" equalAverage="0" operator="greaterThan" aboveAverage="0" dxfId="8" text="" percent="0" bottom="0">
      <formula>0</formula>
    </cfRule>
  </conditionalFormatting>
  <conditionalFormatting sqref="G306">
    <cfRule type="cellIs" rank="0" priority="900" equalAverage="0" operator="greaterThan" aboveAverage="0" dxfId="8" text="" percent="0" bottom="0">
      <formula>0</formula>
    </cfRule>
  </conditionalFormatting>
  <conditionalFormatting sqref="H306">
    <cfRule type="cellIs" rank="0" priority="901" equalAverage="0" operator="greaterThan" aboveAverage="0" dxfId="8" text="" percent="0" bottom="0">
      <formula>0</formula>
    </cfRule>
  </conditionalFormatting>
  <conditionalFormatting sqref="C307">
    <cfRule type="cellIs" rank="0" priority="902" equalAverage="0" operator="greaterThan" aboveAverage="0" dxfId="8" text="" percent="0" bottom="0">
      <formula>0</formula>
    </cfRule>
  </conditionalFormatting>
  <conditionalFormatting sqref="G307">
    <cfRule type="cellIs" rank="0" priority="903" equalAverage="0" operator="greaterThan" aboveAverage="0" dxfId="8" text="" percent="0" bottom="0">
      <formula>0</formula>
    </cfRule>
  </conditionalFormatting>
  <conditionalFormatting sqref="H307">
    <cfRule type="cellIs" rank="0" priority="904" equalAverage="0" operator="greaterThan" aboveAverage="0" dxfId="8" text="" percent="0" bottom="0">
      <formula>0</formula>
    </cfRule>
  </conditionalFormatting>
  <conditionalFormatting sqref="C308">
    <cfRule type="cellIs" rank="0" priority="905" equalAverage="0" operator="greaterThan" aboveAverage="0" dxfId="8" text="" percent="0" bottom="0">
      <formula>0</formula>
    </cfRule>
  </conditionalFormatting>
  <conditionalFormatting sqref="G308">
    <cfRule type="cellIs" rank="0" priority="906" equalAverage="0" operator="greaterThan" aboveAverage="0" dxfId="8" text="" percent="0" bottom="0">
      <formula>0</formula>
    </cfRule>
  </conditionalFormatting>
  <conditionalFormatting sqref="H308">
    <cfRule type="cellIs" rank="0" priority="907" equalAverage="0" operator="greaterThan" aboveAverage="0" dxfId="8" text="" percent="0" bottom="0">
      <formula>0</formula>
    </cfRule>
  </conditionalFormatting>
  <conditionalFormatting sqref="C309">
    <cfRule type="cellIs" rank="0" priority="908" equalAverage="0" operator="greaterThan" aboveAverage="0" dxfId="8" text="" percent="0" bottom="0">
      <formula>0</formula>
    </cfRule>
  </conditionalFormatting>
  <conditionalFormatting sqref="G309">
    <cfRule type="cellIs" rank="0" priority="909" equalAverage="0" operator="greaterThan" aboveAverage="0" dxfId="8" text="" percent="0" bottom="0">
      <formula>0</formula>
    </cfRule>
  </conditionalFormatting>
  <conditionalFormatting sqref="H309">
    <cfRule type="cellIs" rank="0" priority="910" equalAverage="0" operator="greaterThan" aboveAverage="0" dxfId="8" text="" percent="0" bottom="0">
      <formula>0</formula>
    </cfRule>
  </conditionalFormatting>
  <conditionalFormatting sqref="C310">
    <cfRule type="cellIs" rank="0" priority="911" equalAverage="0" operator="greaterThan" aboveAverage="0" dxfId="8" text="" percent="0" bottom="0">
      <formula>0</formula>
    </cfRule>
  </conditionalFormatting>
  <conditionalFormatting sqref="G310">
    <cfRule type="cellIs" rank="0" priority="912" equalAverage="0" operator="greaterThan" aboveAverage="0" dxfId="8" text="" percent="0" bottom="0">
      <formula>0</formula>
    </cfRule>
  </conditionalFormatting>
  <conditionalFormatting sqref="H310">
    <cfRule type="cellIs" rank="0" priority="913" equalAverage="0" operator="greaterThan" aboveAverage="0" dxfId="8" text="" percent="0" bottom="0">
      <formula>0</formula>
    </cfRule>
  </conditionalFormatting>
  <conditionalFormatting sqref="C311">
    <cfRule type="cellIs" rank="0" priority="914" equalAverage="0" operator="greaterThan" aboveAverage="0" dxfId="8" text="" percent="0" bottom="0">
      <formula>0</formula>
    </cfRule>
  </conditionalFormatting>
  <conditionalFormatting sqref="G311">
    <cfRule type="cellIs" rank="0" priority="915" equalAverage="0" operator="greaterThan" aboveAverage="0" dxfId="8" text="" percent="0" bottom="0">
      <formula>0</formula>
    </cfRule>
  </conditionalFormatting>
  <conditionalFormatting sqref="H311">
    <cfRule type="cellIs" rank="0" priority="916" equalAverage="0" operator="greaterThan" aboveAverage="0" dxfId="8" text="" percent="0" bottom="0">
      <formula>0</formula>
    </cfRule>
  </conditionalFormatting>
  <conditionalFormatting sqref="C312">
    <cfRule type="cellIs" rank="0" priority="917" equalAverage="0" operator="greaterThan" aboveAverage="0" dxfId="8" text="" percent="0" bottom="0">
      <formula>0</formula>
    </cfRule>
  </conditionalFormatting>
  <conditionalFormatting sqref="G312">
    <cfRule type="cellIs" rank="0" priority="918" equalAverage="0" operator="greaterThan" aboveAverage="0" dxfId="8" text="" percent="0" bottom="0">
      <formula>0</formula>
    </cfRule>
  </conditionalFormatting>
  <conditionalFormatting sqref="H312">
    <cfRule type="cellIs" rank="0" priority="919" equalAverage="0" operator="greaterThan" aboveAverage="0" dxfId="8" text="" percent="0" bottom="0">
      <formula>0</formula>
    </cfRule>
  </conditionalFormatting>
  <conditionalFormatting sqref="C313">
    <cfRule type="cellIs" rank="0" priority="920" equalAverage="0" operator="greaterThan" aboveAverage="0" dxfId="8" text="" percent="0" bottom="0">
      <formula>0</formula>
    </cfRule>
  </conditionalFormatting>
  <conditionalFormatting sqref="G313">
    <cfRule type="cellIs" rank="0" priority="921" equalAverage="0" operator="greaterThan" aboveAverage="0" dxfId="8" text="" percent="0" bottom="0">
      <formula>0</formula>
    </cfRule>
  </conditionalFormatting>
  <conditionalFormatting sqref="H313">
    <cfRule type="cellIs" rank="0" priority="922" equalAverage="0" operator="greaterThan" aboveAverage="0" dxfId="8" text="" percent="0" bottom="0">
      <formula>0</formula>
    </cfRule>
  </conditionalFormatting>
  <conditionalFormatting sqref="C314">
    <cfRule type="cellIs" rank="0" priority="923" equalAverage="0" operator="greaterThan" aboveAverage="0" dxfId="8" text="" percent="0" bottom="0">
      <formula>0</formula>
    </cfRule>
  </conditionalFormatting>
  <conditionalFormatting sqref="G314">
    <cfRule type="cellIs" rank="0" priority="924" equalAverage="0" operator="greaterThan" aboveAverage="0" dxfId="8" text="" percent="0" bottom="0">
      <formula>0</formula>
    </cfRule>
  </conditionalFormatting>
  <conditionalFormatting sqref="H314">
    <cfRule type="cellIs" rank="0" priority="925" equalAverage="0" operator="greaterThan" aboveAverage="0" dxfId="8" text="" percent="0" bottom="0">
      <formula>0</formula>
    </cfRule>
  </conditionalFormatting>
  <conditionalFormatting sqref="C315">
    <cfRule type="cellIs" rank="0" priority="926" equalAverage="0" operator="greaterThan" aboveAverage="0" dxfId="8" text="" percent="0" bottom="0">
      <formula>0</formula>
    </cfRule>
  </conditionalFormatting>
  <conditionalFormatting sqref="G315">
    <cfRule type="cellIs" rank="0" priority="927" equalAverage="0" operator="greaterThan" aboveAverage="0" dxfId="8" text="" percent="0" bottom="0">
      <formula>0</formula>
    </cfRule>
  </conditionalFormatting>
  <conditionalFormatting sqref="H315">
    <cfRule type="cellIs" rank="0" priority="928" equalAverage="0" operator="greaterThan" aboveAverage="0" dxfId="8" text="" percent="0" bottom="0">
      <formula>0</formula>
    </cfRule>
  </conditionalFormatting>
  <conditionalFormatting sqref="C316">
    <cfRule type="cellIs" rank="0" priority="929" equalAverage="0" operator="greaterThan" aboveAverage="0" dxfId="8" text="" percent="0" bottom="0">
      <formula>0</formula>
    </cfRule>
  </conditionalFormatting>
  <conditionalFormatting sqref="G316">
    <cfRule type="cellIs" rank="0" priority="930" equalAverage="0" operator="greaterThan" aboveAverage="0" dxfId="8" text="" percent="0" bottom="0">
      <formula>0</formula>
    </cfRule>
  </conditionalFormatting>
  <conditionalFormatting sqref="H316">
    <cfRule type="cellIs" rank="0" priority="931" equalAverage="0" operator="greaterThan" aboveAverage="0" dxfId="8" text="" percent="0" bottom="0">
      <formula>0</formula>
    </cfRule>
  </conditionalFormatting>
  <conditionalFormatting sqref="C317">
    <cfRule type="cellIs" rank="0" priority="932" equalAverage="0" operator="greaterThan" aboveAverage="0" dxfId="8" text="" percent="0" bottom="0">
      <formula>0</formula>
    </cfRule>
  </conditionalFormatting>
  <conditionalFormatting sqref="G317">
    <cfRule type="cellIs" rank="0" priority="933" equalAverage="0" operator="greaterThan" aboveAverage="0" dxfId="8" text="" percent="0" bottom="0">
      <formula>0</formula>
    </cfRule>
  </conditionalFormatting>
  <conditionalFormatting sqref="H317">
    <cfRule type="cellIs" rank="0" priority="934" equalAverage="0" operator="greaterThan" aboveAverage="0" dxfId="8" text="" percent="0" bottom="0">
      <formula>0</formula>
    </cfRule>
  </conditionalFormatting>
  <conditionalFormatting sqref="C318">
    <cfRule type="cellIs" rank="0" priority="935" equalAverage="0" operator="greaterThan" aboveAverage="0" dxfId="8" text="" percent="0" bottom="0">
      <formula>0</formula>
    </cfRule>
  </conditionalFormatting>
  <conditionalFormatting sqref="G318">
    <cfRule type="cellIs" rank="0" priority="936" equalAverage="0" operator="greaterThan" aboveAverage="0" dxfId="8" text="" percent="0" bottom="0">
      <formula>0</formula>
    </cfRule>
  </conditionalFormatting>
  <conditionalFormatting sqref="H318">
    <cfRule type="cellIs" rank="0" priority="937" equalAverage="0" operator="greaterThan" aboveAverage="0" dxfId="8" text="" percent="0" bottom="0">
      <formula>0</formula>
    </cfRule>
  </conditionalFormatting>
  <conditionalFormatting sqref="C319">
    <cfRule type="cellIs" rank="0" priority="938" equalAverage="0" operator="greaterThan" aboveAverage="0" dxfId="8" text="" percent="0" bottom="0">
      <formula>0</formula>
    </cfRule>
  </conditionalFormatting>
  <conditionalFormatting sqref="G319">
    <cfRule type="cellIs" rank="0" priority="939" equalAverage="0" operator="greaterThan" aboveAverage="0" dxfId="8" text="" percent="0" bottom="0">
      <formula>0</formula>
    </cfRule>
  </conditionalFormatting>
  <conditionalFormatting sqref="H319">
    <cfRule type="cellIs" rank="0" priority="940" equalAverage="0" operator="greaterThan" aboveAverage="0" dxfId="8" text="" percent="0" bottom="0">
      <formula>0</formula>
    </cfRule>
  </conditionalFormatting>
  <conditionalFormatting sqref="C320">
    <cfRule type="cellIs" rank="0" priority="941" equalAverage="0" operator="greaterThan" aboveAverage="0" dxfId="8" text="" percent="0" bottom="0">
      <formula>0</formula>
    </cfRule>
  </conditionalFormatting>
  <conditionalFormatting sqref="G320">
    <cfRule type="cellIs" rank="0" priority="942" equalAverage="0" operator="greaterThan" aboveAverage="0" dxfId="8" text="" percent="0" bottom="0">
      <formula>0</formula>
    </cfRule>
  </conditionalFormatting>
  <conditionalFormatting sqref="H320">
    <cfRule type="cellIs" rank="0" priority="943" equalAverage="0" operator="greaterThan" aboveAverage="0" dxfId="8" text="" percent="0" bottom="0">
      <formula>0</formula>
    </cfRule>
  </conditionalFormatting>
  <conditionalFormatting sqref="C321">
    <cfRule type="cellIs" rank="0" priority="944" equalAverage="0" operator="greaterThan" aboveAverage="0" dxfId="8" text="" percent="0" bottom="0">
      <formula>0</formula>
    </cfRule>
  </conditionalFormatting>
  <conditionalFormatting sqref="G321">
    <cfRule type="cellIs" rank="0" priority="945" equalAverage="0" operator="greaterThan" aboveAverage="0" dxfId="8" text="" percent="0" bottom="0">
      <formula>0</formula>
    </cfRule>
  </conditionalFormatting>
  <conditionalFormatting sqref="H321">
    <cfRule type="cellIs" rank="0" priority="946" equalAverage="0" operator="greaterThan" aboveAverage="0" dxfId="8" text="" percent="0" bottom="0">
      <formula>0</formula>
    </cfRule>
  </conditionalFormatting>
  <conditionalFormatting sqref="C322">
    <cfRule type="cellIs" rank="0" priority="947" equalAverage="0" operator="greaterThan" aboveAverage="0" dxfId="8" text="" percent="0" bottom="0">
      <formula>0</formula>
    </cfRule>
  </conditionalFormatting>
  <conditionalFormatting sqref="G322">
    <cfRule type="cellIs" rank="0" priority="948" equalAverage="0" operator="greaterThan" aboveAverage="0" dxfId="8" text="" percent="0" bottom="0">
      <formula>0</formula>
    </cfRule>
  </conditionalFormatting>
  <conditionalFormatting sqref="H322">
    <cfRule type="cellIs" rank="0" priority="949" equalAverage="0" operator="greaterThan" aboveAverage="0" dxfId="8" text="" percent="0" bottom="0">
      <formula>0</formula>
    </cfRule>
  </conditionalFormatting>
  <conditionalFormatting sqref="C323">
    <cfRule type="cellIs" rank="0" priority="950" equalAverage="0" operator="greaterThan" aboveAverage="0" dxfId="8" text="" percent="0" bottom="0">
      <formula>0</formula>
    </cfRule>
  </conditionalFormatting>
  <conditionalFormatting sqref="G323">
    <cfRule type="cellIs" rank="0" priority="951" equalAverage="0" operator="greaterThan" aboveAverage="0" dxfId="8" text="" percent="0" bottom="0">
      <formula>0</formula>
    </cfRule>
  </conditionalFormatting>
  <conditionalFormatting sqref="H323">
    <cfRule type="cellIs" rank="0" priority="952" equalAverage="0" operator="greaterThan" aboveAverage="0" dxfId="8" text="" percent="0" bottom="0">
      <formula>0</formula>
    </cfRule>
  </conditionalFormatting>
  <conditionalFormatting sqref="C324">
    <cfRule type="cellIs" rank="0" priority="953" equalAverage="0" operator="greaterThan" aboveAverage="0" dxfId="8" text="" percent="0" bottom="0">
      <formula>0</formula>
    </cfRule>
  </conditionalFormatting>
  <conditionalFormatting sqref="G324">
    <cfRule type="cellIs" rank="0" priority="954" equalAverage="0" operator="greaterThan" aboveAverage="0" dxfId="8" text="" percent="0" bottom="0">
      <formula>0</formula>
    </cfRule>
  </conditionalFormatting>
  <conditionalFormatting sqref="H324">
    <cfRule type="cellIs" rank="0" priority="955" equalAverage="0" operator="greaterThan" aboveAverage="0" dxfId="8" text="" percent="0" bottom="0">
      <formula>0</formula>
    </cfRule>
  </conditionalFormatting>
  <conditionalFormatting sqref="C325">
    <cfRule type="cellIs" rank="0" priority="956" equalAverage="0" operator="greaterThan" aboveAverage="0" dxfId="8" text="" percent="0" bottom="0">
      <formula>0</formula>
    </cfRule>
  </conditionalFormatting>
  <conditionalFormatting sqref="G325">
    <cfRule type="cellIs" rank="0" priority="957" equalAverage="0" operator="greaterThan" aboveAverage="0" dxfId="8" text="" percent="0" bottom="0">
      <formula>0</formula>
    </cfRule>
  </conditionalFormatting>
  <conditionalFormatting sqref="H325">
    <cfRule type="cellIs" rank="0" priority="958" equalAverage="0" operator="greaterThan" aboveAverage="0" dxfId="8" text="" percent="0" bottom="0">
      <formula>0</formula>
    </cfRule>
  </conditionalFormatting>
  <conditionalFormatting sqref="C326">
    <cfRule type="cellIs" rank="0" priority="959" equalAverage="0" operator="greaterThan" aboveAverage="0" dxfId="8" text="" percent="0" bottom="0">
      <formula>0</formula>
    </cfRule>
  </conditionalFormatting>
  <conditionalFormatting sqref="G326">
    <cfRule type="cellIs" rank="0" priority="960" equalAverage="0" operator="greaterThan" aboveAverage="0" dxfId="8" text="" percent="0" bottom="0">
      <formula>0</formula>
    </cfRule>
  </conditionalFormatting>
  <conditionalFormatting sqref="H326">
    <cfRule type="cellIs" rank="0" priority="961" equalAverage="0" operator="greaterThan" aboveAverage="0" dxfId="8" text="" percent="0" bottom="0">
      <formula>0</formula>
    </cfRule>
  </conditionalFormatting>
  <conditionalFormatting sqref="C327">
    <cfRule type="cellIs" rank="0" priority="962" equalAverage="0" operator="greaterThan" aboveAverage="0" dxfId="8" text="" percent="0" bottom="0">
      <formula>0</formula>
    </cfRule>
  </conditionalFormatting>
  <conditionalFormatting sqref="G327">
    <cfRule type="cellIs" rank="0" priority="963" equalAverage="0" operator="greaterThan" aboveAverage="0" dxfId="8" text="" percent="0" bottom="0">
      <formula>0</formula>
    </cfRule>
  </conditionalFormatting>
  <conditionalFormatting sqref="H327">
    <cfRule type="cellIs" rank="0" priority="964" equalAverage="0" operator="greaterThan" aboveAverage="0" dxfId="8" text="" percent="0" bottom="0">
      <formula>0</formula>
    </cfRule>
  </conditionalFormatting>
  <conditionalFormatting sqref="C328">
    <cfRule type="cellIs" rank="0" priority="965" equalAverage="0" operator="greaterThan" aboveAverage="0" dxfId="8" text="" percent="0" bottom="0">
      <formula>0</formula>
    </cfRule>
  </conditionalFormatting>
  <conditionalFormatting sqref="G328">
    <cfRule type="cellIs" rank="0" priority="966" equalAverage="0" operator="greaterThan" aboveAverage="0" dxfId="8" text="" percent="0" bottom="0">
      <formula>0</formula>
    </cfRule>
  </conditionalFormatting>
  <conditionalFormatting sqref="H328">
    <cfRule type="cellIs" rank="0" priority="967" equalAverage="0" operator="greaterThan" aboveAverage="0" dxfId="8" text="" percent="0" bottom="0">
      <formula>0</formula>
    </cfRule>
  </conditionalFormatting>
  <conditionalFormatting sqref="C329">
    <cfRule type="cellIs" rank="0" priority="968" equalAverage="0" operator="greaterThan" aboveAverage="0" dxfId="8" text="" percent="0" bottom="0">
      <formula>0</formula>
    </cfRule>
  </conditionalFormatting>
  <conditionalFormatting sqref="G329">
    <cfRule type="cellIs" rank="0" priority="969" equalAverage="0" operator="greaterThan" aboveAverage="0" dxfId="8" text="" percent="0" bottom="0">
      <formula>0</formula>
    </cfRule>
  </conditionalFormatting>
  <conditionalFormatting sqref="H329">
    <cfRule type="cellIs" rank="0" priority="970" equalAverage="0" operator="greaterThan" aboveAverage="0" dxfId="8" text="" percent="0" bottom="0">
      <formula>0</formula>
    </cfRule>
  </conditionalFormatting>
  <conditionalFormatting sqref="C330">
    <cfRule type="cellIs" rank="0" priority="971" equalAverage="0" operator="greaterThan" aboveAverage="0" dxfId="8" text="" percent="0" bottom="0">
      <formula>0</formula>
    </cfRule>
  </conditionalFormatting>
  <conditionalFormatting sqref="G330">
    <cfRule type="cellIs" rank="0" priority="972" equalAverage="0" operator="greaterThan" aboveAverage="0" dxfId="8" text="" percent="0" bottom="0">
      <formula>0</formula>
    </cfRule>
  </conditionalFormatting>
  <conditionalFormatting sqref="H330">
    <cfRule type="cellIs" rank="0" priority="973" equalAverage="0" operator="greaterThan" aboveAverage="0" dxfId="8" text="" percent="0" bottom="0">
      <formula>0</formula>
    </cfRule>
  </conditionalFormatting>
  <conditionalFormatting sqref="C331">
    <cfRule type="cellIs" rank="0" priority="974" equalAverage="0" operator="greaterThan" aboveAverage="0" dxfId="8" text="" percent="0" bottom="0">
      <formula>0</formula>
    </cfRule>
  </conditionalFormatting>
  <conditionalFormatting sqref="G331">
    <cfRule type="cellIs" rank="0" priority="975" equalAverage="0" operator="greaterThan" aboveAverage="0" dxfId="8" text="" percent="0" bottom="0">
      <formula>0</formula>
    </cfRule>
  </conditionalFormatting>
  <conditionalFormatting sqref="H331">
    <cfRule type="cellIs" rank="0" priority="976" equalAverage="0" operator="greaterThan" aboveAverage="0" dxfId="8" text="" percent="0" bottom="0">
      <formula>0</formula>
    </cfRule>
  </conditionalFormatting>
  <conditionalFormatting sqref="C332">
    <cfRule type="cellIs" rank="0" priority="977" equalAverage="0" operator="greaterThan" aboveAverage="0" dxfId="8" text="" percent="0" bottom="0">
      <formula>0</formula>
    </cfRule>
  </conditionalFormatting>
  <conditionalFormatting sqref="G332">
    <cfRule type="cellIs" rank="0" priority="978" equalAverage="0" operator="greaterThan" aboveAverage="0" dxfId="8" text="" percent="0" bottom="0">
      <formula>0</formula>
    </cfRule>
  </conditionalFormatting>
  <conditionalFormatting sqref="H332">
    <cfRule type="cellIs" rank="0" priority="979" equalAverage="0" operator="greaterThan" aboveAverage="0" dxfId="8" text="" percent="0" bottom="0">
      <formula>0</formula>
    </cfRule>
  </conditionalFormatting>
  <conditionalFormatting sqref="C333">
    <cfRule type="cellIs" rank="0" priority="980" equalAverage="0" operator="greaterThan" aboveAverage="0" dxfId="8" text="" percent="0" bottom="0">
      <formula>0</formula>
    </cfRule>
  </conditionalFormatting>
  <conditionalFormatting sqref="G333">
    <cfRule type="cellIs" rank="0" priority="981" equalAverage="0" operator="greaterThan" aboveAverage="0" dxfId="8" text="" percent="0" bottom="0">
      <formula>0</formula>
    </cfRule>
  </conditionalFormatting>
  <conditionalFormatting sqref="H333">
    <cfRule type="cellIs" rank="0" priority="982" equalAverage="0" operator="greaterThan" aboveAverage="0" dxfId="8" text="" percent="0" bottom="0">
      <formula>0</formula>
    </cfRule>
  </conditionalFormatting>
  <conditionalFormatting sqref="C334">
    <cfRule type="cellIs" rank="0" priority="983" equalAverage="0" operator="greaterThan" aboveAverage="0" dxfId="8" text="" percent="0" bottom="0">
      <formula>0</formula>
    </cfRule>
  </conditionalFormatting>
  <conditionalFormatting sqref="G334">
    <cfRule type="cellIs" rank="0" priority="984" equalAverage="0" operator="greaterThan" aboveAverage="0" dxfId="8" text="" percent="0" bottom="0">
      <formula>0</formula>
    </cfRule>
  </conditionalFormatting>
  <conditionalFormatting sqref="H334">
    <cfRule type="cellIs" rank="0" priority="985" equalAverage="0" operator="greaterThan" aboveAverage="0" dxfId="8" text="" percent="0" bottom="0">
      <formula>0</formula>
    </cfRule>
  </conditionalFormatting>
  <conditionalFormatting sqref="C335">
    <cfRule type="cellIs" rank="0" priority="986" equalAverage="0" operator="greaterThan" aboveAverage="0" dxfId="8" text="" percent="0" bottom="0">
      <formula>0</formula>
    </cfRule>
  </conditionalFormatting>
  <conditionalFormatting sqref="G335">
    <cfRule type="cellIs" rank="0" priority="987" equalAverage="0" operator="greaterThan" aboveAverage="0" dxfId="8" text="" percent="0" bottom="0">
      <formula>0</formula>
    </cfRule>
  </conditionalFormatting>
  <conditionalFormatting sqref="H335">
    <cfRule type="cellIs" rank="0" priority="988" equalAverage="0" operator="greaterThan" aboveAverage="0" dxfId="8" text="" percent="0" bottom="0">
      <formula>0</formula>
    </cfRule>
  </conditionalFormatting>
  <conditionalFormatting sqref="C336">
    <cfRule type="cellIs" rank="0" priority="989" equalAverage="0" operator="greaterThan" aboveAverage="0" dxfId="8" text="" percent="0" bottom="0">
      <formula>0</formula>
    </cfRule>
  </conditionalFormatting>
  <conditionalFormatting sqref="G336">
    <cfRule type="cellIs" rank="0" priority="990" equalAverage="0" operator="greaterThan" aboveAverage="0" dxfId="8" text="" percent="0" bottom="0">
      <formula>0</formula>
    </cfRule>
  </conditionalFormatting>
  <conditionalFormatting sqref="H336">
    <cfRule type="cellIs" rank="0" priority="991" equalAverage="0" operator="greaterThan" aboveAverage="0" dxfId="8" text="" percent="0" bottom="0">
      <formula>0</formula>
    </cfRule>
  </conditionalFormatting>
  <conditionalFormatting sqref="C337">
    <cfRule type="cellIs" rank="0" priority="992" equalAverage="0" operator="greaterThan" aboveAverage="0" dxfId="8" text="" percent="0" bottom="0">
      <formula>0</formula>
    </cfRule>
  </conditionalFormatting>
  <conditionalFormatting sqref="G337">
    <cfRule type="cellIs" rank="0" priority="993" equalAverage="0" operator="greaterThan" aboveAverage="0" dxfId="8" text="" percent="0" bottom="0">
      <formula>0</formula>
    </cfRule>
  </conditionalFormatting>
  <conditionalFormatting sqref="H337">
    <cfRule type="cellIs" rank="0" priority="994" equalAverage="0" operator="greaterThan" aboveAverage="0" dxfId="8" text="" percent="0" bottom="0">
      <formula>0</formula>
    </cfRule>
  </conditionalFormatting>
  <conditionalFormatting sqref="C338">
    <cfRule type="cellIs" rank="0" priority="995" equalAverage="0" operator="greaterThan" aboveAverage="0" dxfId="8" text="" percent="0" bottom="0">
      <formula>0</formula>
    </cfRule>
  </conditionalFormatting>
  <conditionalFormatting sqref="G338">
    <cfRule type="cellIs" rank="0" priority="996" equalAverage="0" operator="greaterThan" aboveAverage="0" dxfId="8" text="" percent="0" bottom="0">
      <formula>0</formula>
    </cfRule>
  </conditionalFormatting>
  <conditionalFormatting sqref="H338">
    <cfRule type="cellIs" rank="0" priority="997" equalAverage="0" operator="greaterThan" aboveAverage="0" dxfId="8" text="" percent="0" bottom="0">
      <formula>0</formula>
    </cfRule>
  </conditionalFormatting>
  <conditionalFormatting sqref="C339">
    <cfRule type="cellIs" rank="0" priority="998" equalAverage="0" operator="greaterThan" aboveAverage="0" dxfId="8" text="" percent="0" bottom="0">
      <formula>0</formula>
    </cfRule>
  </conditionalFormatting>
  <conditionalFormatting sqref="G339">
    <cfRule type="cellIs" rank="0" priority="999" equalAverage="0" operator="greaterThan" aboveAverage="0" dxfId="8" text="" percent="0" bottom="0">
      <formula>0</formula>
    </cfRule>
  </conditionalFormatting>
  <conditionalFormatting sqref="H339">
    <cfRule type="cellIs" rank="0" priority="1000" equalAverage="0" operator="greaterThan" aboveAverage="0" dxfId="8" text="" percent="0" bottom="0">
      <formula>0</formula>
    </cfRule>
  </conditionalFormatting>
  <conditionalFormatting sqref="C340">
    <cfRule type="cellIs" rank="0" priority="1001" equalAverage="0" operator="greaterThan" aboveAverage="0" dxfId="8" text="" percent="0" bottom="0">
      <formula>0</formula>
    </cfRule>
  </conditionalFormatting>
  <conditionalFormatting sqref="G340">
    <cfRule type="cellIs" rank="0" priority="1002" equalAverage="0" operator="greaterThan" aboveAverage="0" dxfId="8" text="" percent="0" bottom="0">
      <formula>0</formula>
    </cfRule>
  </conditionalFormatting>
  <conditionalFormatting sqref="H340">
    <cfRule type="cellIs" rank="0" priority="1003" equalAverage="0" operator="greaterThan" aboveAverage="0" dxfId="8" text="" percent="0" bottom="0">
      <formula>0</formula>
    </cfRule>
  </conditionalFormatting>
  <conditionalFormatting sqref="C341">
    <cfRule type="cellIs" rank="0" priority="1004" equalAverage="0" operator="greaterThan" aboveAverage="0" dxfId="8" text="" percent="0" bottom="0">
      <formula>0</formula>
    </cfRule>
  </conditionalFormatting>
  <conditionalFormatting sqref="G341">
    <cfRule type="cellIs" rank="0" priority="1005" equalAverage="0" operator="greaterThan" aboveAverage="0" dxfId="8" text="" percent="0" bottom="0">
      <formula>0</formula>
    </cfRule>
  </conditionalFormatting>
  <conditionalFormatting sqref="H341">
    <cfRule type="cellIs" rank="0" priority="1006" equalAverage="0" operator="greaterThan" aboveAverage="0" dxfId="8" text="" percent="0" bottom="0">
      <formula>0</formula>
    </cfRule>
  </conditionalFormatting>
  <conditionalFormatting sqref="C342">
    <cfRule type="cellIs" rank="0" priority="1007" equalAverage="0" operator="greaterThan" aboveAverage="0" dxfId="8" text="" percent="0" bottom="0">
      <formula>0</formula>
    </cfRule>
  </conditionalFormatting>
  <conditionalFormatting sqref="G342">
    <cfRule type="cellIs" rank="0" priority="1008" equalAverage="0" operator="greaterThan" aboveAverage="0" dxfId="8" text="" percent="0" bottom="0">
      <formula>0</formula>
    </cfRule>
  </conditionalFormatting>
  <conditionalFormatting sqref="H342">
    <cfRule type="cellIs" rank="0" priority="1009" equalAverage="0" operator="greaterThan" aboveAverage="0" dxfId="8" text="" percent="0" bottom="0">
      <formula>0</formula>
    </cfRule>
  </conditionalFormatting>
  <conditionalFormatting sqref="C343">
    <cfRule type="cellIs" rank="0" priority="1010" equalAverage="0" operator="greaterThan" aboveAverage="0" dxfId="8" text="" percent="0" bottom="0">
      <formula>0</formula>
    </cfRule>
  </conditionalFormatting>
  <conditionalFormatting sqref="G343">
    <cfRule type="cellIs" rank="0" priority="1011" equalAverage="0" operator="greaterThan" aboveAverage="0" dxfId="8" text="" percent="0" bottom="0">
      <formula>0</formula>
    </cfRule>
  </conditionalFormatting>
  <conditionalFormatting sqref="H343">
    <cfRule type="cellIs" rank="0" priority="1012" equalAverage="0" operator="greaterThan" aboveAverage="0" dxfId="8" text="" percent="0" bottom="0">
      <formula>0</formula>
    </cfRule>
  </conditionalFormatting>
  <conditionalFormatting sqref="C344">
    <cfRule type="cellIs" rank="0" priority="1013" equalAverage="0" operator="greaterThan" aboveAverage="0" dxfId="8" text="" percent="0" bottom="0">
      <formula>0</formula>
    </cfRule>
  </conditionalFormatting>
  <conditionalFormatting sqref="G344">
    <cfRule type="cellIs" rank="0" priority="1014" equalAverage="0" operator="greaterThan" aboveAverage="0" dxfId="8" text="" percent="0" bottom="0">
      <formula>0</formula>
    </cfRule>
  </conditionalFormatting>
  <conditionalFormatting sqref="H344">
    <cfRule type="cellIs" rank="0" priority="1015" equalAverage="0" operator="greaterThan" aboveAverage="0" dxfId="8" text="" percent="0" bottom="0">
      <formula>0</formula>
    </cfRule>
  </conditionalFormatting>
  <conditionalFormatting sqref="C345">
    <cfRule type="cellIs" rank="0" priority="1016" equalAverage="0" operator="greaterThan" aboveAverage="0" dxfId="8" text="" percent="0" bottom="0">
      <formula>0</formula>
    </cfRule>
  </conditionalFormatting>
  <conditionalFormatting sqref="G345">
    <cfRule type="cellIs" rank="0" priority="1017" equalAverage="0" operator="greaterThan" aboveAverage="0" dxfId="8" text="" percent="0" bottom="0">
      <formula>0</formula>
    </cfRule>
  </conditionalFormatting>
  <conditionalFormatting sqref="H345">
    <cfRule type="cellIs" rank="0" priority="1018" equalAverage="0" operator="greaterThan" aboveAverage="0" dxfId="8" text="" percent="0" bottom="0">
      <formula>0</formula>
    </cfRule>
  </conditionalFormatting>
  <conditionalFormatting sqref="C346">
    <cfRule type="cellIs" rank="0" priority="1019" equalAverage="0" operator="greaterThan" aboveAverage="0" dxfId="8" text="" percent="0" bottom="0">
      <formula>0</formula>
    </cfRule>
  </conditionalFormatting>
  <conditionalFormatting sqref="G346">
    <cfRule type="cellIs" rank="0" priority="1020" equalAverage="0" operator="greaterThan" aboveAverage="0" dxfId="8" text="" percent="0" bottom="0">
      <formula>0</formula>
    </cfRule>
  </conditionalFormatting>
  <conditionalFormatting sqref="H346">
    <cfRule type="cellIs" rank="0" priority="1021" equalAverage="0" operator="greaterThan" aboveAverage="0" dxfId="8" text="" percent="0" bottom="0">
      <formula>0</formula>
    </cfRule>
  </conditionalFormatting>
  <conditionalFormatting sqref="C347">
    <cfRule type="cellIs" rank="0" priority="1022" equalAverage="0" operator="greaterThan" aboveAverage="0" dxfId="8" text="" percent="0" bottom="0">
      <formula>0</formula>
    </cfRule>
  </conditionalFormatting>
  <conditionalFormatting sqref="G347">
    <cfRule type="cellIs" rank="0" priority="1023" equalAverage="0" operator="greaterThan" aboveAverage="0" dxfId="8" text="" percent="0" bottom="0">
      <formula>0</formula>
    </cfRule>
  </conditionalFormatting>
  <conditionalFormatting sqref="H347">
    <cfRule type="cellIs" rank="0" priority="1024" equalAverage="0" operator="greaterThan" aboveAverage="0" dxfId="8" text="" percent="0" bottom="0">
      <formula>0</formula>
    </cfRule>
  </conditionalFormatting>
  <conditionalFormatting sqref="C348">
    <cfRule type="cellIs" rank="0" priority="1025" equalAverage="0" operator="greaterThan" aboveAverage="0" dxfId="8" text="" percent="0" bottom="0">
      <formula>0</formula>
    </cfRule>
  </conditionalFormatting>
  <conditionalFormatting sqref="G348">
    <cfRule type="cellIs" rank="0" priority="1026" equalAverage="0" operator="greaterThan" aboveAverage="0" dxfId="8" text="" percent="0" bottom="0">
      <formula>0</formula>
    </cfRule>
  </conditionalFormatting>
  <conditionalFormatting sqref="H348">
    <cfRule type="cellIs" rank="0" priority="1027" equalAverage="0" operator="greaterThan" aboveAverage="0" dxfId="8" text="" percent="0" bottom="0">
      <formula>0</formula>
    </cfRule>
  </conditionalFormatting>
  <conditionalFormatting sqref="C349">
    <cfRule type="cellIs" rank="0" priority="1028" equalAverage="0" operator="greaterThan" aboveAverage="0" dxfId="8" text="" percent="0" bottom="0">
      <formula>0</formula>
    </cfRule>
  </conditionalFormatting>
  <conditionalFormatting sqref="G349">
    <cfRule type="cellIs" rank="0" priority="1029" equalAverage="0" operator="greaterThan" aboveAverage="0" dxfId="8" text="" percent="0" bottom="0">
      <formula>0</formula>
    </cfRule>
  </conditionalFormatting>
  <conditionalFormatting sqref="H349">
    <cfRule type="cellIs" rank="0" priority="1030" equalAverage="0" operator="greaterThan" aboveAverage="0" dxfId="8" text="" percent="0" bottom="0">
      <formula>0</formula>
    </cfRule>
  </conditionalFormatting>
  <conditionalFormatting sqref="C350">
    <cfRule type="cellIs" rank="0" priority="1031" equalAverage="0" operator="greaterThan" aboveAverage="0" dxfId="8" text="" percent="0" bottom="0">
      <formula>0</formula>
    </cfRule>
  </conditionalFormatting>
  <conditionalFormatting sqref="G350">
    <cfRule type="cellIs" rank="0" priority="1032" equalAverage="0" operator="greaterThan" aboveAverage="0" dxfId="8" text="" percent="0" bottom="0">
      <formula>0</formula>
    </cfRule>
  </conditionalFormatting>
  <conditionalFormatting sqref="H350">
    <cfRule type="cellIs" rank="0" priority="1033" equalAverage="0" operator="greaterThan" aboveAverage="0" dxfId="8" text="" percent="0" bottom="0">
      <formula>0</formula>
    </cfRule>
  </conditionalFormatting>
  <conditionalFormatting sqref="C351">
    <cfRule type="cellIs" rank="0" priority="1034" equalAverage="0" operator="greaterThan" aboveAverage="0" dxfId="8" text="" percent="0" bottom="0">
      <formula>0</formula>
    </cfRule>
  </conditionalFormatting>
  <conditionalFormatting sqref="G351">
    <cfRule type="cellIs" rank="0" priority="1035" equalAverage="0" operator="greaterThan" aboveAverage="0" dxfId="8" text="" percent="0" bottom="0">
      <formula>0</formula>
    </cfRule>
  </conditionalFormatting>
  <conditionalFormatting sqref="H351">
    <cfRule type="cellIs" rank="0" priority="1036" equalAverage="0" operator="greaterThan" aboveAverage="0" dxfId="8" text="" percent="0" bottom="0">
      <formula>0</formula>
    </cfRule>
  </conditionalFormatting>
  <conditionalFormatting sqref="C352">
    <cfRule type="cellIs" rank="0" priority="1037" equalAverage="0" operator="greaterThan" aboveAverage="0" dxfId="8" text="" percent="0" bottom="0">
      <formula>0</formula>
    </cfRule>
  </conditionalFormatting>
  <conditionalFormatting sqref="G352">
    <cfRule type="cellIs" rank="0" priority="1038" equalAverage="0" operator="greaterThan" aboveAverage="0" dxfId="8" text="" percent="0" bottom="0">
      <formula>0</formula>
    </cfRule>
  </conditionalFormatting>
  <conditionalFormatting sqref="H352">
    <cfRule type="cellIs" rank="0" priority="1039" equalAverage="0" operator="greaterThan" aboveAverage="0" dxfId="8" text="" percent="0" bottom="0">
      <formula>0</formula>
    </cfRule>
  </conditionalFormatting>
  <conditionalFormatting sqref="C353">
    <cfRule type="cellIs" rank="0" priority="1040" equalAverage="0" operator="greaterThan" aboveAverage="0" dxfId="8" text="" percent="0" bottom="0">
      <formula>0</formula>
    </cfRule>
  </conditionalFormatting>
  <conditionalFormatting sqref="G353">
    <cfRule type="cellIs" rank="0" priority="1041" equalAverage="0" operator="greaterThan" aboveAverage="0" dxfId="8" text="" percent="0" bottom="0">
      <formula>0</formula>
    </cfRule>
  </conditionalFormatting>
  <conditionalFormatting sqref="H353">
    <cfRule type="cellIs" rank="0" priority="1042" equalAverage="0" operator="greaterThan" aboveAverage="0" dxfId="8" text="" percent="0" bottom="0">
      <formula>0</formula>
    </cfRule>
  </conditionalFormatting>
  <conditionalFormatting sqref="C354">
    <cfRule type="cellIs" rank="0" priority="1043" equalAverage="0" operator="greaterThan" aboveAverage="0" dxfId="8" text="" percent="0" bottom="0">
      <formula>0</formula>
    </cfRule>
  </conditionalFormatting>
  <conditionalFormatting sqref="G354">
    <cfRule type="cellIs" rank="0" priority="1044" equalAverage="0" operator="greaterThan" aboveAverage="0" dxfId="8" text="" percent="0" bottom="0">
      <formula>0</formula>
    </cfRule>
  </conditionalFormatting>
  <conditionalFormatting sqref="H354">
    <cfRule type="cellIs" rank="0" priority="1045" equalAverage="0" operator="greaterThan" aboveAverage="0" dxfId="8" text="" percent="0" bottom="0">
      <formula>0</formula>
    </cfRule>
  </conditionalFormatting>
  <conditionalFormatting sqref="C355">
    <cfRule type="cellIs" rank="0" priority="1046" equalAverage="0" operator="greaterThan" aboveAverage="0" dxfId="8" text="" percent="0" bottom="0">
      <formula>0</formula>
    </cfRule>
  </conditionalFormatting>
  <conditionalFormatting sqref="G355">
    <cfRule type="cellIs" rank="0" priority="1047" equalAverage="0" operator="greaterThan" aboveAverage="0" dxfId="8" text="" percent="0" bottom="0">
      <formula>0</formula>
    </cfRule>
  </conditionalFormatting>
  <conditionalFormatting sqref="H355">
    <cfRule type="cellIs" rank="0" priority="1048" equalAverage="0" operator="greaterThan" aboveAverage="0" dxfId="8" text="" percent="0" bottom="0">
      <formula>0</formula>
    </cfRule>
  </conditionalFormatting>
  <conditionalFormatting sqref="C356">
    <cfRule type="cellIs" rank="0" priority="1049" equalAverage="0" operator="greaterThan" aboveAverage="0" dxfId="8" text="" percent="0" bottom="0">
      <formula>0</formula>
    </cfRule>
  </conditionalFormatting>
  <conditionalFormatting sqref="G356">
    <cfRule type="cellIs" rank="0" priority="1050" equalAverage="0" operator="greaterThan" aboveAverage="0" dxfId="8" text="" percent="0" bottom="0">
      <formula>0</formula>
    </cfRule>
  </conditionalFormatting>
  <conditionalFormatting sqref="H356">
    <cfRule type="cellIs" rank="0" priority="1051" equalAverage="0" operator="greaterThan" aboveAverage="0" dxfId="8" text="" percent="0" bottom="0">
      <formula>0</formula>
    </cfRule>
  </conditionalFormatting>
  <conditionalFormatting sqref="C357">
    <cfRule type="cellIs" rank="0" priority="1052" equalAverage="0" operator="greaterThan" aboveAverage="0" dxfId="8" text="" percent="0" bottom="0">
      <formula>0</formula>
    </cfRule>
  </conditionalFormatting>
  <conditionalFormatting sqref="G357">
    <cfRule type="cellIs" rank="0" priority="1053" equalAverage="0" operator="greaterThan" aboveAverage="0" dxfId="8" text="" percent="0" bottom="0">
      <formula>0</formula>
    </cfRule>
  </conditionalFormatting>
  <conditionalFormatting sqref="H357">
    <cfRule type="cellIs" rank="0" priority="1054" equalAverage="0" operator="greaterThan" aboveAverage="0" dxfId="8" text="" percent="0" bottom="0">
      <formula>0</formula>
    </cfRule>
  </conditionalFormatting>
  <conditionalFormatting sqref="C358">
    <cfRule type="cellIs" rank="0" priority="1055" equalAverage="0" operator="greaterThan" aboveAverage="0" dxfId="8" text="" percent="0" bottom="0">
      <formula>0</formula>
    </cfRule>
  </conditionalFormatting>
  <conditionalFormatting sqref="G358">
    <cfRule type="cellIs" rank="0" priority="1056" equalAverage="0" operator="greaterThan" aboveAverage="0" dxfId="8" text="" percent="0" bottom="0">
      <formula>0</formula>
    </cfRule>
  </conditionalFormatting>
  <conditionalFormatting sqref="H358">
    <cfRule type="cellIs" rank="0" priority="1057" equalAverage="0" operator="greaterThan" aboveAverage="0" dxfId="8" text="" percent="0" bottom="0">
      <formula>0</formula>
    </cfRule>
  </conditionalFormatting>
  <conditionalFormatting sqref="C359">
    <cfRule type="cellIs" rank="0" priority="1058" equalAverage="0" operator="greaterThan" aboveAverage="0" dxfId="8" text="" percent="0" bottom="0">
      <formula>0</formula>
    </cfRule>
  </conditionalFormatting>
  <conditionalFormatting sqref="G359">
    <cfRule type="cellIs" rank="0" priority="1059" equalAverage="0" operator="greaterThan" aboveAverage="0" dxfId="8" text="" percent="0" bottom="0">
      <formula>0</formula>
    </cfRule>
  </conditionalFormatting>
  <conditionalFormatting sqref="H359">
    <cfRule type="cellIs" rank="0" priority="1060" equalAverage="0" operator="greaterThan" aboveAverage="0" dxfId="8" text="" percent="0" bottom="0">
      <formula>0</formula>
    </cfRule>
  </conditionalFormatting>
  <conditionalFormatting sqref="C360">
    <cfRule type="cellIs" rank="0" priority="1061" equalAverage="0" operator="greaterThan" aboveAverage="0" dxfId="8" text="" percent="0" bottom="0">
      <formula>0</formula>
    </cfRule>
  </conditionalFormatting>
  <conditionalFormatting sqref="G360">
    <cfRule type="cellIs" rank="0" priority="1062" equalAverage="0" operator="greaterThan" aboveAverage="0" dxfId="8" text="" percent="0" bottom="0">
      <formula>0</formula>
    </cfRule>
  </conditionalFormatting>
  <conditionalFormatting sqref="H360">
    <cfRule type="cellIs" rank="0" priority="1063" equalAverage="0" operator="greaterThan" aboveAverage="0" dxfId="8" text="" percent="0" bottom="0">
      <formula>0</formula>
    </cfRule>
  </conditionalFormatting>
  <conditionalFormatting sqref="C361">
    <cfRule type="cellIs" rank="0" priority="1064" equalAverage="0" operator="greaterThan" aboveAverage="0" dxfId="8" text="" percent="0" bottom="0">
      <formula>0</formula>
    </cfRule>
  </conditionalFormatting>
  <conditionalFormatting sqref="G361">
    <cfRule type="cellIs" rank="0" priority="1065" equalAverage="0" operator="greaterThan" aboveAverage="0" dxfId="8" text="" percent="0" bottom="0">
      <formula>0</formula>
    </cfRule>
  </conditionalFormatting>
  <conditionalFormatting sqref="H361">
    <cfRule type="cellIs" rank="0" priority="1066" equalAverage="0" operator="greaterThan" aboveAverage="0" dxfId="8" text="" percent="0" bottom="0">
      <formula>0</formula>
    </cfRule>
  </conditionalFormatting>
  <conditionalFormatting sqref="C362">
    <cfRule type="cellIs" rank="0" priority="1067" equalAverage="0" operator="greaterThan" aboveAverage="0" dxfId="8" text="" percent="0" bottom="0">
      <formula>0</formula>
    </cfRule>
  </conditionalFormatting>
  <conditionalFormatting sqref="G362">
    <cfRule type="cellIs" rank="0" priority="1068" equalAverage="0" operator="greaterThan" aboveAverage="0" dxfId="8" text="" percent="0" bottom="0">
      <formula>0</formula>
    </cfRule>
  </conditionalFormatting>
  <conditionalFormatting sqref="H362">
    <cfRule type="cellIs" rank="0" priority="1069" equalAverage="0" operator="greaterThan" aboveAverage="0" dxfId="8" text="" percent="0" bottom="0">
      <formula>0</formula>
    </cfRule>
  </conditionalFormatting>
  <conditionalFormatting sqref="C363">
    <cfRule type="cellIs" rank="0" priority="1070" equalAverage="0" operator="greaterThan" aboveAverage="0" dxfId="8" text="" percent="0" bottom="0">
      <formula>0</formula>
    </cfRule>
  </conditionalFormatting>
  <conditionalFormatting sqref="G363">
    <cfRule type="cellIs" rank="0" priority="1071" equalAverage="0" operator="greaterThan" aboveAverage="0" dxfId="8" text="" percent="0" bottom="0">
      <formula>0</formula>
    </cfRule>
  </conditionalFormatting>
  <conditionalFormatting sqref="H363">
    <cfRule type="cellIs" rank="0" priority="1072" equalAverage="0" operator="greaterThan" aboveAverage="0" dxfId="8" text="" percent="0" bottom="0">
      <formula>0</formula>
    </cfRule>
  </conditionalFormatting>
  <conditionalFormatting sqref="C364">
    <cfRule type="cellIs" rank="0" priority="1073" equalAverage="0" operator="greaterThan" aboveAverage="0" dxfId="8" text="" percent="0" bottom="0">
      <formula>0</formula>
    </cfRule>
  </conditionalFormatting>
  <conditionalFormatting sqref="G364">
    <cfRule type="cellIs" rank="0" priority="1074" equalAverage="0" operator="greaterThan" aboveAverage="0" dxfId="8" text="" percent="0" bottom="0">
      <formula>0</formula>
    </cfRule>
  </conditionalFormatting>
  <conditionalFormatting sqref="H364">
    <cfRule type="cellIs" rank="0" priority="1075" equalAverage="0" operator="greaterThan" aboveAverage="0" dxfId="8" text="" percent="0" bottom="0">
      <formula>0</formula>
    </cfRule>
  </conditionalFormatting>
  <conditionalFormatting sqref="C365">
    <cfRule type="cellIs" rank="0" priority="1076" equalAverage="0" operator="greaterThan" aboveAverage="0" dxfId="8" text="" percent="0" bottom="0">
      <formula>0</formula>
    </cfRule>
  </conditionalFormatting>
  <conditionalFormatting sqref="G365">
    <cfRule type="cellIs" rank="0" priority="1077" equalAverage="0" operator="greaterThan" aboveAverage="0" dxfId="8" text="" percent="0" bottom="0">
      <formula>0</formula>
    </cfRule>
  </conditionalFormatting>
  <conditionalFormatting sqref="H365">
    <cfRule type="cellIs" rank="0" priority="1078" equalAverage="0" operator="greaterThan" aboveAverage="0" dxfId="8" text="" percent="0" bottom="0">
      <formula>0</formula>
    </cfRule>
  </conditionalFormatting>
  <conditionalFormatting sqref="C366">
    <cfRule type="cellIs" rank="0" priority="1079" equalAverage="0" operator="greaterThan" aboveAverage="0" dxfId="8" text="" percent="0" bottom="0">
      <formula>0</formula>
    </cfRule>
  </conditionalFormatting>
  <conditionalFormatting sqref="G366">
    <cfRule type="cellIs" rank="0" priority="1080" equalAverage="0" operator="greaterThan" aboveAverage="0" dxfId="8" text="" percent="0" bottom="0">
      <formula>0</formula>
    </cfRule>
  </conditionalFormatting>
  <conditionalFormatting sqref="H366">
    <cfRule type="cellIs" rank="0" priority="1081" equalAverage="0" operator="greaterThan" aboveAverage="0" dxfId="8" text="" percent="0" bottom="0">
      <formula>0</formula>
    </cfRule>
  </conditionalFormatting>
  <conditionalFormatting sqref="C367">
    <cfRule type="cellIs" rank="0" priority="1082" equalAverage="0" operator="greaterThan" aboveAverage="0" dxfId="8" text="" percent="0" bottom="0">
      <formula>0</formula>
    </cfRule>
  </conditionalFormatting>
  <conditionalFormatting sqref="G367">
    <cfRule type="cellIs" rank="0" priority="1083" equalAverage="0" operator="greaterThan" aboveAverage="0" dxfId="8" text="" percent="0" bottom="0">
      <formula>0</formula>
    </cfRule>
  </conditionalFormatting>
  <conditionalFormatting sqref="H367">
    <cfRule type="cellIs" rank="0" priority="1084" equalAverage="0" operator="greaterThan" aboveAverage="0" dxfId="8" text="" percent="0" bottom="0">
      <formula>0</formula>
    </cfRule>
  </conditionalFormatting>
  <conditionalFormatting sqref="C368">
    <cfRule type="cellIs" rank="0" priority="1085" equalAverage="0" operator="greaterThan" aboveAverage="0" dxfId="8" text="" percent="0" bottom="0">
      <formula>0</formula>
    </cfRule>
  </conditionalFormatting>
  <conditionalFormatting sqref="G368">
    <cfRule type="cellIs" rank="0" priority="1086" equalAverage="0" operator="greaterThan" aboveAverage="0" dxfId="8" text="" percent="0" bottom="0">
      <formula>0</formula>
    </cfRule>
  </conditionalFormatting>
  <conditionalFormatting sqref="H368">
    <cfRule type="cellIs" rank="0" priority="1087" equalAverage="0" operator="greaterThan" aboveAverage="0" dxfId="8" text="" percent="0" bottom="0">
      <formula>0</formula>
    </cfRule>
  </conditionalFormatting>
  <conditionalFormatting sqref="C369">
    <cfRule type="cellIs" rank="0" priority="1088" equalAverage="0" operator="greaterThan" aboveAverage="0" dxfId="8" text="" percent="0" bottom="0">
      <formula>0</formula>
    </cfRule>
  </conditionalFormatting>
  <conditionalFormatting sqref="G369">
    <cfRule type="cellIs" rank="0" priority="1089" equalAverage="0" operator="greaterThan" aboveAverage="0" dxfId="8" text="" percent="0" bottom="0">
      <formula>0</formula>
    </cfRule>
  </conditionalFormatting>
  <conditionalFormatting sqref="H369">
    <cfRule type="cellIs" rank="0" priority="1090" equalAverage="0" operator="greaterThan" aboveAverage="0" dxfId="8" text="" percent="0" bottom="0">
      <formula>0</formula>
    </cfRule>
  </conditionalFormatting>
  <conditionalFormatting sqref="C370">
    <cfRule type="cellIs" rank="0" priority="1091" equalAverage="0" operator="greaterThan" aboveAverage="0" dxfId="8" text="" percent="0" bottom="0">
      <formula>0</formula>
    </cfRule>
  </conditionalFormatting>
  <conditionalFormatting sqref="G370">
    <cfRule type="cellIs" rank="0" priority="1092" equalAverage="0" operator="greaterThan" aboveAverage="0" dxfId="8" text="" percent="0" bottom="0">
      <formula>0</formula>
    </cfRule>
  </conditionalFormatting>
  <conditionalFormatting sqref="H370">
    <cfRule type="cellIs" rank="0" priority="1093" equalAverage="0" operator="greaterThan" aboveAverage="0" dxfId="8" text="" percent="0" bottom="0">
      <formula>0</formula>
    </cfRule>
  </conditionalFormatting>
  <conditionalFormatting sqref="C371">
    <cfRule type="cellIs" rank="0" priority="1094" equalAverage="0" operator="greaterThan" aboveAverage="0" dxfId="8" text="" percent="0" bottom="0">
      <formula>0</formula>
    </cfRule>
  </conditionalFormatting>
  <conditionalFormatting sqref="G371">
    <cfRule type="cellIs" rank="0" priority="1095" equalAverage="0" operator="greaterThan" aboveAverage="0" dxfId="8" text="" percent="0" bottom="0">
      <formula>0</formula>
    </cfRule>
  </conditionalFormatting>
  <conditionalFormatting sqref="H371">
    <cfRule type="cellIs" rank="0" priority="1096" equalAverage="0" operator="greaterThan" aboveAverage="0" dxfId="8" text="" percent="0" bottom="0">
      <formula>0</formula>
    </cfRule>
  </conditionalFormatting>
  <conditionalFormatting sqref="C372">
    <cfRule type="cellIs" rank="0" priority="1097" equalAverage="0" operator="greaterThan" aboveAverage="0" dxfId="8" text="" percent="0" bottom="0">
      <formula>0</formula>
    </cfRule>
  </conditionalFormatting>
  <conditionalFormatting sqref="G372">
    <cfRule type="cellIs" rank="0" priority="1098" equalAverage="0" operator="greaterThan" aboveAverage="0" dxfId="8" text="" percent="0" bottom="0">
      <formula>0</formula>
    </cfRule>
  </conditionalFormatting>
  <conditionalFormatting sqref="H372">
    <cfRule type="cellIs" rank="0" priority="1099" equalAverage="0" operator="greaterThan" aboveAverage="0" dxfId="8" text="" percent="0" bottom="0">
      <formula>0</formula>
    </cfRule>
  </conditionalFormatting>
  <conditionalFormatting sqref="C373">
    <cfRule type="cellIs" rank="0" priority="1100" equalAverage="0" operator="greaterThan" aboveAverage="0" dxfId="8" text="" percent="0" bottom="0">
      <formula>0</formula>
    </cfRule>
  </conditionalFormatting>
  <conditionalFormatting sqref="G373">
    <cfRule type="cellIs" rank="0" priority="1101" equalAverage="0" operator="greaterThan" aboveAverage="0" dxfId="8" text="" percent="0" bottom="0">
      <formula>0</formula>
    </cfRule>
  </conditionalFormatting>
  <conditionalFormatting sqref="H373">
    <cfRule type="cellIs" rank="0" priority="1102" equalAverage="0" operator="greaterThan" aboveAverage="0" dxfId="8" text="" percent="0" bottom="0">
      <formula>0</formula>
    </cfRule>
  </conditionalFormatting>
  <conditionalFormatting sqref="C374">
    <cfRule type="cellIs" rank="0" priority="1103" equalAverage="0" operator="greaterThan" aboveAverage="0" dxfId="8" text="" percent="0" bottom="0">
      <formula>0</formula>
    </cfRule>
  </conditionalFormatting>
  <conditionalFormatting sqref="G374">
    <cfRule type="cellIs" rank="0" priority="1104" equalAverage="0" operator="greaterThan" aboveAverage="0" dxfId="8" text="" percent="0" bottom="0">
      <formula>0</formula>
    </cfRule>
  </conditionalFormatting>
  <conditionalFormatting sqref="H374">
    <cfRule type="cellIs" rank="0" priority="1105" equalAverage="0" operator="greaterThan" aboveAverage="0" dxfId="8" text="" percent="0" bottom="0">
      <formula>0</formula>
    </cfRule>
  </conditionalFormatting>
  <conditionalFormatting sqref="C375">
    <cfRule type="cellIs" rank="0" priority="1106" equalAverage="0" operator="greaterThan" aboveAverage="0" dxfId="8" text="" percent="0" bottom="0">
      <formula>0</formula>
    </cfRule>
  </conditionalFormatting>
  <conditionalFormatting sqref="G375">
    <cfRule type="cellIs" rank="0" priority="1107" equalAverage="0" operator="greaterThan" aboveAverage="0" dxfId="8" text="" percent="0" bottom="0">
      <formula>0</formula>
    </cfRule>
  </conditionalFormatting>
  <conditionalFormatting sqref="H375">
    <cfRule type="cellIs" rank="0" priority="1108" equalAverage="0" operator="greaterThan" aboveAverage="0" dxfId="8" text="" percent="0" bottom="0">
      <formula>0</formula>
    </cfRule>
  </conditionalFormatting>
  <conditionalFormatting sqref="C376">
    <cfRule type="cellIs" rank="0" priority="1109" equalAverage="0" operator="greaterThan" aboveAverage="0" dxfId="8" text="" percent="0" bottom="0">
      <formula>0</formula>
    </cfRule>
  </conditionalFormatting>
  <conditionalFormatting sqref="G376">
    <cfRule type="cellIs" rank="0" priority="1110" equalAverage="0" operator="greaterThan" aboveAverage="0" dxfId="8" text="" percent="0" bottom="0">
      <formula>0</formula>
    </cfRule>
  </conditionalFormatting>
  <conditionalFormatting sqref="H376">
    <cfRule type="cellIs" rank="0" priority="1111" equalAverage="0" operator="greaterThan" aboveAverage="0" dxfId="8" text="" percent="0" bottom="0">
      <formula>0</formula>
    </cfRule>
  </conditionalFormatting>
  <conditionalFormatting sqref="C377">
    <cfRule type="cellIs" rank="0" priority="1112" equalAverage="0" operator="greaterThan" aboveAverage="0" dxfId="8" text="" percent="0" bottom="0">
      <formula>0</formula>
    </cfRule>
  </conditionalFormatting>
  <conditionalFormatting sqref="G377">
    <cfRule type="cellIs" rank="0" priority="1113" equalAverage="0" operator="greaterThan" aboveAverage="0" dxfId="8" text="" percent="0" bottom="0">
      <formula>0</formula>
    </cfRule>
  </conditionalFormatting>
  <conditionalFormatting sqref="H377">
    <cfRule type="cellIs" rank="0" priority="1114" equalAverage="0" operator="greaterThan" aboveAverage="0" dxfId="8" text="" percent="0" bottom="0">
      <formula>0</formula>
    </cfRule>
  </conditionalFormatting>
  <conditionalFormatting sqref="C378">
    <cfRule type="cellIs" rank="0" priority="1115" equalAverage="0" operator="greaterThan" aboveAverage="0" dxfId="8" text="" percent="0" bottom="0">
      <formula>0</formula>
    </cfRule>
  </conditionalFormatting>
  <conditionalFormatting sqref="G378">
    <cfRule type="cellIs" rank="0" priority="1116" equalAverage="0" operator="greaterThan" aboveAverage="0" dxfId="8" text="" percent="0" bottom="0">
      <formula>0</formula>
    </cfRule>
  </conditionalFormatting>
  <conditionalFormatting sqref="H378">
    <cfRule type="cellIs" rank="0" priority="1117" equalAverage="0" operator="greaterThan" aboveAverage="0" dxfId="8" text="" percent="0" bottom="0">
      <formula>0</formula>
    </cfRule>
  </conditionalFormatting>
  <conditionalFormatting sqref="C379">
    <cfRule type="cellIs" rank="0" priority="1118" equalAverage="0" operator="greaterThan" aboveAverage="0" dxfId="8" text="" percent="0" bottom="0">
      <formula>0</formula>
    </cfRule>
  </conditionalFormatting>
  <conditionalFormatting sqref="G379">
    <cfRule type="cellIs" rank="0" priority="1119" equalAverage="0" operator="greaterThan" aboveAverage="0" dxfId="8" text="" percent="0" bottom="0">
      <formula>0</formula>
    </cfRule>
  </conditionalFormatting>
  <conditionalFormatting sqref="H379">
    <cfRule type="cellIs" rank="0" priority="1120" equalAverage="0" operator="greaterThan" aboveAverage="0" dxfId="8" text="" percent="0" bottom="0">
      <formula>0</formula>
    </cfRule>
  </conditionalFormatting>
  <conditionalFormatting sqref="C380">
    <cfRule type="cellIs" rank="0" priority="1121" equalAverage="0" operator="greaterThan" aboveAverage="0" dxfId="8" text="" percent="0" bottom="0">
      <formula>0</formula>
    </cfRule>
  </conditionalFormatting>
  <conditionalFormatting sqref="G380">
    <cfRule type="cellIs" rank="0" priority="1122" equalAverage="0" operator="greaterThan" aboveAverage="0" dxfId="8" text="" percent="0" bottom="0">
      <formula>0</formula>
    </cfRule>
  </conditionalFormatting>
  <conditionalFormatting sqref="H380">
    <cfRule type="cellIs" rank="0" priority="1123" equalAverage="0" operator="greaterThan" aboveAverage="0" dxfId="8" text="" percent="0" bottom="0">
      <formula>0</formula>
    </cfRule>
  </conditionalFormatting>
  <conditionalFormatting sqref="C381">
    <cfRule type="cellIs" rank="0" priority="1124" equalAverage="0" operator="greaterThan" aboveAverage="0" dxfId="8" text="" percent="0" bottom="0">
      <formula>0</formula>
    </cfRule>
  </conditionalFormatting>
  <conditionalFormatting sqref="G381">
    <cfRule type="cellIs" rank="0" priority="1125" equalAverage="0" operator="greaterThan" aboveAverage="0" dxfId="8" text="" percent="0" bottom="0">
      <formula>0</formula>
    </cfRule>
  </conditionalFormatting>
  <conditionalFormatting sqref="H381">
    <cfRule type="cellIs" rank="0" priority="1126" equalAverage="0" operator="greaterThan" aboveAverage="0" dxfId="8" text="" percent="0" bottom="0">
      <formula>0</formula>
    </cfRule>
  </conditionalFormatting>
  <conditionalFormatting sqref="C382">
    <cfRule type="cellIs" rank="0" priority="1127" equalAverage="0" operator="greaterThan" aboveAverage="0" dxfId="8" text="" percent="0" bottom="0">
      <formula>0</formula>
    </cfRule>
  </conditionalFormatting>
  <conditionalFormatting sqref="G382">
    <cfRule type="cellIs" rank="0" priority="1128" equalAverage="0" operator="greaterThan" aboveAverage="0" dxfId="8" text="" percent="0" bottom="0">
      <formula>0</formula>
    </cfRule>
  </conditionalFormatting>
  <conditionalFormatting sqref="H382">
    <cfRule type="cellIs" rank="0" priority="1129" equalAverage="0" operator="greaterThan" aboveAverage="0" dxfId="8" text="" percent="0" bottom="0">
      <formula>0</formula>
    </cfRule>
  </conditionalFormatting>
  <conditionalFormatting sqref="C383">
    <cfRule type="cellIs" rank="0" priority="1130" equalAverage="0" operator="greaterThan" aboveAverage="0" dxfId="8" text="" percent="0" bottom="0">
      <formula>0</formula>
    </cfRule>
  </conditionalFormatting>
  <conditionalFormatting sqref="G383">
    <cfRule type="cellIs" rank="0" priority="1131" equalAverage="0" operator="greaterThan" aboveAverage="0" dxfId="8" text="" percent="0" bottom="0">
      <formula>0</formula>
    </cfRule>
  </conditionalFormatting>
  <conditionalFormatting sqref="H383">
    <cfRule type="cellIs" rank="0" priority="1132" equalAverage="0" operator="greaterThan" aboveAverage="0" dxfId="8" text="" percent="0" bottom="0">
      <formula>0</formula>
    </cfRule>
  </conditionalFormatting>
  <conditionalFormatting sqref="C384">
    <cfRule type="cellIs" rank="0" priority="1133" equalAverage="0" operator="greaterThan" aboveAverage="0" dxfId="8" text="" percent="0" bottom="0">
      <formula>0</formula>
    </cfRule>
  </conditionalFormatting>
  <conditionalFormatting sqref="G384">
    <cfRule type="cellIs" rank="0" priority="1134" equalAverage="0" operator="greaterThan" aboveAverage="0" dxfId="8" text="" percent="0" bottom="0">
      <formula>0</formula>
    </cfRule>
  </conditionalFormatting>
  <conditionalFormatting sqref="H384">
    <cfRule type="cellIs" rank="0" priority="1135" equalAverage="0" operator="greaterThan" aboveAverage="0" dxfId="8" text="" percent="0" bottom="0">
      <formula>0</formula>
    </cfRule>
  </conditionalFormatting>
  <conditionalFormatting sqref="C385">
    <cfRule type="cellIs" rank="0" priority="1136" equalAverage="0" operator="greaterThan" aboveAverage="0" dxfId="8" text="" percent="0" bottom="0">
      <formula>0</formula>
    </cfRule>
  </conditionalFormatting>
  <conditionalFormatting sqref="G385">
    <cfRule type="cellIs" rank="0" priority="1137" equalAverage="0" operator="greaterThan" aboveAverage="0" dxfId="8" text="" percent="0" bottom="0">
      <formula>0</formula>
    </cfRule>
  </conditionalFormatting>
  <conditionalFormatting sqref="H385">
    <cfRule type="cellIs" rank="0" priority="1138" equalAverage="0" operator="greaterThan" aboveAverage="0" dxfId="8" text="" percent="0" bottom="0">
      <formula>0</formula>
    </cfRule>
  </conditionalFormatting>
  <conditionalFormatting sqref="C386">
    <cfRule type="cellIs" rank="0" priority="1139" equalAverage="0" operator="greaterThan" aboveAverage="0" dxfId="8" text="" percent="0" bottom="0">
      <formula>0</formula>
    </cfRule>
  </conditionalFormatting>
  <conditionalFormatting sqref="G386">
    <cfRule type="cellIs" rank="0" priority="1140" equalAverage="0" operator="greaterThan" aboveAverage="0" dxfId="8" text="" percent="0" bottom="0">
      <formula>0</formula>
    </cfRule>
  </conditionalFormatting>
  <conditionalFormatting sqref="H386">
    <cfRule type="cellIs" rank="0" priority="1141" equalAverage="0" operator="greaterThan" aboveAverage="0" dxfId="8" text="" percent="0" bottom="0">
      <formula>0</formula>
    </cfRule>
  </conditionalFormatting>
  <conditionalFormatting sqref="C387">
    <cfRule type="cellIs" rank="0" priority="1142" equalAverage="0" operator="greaterThan" aboveAverage="0" dxfId="8" text="" percent="0" bottom="0">
      <formula>0</formula>
    </cfRule>
  </conditionalFormatting>
  <conditionalFormatting sqref="G387">
    <cfRule type="cellIs" rank="0" priority="1143" equalAverage="0" operator="greaterThan" aboveAverage="0" dxfId="8" text="" percent="0" bottom="0">
      <formula>0</formula>
    </cfRule>
  </conditionalFormatting>
  <conditionalFormatting sqref="H387">
    <cfRule type="cellIs" rank="0" priority="1144" equalAverage="0" operator="greaterThan" aboveAverage="0" dxfId="8" text="" percent="0" bottom="0">
      <formula>0</formula>
    </cfRule>
  </conditionalFormatting>
  <conditionalFormatting sqref="C388">
    <cfRule type="cellIs" rank="0" priority="1145" equalAverage="0" operator="greaterThan" aboveAverage="0" dxfId="8" text="" percent="0" bottom="0">
      <formula>0</formula>
    </cfRule>
  </conditionalFormatting>
  <conditionalFormatting sqref="G388">
    <cfRule type="cellIs" rank="0" priority="1146" equalAverage="0" operator="greaterThan" aboveAverage="0" dxfId="8" text="" percent="0" bottom="0">
      <formula>0</formula>
    </cfRule>
  </conditionalFormatting>
  <conditionalFormatting sqref="H388">
    <cfRule type="cellIs" rank="0" priority="1147" equalAverage="0" operator="greaterThan" aboveAverage="0" dxfId="8" text="" percent="0" bottom="0">
      <formula>0</formula>
    </cfRule>
  </conditionalFormatting>
  <conditionalFormatting sqref="C389">
    <cfRule type="cellIs" rank="0" priority="1148" equalAverage="0" operator="greaterThan" aboveAverage="0" dxfId="8" text="" percent="0" bottom="0">
      <formula>0</formula>
    </cfRule>
  </conditionalFormatting>
  <conditionalFormatting sqref="G389">
    <cfRule type="cellIs" rank="0" priority="1149" equalAverage="0" operator="greaterThan" aboveAverage="0" dxfId="8" text="" percent="0" bottom="0">
      <formula>0</formula>
    </cfRule>
  </conditionalFormatting>
  <conditionalFormatting sqref="H389">
    <cfRule type="cellIs" rank="0" priority="1150" equalAverage="0" operator="greaterThan" aboveAverage="0" dxfId="8" text="" percent="0" bottom="0">
      <formula>0</formula>
    </cfRule>
  </conditionalFormatting>
  <conditionalFormatting sqref="C390">
    <cfRule type="cellIs" rank="0" priority="1151" equalAverage="0" operator="greaterThan" aboveAverage="0" dxfId="8" text="" percent="0" bottom="0">
      <formula>0</formula>
    </cfRule>
  </conditionalFormatting>
  <conditionalFormatting sqref="G390">
    <cfRule type="cellIs" rank="0" priority="1152" equalAverage="0" operator="greaterThan" aboveAverage="0" dxfId="8" text="" percent="0" bottom="0">
      <formula>0</formula>
    </cfRule>
  </conditionalFormatting>
  <conditionalFormatting sqref="H390">
    <cfRule type="cellIs" rank="0" priority="1153" equalAverage="0" operator="greaterThan" aboveAverage="0" dxfId="8" text="" percent="0" bottom="0">
      <formula>0</formula>
    </cfRule>
  </conditionalFormatting>
  <conditionalFormatting sqref="C391">
    <cfRule type="cellIs" rank="0" priority="1154" equalAverage="0" operator="greaterThan" aboveAverage="0" dxfId="8" text="" percent="0" bottom="0">
      <formula>0</formula>
    </cfRule>
  </conditionalFormatting>
  <conditionalFormatting sqref="G391">
    <cfRule type="cellIs" rank="0" priority="1155" equalAverage="0" operator="greaterThan" aboveAverage="0" dxfId="8" text="" percent="0" bottom="0">
      <formula>0</formula>
    </cfRule>
  </conditionalFormatting>
  <conditionalFormatting sqref="H391">
    <cfRule type="cellIs" rank="0" priority="1156" equalAverage="0" operator="greaterThan" aboveAverage="0" dxfId="8" text="" percent="0" bottom="0">
      <formula>0</formula>
    </cfRule>
  </conditionalFormatting>
  <conditionalFormatting sqref="C392">
    <cfRule type="cellIs" rank="0" priority="1157" equalAverage="0" operator="greaterThan" aboveAverage="0" dxfId="8" text="" percent="0" bottom="0">
      <formula>0</formula>
    </cfRule>
  </conditionalFormatting>
  <conditionalFormatting sqref="G392">
    <cfRule type="cellIs" rank="0" priority="1158" equalAverage="0" operator="greaterThan" aboveAverage="0" dxfId="8" text="" percent="0" bottom="0">
      <formula>0</formula>
    </cfRule>
  </conditionalFormatting>
  <conditionalFormatting sqref="H392">
    <cfRule type="cellIs" rank="0" priority="1159" equalAverage="0" operator="greaterThan" aboveAverage="0" dxfId="8" text="" percent="0" bottom="0">
      <formula>0</formula>
    </cfRule>
  </conditionalFormatting>
  <conditionalFormatting sqref="C393">
    <cfRule type="cellIs" rank="0" priority="1160" equalAverage="0" operator="greaterThan" aboveAverage="0" dxfId="8" text="" percent="0" bottom="0">
      <formula>0</formula>
    </cfRule>
  </conditionalFormatting>
  <conditionalFormatting sqref="G393">
    <cfRule type="cellIs" rank="0" priority="1161" equalAverage="0" operator="greaterThan" aboveAverage="0" dxfId="8" text="" percent="0" bottom="0">
      <formula>0</formula>
    </cfRule>
  </conditionalFormatting>
  <conditionalFormatting sqref="H393">
    <cfRule type="cellIs" rank="0" priority="1162" equalAverage="0" operator="greaterThan" aboveAverage="0" dxfId="8" text="" percent="0" bottom="0">
      <formula>0</formula>
    </cfRule>
  </conditionalFormatting>
  <conditionalFormatting sqref="C394">
    <cfRule type="cellIs" rank="0" priority="1163" equalAverage="0" operator="greaterThan" aboveAverage="0" dxfId="8" text="" percent="0" bottom="0">
      <formula>0</formula>
    </cfRule>
  </conditionalFormatting>
  <conditionalFormatting sqref="G394">
    <cfRule type="cellIs" rank="0" priority="1164" equalAverage="0" operator="greaterThan" aboveAverage="0" dxfId="8" text="" percent="0" bottom="0">
      <formula>0</formula>
    </cfRule>
  </conditionalFormatting>
  <conditionalFormatting sqref="H394">
    <cfRule type="cellIs" rank="0" priority="1165" equalAverage="0" operator="greaterThan" aboveAverage="0" dxfId="8" text="" percent="0" bottom="0">
      <formula>0</formula>
    </cfRule>
  </conditionalFormatting>
  <conditionalFormatting sqref="C395">
    <cfRule type="cellIs" rank="0" priority="1166" equalAverage="0" operator="greaterThan" aboveAverage="0" dxfId="8" text="" percent="0" bottom="0">
      <formula>0</formula>
    </cfRule>
  </conditionalFormatting>
  <conditionalFormatting sqref="G395">
    <cfRule type="cellIs" rank="0" priority="1167" equalAverage="0" operator="greaterThan" aboveAverage="0" dxfId="8" text="" percent="0" bottom="0">
      <formula>0</formula>
    </cfRule>
  </conditionalFormatting>
  <conditionalFormatting sqref="H395">
    <cfRule type="cellIs" rank="0" priority="1168" equalAverage="0" operator="greaterThan" aboveAverage="0" dxfId="8" text="" percent="0" bottom="0">
      <formula>0</formula>
    </cfRule>
  </conditionalFormatting>
  <conditionalFormatting sqref="C396">
    <cfRule type="cellIs" rank="0" priority="1169" equalAverage="0" operator="greaterThan" aboveAverage="0" dxfId="8" text="" percent="0" bottom="0">
      <formula>0</formula>
    </cfRule>
  </conditionalFormatting>
  <conditionalFormatting sqref="G396">
    <cfRule type="cellIs" rank="0" priority="1170" equalAverage="0" operator="greaterThan" aboveAverage="0" dxfId="8" text="" percent="0" bottom="0">
      <formula>0</formula>
    </cfRule>
  </conditionalFormatting>
  <conditionalFormatting sqref="H396">
    <cfRule type="cellIs" rank="0" priority="1171" equalAverage="0" operator="greaterThan" aboveAverage="0" dxfId="8" text="" percent="0" bottom="0">
      <formula>0</formula>
    </cfRule>
  </conditionalFormatting>
  <conditionalFormatting sqref="C397">
    <cfRule type="cellIs" rank="0" priority="1172" equalAverage="0" operator="greaterThan" aboveAverage="0" dxfId="8" text="" percent="0" bottom="0">
      <formula>0</formula>
    </cfRule>
  </conditionalFormatting>
  <conditionalFormatting sqref="G397">
    <cfRule type="cellIs" rank="0" priority="1173" equalAverage="0" operator="greaterThan" aboveAverage="0" dxfId="8" text="" percent="0" bottom="0">
      <formula>0</formula>
    </cfRule>
  </conditionalFormatting>
  <conditionalFormatting sqref="H397">
    <cfRule type="cellIs" rank="0" priority="1174" equalAverage="0" operator="greaterThan" aboveAverage="0" dxfId="8" text="" percent="0" bottom="0">
      <formula>0</formula>
    </cfRule>
  </conditionalFormatting>
  <conditionalFormatting sqref="C398">
    <cfRule type="cellIs" rank="0" priority="1175" equalAverage="0" operator="greaterThan" aboveAverage="0" dxfId="8" text="" percent="0" bottom="0">
      <formula>0</formula>
    </cfRule>
  </conditionalFormatting>
  <conditionalFormatting sqref="G398">
    <cfRule type="cellIs" rank="0" priority="1176" equalAverage="0" operator="greaterThan" aboveAverage="0" dxfId="8" text="" percent="0" bottom="0">
      <formula>0</formula>
    </cfRule>
  </conditionalFormatting>
  <conditionalFormatting sqref="H398">
    <cfRule type="cellIs" rank="0" priority="1177" equalAverage="0" operator="greaterThan" aboveAverage="0" dxfId="8" text="" percent="0" bottom="0">
      <formula>0</formula>
    </cfRule>
  </conditionalFormatting>
  <conditionalFormatting sqref="C399">
    <cfRule type="cellIs" rank="0" priority="1178" equalAverage="0" operator="greaterThan" aboveAverage="0" dxfId="8" text="" percent="0" bottom="0">
      <formula>0</formula>
    </cfRule>
  </conditionalFormatting>
  <conditionalFormatting sqref="G399">
    <cfRule type="cellIs" rank="0" priority="1179" equalAverage="0" operator="greaterThan" aboveAverage="0" dxfId="8" text="" percent="0" bottom="0">
      <formula>0</formula>
    </cfRule>
  </conditionalFormatting>
  <conditionalFormatting sqref="H399">
    <cfRule type="cellIs" rank="0" priority="1180" equalAverage="0" operator="greaterThan" aboveAverage="0" dxfId="8" text="" percent="0" bottom="0">
      <formula>0</formula>
    </cfRule>
  </conditionalFormatting>
  <conditionalFormatting sqref="C400">
    <cfRule type="cellIs" rank="0" priority="1181" equalAverage="0" operator="greaterThan" aboveAverage="0" dxfId="8" text="" percent="0" bottom="0">
      <formula>0</formula>
    </cfRule>
  </conditionalFormatting>
  <conditionalFormatting sqref="G400">
    <cfRule type="cellIs" rank="0" priority="1182" equalAverage="0" operator="greaterThan" aboveAverage="0" dxfId="8" text="" percent="0" bottom="0">
      <formula>0</formula>
    </cfRule>
  </conditionalFormatting>
  <conditionalFormatting sqref="H400">
    <cfRule type="cellIs" rank="0" priority="1183" equalAverage="0" operator="greaterThan" aboveAverage="0" dxfId="8" text="" percent="0" bottom="0">
      <formula>0</formula>
    </cfRule>
  </conditionalFormatting>
  <conditionalFormatting sqref="C401">
    <cfRule type="cellIs" rank="0" priority="1184" equalAverage="0" operator="greaterThan" aboveAverage="0" dxfId="8" text="" percent="0" bottom="0">
      <formula>0</formula>
    </cfRule>
  </conditionalFormatting>
  <conditionalFormatting sqref="G401">
    <cfRule type="cellIs" rank="0" priority="1185" equalAverage="0" operator="greaterThan" aboveAverage="0" dxfId="8" text="" percent="0" bottom="0">
      <formula>0</formula>
    </cfRule>
  </conditionalFormatting>
  <conditionalFormatting sqref="H401">
    <cfRule type="cellIs" rank="0" priority="1186" equalAverage="0" operator="greaterThan" aboveAverage="0" dxfId="8" text="" percent="0" bottom="0">
      <formula>0</formula>
    </cfRule>
  </conditionalFormatting>
  <conditionalFormatting sqref="C402">
    <cfRule type="cellIs" rank="0" priority="1187" equalAverage="0" operator="greaterThan" aboveAverage="0" dxfId="8" text="" percent="0" bottom="0">
      <formula>0</formula>
    </cfRule>
  </conditionalFormatting>
  <conditionalFormatting sqref="G402">
    <cfRule type="cellIs" rank="0" priority="1188" equalAverage="0" operator="greaterThan" aboveAverage="0" dxfId="8" text="" percent="0" bottom="0">
      <formula>0</formula>
    </cfRule>
  </conditionalFormatting>
  <conditionalFormatting sqref="H402">
    <cfRule type="cellIs" rank="0" priority="1189" equalAverage="0" operator="greaterThan" aboveAverage="0" dxfId="8" text="" percent="0" bottom="0">
      <formula>0</formula>
    </cfRule>
  </conditionalFormatting>
  <conditionalFormatting sqref="C403">
    <cfRule type="cellIs" rank="0" priority="1190" equalAverage="0" operator="greaterThan" aboveAverage="0" dxfId="8" text="" percent="0" bottom="0">
      <formula>0</formula>
    </cfRule>
  </conditionalFormatting>
  <conditionalFormatting sqref="G403">
    <cfRule type="cellIs" rank="0" priority="1191" equalAverage="0" operator="greaterThan" aboveAverage="0" dxfId="8" text="" percent="0" bottom="0">
      <formula>0</formula>
    </cfRule>
  </conditionalFormatting>
  <conditionalFormatting sqref="H403">
    <cfRule type="cellIs" rank="0" priority="1192" equalAverage="0" operator="greaterThan" aboveAverage="0" dxfId="8" text="" percent="0" bottom="0">
      <formula>0</formula>
    </cfRule>
  </conditionalFormatting>
  <conditionalFormatting sqref="C404">
    <cfRule type="cellIs" rank="0" priority="1193" equalAverage="0" operator="greaterThan" aboveAverage="0" dxfId="8" text="" percent="0" bottom="0">
      <formula>0</formula>
    </cfRule>
  </conditionalFormatting>
  <conditionalFormatting sqref="G404">
    <cfRule type="cellIs" rank="0" priority="1194" equalAverage="0" operator="greaterThan" aboveAverage="0" dxfId="8" text="" percent="0" bottom="0">
      <formula>0</formula>
    </cfRule>
  </conditionalFormatting>
  <conditionalFormatting sqref="H404">
    <cfRule type="cellIs" rank="0" priority="1195" equalAverage="0" operator="greaterThan" aboveAverage="0" dxfId="8" text="" percent="0" bottom="0">
      <formula>0</formula>
    </cfRule>
  </conditionalFormatting>
  <conditionalFormatting sqref="C405">
    <cfRule type="cellIs" rank="0" priority="1196" equalAverage="0" operator="greaterThan" aboveAverage="0" dxfId="8" text="" percent="0" bottom="0">
      <formula>0</formula>
    </cfRule>
  </conditionalFormatting>
  <conditionalFormatting sqref="G405">
    <cfRule type="cellIs" rank="0" priority="1197" equalAverage="0" operator="greaterThan" aboveAverage="0" dxfId="8" text="" percent="0" bottom="0">
      <formula>0</formula>
    </cfRule>
  </conditionalFormatting>
  <conditionalFormatting sqref="H405">
    <cfRule type="cellIs" rank="0" priority="1198" equalAverage="0" operator="greaterThan" aboveAverage="0" dxfId="8" text="" percent="0" bottom="0">
      <formula>0</formula>
    </cfRule>
  </conditionalFormatting>
  <conditionalFormatting sqref="C406">
    <cfRule type="cellIs" rank="0" priority="1199" equalAverage="0" operator="greaterThan" aboveAverage="0" dxfId="8" text="" percent="0" bottom="0">
      <formula>0</formula>
    </cfRule>
  </conditionalFormatting>
  <conditionalFormatting sqref="G406">
    <cfRule type="cellIs" rank="0" priority="1200" equalAverage="0" operator="greaterThan" aboveAverage="0" dxfId="8" text="" percent="0" bottom="0">
      <formula>0</formula>
    </cfRule>
  </conditionalFormatting>
  <conditionalFormatting sqref="H406">
    <cfRule type="cellIs" rank="0" priority="1201" equalAverage="0" operator="greaterThan" aboveAverage="0" dxfId="8" text="" percent="0" bottom="0">
      <formula>0</formula>
    </cfRule>
  </conditionalFormatting>
  <conditionalFormatting sqref="C407">
    <cfRule type="cellIs" rank="0" priority="1202" equalAverage="0" operator="greaterThan" aboveAverage="0" dxfId="8" text="" percent="0" bottom="0">
      <formula>0</formula>
    </cfRule>
  </conditionalFormatting>
  <conditionalFormatting sqref="G407">
    <cfRule type="cellIs" rank="0" priority="1203" equalAverage="0" operator="greaterThan" aboveAverage="0" dxfId="8" text="" percent="0" bottom="0">
      <formula>0</formula>
    </cfRule>
  </conditionalFormatting>
  <conditionalFormatting sqref="H407">
    <cfRule type="cellIs" rank="0" priority="1204" equalAverage="0" operator="greaterThan" aboveAverage="0" dxfId="8" text="" percent="0" bottom="0">
      <formula>0</formula>
    </cfRule>
  </conditionalFormatting>
  <conditionalFormatting sqref="C408">
    <cfRule type="cellIs" rank="0" priority="1205" equalAverage="0" operator="greaterThan" aboveAverage="0" dxfId="8" text="" percent="0" bottom="0">
      <formula>0</formula>
    </cfRule>
  </conditionalFormatting>
  <conditionalFormatting sqref="G408">
    <cfRule type="cellIs" rank="0" priority="1206" equalAverage="0" operator="greaterThan" aboveAverage="0" dxfId="8" text="" percent="0" bottom="0">
      <formula>0</formula>
    </cfRule>
  </conditionalFormatting>
  <conditionalFormatting sqref="H408">
    <cfRule type="cellIs" rank="0" priority="1207" equalAverage="0" operator="greaterThan" aboveAverage="0" dxfId="8" text="" percent="0" bottom="0">
      <formula>0</formula>
    </cfRule>
  </conditionalFormatting>
  <conditionalFormatting sqref="C409">
    <cfRule type="cellIs" rank="0" priority="1208" equalAverage="0" operator="greaterThan" aboveAverage="0" dxfId="8" text="" percent="0" bottom="0">
      <formula>0</formula>
    </cfRule>
  </conditionalFormatting>
  <conditionalFormatting sqref="G409">
    <cfRule type="cellIs" rank="0" priority="1209" equalAverage="0" operator="greaterThan" aboveAverage="0" dxfId="8" text="" percent="0" bottom="0">
      <formula>0</formula>
    </cfRule>
  </conditionalFormatting>
  <conditionalFormatting sqref="H409">
    <cfRule type="cellIs" rank="0" priority="1210" equalAverage="0" operator="greaterThan" aboveAverage="0" dxfId="8" text="" percent="0" bottom="0">
      <formula>0</formula>
    </cfRule>
  </conditionalFormatting>
  <conditionalFormatting sqref="C410">
    <cfRule type="cellIs" rank="0" priority="1211" equalAverage="0" operator="greaterThan" aboveAverage="0" dxfId="8" text="" percent="0" bottom="0">
      <formula>0</formula>
    </cfRule>
  </conditionalFormatting>
  <conditionalFormatting sqref="G410">
    <cfRule type="cellIs" rank="0" priority="1212" equalAverage="0" operator="greaterThan" aboveAverage="0" dxfId="8" text="" percent="0" bottom="0">
      <formula>0</formula>
    </cfRule>
  </conditionalFormatting>
  <conditionalFormatting sqref="H410">
    <cfRule type="cellIs" rank="0" priority="1213" equalAverage="0" operator="greaterThan" aboveAverage="0" dxfId="8" text="" percent="0" bottom="0">
      <formula>0</formula>
    </cfRule>
  </conditionalFormatting>
  <conditionalFormatting sqref="C411">
    <cfRule type="cellIs" rank="0" priority="1214" equalAverage="0" operator="greaterThan" aboveAverage="0" dxfId="8" text="" percent="0" bottom="0">
      <formula>0</formula>
    </cfRule>
  </conditionalFormatting>
  <conditionalFormatting sqref="G411">
    <cfRule type="cellIs" rank="0" priority="1215" equalAverage="0" operator="greaterThan" aboveAverage="0" dxfId="8" text="" percent="0" bottom="0">
      <formula>0</formula>
    </cfRule>
  </conditionalFormatting>
  <conditionalFormatting sqref="H411">
    <cfRule type="cellIs" rank="0" priority="1216" equalAverage="0" operator="greaterThan" aboveAverage="0" dxfId="8" text="" percent="0" bottom="0">
      <formula>0</formula>
    </cfRule>
  </conditionalFormatting>
  <conditionalFormatting sqref="C412">
    <cfRule type="cellIs" rank="0" priority="1217" equalAverage="0" operator="greaterThan" aboveAverage="0" dxfId="8" text="" percent="0" bottom="0">
      <formula>0</formula>
    </cfRule>
  </conditionalFormatting>
  <conditionalFormatting sqref="G412">
    <cfRule type="cellIs" rank="0" priority="1218" equalAverage="0" operator="greaterThan" aboveAverage="0" dxfId="8" text="" percent="0" bottom="0">
      <formula>0</formula>
    </cfRule>
  </conditionalFormatting>
  <conditionalFormatting sqref="H412">
    <cfRule type="cellIs" rank="0" priority="1219" equalAverage="0" operator="greaterThan" aboveAverage="0" dxfId="8" text="" percent="0" bottom="0">
      <formula>0</formula>
    </cfRule>
  </conditionalFormatting>
  <conditionalFormatting sqref="C413">
    <cfRule type="cellIs" rank="0" priority="1220" equalAverage="0" operator="greaterThan" aboveAverage="0" dxfId="8" text="" percent="0" bottom="0">
      <formula>0</formula>
    </cfRule>
  </conditionalFormatting>
  <conditionalFormatting sqref="G413">
    <cfRule type="cellIs" rank="0" priority="1221" equalAverage="0" operator="greaterThan" aboveAverage="0" dxfId="8" text="" percent="0" bottom="0">
      <formula>0</formula>
    </cfRule>
  </conditionalFormatting>
  <conditionalFormatting sqref="H413">
    <cfRule type="cellIs" rank="0" priority="1222" equalAverage="0" operator="greaterThan" aboveAverage="0" dxfId="8" text="" percent="0" bottom="0">
      <formula>0</formula>
    </cfRule>
  </conditionalFormatting>
  <conditionalFormatting sqref="C414">
    <cfRule type="cellIs" rank="0" priority="1223" equalAverage="0" operator="greaterThan" aboveAverage="0" dxfId="8" text="" percent="0" bottom="0">
      <formula>0</formula>
    </cfRule>
  </conditionalFormatting>
  <conditionalFormatting sqref="G414">
    <cfRule type="cellIs" rank="0" priority="1224" equalAverage="0" operator="greaterThan" aboveAverage="0" dxfId="8" text="" percent="0" bottom="0">
      <formula>0</formula>
    </cfRule>
  </conditionalFormatting>
  <conditionalFormatting sqref="H414">
    <cfRule type="cellIs" rank="0" priority="1225" equalAverage="0" operator="greaterThan" aboveAverage="0" dxfId="8" text="" percent="0" bottom="0">
      <formula>0</formula>
    </cfRule>
  </conditionalFormatting>
  <conditionalFormatting sqref="C415">
    <cfRule type="cellIs" rank="0" priority="1226" equalAverage="0" operator="greaterThan" aboveAverage="0" dxfId="8" text="" percent="0" bottom="0">
      <formula>0</formula>
    </cfRule>
  </conditionalFormatting>
  <conditionalFormatting sqref="G415">
    <cfRule type="cellIs" rank="0" priority="1227" equalAverage="0" operator="greaterThan" aboveAverage="0" dxfId="8" text="" percent="0" bottom="0">
      <formula>0</formula>
    </cfRule>
  </conditionalFormatting>
  <conditionalFormatting sqref="H415">
    <cfRule type="cellIs" rank="0" priority="1228" equalAverage="0" operator="greaterThan" aboveAverage="0" dxfId="8" text="" percent="0" bottom="0">
      <formula>0</formula>
    </cfRule>
  </conditionalFormatting>
  <conditionalFormatting sqref="C416">
    <cfRule type="cellIs" rank="0" priority="1229" equalAverage="0" operator="greaterThan" aboveAverage="0" dxfId="8" text="" percent="0" bottom="0">
      <formula>0</formula>
    </cfRule>
  </conditionalFormatting>
  <conditionalFormatting sqref="G416">
    <cfRule type="cellIs" rank="0" priority="1230" equalAverage="0" operator="greaterThan" aboveAverage="0" dxfId="8" text="" percent="0" bottom="0">
      <formula>0</formula>
    </cfRule>
  </conditionalFormatting>
  <conditionalFormatting sqref="H416">
    <cfRule type="cellIs" rank="0" priority="1231" equalAverage="0" operator="greaterThan" aboveAverage="0" dxfId="8" text="" percent="0" bottom="0">
      <formula>0</formula>
    </cfRule>
  </conditionalFormatting>
  <conditionalFormatting sqref="C417">
    <cfRule type="cellIs" rank="0" priority="1232" equalAverage="0" operator="greaterThan" aboveAverage="0" dxfId="8" text="" percent="0" bottom="0">
      <formula>0</formula>
    </cfRule>
  </conditionalFormatting>
  <conditionalFormatting sqref="G417">
    <cfRule type="cellIs" rank="0" priority="1233" equalAverage="0" operator="greaterThan" aboveAverage="0" dxfId="8" text="" percent="0" bottom="0">
      <formula>0</formula>
    </cfRule>
  </conditionalFormatting>
  <conditionalFormatting sqref="H417">
    <cfRule type="cellIs" rank="0" priority="1234" equalAverage="0" operator="greaterThan" aboveAverage="0" dxfId="8" text="" percent="0" bottom="0">
      <formula>0</formula>
    </cfRule>
  </conditionalFormatting>
  <conditionalFormatting sqref="C418">
    <cfRule type="cellIs" rank="0" priority="1235" equalAverage="0" operator="greaterThan" aboveAverage="0" dxfId="8" text="" percent="0" bottom="0">
      <formula>0</formula>
    </cfRule>
  </conditionalFormatting>
  <conditionalFormatting sqref="G418">
    <cfRule type="cellIs" rank="0" priority="1236" equalAverage="0" operator="greaterThan" aboveAverage="0" dxfId="8" text="" percent="0" bottom="0">
      <formula>0</formula>
    </cfRule>
  </conditionalFormatting>
  <conditionalFormatting sqref="H418">
    <cfRule type="cellIs" rank="0" priority="1237" equalAverage="0" operator="greaterThan" aboveAverage="0" dxfId="8" text="" percent="0" bottom="0">
      <formula>0</formula>
    </cfRule>
  </conditionalFormatting>
  <conditionalFormatting sqref="C419">
    <cfRule type="cellIs" rank="0" priority="1238" equalAverage="0" operator="greaterThan" aboveAverage="0" dxfId="8" text="" percent="0" bottom="0">
      <formula>0</formula>
    </cfRule>
  </conditionalFormatting>
  <conditionalFormatting sqref="G419">
    <cfRule type="cellIs" rank="0" priority="1239" equalAverage="0" operator="greaterThan" aboveAverage="0" dxfId="8" text="" percent="0" bottom="0">
      <formula>0</formula>
    </cfRule>
  </conditionalFormatting>
  <conditionalFormatting sqref="H419">
    <cfRule type="cellIs" rank="0" priority="1240" equalAverage="0" operator="greaterThan" aboveAverage="0" dxfId="8" text="" percent="0" bottom="0">
      <formula>0</formula>
    </cfRule>
  </conditionalFormatting>
  <conditionalFormatting sqref="C420">
    <cfRule type="cellIs" rank="0" priority="1241" equalAverage="0" operator="greaterThan" aboveAverage="0" dxfId="8" text="" percent="0" bottom="0">
      <formula>0</formula>
    </cfRule>
  </conditionalFormatting>
  <conditionalFormatting sqref="G420">
    <cfRule type="cellIs" rank="0" priority="1242" equalAverage="0" operator="greaterThan" aboveAverage="0" dxfId="8" text="" percent="0" bottom="0">
      <formula>0</formula>
    </cfRule>
  </conditionalFormatting>
  <conditionalFormatting sqref="H420">
    <cfRule type="cellIs" rank="0" priority="1243" equalAverage="0" operator="greaterThan" aboveAverage="0" dxfId="8" text="" percent="0" bottom="0">
      <formula>0</formula>
    </cfRule>
  </conditionalFormatting>
  <conditionalFormatting sqref="C421">
    <cfRule type="cellIs" rank="0" priority="1244" equalAverage="0" operator="greaterThan" aboveAverage="0" dxfId="8" text="" percent="0" bottom="0">
      <formula>0</formula>
    </cfRule>
  </conditionalFormatting>
  <conditionalFormatting sqref="G421">
    <cfRule type="cellIs" rank="0" priority="1245" equalAverage="0" operator="greaterThan" aboveAverage="0" dxfId="8" text="" percent="0" bottom="0">
      <formula>0</formula>
    </cfRule>
  </conditionalFormatting>
  <conditionalFormatting sqref="H421">
    <cfRule type="cellIs" rank="0" priority="1246" equalAverage="0" operator="greaterThan" aboveAverage="0" dxfId="8" text="" percent="0" bottom="0">
      <formula>0</formula>
    </cfRule>
  </conditionalFormatting>
  <conditionalFormatting sqref="C422">
    <cfRule type="cellIs" rank="0" priority="1247" equalAverage="0" operator="greaterThan" aboveAverage="0" dxfId="8" text="" percent="0" bottom="0">
      <formula>0</formula>
    </cfRule>
  </conditionalFormatting>
  <conditionalFormatting sqref="G422">
    <cfRule type="cellIs" rank="0" priority="1248" equalAverage="0" operator="greaterThan" aboveAverage="0" dxfId="8" text="" percent="0" bottom="0">
      <formula>0</formula>
    </cfRule>
  </conditionalFormatting>
  <conditionalFormatting sqref="H422">
    <cfRule type="cellIs" rank="0" priority="1249" equalAverage="0" operator="greaterThan" aboveAverage="0" dxfId="8" text="" percent="0" bottom="0">
      <formula>0</formula>
    </cfRule>
  </conditionalFormatting>
  <conditionalFormatting sqref="C423">
    <cfRule type="cellIs" rank="0" priority="1250" equalAverage="0" operator="greaterThan" aboveAverage="0" dxfId="8" text="" percent="0" bottom="0">
      <formula>0</formula>
    </cfRule>
  </conditionalFormatting>
  <conditionalFormatting sqref="G423">
    <cfRule type="cellIs" rank="0" priority="1251" equalAverage="0" operator="greaterThan" aboveAverage="0" dxfId="8" text="" percent="0" bottom="0">
      <formula>0</formula>
    </cfRule>
  </conditionalFormatting>
  <conditionalFormatting sqref="H423">
    <cfRule type="cellIs" rank="0" priority="1252" equalAverage="0" operator="greaterThan" aboveAverage="0" dxfId="8" text="" percent="0" bottom="0">
      <formula>0</formula>
    </cfRule>
  </conditionalFormatting>
  <conditionalFormatting sqref="C424">
    <cfRule type="cellIs" rank="0" priority="1253" equalAverage="0" operator="greaterThan" aboveAverage="0" dxfId="8" text="" percent="0" bottom="0">
      <formula>0</formula>
    </cfRule>
  </conditionalFormatting>
  <conditionalFormatting sqref="G424">
    <cfRule type="cellIs" rank="0" priority="1254" equalAverage="0" operator="greaterThan" aboveAverage="0" dxfId="8" text="" percent="0" bottom="0">
      <formula>0</formula>
    </cfRule>
  </conditionalFormatting>
  <conditionalFormatting sqref="H424">
    <cfRule type="cellIs" rank="0" priority="1255" equalAverage="0" operator="greaterThan" aboveAverage="0" dxfId="8" text="" percent="0" bottom="0">
      <formula>0</formula>
    </cfRule>
  </conditionalFormatting>
  <conditionalFormatting sqref="C425">
    <cfRule type="cellIs" rank="0" priority="1256" equalAverage="0" operator="greaterThan" aboveAverage="0" dxfId="8" text="" percent="0" bottom="0">
      <formula>0</formula>
    </cfRule>
  </conditionalFormatting>
  <conditionalFormatting sqref="G425">
    <cfRule type="cellIs" rank="0" priority="1257" equalAverage="0" operator="greaterThan" aboveAverage="0" dxfId="8" text="" percent="0" bottom="0">
      <formula>0</formula>
    </cfRule>
  </conditionalFormatting>
  <conditionalFormatting sqref="H425">
    <cfRule type="cellIs" rank="0" priority="1258" equalAverage="0" operator="greaterThan" aboveAverage="0" dxfId="8" text="" percent="0" bottom="0">
      <formula>0</formula>
    </cfRule>
  </conditionalFormatting>
  <conditionalFormatting sqref="C426">
    <cfRule type="cellIs" rank="0" priority="1259" equalAverage="0" operator="greaterThan" aboveAverage="0" dxfId="8" text="" percent="0" bottom="0">
      <formula>0</formula>
    </cfRule>
  </conditionalFormatting>
  <conditionalFormatting sqref="G426">
    <cfRule type="cellIs" rank="0" priority="1260" equalAverage="0" operator="greaterThan" aboveAverage="0" dxfId="8" text="" percent="0" bottom="0">
      <formula>0</formula>
    </cfRule>
  </conditionalFormatting>
  <conditionalFormatting sqref="H426">
    <cfRule type="cellIs" rank="0" priority="1261" equalAverage="0" operator="greaterThan" aboveAverage="0" dxfId="8" text="" percent="0" bottom="0">
      <formula>0</formula>
    </cfRule>
  </conditionalFormatting>
  <conditionalFormatting sqref="C427">
    <cfRule type="cellIs" rank="0" priority="1262" equalAverage="0" operator="greaterThan" aboveAverage="0" dxfId="8" text="" percent="0" bottom="0">
      <formula>0</formula>
    </cfRule>
  </conditionalFormatting>
  <conditionalFormatting sqref="G427">
    <cfRule type="cellIs" rank="0" priority="1263" equalAverage="0" operator="greaterThan" aboveAverage="0" dxfId="8" text="" percent="0" bottom="0">
      <formula>0</formula>
    </cfRule>
  </conditionalFormatting>
  <conditionalFormatting sqref="H427">
    <cfRule type="cellIs" rank="0" priority="1264" equalAverage="0" operator="greaterThan" aboveAverage="0" dxfId="8" text="" percent="0" bottom="0">
      <formula>0</formula>
    </cfRule>
  </conditionalFormatting>
  <conditionalFormatting sqref="C428">
    <cfRule type="cellIs" rank="0" priority="1265" equalAverage="0" operator="greaterThan" aboveAverage="0" dxfId="8" text="" percent="0" bottom="0">
      <formula>0</formula>
    </cfRule>
  </conditionalFormatting>
  <conditionalFormatting sqref="G428">
    <cfRule type="cellIs" rank="0" priority="1266" equalAverage="0" operator="greaterThan" aboveAverage="0" dxfId="8" text="" percent="0" bottom="0">
      <formula>0</formula>
    </cfRule>
  </conditionalFormatting>
  <conditionalFormatting sqref="H428">
    <cfRule type="cellIs" rank="0" priority="1267" equalAverage="0" operator="greaterThan" aboveAverage="0" dxfId="8" text="" percent="0" bottom="0">
      <formula>0</formula>
    </cfRule>
  </conditionalFormatting>
  <conditionalFormatting sqref="C429">
    <cfRule type="cellIs" rank="0" priority="1268" equalAverage="0" operator="greaterThan" aboveAverage="0" dxfId="8" text="" percent="0" bottom="0">
      <formula>0</formula>
    </cfRule>
  </conditionalFormatting>
  <conditionalFormatting sqref="G429">
    <cfRule type="cellIs" rank="0" priority="1269" equalAverage="0" operator="greaterThan" aboveAverage="0" dxfId="8" text="" percent="0" bottom="0">
      <formula>0</formula>
    </cfRule>
  </conditionalFormatting>
  <conditionalFormatting sqref="H429">
    <cfRule type="cellIs" rank="0" priority="1270" equalAverage="0" operator="greaterThan" aboveAverage="0" dxfId="8" text="" percent="0" bottom="0">
      <formula>0</formula>
    </cfRule>
  </conditionalFormatting>
  <conditionalFormatting sqref="C430">
    <cfRule type="cellIs" rank="0" priority="1271" equalAverage="0" operator="greaterThan" aboveAverage="0" dxfId="8" text="" percent="0" bottom="0">
      <formula>0</formula>
    </cfRule>
  </conditionalFormatting>
  <conditionalFormatting sqref="G430">
    <cfRule type="cellIs" rank="0" priority="1272" equalAverage="0" operator="greaterThan" aboveAverage="0" dxfId="8" text="" percent="0" bottom="0">
      <formula>0</formula>
    </cfRule>
  </conditionalFormatting>
  <conditionalFormatting sqref="H430">
    <cfRule type="cellIs" rank="0" priority="1273" equalAverage="0" operator="greaterThan" aboveAverage="0" dxfId="8" text="" percent="0" bottom="0">
      <formula>0</formula>
    </cfRule>
  </conditionalFormatting>
  <conditionalFormatting sqref="C431">
    <cfRule type="cellIs" rank="0" priority="1274" equalAverage="0" operator="greaterThan" aboveAverage="0" dxfId="8" text="" percent="0" bottom="0">
      <formula>0</formula>
    </cfRule>
  </conditionalFormatting>
  <conditionalFormatting sqref="G431">
    <cfRule type="cellIs" rank="0" priority="1275" equalAverage="0" operator="greaterThan" aboveAverage="0" dxfId="8" text="" percent="0" bottom="0">
      <formula>0</formula>
    </cfRule>
  </conditionalFormatting>
  <conditionalFormatting sqref="H431">
    <cfRule type="cellIs" rank="0" priority="1276" equalAverage="0" operator="greaterThan" aboveAverage="0" dxfId="8" text="" percent="0" bottom="0">
      <formula>0</formula>
    </cfRule>
  </conditionalFormatting>
  <conditionalFormatting sqref="C432">
    <cfRule type="cellIs" rank="0" priority="1277" equalAverage="0" operator="greaterThan" aboveAverage="0" dxfId="8" text="" percent="0" bottom="0">
      <formula>0</formula>
    </cfRule>
  </conditionalFormatting>
  <conditionalFormatting sqref="G432">
    <cfRule type="cellIs" rank="0" priority="1278" equalAverage="0" operator="greaterThan" aboveAverage="0" dxfId="8" text="" percent="0" bottom="0">
      <formula>0</formula>
    </cfRule>
  </conditionalFormatting>
  <conditionalFormatting sqref="H432">
    <cfRule type="cellIs" rank="0" priority="1279" equalAverage="0" operator="greaterThan" aboveAverage="0" dxfId="8" text="" percent="0" bottom="0">
      <formula>0</formula>
    </cfRule>
  </conditionalFormatting>
  <conditionalFormatting sqref="C433">
    <cfRule type="cellIs" rank="0" priority="1280" equalAverage="0" operator="greaterThan" aboveAverage="0" dxfId="8" text="" percent="0" bottom="0">
      <formula>0</formula>
    </cfRule>
  </conditionalFormatting>
  <conditionalFormatting sqref="G433">
    <cfRule type="cellIs" rank="0" priority="1281" equalAverage="0" operator="greaterThan" aboveAverage="0" dxfId="8" text="" percent="0" bottom="0">
      <formula>0</formula>
    </cfRule>
  </conditionalFormatting>
  <conditionalFormatting sqref="H433">
    <cfRule type="cellIs" rank="0" priority="1282" equalAverage="0" operator="greaterThan" aboveAverage="0" dxfId="8" text="" percent="0" bottom="0">
      <formula>0</formula>
    </cfRule>
  </conditionalFormatting>
  <conditionalFormatting sqref="C434">
    <cfRule type="cellIs" rank="0" priority="1283" equalAverage="0" operator="greaterThan" aboveAverage="0" dxfId="8" text="" percent="0" bottom="0">
      <formula>0</formula>
    </cfRule>
  </conditionalFormatting>
  <conditionalFormatting sqref="G434">
    <cfRule type="cellIs" rank="0" priority="1284" equalAverage="0" operator="greaterThan" aboveAverage="0" dxfId="8" text="" percent="0" bottom="0">
      <formula>0</formula>
    </cfRule>
  </conditionalFormatting>
  <conditionalFormatting sqref="H434">
    <cfRule type="cellIs" rank="0" priority="1285" equalAverage="0" operator="greaterThan" aboveAverage="0" dxfId="8" text="" percent="0" bottom="0">
      <formula>0</formula>
    </cfRule>
  </conditionalFormatting>
  <conditionalFormatting sqref="C435">
    <cfRule type="cellIs" rank="0" priority="1286" equalAverage="0" operator="greaterThan" aboveAverage="0" dxfId="8" text="" percent="0" bottom="0">
      <formula>0</formula>
    </cfRule>
  </conditionalFormatting>
  <conditionalFormatting sqref="G435">
    <cfRule type="cellIs" rank="0" priority="1287" equalAverage="0" operator="greaterThan" aboveAverage="0" dxfId="8" text="" percent="0" bottom="0">
      <formula>0</formula>
    </cfRule>
  </conditionalFormatting>
  <conditionalFormatting sqref="H435">
    <cfRule type="cellIs" rank="0" priority="1288" equalAverage="0" operator="greaterThan" aboveAverage="0" dxfId="8" text="" percent="0" bottom="0">
      <formula>0</formula>
    </cfRule>
  </conditionalFormatting>
  <conditionalFormatting sqref="C436">
    <cfRule type="cellIs" rank="0" priority="1289" equalAverage="0" operator="greaterThan" aboveAverage="0" dxfId="8" text="" percent="0" bottom="0">
      <formula>0</formula>
    </cfRule>
  </conditionalFormatting>
  <conditionalFormatting sqref="G436">
    <cfRule type="cellIs" rank="0" priority="1290" equalAverage="0" operator="greaterThan" aboveAverage="0" dxfId="8" text="" percent="0" bottom="0">
      <formula>0</formula>
    </cfRule>
  </conditionalFormatting>
  <conditionalFormatting sqref="H436">
    <cfRule type="cellIs" rank="0" priority="1291" equalAverage="0" operator="greaterThan" aboveAverage="0" dxfId="8" text="" percent="0" bottom="0">
      <formula>0</formula>
    </cfRule>
  </conditionalFormatting>
  <conditionalFormatting sqref="C437">
    <cfRule type="cellIs" rank="0" priority="1292" equalAverage="0" operator="greaterThan" aboveAverage="0" dxfId="8" text="" percent="0" bottom="0">
      <formula>0</formula>
    </cfRule>
  </conditionalFormatting>
  <conditionalFormatting sqref="G437">
    <cfRule type="cellIs" rank="0" priority="1293" equalAverage="0" operator="greaterThan" aboveAverage="0" dxfId="8" text="" percent="0" bottom="0">
      <formula>0</formula>
    </cfRule>
  </conditionalFormatting>
  <conditionalFormatting sqref="H437">
    <cfRule type="cellIs" rank="0" priority="1294" equalAverage="0" operator="greaterThan" aboveAverage="0" dxfId="8" text="" percent="0" bottom="0">
      <formula>0</formula>
    </cfRule>
  </conditionalFormatting>
  <conditionalFormatting sqref="C438">
    <cfRule type="cellIs" rank="0" priority="1295" equalAverage="0" operator="greaterThan" aboveAverage="0" dxfId="8" text="" percent="0" bottom="0">
      <formula>0</formula>
    </cfRule>
  </conditionalFormatting>
  <conditionalFormatting sqref="G438">
    <cfRule type="cellIs" rank="0" priority="1296" equalAverage="0" operator="greaterThan" aboveAverage="0" dxfId="8" text="" percent="0" bottom="0">
      <formula>0</formula>
    </cfRule>
  </conditionalFormatting>
  <conditionalFormatting sqref="H438">
    <cfRule type="cellIs" rank="0" priority="1297" equalAverage="0" operator="greaterThan" aboveAverage="0" dxfId="8" text="" percent="0" bottom="0">
      <formula>0</formula>
    </cfRule>
  </conditionalFormatting>
  <conditionalFormatting sqref="C439">
    <cfRule type="cellIs" rank="0" priority="1298" equalAverage="0" operator="greaterThan" aboveAverage="0" dxfId="8" text="" percent="0" bottom="0">
      <formula>0</formula>
    </cfRule>
  </conditionalFormatting>
  <conditionalFormatting sqref="G439">
    <cfRule type="cellIs" rank="0" priority="1299" equalAverage="0" operator="greaterThan" aboveAverage="0" dxfId="8" text="" percent="0" bottom="0">
      <formula>0</formula>
    </cfRule>
  </conditionalFormatting>
  <conditionalFormatting sqref="H439">
    <cfRule type="cellIs" rank="0" priority="1300" equalAverage="0" operator="greaterThan" aboveAverage="0" dxfId="8" text="" percent="0" bottom="0">
      <formula>0</formula>
    </cfRule>
  </conditionalFormatting>
  <conditionalFormatting sqref="C440">
    <cfRule type="cellIs" rank="0" priority="1301" equalAverage="0" operator="greaterThan" aboveAverage="0" dxfId="8" text="" percent="0" bottom="0">
      <formula>0</formula>
    </cfRule>
  </conditionalFormatting>
  <conditionalFormatting sqref="G440">
    <cfRule type="cellIs" rank="0" priority="1302" equalAverage="0" operator="greaterThan" aboveAverage="0" dxfId="8" text="" percent="0" bottom="0">
      <formula>0</formula>
    </cfRule>
  </conditionalFormatting>
  <conditionalFormatting sqref="H440">
    <cfRule type="cellIs" rank="0" priority="1303" equalAverage="0" operator="greaterThan" aboveAverage="0" dxfId="8" text="" percent="0" bottom="0">
      <formula>0</formula>
    </cfRule>
  </conditionalFormatting>
  <conditionalFormatting sqref="C441">
    <cfRule type="cellIs" rank="0" priority="1304" equalAverage="0" operator="greaterThan" aboveAverage="0" dxfId="8" text="" percent="0" bottom="0">
      <formula>0</formula>
    </cfRule>
  </conditionalFormatting>
  <conditionalFormatting sqref="G441">
    <cfRule type="cellIs" rank="0" priority="1305" equalAverage="0" operator="greaterThan" aboveAverage="0" dxfId="8" text="" percent="0" bottom="0">
      <formula>0</formula>
    </cfRule>
  </conditionalFormatting>
  <conditionalFormatting sqref="H441">
    <cfRule type="cellIs" rank="0" priority="1306" equalAverage="0" operator="greaterThan" aboveAverage="0" dxfId="8" text="" percent="0" bottom="0">
      <formula>0</formula>
    </cfRule>
  </conditionalFormatting>
  <conditionalFormatting sqref="C442">
    <cfRule type="cellIs" rank="0" priority="1307" equalAverage="0" operator="greaterThan" aboveAverage="0" dxfId="8" text="" percent="0" bottom="0">
      <formula>0</formula>
    </cfRule>
  </conditionalFormatting>
  <conditionalFormatting sqref="G442">
    <cfRule type="cellIs" rank="0" priority="1308" equalAverage="0" operator="greaterThan" aboveAverage="0" dxfId="8" text="" percent="0" bottom="0">
      <formula>0</formula>
    </cfRule>
  </conditionalFormatting>
  <conditionalFormatting sqref="H442">
    <cfRule type="cellIs" rank="0" priority="1309" equalAverage="0" operator="greaterThan" aboveAverage="0" dxfId="8" text="" percent="0" bottom="0">
      <formula>0</formula>
    </cfRule>
  </conditionalFormatting>
  <conditionalFormatting sqref="C443">
    <cfRule type="cellIs" rank="0" priority="1310" equalAverage="0" operator="greaterThan" aboveAverage="0" dxfId="8" text="" percent="0" bottom="0">
      <formula>0</formula>
    </cfRule>
  </conditionalFormatting>
  <conditionalFormatting sqref="G443">
    <cfRule type="cellIs" rank="0" priority="1311" equalAverage="0" operator="greaterThan" aboveAverage="0" dxfId="8" text="" percent="0" bottom="0">
      <formula>0</formula>
    </cfRule>
  </conditionalFormatting>
  <conditionalFormatting sqref="H443">
    <cfRule type="cellIs" rank="0" priority="1312" equalAverage="0" operator="greaterThan" aboveAverage="0" dxfId="8" text="" percent="0" bottom="0">
      <formula>0</formula>
    </cfRule>
  </conditionalFormatting>
  <conditionalFormatting sqref="C444">
    <cfRule type="cellIs" rank="0" priority="1313" equalAverage="0" operator="greaterThan" aboveAverage="0" dxfId="8" text="" percent="0" bottom="0">
      <formula>0</formula>
    </cfRule>
  </conditionalFormatting>
  <conditionalFormatting sqref="G444">
    <cfRule type="cellIs" rank="0" priority="1314" equalAverage="0" operator="greaterThan" aboveAverage="0" dxfId="8" text="" percent="0" bottom="0">
      <formula>0</formula>
    </cfRule>
  </conditionalFormatting>
  <conditionalFormatting sqref="H444">
    <cfRule type="cellIs" rank="0" priority="1315" equalAverage="0" operator="greaterThan" aboveAverage="0" dxfId="8" text="" percent="0" bottom="0">
      <formula>0</formula>
    </cfRule>
  </conditionalFormatting>
  <conditionalFormatting sqref="C445">
    <cfRule type="cellIs" rank="0" priority="1316" equalAverage="0" operator="greaterThan" aboveAverage="0" dxfId="8" text="" percent="0" bottom="0">
      <formula>0</formula>
    </cfRule>
  </conditionalFormatting>
  <conditionalFormatting sqref="G445">
    <cfRule type="cellIs" rank="0" priority="1317" equalAverage="0" operator="greaterThan" aboveAverage="0" dxfId="8" text="" percent="0" bottom="0">
      <formula>0</formula>
    </cfRule>
  </conditionalFormatting>
  <conditionalFormatting sqref="H445">
    <cfRule type="cellIs" rank="0" priority="1318" equalAverage="0" operator="greaterThan" aboveAverage="0" dxfId="8" text="" percent="0" bottom="0">
      <formula>0</formula>
    </cfRule>
  </conditionalFormatting>
  <conditionalFormatting sqref="C446">
    <cfRule type="cellIs" rank="0" priority="1319" equalAverage="0" operator="greaterThan" aboveAverage="0" dxfId="8" text="" percent="0" bottom="0">
      <formula>0</formula>
    </cfRule>
  </conditionalFormatting>
  <conditionalFormatting sqref="G446">
    <cfRule type="cellIs" rank="0" priority="1320" equalAverage="0" operator="greaterThan" aboveAverage="0" dxfId="8" text="" percent="0" bottom="0">
      <formula>0</formula>
    </cfRule>
  </conditionalFormatting>
  <conditionalFormatting sqref="H446">
    <cfRule type="cellIs" rank="0" priority="1321" equalAverage="0" operator="greaterThan" aboveAverage="0" dxfId="8" text="" percent="0" bottom="0">
      <formula>0</formula>
    </cfRule>
  </conditionalFormatting>
  <conditionalFormatting sqref="C447">
    <cfRule type="cellIs" rank="0" priority="1322" equalAverage="0" operator="greaterThan" aboveAverage="0" dxfId="8" text="" percent="0" bottom="0">
      <formula>0</formula>
    </cfRule>
  </conditionalFormatting>
  <conditionalFormatting sqref="G447">
    <cfRule type="cellIs" rank="0" priority="1323" equalAverage="0" operator="greaterThan" aboveAverage="0" dxfId="8" text="" percent="0" bottom="0">
      <formula>0</formula>
    </cfRule>
  </conditionalFormatting>
  <conditionalFormatting sqref="H447">
    <cfRule type="cellIs" rank="0" priority="1324" equalAverage="0" operator="greaterThan" aboveAverage="0" dxfId="8" text="" percent="0" bottom="0">
      <formula>0</formula>
    </cfRule>
  </conditionalFormatting>
  <conditionalFormatting sqref="C448">
    <cfRule type="cellIs" rank="0" priority="1325" equalAverage="0" operator="greaterThan" aboveAverage="0" dxfId="8" text="" percent="0" bottom="0">
      <formula>0</formula>
    </cfRule>
  </conditionalFormatting>
  <conditionalFormatting sqref="G448">
    <cfRule type="cellIs" rank="0" priority="1326" equalAverage="0" operator="greaterThan" aboveAverage="0" dxfId="8" text="" percent="0" bottom="0">
      <formula>0</formula>
    </cfRule>
  </conditionalFormatting>
  <conditionalFormatting sqref="H448">
    <cfRule type="cellIs" rank="0" priority="1327" equalAverage="0" operator="greaterThan" aboveAverage="0" dxfId="8" text="" percent="0" bottom="0">
      <formula>0</formula>
    </cfRule>
  </conditionalFormatting>
  <conditionalFormatting sqref="C449">
    <cfRule type="cellIs" rank="0" priority="1328" equalAverage="0" operator="greaterThan" aboveAverage="0" dxfId="8" text="" percent="0" bottom="0">
      <formula>0</formula>
    </cfRule>
  </conditionalFormatting>
  <conditionalFormatting sqref="G449">
    <cfRule type="cellIs" rank="0" priority="1329" equalAverage="0" operator="greaterThan" aboveAverage="0" dxfId="8" text="" percent="0" bottom="0">
      <formula>0</formula>
    </cfRule>
  </conditionalFormatting>
  <conditionalFormatting sqref="H449">
    <cfRule type="cellIs" rank="0" priority="1330" equalAverage="0" operator="greaterThan" aboveAverage="0" dxfId="8" text="" percent="0" bottom="0">
      <formula>0</formula>
    </cfRule>
  </conditionalFormatting>
  <conditionalFormatting sqref="C450">
    <cfRule type="cellIs" rank="0" priority="1331" equalAverage="0" operator="greaterThan" aboveAverage="0" dxfId="8" text="" percent="0" bottom="0">
      <formula>0</formula>
    </cfRule>
  </conditionalFormatting>
  <conditionalFormatting sqref="G450">
    <cfRule type="cellIs" rank="0" priority="1332" equalAverage="0" operator="greaterThan" aboveAverage="0" dxfId="8" text="" percent="0" bottom="0">
      <formula>0</formula>
    </cfRule>
  </conditionalFormatting>
  <conditionalFormatting sqref="H450">
    <cfRule type="cellIs" rank="0" priority="1333" equalAverage="0" operator="greaterThan" aboveAverage="0" dxfId="8" text="" percent="0" bottom="0">
      <formula>0</formula>
    </cfRule>
  </conditionalFormatting>
  <conditionalFormatting sqref="C451">
    <cfRule type="cellIs" rank="0" priority="1334" equalAverage="0" operator="greaterThan" aboveAverage="0" dxfId="8" text="" percent="0" bottom="0">
      <formula>0</formula>
    </cfRule>
  </conditionalFormatting>
  <conditionalFormatting sqref="G451">
    <cfRule type="cellIs" rank="0" priority="1335" equalAverage="0" operator="greaterThan" aboveAverage="0" dxfId="8" text="" percent="0" bottom="0">
      <formula>0</formula>
    </cfRule>
  </conditionalFormatting>
  <conditionalFormatting sqref="H451">
    <cfRule type="cellIs" rank="0" priority="1336" equalAverage="0" operator="greaterThan" aboveAverage="0" dxfId="8" text="" percent="0" bottom="0">
      <formula>0</formula>
    </cfRule>
  </conditionalFormatting>
  <conditionalFormatting sqref="C452">
    <cfRule type="cellIs" rank="0" priority="1337" equalAverage="0" operator="greaterThan" aboveAverage="0" dxfId="8" text="" percent="0" bottom="0">
      <formula>0</formula>
    </cfRule>
  </conditionalFormatting>
  <conditionalFormatting sqref="G452">
    <cfRule type="cellIs" rank="0" priority="1338" equalAverage="0" operator="greaterThan" aboveAverage="0" dxfId="8" text="" percent="0" bottom="0">
      <formula>0</formula>
    </cfRule>
  </conditionalFormatting>
  <conditionalFormatting sqref="H452">
    <cfRule type="cellIs" rank="0" priority="1339" equalAverage="0" operator="greaterThan" aboveAverage="0" dxfId="8" text="" percent="0" bottom="0">
      <formula>0</formula>
    </cfRule>
  </conditionalFormatting>
  <conditionalFormatting sqref="C453">
    <cfRule type="cellIs" rank="0" priority="1340" equalAverage="0" operator="greaterThan" aboveAverage="0" dxfId="8" text="" percent="0" bottom="0">
      <formula>0</formula>
    </cfRule>
  </conditionalFormatting>
  <conditionalFormatting sqref="G453">
    <cfRule type="cellIs" rank="0" priority="1341" equalAverage="0" operator="greaterThan" aboveAverage="0" dxfId="8" text="" percent="0" bottom="0">
      <formula>0</formula>
    </cfRule>
  </conditionalFormatting>
  <conditionalFormatting sqref="H453">
    <cfRule type="cellIs" rank="0" priority="1342" equalAverage="0" operator="greaterThan" aboveAverage="0" dxfId="8" text="" percent="0" bottom="0">
      <formula>0</formula>
    </cfRule>
  </conditionalFormatting>
  <conditionalFormatting sqref="C454">
    <cfRule type="cellIs" rank="0" priority="1343" equalAverage="0" operator="greaterThan" aboveAverage="0" dxfId="8" text="" percent="0" bottom="0">
      <formula>0</formula>
    </cfRule>
  </conditionalFormatting>
  <conditionalFormatting sqref="G454">
    <cfRule type="cellIs" rank="0" priority="1344" equalAverage="0" operator="greaterThan" aboveAverage="0" dxfId="8" text="" percent="0" bottom="0">
      <formula>0</formula>
    </cfRule>
  </conditionalFormatting>
  <conditionalFormatting sqref="H454">
    <cfRule type="cellIs" rank="0" priority="1345" equalAverage="0" operator="greaterThan" aboveAverage="0" dxfId="8" text="" percent="0" bottom="0">
      <formula>0</formula>
    </cfRule>
  </conditionalFormatting>
  <conditionalFormatting sqref="C455">
    <cfRule type="cellIs" rank="0" priority="1346" equalAverage="0" operator="greaterThan" aboveAverage="0" dxfId="8" text="" percent="0" bottom="0">
      <formula>0</formula>
    </cfRule>
  </conditionalFormatting>
  <conditionalFormatting sqref="G455">
    <cfRule type="cellIs" rank="0" priority="1347" equalAverage="0" operator="greaterThan" aboveAverage="0" dxfId="8" text="" percent="0" bottom="0">
      <formula>0</formula>
    </cfRule>
  </conditionalFormatting>
  <conditionalFormatting sqref="H455">
    <cfRule type="cellIs" rank="0" priority="1348" equalAverage="0" operator="greaterThan" aboveAverage="0" dxfId="8" text="" percent="0" bottom="0">
      <formula>0</formula>
    </cfRule>
  </conditionalFormatting>
  <conditionalFormatting sqref="C456">
    <cfRule type="cellIs" rank="0" priority="1349" equalAverage="0" operator="greaterThan" aboveAverage="0" dxfId="8" text="" percent="0" bottom="0">
      <formula>0</formula>
    </cfRule>
  </conditionalFormatting>
  <conditionalFormatting sqref="G456">
    <cfRule type="cellIs" rank="0" priority="1350" equalAverage="0" operator="greaterThan" aboveAverage="0" dxfId="8" text="" percent="0" bottom="0">
      <formula>0</formula>
    </cfRule>
  </conditionalFormatting>
  <conditionalFormatting sqref="H456">
    <cfRule type="cellIs" rank="0" priority="1351" equalAverage="0" operator="greaterThan" aboveAverage="0" dxfId="8" text="" percent="0" bottom="0">
      <formula>0</formula>
    </cfRule>
  </conditionalFormatting>
  <conditionalFormatting sqref="C457">
    <cfRule type="cellIs" rank="0" priority="1352" equalAverage="0" operator="greaterThan" aboveAverage="0" dxfId="8" text="" percent="0" bottom="0">
      <formula>0</formula>
    </cfRule>
  </conditionalFormatting>
  <conditionalFormatting sqref="G457">
    <cfRule type="cellIs" rank="0" priority="1353" equalAverage="0" operator="greaterThan" aboveAverage="0" dxfId="8" text="" percent="0" bottom="0">
      <formula>0</formula>
    </cfRule>
  </conditionalFormatting>
  <conditionalFormatting sqref="H457">
    <cfRule type="cellIs" rank="0" priority="1354" equalAverage="0" operator="greaterThan" aboveAverage="0" dxfId="8" text="" percent="0" bottom="0">
      <formula>0</formula>
    </cfRule>
  </conditionalFormatting>
  <conditionalFormatting sqref="C458">
    <cfRule type="cellIs" rank="0" priority="1355" equalAverage="0" operator="greaterThan" aboveAverage="0" dxfId="8" text="" percent="0" bottom="0">
      <formula>0</formula>
    </cfRule>
  </conditionalFormatting>
  <conditionalFormatting sqref="G458">
    <cfRule type="cellIs" rank="0" priority="1356" equalAverage="0" operator="greaterThan" aboveAverage="0" dxfId="8" text="" percent="0" bottom="0">
      <formula>0</formula>
    </cfRule>
  </conditionalFormatting>
  <conditionalFormatting sqref="H458">
    <cfRule type="cellIs" rank="0" priority="1357" equalAverage="0" operator="greaterThan" aboveAverage="0" dxfId="8" text="" percent="0" bottom="0">
      <formula>0</formula>
    </cfRule>
  </conditionalFormatting>
  <conditionalFormatting sqref="C459">
    <cfRule type="cellIs" rank="0" priority="1358" equalAverage="0" operator="greaterThan" aboveAverage="0" dxfId="8" text="" percent="0" bottom="0">
      <formula>0</formula>
    </cfRule>
  </conditionalFormatting>
  <conditionalFormatting sqref="G459">
    <cfRule type="cellIs" rank="0" priority="1359" equalAverage="0" operator="greaterThan" aboveAverage="0" dxfId="8" text="" percent="0" bottom="0">
      <formula>0</formula>
    </cfRule>
  </conditionalFormatting>
  <conditionalFormatting sqref="H459">
    <cfRule type="cellIs" rank="0" priority="1360" equalAverage="0" operator="greaterThan" aboveAverage="0" dxfId="8" text="" percent="0" bottom="0">
      <formula>0</formula>
    </cfRule>
  </conditionalFormatting>
  <conditionalFormatting sqref="C460">
    <cfRule type="cellIs" rank="0" priority="1361" equalAverage="0" operator="greaterThan" aboveAverage="0" dxfId="8" text="" percent="0" bottom="0">
      <formula>0</formula>
    </cfRule>
  </conditionalFormatting>
  <conditionalFormatting sqref="G460">
    <cfRule type="cellIs" rank="0" priority="1362" equalAverage="0" operator="greaterThan" aboveAverage="0" dxfId="8" text="" percent="0" bottom="0">
      <formula>0</formula>
    </cfRule>
  </conditionalFormatting>
  <conditionalFormatting sqref="H460">
    <cfRule type="cellIs" rank="0" priority="1363" equalAverage="0" operator="greaterThan" aboveAverage="0" dxfId="8" text="" percent="0" bottom="0">
      <formula>0</formula>
    </cfRule>
  </conditionalFormatting>
  <conditionalFormatting sqref="C461">
    <cfRule type="cellIs" rank="0" priority="1364" equalAverage="0" operator="greaterThan" aboveAverage="0" dxfId="8" text="" percent="0" bottom="0">
      <formula>0</formula>
    </cfRule>
  </conditionalFormatting>
  <conditionalFormatting sqref="G461">
    <cfRule type="cellIs" rank="0" priority="1365" equalAverage="0" operator="greaterThan" aboveAverage="0" dxfId="8" text="" percent="0" bottom="0">
      <formula>0</formula>
    </cfRule>
  </conditionalFormatting>
  <conditionalFormatting sqref="H461">
    <cfRule type="cellIs" rank="0" priority="1366" equalAverage="0" operator="greaterThan" aboveAverage="0" dxfId="8" text="" percent="0" bottom="0">
      <formula>0</formula>
    </cfRule>
  </conditionalFormatting>
  <conditionalFormatting sqref="C462">
    <cfRule type="cellIs" rank="0" priority="1367" equalAverage="0" operator="greaterThan" aboveAverage="0" dxfId="8" text="" percent="0" bottom="0">
      <formula>0</formula>
    </cfRule>
  </conditionalFormatting>
  <conditionalFormatting sqref="G462">
    <cfRule type="cellIs" rank="0" priority="1368" equalAverage="0" operator="greaterThan" aboveAverage="0" dxfId="8" text="" percent="0" bottom="0">
      <formula>0</formula>
    </cfRule>
  </conditionalFormatting>
  <conditionalFormatting sqref="H462">
    <cfRule type="cellIs" rank="0" priority="1369" equalAverage="0" operator="greaterThan" aboveAverage="0" dxfId="8" text="" percent="0" bottom="0">
      <formula>0</formula>
    </cfRule>
  </conditionalFormatting>
  <conditionalFormatting sqref="C463">
    <cfRule type="cellIs" rank="0" priority="1370" equalAverage="0" operator="greaterThan" aboveAverage="0" dxfId="8" text="" percent="0" bottom="0">
      <formula>0</formula>
    </cfRule>
  </conditionalFormatting>
  <conditionalFormatting sqref="G463">
    <cfRule type="cellIs" rank="0" priority="1371" equalAverage="0" operator="greaterThan" aboveAverage="0" dxfId="8" text="" percent="0" bottom="0">
      <formula>0</formula>
    </cfRule>
  </conditionalFormatting>
  <conditionalFormatting sqref="H463">
    <cfRule type="cellIs" rank="0" priority="1372" equalAverage="0" operator="greaterThan" aboveAverage="0" dxfId="8" text="" percent="0" bottom="0">
      <formula>0</formula>
    </cfRule>
  </conditionalFormatting>
  <conditionalFormatting sqref="C464">
    <cfRule type="cellIs" rank="0" priority="1373" equalAverage="0" operator="greaterThan" aboveAverage="0" dxfId="8" text="" percent="0" bottom="0">
      <formula>0</formula>
    </cfRule>
  </conditionalFormatting>
  <conditionalFormatting sqref="G464">
    <cfRule type="cellIs" rank="0" priority="1374" equalAverage="0" operator="greaterThan" aboveAverage="0" dxfId="8" text="" percent="0" bottom="0">
      <formula>0</formula>
    </cfRule>
  </conditionalFormatting>
  <conditionalFormatting sqref="H464">
    <cfRule type="cellIs" rank="0" priority="1375" equalAverage="0" operator="greaterThan" aboveAverage="0" dxfId="8" text="" percent="0" bottom="0">
      <formula>0</formula>
    </cfRule>
  </conditionalFormatting>
  <conditionalFormatting sqref="C465">
    <cfRule type="cellIs" rank="0" priority="1376" equalAverage="0" operator="greaterThan" aboveAverage="0" dxfId="8" text="" percent="0" bottom="0">
      <formula>0</formula>
    </cfRule>
  </conditionalFormatting>
  <conditionalFormatting sqref="G465">
    <cfRule type="cellIs" rank="0" priority="1377" equalAverage="0" operator="greaterThan" aboveAverage="0" dxfId="8" text="" percent="0" bottom="0">
      <formula>0</formula>
    </cfRule>
  </conditionalFormatting>
  <conditionalFormatting sqref="H465">
    <cfRule type="cellIs" rank="0" priority="1378" equalAverage="0" operator="greaterThan" aboveAverage="0" dxfId="8" text="" percent="0" bottom="0">
      <formula>0</formula>
    </cfRule>
  </conditionalFormatting>
  <conditionalFormatting sqref="C466">
    <cfRule type="cellIs" rank="0" priority="1379" equalAverage="0" operator="greaterThan" aboveAverage="0" dxfId="8" text="" percent="0" bottom="0">
      <formula>0</formula>
    </cfRule>
  </conditionalFormatting>
  <conditionalFormatting sqref="G466">
    <cfRule type="cellIs" rank="0" priority="1380" equalAverage="0" operator="greaterThan" aboveAverage="0" dxfId="8" text="" percent="0" bottom="0">
      <formula>0</formula>
    </cfRule>
  </conditionalFormatting>
  <conditionalFormatting sqref="H466">
    <cfRule type="cellIs" rank="0" priority="1381" equalAverage="0" operator="greaterThan" aboveAverage="0" dxfId="8" text="" percent="0" bottom="0">
      <formula>0</formula>
    </cfRule>
  </conditionalFormatting>
  <conditionalFormatting sqref="C467">
    <cfRule type="cellIs" rank="0" priority="1382" equalAverage="0" operator="greaterThan" aboveAverage="0" dxfId="8" text="" percent="0" bottom="0">
      <formula>0</formula>
    </cfRule>
  </conditionalFormatting>
  <conditionalFormatting sqref="G467">
    <cfRule type="cellIs" rank="0" priority="1383" equalAverage="0" operator="greaterThan" aboveAverage="0" dxfId="8" text="" percent="0" bottom="0">
      <formula>0</formula>
    </cfRule>
  </conditionalFormatting>
  <conditionalFormatting sqref="H467">
    <cfRule type="cellIs" rank="0" priority="1384" equalAverage="0" operator="greaterThan" aboveAverage="0" dxfId="8" text="" percent="0" bottom="0">
      <formula>0</formula>
    </cfRule>
  </conditionalFormatting>
  <conditionalFormatting sqref="C468">
    <cfRule type="cellIs" rank="0" priority="1385" equalAverage="0" operator="greaterThan" aboveAverage="0" dxfId="8" text="" percent="0" bottom="0">
      <formula>0</formula>
    </cfRule>
  </conditionalFormatting>
  <conditionalFormatting sqref="G468">
    <cfRule type="cellIs" rank="0" priority="1386" equalAverage="0" operator="greaterThan" aboveAverage="0" dxfId="8" text="" percent="0" bottom="0">
      <formula>0</formula>
    </cfRule>
  </conditionalFormatting>
  <conditionalFormatting sqref="H468">
    <cfRule type="cellIs" rank="0" priority="1387" equalAverage="0" operator="greaterThan" aboveAverage="0" dxfId="8" text="" percent="0" bottom="0">
      <formula>0</formula>
    </cfRule>
  </conditionalFormatting>
  <conditionalFormatting sqref="C469">
    <cfRule type="cellIs" rank="0" priority="1388" equalAverage="0" operator="greaterThan" aboveAverage="0" dxfId="8" text="" percent="0" bottom="0">
      <formula>0</formula>
    </cfRule>
  </conditionalFormatting>
  <conditionalFormatting sqref="G469">
    <cfRule type="cellIs" rank="0" priority="1389" equalAverage="0" operator="greaterThan" aboveAverage="0" dxfId="8" text="" percent="0" bottom="0">
      <formula>0</formula>
    </cfRule>
  </conditionalFormatting>
  <conditionalFormatting sqref="H469">
    <cfRule type="cellIs" rank="0" priority="1390" equalAverage="0" operator="greaterThan" aboveAverage="0" dxfId="8" text="" percent="0" bottom="0">
      <formula>0</formula>
    </cfRule>
  </conditionalFormatting>
  <conditionalFormatting sqref="C470">
    <cfRule type="cellIs" rank="0" priority="1391" equalAverage="0" operator="greaterThan" aboveAverage="0" dxfId="8" text="" percent="0" bottom="0">
      <formula>0</formula>
    </cfRule>
  </conditionalFormatting>
  <conditionalFormatting sqref="G470">
    <cfRule type="cellIs" rank="0" priority="1392" equalAverage="0" operator="greaterThan" aboveAverage="0" dxfId="8" text="" percent="0" bottom="0">
      <formula>0</formula>
    </cfRule>
  </conditionalFormatting>
  <conditionalFormatting sqref="H470">
    <cfRule type="cellIs" rank="0" priority="1393" equalAverage="0" operator="greaterThan" aboveAverage="0" dxfId="8" text="" percent="0" bottom="0">
      <formula>0</formula>
    </cfRule>
  </conditionalFormatting>
  <conditionalFormatting sqref="C471">
    <cfRule type="cellIs" rank="0" priority="1394" equalAverage="0" operator="greaterThan" aboveAverage="0" dxfId="8" text="" percent="0" bottom="0">
      <formula>0</formula>
    </cfRule>
  </conditionalFormatting>
  <conditionalFormatting sqref="G471">
    <cfRule type="cellIs" rank="0" priority="1395" equalAverage="0" operator="greaterThan" aboveAverage="0" dxfId="8" text="" percent="0" bottom="0">
      <formula>0</formula>
    </cfRule>
  </conditionalFormatting>
  <conditionalFormatting sqref="H471">
    <cfRule type="cellIs" rank="0" priority="1396" equalAverage="0" operator="greaterThan" aboveAverage="0" dxfId="8" text="" percent="0" bottom="0">
      <formula>0</formula>
    </cfRule>
  </conditionalFormatting>
  <conditionalFormatting sqref="C472">
    <cfRule type="cellIs" rank="0" priority="1397" equalAverage="0" operator="greaterThan" aboveAverage="0" dxfId="8" text="" percent="0" bottom="0">
      <formula>0</formula>
    </cfRule>
  </conditionalFormatting>
  <conditionalFormatting sqref="G472">
    <cfRule type="cellIs" rank="0" priority="1398" equalAverage="0" operator="greaterThan" aboveAverage="0" dxfId="8" text="" percent="0" bottom="0">
      <formula>0</formula>
    </cfRule>
  </conditionalFormatting>
  <conditionalFormatting sqref="H472">
    <cfRule type="cellIs" rank="0" priority="1399" equalAverage="0" operator="greaterThan" aboveAverage="0" dxfId="8" text="" percent="0" bottom="0">
      <formula>0</formula>
    </cfRule>
  </conditionalFormatting>
  <conditionalFormatting sqref="C473">
    <cfRule type="cellIs" rank="0" priority="1400" equalAverage="0" operator="greaterThan" aboveAverage="0" dxfId="8" text="" percent="0" bottom="0">
      <formula>0</formula>
    </cfRule>
  </conditionalFormatting>
  <conditionalFormatting sqref="G473">
    <cfRule type="cellIs" rank="0" priority="1401" equalAverage="0" operator="greaterThan" aboveAverage="0" dxfId="8" text="" percent="0" bottom="0">
      <formula>0</formula>
    </cfRule>
  </conditionalFormatting>
  <conditionalFormatting sqref="H473">
    <cfRule type="cellIs" rank="0" priority="1402" equalAverage="0" operator="greaterThan" aboveAverage="0" dxfId="8" text="" percent="0" bottom="0">
      <formula>0</formula>
    </cfRule>
  </conditionalFormatting>
  <conditionalFormatting sqref="C474">
    <cfRule type="cellIs" rank="0" priority="1403" equalAverage="0" operator="greaterThan" aboveAverage="0" dxfId="8" text="" percent="0" bottom="0">
      <formula>0</formula>
    </cfRule>
  </conditionalFormatting>
  <conditionalFormatting sqref="G474">
    <cfRule type="cellIs" rank="0" priority="1404" equalAverage="0" operator="greaterThan" aboveAverage="0" dxfId="8" text="" percent="0" bottom="0">
      <formula>0</formula>
    </cfRule>
  </conditionalFormatting>
  <conditionalFormatting sqref="H474">
    <cfRule type="cellIs" rank="0" priority="1405" equalAverage="0" operator="greaterThan" aboveAverage="0" dxfId="8" text="" percent="0" bottom="0">
      <formula>0</formula>
    </cfRule>
  </conditionalFormatting>
  <conditionalFormatting sqref="C475">
    <cfRule type="cellIs" rank="0" priority="1406" equalAverage="0" operator="greaterThan" aboveAverage="0" dxfId="8" text="" percent="0" bottom="0">
      <formula>0</formula>
    </cfRule>
  </conditionalFormatting>
  <conditionalFormatting sqref="G475">
    <cfRule type="cellIs" rank="0" priority="1407" equalAverage="0" operator="greaterThan" aboveAverage="0" dxfId="8" text="" percent="0" bottom="0">
      <formula>0</formula>
    </cfRule>
  </conditionalFormatting>
  <conditionalFormatting sqref="H475">
    <cfRule type="cellIs" rank="0" priority="1408" equalAverage="0" operator="greaterThan" aboveAverage="0" dxfId="8" text="" percent="0" bottom="0">
      <formula>0</formula>
    </cfRule>
  </conditionalFormatting>
  <conditionalFormatting sqref="C476">
    <cfRule type="cellIs" rank="0" priority="1409" equalAverage="0" operator="greaterThan" aboveAverage="0" dxfId="8" text="" percent="0" bottom="0">
      <formula>0</formula>
    </cfRule>
  </conditionalFormatting>
  <conditionalFormatting sqref="G476">
    <cfRule type="cellIs" rank="0" priority="1410" equalAverage="0" operator="greaterThan" aboveAverage="0" dxfId="8" text="" percent="0" bottom="0">
      <formula>0</formula>
    </cfRule>
  </conditionalFormatting>
  <conditionalFormatting sqref="H476">
    <cfRule type="cellIs" rank="0" priority="1411" equalAverage="0" operator="greaterThan" aboveAverage="0" dxfId="8" text="" percent="0" bottom="0">
      <formula>0</formula>
    </cfRule>
  </conditionalFormatting>
  <conditionalFormatting sqref="C477">
    <cfRule type="cellIs" rank="0" priority="1412" equalAverage="0" operator="greaterThan" aboveAverage="0" dxfId="8" text="" percent="0" bottom="0">
      <formula>0</formula>
    </cfRule>
  </conditionalFormatting>
  <conditionalFormatting sqref="G477">
    <cfRule type="cellIs" rank="0" priority="1413" equalAverage="0" operator="greaterThan" aboveAverage="0" dxfId="8" text="" percent="0" bottom="0">
      <formula>0</formula>
    </cfRule>
  </conditionalFormatting>
  <conditionalFormatting sqref="H477">
    <cfRule type="cellIs" rank="0" priority="1414" equalAverage="0" operator="greaterThan" aboveAverage="0" dxfId="8" text="" percent="0" bottom="0">
      <formula>0</formula>
    </cfRule>
  </conditionalFormatting>
  <conditionalFormatting sqref="C478">
    <cfRule type="cellIs" rank="0" priority="1415" equalAverage="0" operator="greaterThan" aboveAverage="0" dxfId="8" text="" percent="0" bottom="0">
      <formula>0</formula>
    </cfRule>
  </conditionalFormatting>
  <conditionalFormatting sqref="G478">
    <cfRule type="cellIs" rank="0" priority="1416" equalAverage="0" operator="greaterThan" aboveAverage="0" dxfId="8" text="" percent="0" bottom="0">
      <formula>0</formula>
    </cfRule>
  </conditionalFormatting>
  <conditionalFormatting sqref="H478">
    <cfRule type="cellIs" rank="0" priority="1417" equalAverage="0" operator="greaterThan" aboveAverage="0" dxfId="8" text="" percent="0" bottom="0">
      <formula>0</formula>
    </cfRule>
  </conditionalFormatting>
  <conditionalFormatting sqref="C479">
    <cfRule type="cellIs" rank="0" priority="1418" equalAverage="0" operator="greaterThan" aboveAverage="0" dxfId="8" text="" percent="0" bottom="0">
      <formula>0</formula>
    </cfRule>
  </conditionalFormatting>
  <conditionalFormatting sqref="G479">
    <cfRule type="cellIs" rank="0" priority="1419" equalAverage="0" operator="greaterThan" aboveAverage="0" dxfId="8" text="" percent="0" bottom="0">
      <formula>0</formula>
    </cfRule>
  </conditionalFormatting>
  <conditionalFormatting sqref="H479">
    <cfRule type="cellIs" rank="0" priority="1420" equalAverage="0" operator="greaterThan" aboveAverage="0" dxfId="8" text="" percent="0" bottom="0">
      <formula>0</formula>
    </cfRule>
  </conditionalFormatting>
  <conditionalFormatting sqref="C480">
    <cfRule type="cellIs" rank="0" priority="1421" equalAverage="0" operator="greaterThan" aboveAverage="0" dxfId="8" text="" percent="0" bottom="0">
      <formula>0</formula>
    </cfRule>
  </conditionalFormatting>
  <conditionalFormatting sqref="G480">
    <cfRule type="cellIs" rank="0" priority="1422" equalAverage="0" operator="greaterThan" aboveAverage="0" dxfId="8" text="" percent="0" bottom="0">
      <formula>0</formula>
    </cfRule>
  </conditionalFormatting>
  <conditionalFormatting sqref="H480">
    <cfRule type="cellIs" rank="0" priority="1423" equalAverage="0" operator="greaterThan" aboveAverage="0" dxfId="8" text="" percent="0" bottom="0">
      <formula>0</formula>
    </cfRule>
  </conditionalFormatting>
  <conditionalFormatting sqref="C481">
    <cfRule type="cellIs" rank="0" priority="1424" equalAverage="0" operator="greaterThan" aboveAverage="0" dxfId="8" text="" percent="0" bottom="0">
      <formula>0</formula>
    </cfRule>
  </conditionalFormatting>
  <conditionalFormatting sqref="G481">
    <cfRule type="cellIs" rank="0" priority="1425" equalAverage="0" operator="greaterThan" aboveAverage="0" dxfId="8" text="" percent="0" bottom="0">
      <formula>0</formula>
    </cfRule>
  </conditionalFormatting>
  <conditionalFormatting sqref="H481">
    <cfRule type="cellIs" rank="0" priority="1426" equalAverage="0" operator="greaterThan" aboveAverage="0" dxfId="8" text="" percent="0" bottom="0">
      <formula>0</formula>
    </cfRule>
  </conditionalFormatting>
  <conditionalFormatting sqref="C482">
    <cfRule type="cellIs" rank="0" priority="1427" equalAverage="0" operator="greaterThan" aboveAverage="0" dxfId="8" text="" percent="0" bottom="0">
      <formula>0</formula>
    </cfRule>
  </conditionalFormatting>
  <conditionalFormatting sqref="G482">
    <cfRule type="cellIs" rank="0" priority="1428" equalAverage="0" operator="greaterThan" aboveAverage="0" dxfId="8" text="" percent="0" bottom="0">
      <formula>0</formula>
    </cfRule>
  </conditionalFormatting>
  <conditionalFormatting sqref="H482">
    <cfRule type="cellIs" rank="0" priority="1429" equalAverage="0" operator="greaterThan" aboveAverage="0" dxfId="8" text="" percent="0" bottom="0">
      <formula>0</formula>
    </cfRule>
  </conditionalFormatting>
  <conditionalFormatting sqref="C483">
    <cfRule type="cellIs" rank="0" priority="1430" equalAverage="0" operator="greaterThan" aboveAverage="0" dxfId="8" text="" percent="0" bottom="0">
      <formula>0</formula>
    </cfRule>
  </conditionalFormatting>
  <conditionalFormatting sqref="G483">
    <cfRule type="cellIs" rank="0" priority="1431" equalAverage="0" operator="greaterThan" aboveAverage="0" dxfId="8" text="" percent="0" bottom="0">
      <formula>0</formula>
    </cfRule>
  </conditionalFormatting>
  <conditionalFormatting sqref="H483">
    <cfRule type="cellIs" rank="0" priority="1432" equalAverage="0" operator="greaterThan" aboveAverage="0" dxfId="8" text="" percent="0" bottom="0">
      <formula>0</formula>
    </cfRule>
  </conditionalFormatting>
  <conditionalFormatting sqref="C484">
    <cfRule type="cellIs" rank="0" priority="1433" equalAverage="0" operator="greaterThan" aboveAverage="0" dxfId="8" text="" percent="0" bottom="0">
      <formula>0</formula>
    </cfRule>
  </conditionalFormatting>
  <conditionalFormatting sqref="G484">
    <cfRule type="cellIs" rank="0" priority="1434" equalAverage="0" operator="greaterThan" aboveAverage="0" dxfId="8" text="" percent="0" bottom="0">
      <formula>0</formula>
    </cfRule>
  </conditionalFormatting>
  <conditionalFormatting sqref="H484">
    <cfRule type="cellIs" rank="0" priority="1435" equalAverage="0" operator="greaterThan" aboveAverage="0" dxfId="8" text="" percent="0" bottom="0">
      <formula>0</formula>
    </cfRule>
  </conditionalFormatting>
  <conditionalFormatting sqref="C485">
    <cfRule type="cellIs" rank="0" priority="1436" equalAverage="0" operator="greaterThan" aboveAverage="0" dxfId="8" text="" percent="0" bottom="0">
      <formula>0</formula>
    </cfRule>
  </conditionalFormatting>
  <conditionalFormatting sqref="G485">
    <cfRule type="cellIs" rank="0" priority="1437" equalAverage="0" operator="greaterThan" aboveAverage="0" dxfId="8" text="" percent="0" bottom="0">
      <formula>0</formula>
    </cfRule>
  </conditionalFormatting>
  <conditionalFormatting sqref="H485">
    <cfRule type="cellIs" rank="0" priority="1438" equalAverage="0" operator="greaterThan" aboveAverage="0" dxfId="8" text="" percent="0" bottom="0">
      <formula>0</formula>
    </cfRule>
  </conditionalFormatting>
  <conditionalFormatting sqref="C486">
    <cfRule type="cellIs" rank="0" priority="1439" equalAverage="0" operator="greaterThan" aboveAverage="0" dxfId="8" text="" percent="0" bottom="0">
      <formula>0</formula>
    </cfRule>
  </conditionalFormatting>
  <conditionalFormatting sqref="G486">
    <cfRule type="cellIs" rank="0" priority="1440" equalAverage="0" operator="greaterThan" aboveAverage="0" dxfId="8" text="" percent="0" bottom="0">
      <formula>0</formula>
    </cfRule>
  </conditionalFormatting>
  <conditionalFormatting sqref="H486">
    <cfRule type="cellIs" rank="0" priority="1441" equalAverage="0" operator="greaterThan" aboveAverage="0" dxfId="8" text="" percent="0" bottom="0">
      <formula>0</formula>
    </cfRule>
  </conditionalFormatting>
  <conditionalFormatting sqref="C487">
    <cfRule type="cellIs" rank="0" priority="1442" equalAverage="0" operator="greaterThan" aboveAverage="0" dxfId="8" text="" percent="0" bottom="0">
      <formula>0</formula>
    </cfRule>
  </conditionalFormatting>
  <conditionalFormatting sqref="G487">
    <cfRule type="cellIs" rank="0" priority="1443" equalAverage="0" operator="greaterThan" aboveAverage="0" dxfId="8" text="" percent="0" bottom="0">
      <formula>0</formula>
    </cfRule>
  </conditionalFormatting>
  <conditionalFormatting sqref="H487">
    <cfRule type="cellIs" rank="0" priority="1444" equalAverage="0" operator="greaterThan" aboveAverage="0" dxfId="8" text="" percent="0" bottom="0">
      <formula>0</formula>
    </cfRule>
  </conditionalFormatting>
  <conditionalFormatting sqref="C488">
    <cfRule type="cellIs" rank="0" priority="1445" equalAverage="0" operator="greaterThan" aboveAverage="0" dxfId="8" text="" percent="0" bottom="0">
      <formula>0</formula>
    </cfRule>
  </conditionalFormatting>
  <conditionalFormatting sqref="G488">
    <cfRule type="cellIs" rank="0" priority="1446" equalAverage="0" operator="greaterThan" aboveAverage="0" dxfId="8" text="" percent="0" bottom="0">
      <formula>0</formula>
    </cfRule>
  </conditionalFormatting>
  <conditionalFormatting sqref="H488">
    <cfRule type="cellIs" rank="0" priority="1447" equalAverage="0" operator="greaterThan" aboveAverage="0" dxfId="8" text="" percent="0" bottom="0">
      <formula>0</formula>
    </cfRule>
  </conditionalFormatting>
  <conditionalFormatting sqref="C489">
    <cfRule type="cellIs" rank="0" priority="1448" equalAverage="0" operator="greaterThan" aboveAverage="0" dxfId="8" text="" percent="0" bottom="0">
      <formula>0</formula>
    </cfRule>
  </conditionalFormatting>
  <conditionalFormatting sqref="G489">
    <cfRule type="cellIs" rank="0" priority="1449" equalAverage="0" operator="greaterThan" aboveAverage="0" dxfId="8" text="" percent="0" bottom="0">
      <formula>0</formula>
    </cfRule>
  </conditionalFormatting>
  <conditionalFormatting sqref="H489">
    <cfRule type="cellIs" rank="0" priority="1450" equalAverage="0" operator="greaterThan" aboveAverage="0" dxfId="8" text="" percent="0" bottom="0">
      <formula>0</formula>
    </cfRule>
  </conditionalFormatting>
  <conditionalFormatting sqref="C490">
    <cfRule type="cellIs" rank="0" priority="1451" equalAverage="0" operator="greaterThan" aboveAverage="0" dxfId="8" text="" percent="0" bottom="0">
      <formula>0</formula>
    </cfRule>
  </conditionalFormatting>
  <conditionalFormatting sqref="G490">
    <cfRule type="cellIs" rank="0" priority="1452" equalAverage="0" operator="greaterThan" aboveAverage="0" dxfId="8" text="" percent="0" bottom="0">
      <formula>0</formula>
    </cfRule>
  </conditionalFormatting>
  <conditionalFormatting sqref="H490">
    <cfRule type="cellIs" rank="0" priority="1453" equalAverage="0" operator="greaterThan" aboveAverage="0" dxfId="8" text="" percent="0" bottom="0">
      <formula>0</formula>
    </cfRule>
  </conditionalFormatting>
  <conditionalFormatting sqref="C491">
    <cfRule type="cellIs" rank="0" priority="1454" equalAverage="0" operator="greaterThan" aboveAverage="0" dxfId="8" text="" percent="0" bottom="0">
      <formula>0</formula>
    </cfRule>
  </conditionalFormatting>
  <conditionalFormatting sqref="G491">
    <cfRule type="cellIs" rank="0" priority="1455" equalAverage="0" operator="greaterThan" aboveAverage="0" dxfId="8" text="" percent="0" bottom="0">
      <formula>0</formula>
    </cfRule>
  </conditionalFormatting>
  <conditionalFormatting sqref="H491">
    <cfRule type="cellIs" rank="0" priority="1456" equalAverage="0" operator="greaterThan" aboveAverage="0" dxfId="8" text="" percent="0" bottom="0">
      <formula>0</formula>
    </cfRule>
  </conditionalFormatting>
  <conditionalFormatting sqref="C492">
    <cfRule type="cellIs" rank="0" priority="1457" equalAverage="0" operator="greaterThan" aboveAverage="0" dxfId="8" text="" percent="0" bottom="0">
      <formula>0</formula>
    </cfRule>
  </conditionalFormatting>
  <conditionalFormatting sqref="G492">
    <cfRule type="cellIs" rank="0" priority="1458" equalAverage="0" operator="greaterThan" aboveAverage="0" dxfId="8" text="" percent="0" bottom="0">
      <formula>0</formula>
    </cfRule>
  </conditionalFormatting>
  <conditionalFormatting sqref="H492">
    <cfRule type="cellIs" rank="0" priority="1459" equalAverage="0" operator="greaterThan" aboveAverage="0" dxfId="8" text="" percent="0" bottom="0">
      <formula>0</formula>
    </cfRule>
  </conditionalFormatting>
  <conditionalFormatting sqref="C493">
    <cfRule type="cellIs" rank="0" priority="1460" equalAverage="0" operator="greaterThan" aboveAverage="0" dxfId="8" text="" percent="0" bottom="0">
      <formula>0</formula>
    </cfRule>
  </conditionalFormatting>
  <conditionalFormatting sqref="G493">
    <cfRule type="cellIs" rank="0" priority="1461" equalAverage="0" operator="greaterThan" aboveAverage="0" dxfId="8" text="" percent="0" bottom="0">
      <formula>0</formula>
    </cfRule>
  </conditionalFormatting>
  <conditionalFormatting sqref="H493">
    <cfRule type="cellIs" rank="0" priority="1462" equalAverage="0" operator="greaterThan" aboveAverage="0" dxfId="8" text="" percent="0" bottom="0">
      <formula>0</formula>
    </cfRule>
  </conditionalFormatting>
  <conditionalFormatting sqref="C494">
    <cfRule type="cellIs" rank="0" priority="1463" equalAverage="0" operator="greaterThan" aboveAverage="0" dxfId="8" text="" percent="0" bottom="0">
      <formula>0</formula>
    </cfRule>
  </conditionalFormatting>
  <conditionalFormatting sqref="G494">
    <cfRule type="cellIs" rank="0" priority="1464" equalAverage="0" operator="greaterThan" aboveAverage="0" dxfId="8" text="" percent="0" bottom="0">
      <formula>0</formula>
    </cfRule>
  </conditionalFormatting>
  <conditionalFormatting sqref="H494">
    <cfRule type="cellIs" rank="0" priority="1465" equalAverage="0" operator="greaterThan" aboveAverage="0" dxfId="8" text="" percent="0" bottom="0">
      <formula>0</formula>
    </cfRule>
  </conditionalFormatting>
  <conditionalFormatting sqref="C495">
    <cfRule type="cellIs" rank="0" priority="1466" equalAverage="0" operator="greaterThan" aboveAverage="0" dxfId="8" text="" percent="0" bottom="0">
      <formula>0</formula>
    </cfRule>
  </conditionalFormatting>
  <conditionalFormatting sqref="G495">
    <cfRule type="cellIs" rank="0" priority="1467" equalAverage="0" operator="greaterThan" aboveAverage="0" dxfId="8" text="" percent="0" bottom="0">
      <formula>0</formula>
    </cfRule>
  </conditionalFormatting>
  <conditionalFormatting sqref="H495">
    <cfRule type="cellIs" rank="0" priority="1468" equalAverage="0" operator="greaterThan" aboveAverage="0" dxfId="8" text="" percent="0" bottom="0">
      <formula>0</formula>
    </cfRule>
  </conditionalFormatting>
  <conditionalFormatting sqref="C496">
    <cfRule type="cellIs" rank="0" priority="1469" equalAverage="0" operator="greaterThan" aboveAverage="0" dxfId="8" text="" percent="0" bottom="0">
      <formula>0</formula>
    </cfRule>
  </conditionalFormatting>
  <conditionalFormatting sqref="G496">
    <cfRule type="cellIs" rank="0" priority="1470" equalAverage="0" operator="greaterThan" aboveAverage="0" dxfId="8" text="" percent="0" bottom="0">
      <formula>0</formula>
    </cfRule>
  </conditionalFormatting>
  <conditionalFormatting sqref="H496">
    <cfRule type="cellIs" rank="0" priority="1471" equalAverage="0" operator="greaterThan" aboveAverage="0" dxfId="8" text="" percent="0" bottom="0">
      <formula>0</formula>
    </cfRule>
  </conditionalFormatting>
  <conditionalFormatting sqref="C497">
    <cfRule type="cellIs" rank="0" priority="1472" equalAverage="0" operator="greaterThan" aboveAverage="0" dxfId="8" text="" percent="0" bottom="0">
      <formula>0</formula>
    </cfRule>
  </conditionalFormatting>
  <conditionalFormatting sqref="G497">
    <cfRule type="cellIs" rank="0" priority="1473" equalAverage="0" operator="greaterThan" aboveAverage="0" dxfId="8" text="" percent="0" bottom="0">
      <formula>0</formula>
    </cfRule>
  </conditionalFormatting>
  <conditionalFormatting sqref="H497">
    <cfRule type="cellIs" rank="0" priority="1474" equalAverage="0" operator="greaterThan" aboveAverage="0" dxfId="8" text="" percent="0" bottom="0">
      <formula>0</formula>
    </cfRule>
  </conditionalFormatting>
  <conditionalFormatting sqref="C498">
    <cfRule type="cellIs" rank="0" priority="1475" equalAverage="0" operator="greaterThan" aboveAverage="0" dxfId="8" text="" percent="0" bottom="0">
      <formula>0</formula>
    </cfRule>
  </conditionalFormatting>
  <conditionalFormatting sqref="G498">
    <cfRule type="cellIs" rank="0" priority="1476" equalAverage="0" operator="greaterThan" aboveAverage="0" dxfId="8" text="" percent="0" bottom="0">
      <formula>0</formula>
    </cfRule>
  </conditionalFormatting>
  <conditionalFormatting sqref="H498">
    <cfRule type="cellIs" rank="0" priority="1477" equalAverage="0" operator="greaterThan" aboveAverage="0" dxfId="8" text="" percent="0" bottom="0">
      <formula>0</formula>
    </cfRule>
  </conditionalFormatting>
  <conditionalFormatting sqref="C499">
    <cfRule type="cellIs" rank="0" priority="1478" equalAverage="0" operator="greaterThan" aboveAverage="0" dxfId="8" text="" percent="0" bottom="0">
      <formula>0</formula>
    </cfRule>
  </conditionalFormatting>
  <conditionalFormatting sqref="G499">
    <cfRule type="cellIs" rank="0" priority="1479" equalAverage="0" operator="greaterThan" aboveAverage="0" dxfId="8" text="" percent="0" bottom="0">
      <formula>0</formula>
    </cfRule>
  </conditionalFormatting>
  <conditionalFormatting sqref="H499">
    <cfRule type="cellIs" rank="0" priority="1480" equalAverage="0" operator="greaterThan" aboveAverage="0" dxfId="8" text="" percent="0" bottom="0">
      <formula>0</formula>
    </cfRule>
  </conditionalFormatting>
  <conditionalFormatting sqref="C500">
    <cfRule type="cellIs" rank="0" priority="1481" equalAverage="0" operator="greaterThan" aboveAverage="0" dxfId="8" text="" percent="0" bottom="0">
      <formula>0</formula>
    </cfRule>
  </conditionalFormatting>
  <conditionalFormatting sqref="G500">
    <cfRule type="cellIs" rank="0" priority="1482" equalAverage="0" operator="greaterThan" aboveAverage="0" dxfId="8" text="" percent="0" bottom="0">
      <formula>0</formula>
    </cfRule>
  </conditionalFormatting>
  <conditionalFormatting sqref="H500">
    <cfRule type="cellIs" rank="0" priority="1483" equalAverage="0" operator="greaterThan" aboveAverage="0" dxfId="8" text="" percent="0" bottom="0">
      <formula>0</formula>
    </cfRule>
  </conditionalFormatting>
  <conditionalFormatting sqref="C501">
    <cfRule type="cellIs" rank="0" priority="1484" equalAverage="0" operator="greaterThan" aboveAverage="0" dxfId="8" text="" percent="0" bottom="0">
      <formula>0</formula>
    </cfRule>
  </conditionalFormatting>
  <conditionalFormatting sqref="G501">
    <cfRule type="cellIs" rank="0" priority="1485" equalAverage="0" operator="greaterThan" aboveAverage="0" dxfId="8" text="" percent="0" bottom="0">
      <formula>0</formula>
    </cfRule>
  </conditionalFormatting>
  <conditionalFormatting sqref="H501">
    <cfRule type="cellIs" rank="0" priority="1486" equalAverage="0" operator="greaterThan" aboveAverage="0" dxfId="8" text="" percent="0" bottom="0">
      <formula>0</formula>
    </cfRule>
  </conditionalFormatting>
  <conditionalFormatting sqref="C502">
    <cfRule type="cellIs" rank="0" priority="1487" equalAverage="0" operator="greaterThan" aboveAverage="0" dxfId="8" text="" percent="0" bottom="0">
      <formula>0</formula>
    </cfRule>
  </conditionalFormatting>
  <conditionalFormatting sqref="G502">
    <cfRule type="cellIs" rank="0" priority="1488" equalAverage="0" operator="greaterThan" aboveAverage="0" dxfId="8" text="" percent="0" bottom="0">
      <formula>0</formula>
    </cfRule>
  </conditionalFormatting>
  <conditionalFormatting sqref="H502">
    <cfRule type="cellIs" rank="0" priority="1489" equalAverage="0" operator="greaterThan" aboveAverage="0" dxfId="8" text="" percent="0" bottom="0">
      <formula>0</formula>
    </cfRule>
  </conditionalFormatting>
  <conditionalFormatting sqref="C503">
    <cfRule type="cellIs" rank="0" priority="1490" equalAverage="0" operator="greaterThan" aboveAverage="0" dxfId="8" text="" percent="0" bottom="0">
      <formula>0</formula>
    </cfRule>
  </conditionalFormatting>
  <conditionalFormatting sqref="G503">
    <cfRule type="cellIs" rank="0" priority="1491" equalAverage="0" operator="greaterThan" aboveAverage="0" dxfId="8" text="" percent="0" bottom="0">
      <formula>0</formula>
    </cfRule>
  </conditionalFormatting>
  <conditionalFormatting sqref="H503">
    <cfRule type="cellIs" rank="0" priority="1492" equalAverage="0" operator="greaterThan" aboveAverage="0" dxfId="8" text="" percent="0" bottom="0">
      <formula>0</formula>
    </cfRule>
  </conditionalFormatting>
  <conditionalFormatting sqref="C504">
    <cfRule type="cellIs" rank="0" priority="1493" equalAverage="0" operator="greaterThan" aboveAverage="0" dxfId="8" text="" percent="0" bottom="0">
      <formula>0</formula>
    </cfRule>
  </conditionalFormatting>
  <conditionalFormatting sqref="G504">
    <cfRule type="cellIs" rank="0" priority="1494" equalAverage="0" operator="greaterThan" aboveAverage="0" dxfId="8" text="" percent="0" bottom="0">
      <formula>0</formula>
    </cfRule>
  </conditionalFormatting>
  <conditionalFormatting sqref="H504">
    <cfRule type="cellIs" rank="0" priority="1495" equalAverage="0" operator="greaterThan" aboveAverage="0" dxfId="8" text="" percent="0" bottom="0">
      <formula>0</formula>
    </cfRule>
  </conditionalFormatting>
  <conditionalFormatting sqref="C505">
    <cfRule type="cellIs" rank="0" priority="1496" equalAverage="0" operator="greaterThan" aboveAverage="0" dxfId="8" text="" percent="0" bottom="0">
      <formula>0</formula>
    </cfRule>
  </conditionalFormatting>
  <conditionalFormatting sqref="G505">
    <cfRule type="cellIs" rank="0" priority="1497" equalAverage="0" operator="greaterThan" aboveAverage="0" dxfId="8" text="" percent="0" bottom="0">
      <formula>0</formula>
    </cfRule>
  </conditionalFormatting>
  <conditionalFormatting sqref="H505">
    <cfRule type="cellIs" rank="0" priority="1498" equalAverage="0" operator="greaterThan" aboveAverage="0" dxfId="8" text="" percent="0" bottom="0">
      <formula>0</formula>
    </cfRule>
  </conditionalFormatting>
  <conditionalFormatting sqref="C506">
    <cfRule type="cellIs" rank="0" priority="1499" equalAverage="0" operator="greaterThan" aboveAverage="0" dxfId="8" text="" percent="0" bottom="0">
      <formula>0</formula>
    </cfRule>
  </conditionalFormatting>
  <conditionalFormatting sqref="G506">
    <cfRule type="cellIs" rank="0" priority="1500" equalAverage="0" operator="greaterThan" aboveAverage="0" dxfId="8" text="" percent="0" bottom="0">
      <formula>0</formula>
    </cfRule>
  </conditionalFormatting>
  <conditionalFormatting sqref="H506">
    <cfRule type="cellIs" rank="0" priority="1501" equalAverage="0" operator="greaterThan" aboveAverage="0" dxfId="8" text="" percent="0" bottom="0">
      <formula>0</formula>
    </cfRule>
  </conditionalFormatting>
  <conditionalFormatting sqref="C507">
    <cfRule type="cellIs" rank="0" priority="1502" equalAverage="0" operator="greaterThan" aboveAverage="0" dxfId="8" text="" percent="0" bottom="0">
      <formula>0</formula>
    </cfRule>
  </conditionalFormatting>
  <conditionalFormatting sqref="G507">
    <cfRule type="cellIs" rank="0" priority="1503" equalAverage="0" operator="greaterThan" aboveAverage="0" dxfId="8" text="" percent="0" bottom="0">
      <formula>0</formula>
    </cfRule>
  </conditionalFormatting>
  <conditionalFormatting sqref="H507">
    <cfRule type="cellIs" rank="0" priority="1504" equalAverage="0" operator="greaterThan" aboveAverage="0" dxfId="8" text="" percent="0" bottom="0">
      <formula>0</formula>
    </cfRule>
  </conditionalFormatting>
  <conditionalFormatting sqref="C508">
    <cfRule type="cellIs" rank="0" priority="1505" equalAverage="0" operator="greaterThan" aboveAverage="0" dxfId="8" text="" percent="0" bottom="0">
      <formula>0</formula>
    </cfRule>
  </conditionalFormatting>
  <conditionalFormatting sqref="G508">
    <cfRule type="cellIs" rank="0" priority="1506" equalAverage="0" operator="greaterThan" aboveAverage="0" dxfId="8" text="" percent="0" bottom="0">
      <formula>0</formula>
    </cfRule>
  </conditionalFormatting>
  <conditionalFormatting sqref="H508">
    <cfRule type="cellIs" rank="0" priority="1507" equalAverage="0" operator="greaterThan" aboveAverage="0" dxfId="8" text="" percent="0" bottom="0">
      <formula>0</formula>
    </cfRule>
  </conditionalFormatting>
  <conditionalFormatting sqref="C509">
    <cfRule type="cellIs" rank="0" priority="1508" equalAverage="0" operator="greaterThan" aboveAverage="0" dxfId="8" text="" percent="0" bottom="0">
      <formula>0</formula>
    </cfRule>
  </conditionalFormatting>
  <conditionalFormatting sqref="G509">
    <cfRule type="cellIs" rank="0" priority="1509" equalAverage="0" operator="greaterThan" aboveAverage="0" dxfId="8" text="" percent="0" bottom="0">
      <formula>0</formula>
    </cfRule>
  </conditionalFormatting>
  <conditionalFormatting sqref="H509">
    <cfRule type="cellIs" rank="0" priority="1510" equalAverage="0" operator="greaterThan" aboveAverage="0" dxfId="8" text="" percent="0" bottom="0">
      <formula>0</formula>
    </cfRule>
  </conditionalFormatting>
  <conditionalFormatting sqref="C510">
    <cfRule type="cellIs" rank="0" priority="1511" equalAverage="0" operator="greaterThan" aboveAverage="0" dxfId="8" text="" percent="0" bottom="0">
      <formula>0</formula>
    </cfRule>
  </conditionalFormatting>
  <conditionalFormatting sqref="G510">
    <cfRule type="cellIs" rank="0" priority="1512" equalAverage="0" operator="greaterThan" aboveAverage="0" dxfId="8" text="" percent="0" bottom="0">
      <formula>0</formula>
    </cfRule>
  </conditionalFormatting>
  <conditionalFormatting sqref="H510">
    <cfRule type="cellIs" rank="0" priority="1513" equalAverage="0" operator="greaterThan" aboveAverage="0" dxfId="8" text="" percent="0" bottom="0">
      <formula>0</formula>
    </cfRule>
  </conditionalFormatting>
  <conditionalFormatting sqref="C511">
    <cfRule type="cellIs" rank="0" priority="1514" equalAverage="0" operator="greaterThan" aboveAverage="0" dxfId="8" text="" percent="0" bottom="0">
      <formula>0</formula>
    </cfRule>
  </conditionalFormatting>
  <conditionalFormatting sqref="G511">
    <cfRule type="cellIs" rank="0" priority="1515" equalAverage="0" operator="greaterThan" aboveAverage="0" dxfId="8" text="" percent="0" bottom="0">
      <formula>0</formula>
    </cfRule>
  </conditionalFormatting>
  <conditionalFormatting sqref="H511">
    <cfRule type="cellIs" rank="0" priority="1516" equalAverage="0" operator="greaterThan" aboveAverage="0" dxfId="8" text="" percent="0" bottom="0">
      <formula>0</formula>
    </cfRule>
  </conditionalFormatting>
  <conditionalFormatting sqref="C512">
    <cfRule type="cellIs" rank="0" priority="1517" equalAverage="0" operator="greaterThan" aboveAverage="0" dxfId="8" text="" percent="0" bottom="0">
      <formula>0</formula>
    </cfRule>
  </conditionalFormatting>
  <conditionalFormatting sqref="G512">
    <cfRule type="cellIs" rank="0" priority="1518" equalAverage="0" operator="greaterThan" aboveAverage="0" dxfId="8" text="" percent="0" bottom="0">
      <formula>0</formula>
    </cfRule>
  </conditionalFormatting>
  <conditionalFormatting sqref="H512">
    <cfRule type="cellIs" rank="0" priority="1519" equalAverage="0" operator="greaterThan" aboveAverage="0" dxfId="8" text="" percent="0" bottom="0">
      <formula>0</formula>
    </cfRule>
  </conditionalFormatting>
  <conditionalFormatting sqref="C513">
    <cfRule type="cellIs" rank="0" priority="1520" equalAverage="0" operator="greaterThan" aboveAverage="0" dxfId="8" text="" percent="0" bottom="0">
      <formula>0</formula>
    </cfRule>
  </conditionalFormatting>
  <conditionalFormatting sqref="G513">
    <cfRule type="cellIs" rank="0" priority="1521" equalAverage="0" operator="greaterThan" aboveAverage="0" dxfId="8" text="" percent="0" bottom="0">
      <formula>0</formula>
    </cfRule>
  </conditionalFormatting>
  <conditionalFormatting sqref="H513">
    <cfRule type="cellIs" rank="0" priority="1522" equalAverage="0" operator="greaterThan" aboveAverage="0" dxfId="8" text="" percent="0" bottom="0">
      <formula>0</formula>
    </cfRule>
  </conditionalFormatting>
  <conditionalFormatting sqref="C514">
    <cfRule type="cellIs" rank="0" priority="1523" equalAverage="0" operator="greaterThan" aboveAverage="0" dxfId="8" text="" percent="0" bottom="0">
      <formula>0</formula>
    </cfRule>
  </conditionalFormatting>
  <conditionalFormatting sqref="G514">
    <cfRule type="cellIs" rank="0" priority="1524" equalAverage="0" operator="greaterThan" aboveAverage="0" dxfId="8" text="" percent="0" bottom="0">
      <formula>0</formula>
    </cfRule>
  </conditionalFormatting>
  <conditionalFormatting sqref="H514">
    <cfRule type="cellIs" rank="0" priority="1525" equalAverage="0" operator="greaterThan" aboveAverage="0" dxfId="8" text="" percent="0" bottom="0">
      <formula>0</formula>
    </cfRule>
  </conditionalFormatting>
  <conditionalFormatting sqref="C515">
    <cfRule type="cellIs" rank="0" priority="1526" equalAverage="0" operator="greaterThan" aboveAverage="0" dxfId="8" text="" percent="0" bottom="0">
      <formula>0</formula>
    </cfRule>
  </conditionalFormatting>
  <conditionalFormatting sqref="G515">
    <cfRule type="cellIs" rank="0" priority="1527" equalAverage="0" operator="greaterThan" aboveAverage="0" dxfId="8" text="" percent="0" bottom="0">
      <formula>0</formula>
    </cfRule>
  </conditionalFormatting>
  <conditionalFormatting sqref="H515">
    <cfRule type="cellIs" rank="0" priority="1528" equalAverage="0" operator="greaterThan" aboveAverage="0" dxfId="8" text="" percent="0" bottom="0">
      <formula>0</formula>
    </cfRule>
  </conditionalFormatting>
  <conditionalFormatting sqref="C516">
    <cfRule type="cellIs" rank="0" priority="1529" equalAverage="0" operator="greaterThan" aboveAverage="0" dxfId="8" text="" percent="0" bottom="0">
      <formula>0</formula>
    </cfRule>
  </conditionalFormatting>
  <conditionalFormatting sqref="G516">
    <cfRule type="cellIs" rank="0" priority="1530" equalAverage="0" operator="greaterThan" aboveAverage="0" dxfId="8" text="" percent="0" bottom="0">
      <formula>0</formula>
    </cfRule>
  </conditionalFormatting>
  <conditionalFormatting sqref="H516">
    <cfRule type="cellIs" rank="0" priority="1531" equalAverage="0" operator="greaterThan" aboveAverage="0" dxfId="8" text="" percent="0" bottom="0">
      <formula>0</formula>
    </cfRule>
  </conditionalFormatting>
  <conditionalFormatting sqref="C517">
    <cfRule type="cellIs" rank="0" priority="1532" equalAverage="0" operator="greaterThan" aboveAverage="0" dxfId="8" text="" percent="0" bottom="0">
      <formula>0</formula>
    </cfRule>
  </conditionalFormatting>
  <conditionalFormatting sqref="G517">
    <cfRule type="cellIs" rank="0" priority="1533" equalAverage="0" operator="greaterThan" aboveAverage="0" dxfId="8" text="" percent="0" bottom="0">
      <formula>0</formula>
    </cfRule>
  </conditionalFormatting>
  <conditionalFormatting sqref="H517">
    <cfRule type="cellIs" rank="0" priority="1534" equalAverage="0" operator="greaterThan" aboveAverage="0" dxfId="8" text="" percent="0" bottom="0">
      <formula>0</formula>
    </cfRule>
  </conditionalFormatting>
  <conditionalFormatting sqref="C518">
    <cfRule type="cellIs" rank="0" priority="1535" equalAverage="0" operator="greaterThan" aboveAverage="0" dxfId="8" text="" percent="0" bottom="0">
      <formula>0</formula>
    </cfRule>
  </conditionalFormatting>
  <conditionalFormatting sqref="G518">
    <cfRule type="cellIs" rank="0" priority="1536" equalAverage="0" operator="greaterThan" aboveAverage="0" dxfId="8" text="" percent="0" bottom="0">
      <formula>0</formula>
    </cfRule>
  </conditionalFormatting>
  <conditionalFormatting sqref="H518">
    <cfRule type="cellIs" rank="0" priority="1537" equalAverage="0" operator="greaterThan" aboveAverage="0" dxfId="8" text="" percent="0" bottom="0">
      <formula>0</formula>
    </cfRule>
  </conditionalFormatting>
  <conditionalFormatting sqref="C519">
    <cfRule type="cellIs" rank="0" priority="1538" equalAverage="0" operator="greaterThan" aboveAverage="0" dxfId="8" text="" percent="0" bottom="0">
      <formula>0</formula>
    </cfRule>
  </conditionalFormatting>
  <conditionalFormatting sqref="G519">
    <cfRule type="cellIs" rank="0" priority="1539" equalAverage="0" operator="greaterThan" aboveAverage="0" dxfId="8" text="" percent="0" bottom="0">
      <formula>0</formula>
    </cfRule>
  </conditionalFormatting>
  <conditionalFormatting sqref="H519">
    <cfRule type="cellIs" rank="0" priority="1540" equalAverage="0" operator="greaterThan" aboveAverage="0" dxfId="8" text="" percent="0" bottom="0">
      <formula>0</formula>
    </cfRule>
  </conditionalFormatting>
  <conditionalFormatting sqref="C520">
    <cfRule type="cellIs" rank="0" priority="1541" equalAverage="0" operator="greaterThan" aboveAverage="0" dxfId="8" text="" percent="0" bottom="0">
      <formula>0</formula>
    </cfRule>
  </conditionalFormatting>
  <conditionalFormatting sqref="G520">
    <cfRule type="cellIs" rank="0" priority="1542" equalAverage="0" operator="greaterThan" aboveAverage="0" dxfId="8" text="" percent="0" bottom="0">
      <formula>0</formula>
    </cfRule>
  </conditionalFormatting>
  <conditionalFormatting sqref="H520">
    <cfRule type="cellIs" rank="0" priority="1543" equalAverage="0" operator="greaterThan" aboveAverage="0" dxfId="8" text="" percent="0" bottom="0">
      <formula>0</formula>
    </cfRule>
  </conditionalFormatting>
  <conditionalFormatting sqref="C521">
    <cfRule type="cellIs" rank="0" priority="1544" equalAverage="0" operator="greaterThan" aboveAverage="0" dxfId="8" text="" percent="0" bottom="0">
      <formula>0</formula>
    </cfRule>
  </conditionalFormatting>
  <conditionalFormatting sqref="G521">
    <cfRule type="cellIs" rank="0" priority="1545" equalAverage="0" operator="greaterThan" aboveAverage="0" dxfId="8" text="" percent="0" bottom="0">
      <formula>0</formula>
    </cfRule>
  </conditionalFormatting>
  <conditionalFormatting sqref="H521">
    <cfRule type="cellIs" rank="0" priority="1546" equalAverage="0" operator="greaterThan" aboveAverage="0" dxfId="8" text="" percent="0" bottom="0">
      <formula>0</formula>
    </cfRule>
  </conditionalFormatting>
  <conditionalFormatting sqref="C522">
    <cfRule type="cellIs" rank="0" priority="1547" equalAverage="0" operator="greaterThan" aboveAverage="0" dxfId="8" text="" percent="0" bottom="0">
      <formula>0</formula>
    </cfRule>
  </conditionalFormatting>
  <conditionalFormatting sqref="G522">
    <cfRule type="cellIs" rank="0" priority="1548" equalAverage="0" operator="greaterThan" aboveAverage="0" dxfId="8" text="" percent="0" bottom="0">
      <formula>0</formula>
    </cfRule>
  </conditionalFormatting>
  <conditionalFormatting sqref="H522">
    <cfRule type="cellIs" rank="0" priority="1549" equalAverage="0" operator="greaterThan" aboveAverage="0" dxfId="8" text="" percent="0" bottom="0">
      <formula>0</formula>
    </cfRule>
  </conditionalFormatting>
  <conditionalFormatting sqref="C523">
    <cfRule type="cellIs" rank="0" priority="1550" equalAverage="0" operator="greaterThan" aboveAverage="0" dxfId="8" text="" percent="0" bottom="0">
      <formula>0</formula>
    </cfRule>
  </conditionalFormatting>
  <conditionalFormatting sqref="G523">
    <cfRule type="cellIs" rank="0" priority="1551" equalAverage="0" operator="greaterThan" aboveAverage="0" dxfId="8" text="" percent="0" bottom="0">
      <formula>0</formula>
    </cfRule>
  </conditionalFormatting>
  <conditionalFormatting sqref="H523">
    <cfRule type="cellIs" rank="0" priority="1552" equalAverage="0" operator="greaterThan" aboveAverage="0" dxfId="8" text="" percent="0" bottom="0">
      <formula>0</formula>
    </cfRule>
  </conditionalFormatting>
  <conditionalFormatting sqref="C524">
    <cfRule type="cellIs" rank="0" priority="1553" equalAverage="0" operator="greaterThan" aboveAverage="0" dxfId="8" text="" percent="0" bottom="0">
      <formula>0</formula>
    </cfRule>
  </conditionalFormatting>
  <conditionalFormatting sqref="G524">
    <cfRule type="cellIs" rank="0" priority="1554" equalAverage="0" operator="greaterThan" aboveAverage="0" dxfId="8" text="" percent="0" bottom="0">
      <formula>0</formula>
    </cfRule>
  </conditionalFormatting>
  <conditionalFormatting sqref="H524">
    <cfRule type="cellIs" rank="0" priority="1555" equalAverage="0" operator="greaterThan" aboveAverage="0" dxfId="8" text="" percent="0" bottom="0">
      <formula>0</formula>
    </cfRule>
  </conditionalFormatting>
  <conditionalFormatting sqref="C525">
    <cfRule type="cellIs" rank="0" priority="1556" equalAverage="0" operator="greaterThan" aboveAverage="0" dxfId="8" text="" percent="0" bottom="0">
      <formula>0</formula>
    </cfRule>
  </conditionalFormatting>
  <conditionalFormatting sqref="G525">
    <cfRule type="cellIs" rank="0" priority="1557" equalAverage="0" operator="greaterThan" aboveAverage="0" dxfId="8" text="" percent="0" bottom="0">
      <formula>0</formula>
    </cfRule>
  </conditionalFormatting>
  <conditionalFormatting sqref="H525">
    <cfRule type="cellIs" rank="0" priority="1558" equalAverage="0" operator="greaterThan" aboveAverage="0" dxfId="8" text="" percent="0" bottom="0">
      <formula>0</formula>
    </cfRule>
  </conditionalFormatting>
  <conditionalFormatting sqref="C526">
    <cfRule type="cellIs" rank="0" priority="1559" equalAverage="0" operator="greaterThan" aboveAverage="0" dxfId="8" text="" percent="0" bottom="0">
      <formula>0</formula>
    </cfRule>
  </conditionalFormatting>
  <conditionalFormatting sqref="G526">
    <cfRule type="cellIs" rank="0" priority="1560" equalAverage="0" operator="greaterThan" aboveAverage="0" dxfId="8" text="" percent="0" bottom="0">
      <formula>0</formula>
    </cfRule>
  </conditionalFormatting>
  <conditionalFormatting sqref="H526">
    <cfRule type="cellIs" rank="0" priority="1561" equalAverage="0" operator="greaterThan" aboveAverage="0" dxfId="8" text="" percent="0" bottom="0">
      <formula>0</formula>
    </cfRule>
  </conditionalFormatting>
  <conditionalFormatting sqref="C527">
    <cfRule type="cellIs" rank="0" priority="1562" equalAverage="0" operator="greaterThan" aboveAverage="0" dxfId="8" text="" percent="0" bottom="0">
      <formula>0</formula>
    </cfRule>
  </conditionalFormatting>
  <conditionalFormatting sqref="G527">
    <cfRule type="cellIs" rank="0" priority="1563" equalAverage="0" operator="greaterThan" aboveAverage="0" dxfId="8" text="" percent="0" bottom="0">
      <formula>0</formula>
    </cfRule>
  </conditionalFormatting>
  <conditionalFormatting sqref="H527">
    <cfRule type="cellIs" rank="0" priority="1564" equalAverage="0" operator="greaterThan" aboveAverage="0" dxfId="8" text="" percent="0" bottom="0">
      <formula>0</formula>
    </cfRule>
  </conditionalFormatting>
  <conditionalFormatting sqref="C528">
    <cfRule type="cellIs" rank="0" priority="1565" equalAverage="0" operator="greaterThan" aboveAverage="0" dxfId="8" text="" percent="0" bottom="0">
      <formula>0</formula>
    </cfRule>
  </conditionalFormatting>
  <conditionalFormatting sqref="G528">
    <cfRule type="cellIs" rank="0" priority="1566" equalAverage="0" operator="greaterThan" aboveAverage="0" dxfId="8" text="" percent="0" bottom="0">
      <formula>0</formula>
    </cfRule>
  </conditionalFormatting>
  <conditionalFormatting sqref="H528">
    <cfRule type="cellIs" rank="0" priority="1567" equalAverage="0" operator="greaterThan" aboveAverage="0" dxfId="8" text="" percent="0" bottom="0">
      <formula>0</formula>
    </cfRule>
  </conditionalFormatting>
  <conditionalFormatting sqref="C529">
    <cfRule type="cellIs" rank="0" priority="1568" equalAverage="0" operator="greaterThan" aboveAverage="0" dxfId="8" text="" percent="0" bottom="0">
      <formula>0</formula>
    </cfRule>
  </conditionalFormatting>
  <conditionalFormatting sqref="G529">
    <cfRule type="cellIs" rank="0" priority="1569" equalAverage="0" operator="greaterThan" aboveAverage="0" dxfId="8" text="" percent="0" bottom="0">
      <formula>0</formula>
    </cfRule>
  </conditionalFormatting>
  <conditionalFormatting sqref="H529">
    <cfRule type="cellIs" rank="0" priority="1570" equalAverage="0" operator="greaterThan" aboveAverage="0" dxfId="8" text="" percent="0" bottom="0">
      <formula>0</formula>
    </cfRule>
  </conditionalFormatting>
  <conditionalFormatting sqref="C530">
    <cfRule type="cellIs" rank="0" priority="1571" equalAverage="0" operator="greaterThan" aboveAverage="0" dxfId="8" text="" percent="0" bottom="0">
      <formula>0</formula>
    </cfRule>
  </conditionalFormatting>
  <conditionalFormatting sqref="G530">
    <cfRule type="cellIs" rank="0" priority="1572" equalAverage="0" operator="greaterThan" aboveAverage="0" dxfId="8" text="" percent="0" bottom="0">
      <formula>0</formula>
    </cfRule>
  </conditionalFormatting>
  <conditionalFormatting sqref="H530">
    <cfRule type="cellIs" rank="0" priority="1573" equalAverage="0" operator="greaterThan" aboveAverage="0" dxfId="8" text="" percent="0" bottom="0">
      <formula>0</formula>
    </cfRule>
  </conditionalFormatting>
  <conditionalFormatting sqref="C531">
    <cfRule type="cellIs" rank="0" priority="1574" equalAverage="0" operator="greaterThan" aboveAverage="0" dxfId="8" text="" percent="0" bottom="0">
      <formula>0</formula>
    </cfRule>
  </conditionalFormatting>
  <conditionalFormatting sqref="G531">
    <cfRule type="cellIs" rank="0" priority="1575" equalAverage="0" operator="greaterThan" aboveAverage="0" dxfId="8" text="" percent="0" bottom="0">
      <formula>0</formula>
    </cfRule>
  </conditionalFormatting>
  <conditionalFormatting sqref="H531">
    <cfRule type="cellIs" rank="0" priority="1576" equalAverage="0" operator="greaterThan" aboveAverage="0" dxfId="8" text="" percent="0" bottom="0">
      <formula>0</formula>
    </cfRule>
  </conditionalFormatting>
  <conditionalFormatting sqref="C532">
    <cfRule type="cellIs" rank="0" priority="1577" equalAverage="0" operator="greaterThan" aboveAverage="0" dxfId="8" text="" percent="0" bottom="0">
      <formula>0</formula>
    </cfRule>
  </conditionalFormatting>
  <conditionalFormatting sqref="G532">
    <cfRule type="cellIs" rank="0" priority="1578" equalAverage="0" operator="greaterThan" aboveAverage="0" dxfId="8" text="" percent="0" bottom="0">
      <formula>0</formula>
    </cfRule>
  </conditionalFormatting>
  <conditionalFormatting sqref="H532">
    <cfRule type="cellIs" rank="0" priority="1579" equalAverage="0" operator="greaterThan" aboveAverage="0" dxfId="8" text="" percent="0" bottom="0">
      <formula>0</formula>
    </cfRule>
  </conditionalFormatting>
  <conditionalFormatting sqref="C533">
    <cfRule type="cellIs" rank="0" priority="1580" equalAverage="0" operator="greaterThan" aboveAverage="0" dxfId="8" text="" percent="0" bottom="0">
      <formula>0</formula>
    </cfRule>
  </conditionalFormatting>
  <conditionalFormatting sqref="G533">
    <cfRule type="cellIs" rank="0" priority="1581" equalAverage="0" operator="greaterThan" aboveAverage="0" dxfId="8" text="" percent="0" bottom="0">
      <formula>0</formula>
    </cfRule>
  </conditionalFormatting>
  <conditionalFormatting sqref="H533">
    <cfRule type="cellIs" rank="0" priority="1582" equalAverage="0" operator="greaterThan" aboveAverage="0" dxfId="8" text="" percent="0" bottom="0">
      <formula>0</formula>
    </cfRule>
  </conditionalFormatting>
  <conditionalFormatting sqref="C534">
    <cfRule type="cellIs" rank="0" priority="1583" equalAverage="0" operator="greaterThan" aboveAverage="0" dxfId="8" text="" percent="0" bottom="0">
      <formula>0</formula>
    </cfRule>
  </conditionalFormatting>
  <conditionalFormatting sqref="G534">
    <cfRule type="cellIs" rank="0" priority="1584" equalAverage="0" operator="greaterThan" aboveAverage="0" dxfId="8" text="" percent="0" bottom="0">
      <formula>0</formula>
    </cfRule>
  </conditionalFormatting>
  <conditionalFormatting sqref="H534">
    <cfRule type="cellIs" rank="0" priority="1585" equalAverage="0" operator="greaterThan" aboveAverage="0" dxfId="8" text="" percent="0" bottom="0">
      <formula>0</formula>
    </cfRule>
  </conditionalFormatting>
  <conditionalFormatting sqref="C535">
    <cfRule type="cellIs" rank="0" priority="1586" equalAverage="0" operator="greaterThan" aboveAverage="0" dxfId="8" text="" percent="0" bottom="0">
      <formula>0</formula>
    </cfRule>
  </conditionalFormatting>
  <conditionalFormatting sqref="G535">
    <cfRule type="cellIs" rank="0" priority="1587" equalAverage="0" operator="greaterThan" aboveAverage="0" dxfId="8" text="" percent="0" bottom="0">
      <formula>0</formula>
    </cfRule>
  </conditionalFormatting>
  <conditionalFormatting sqref="H535">
    <cfRule type="cellIs" rank="0" priority="1588" equalAverage="0" operator="greaterThan" aboveAverage="0" dxfId="8" text="" percent="0" bottom="0">
      <formula>0</formula>
    </cfRule>
  </conditionalFormatting>
  <conditionalFormatting sqref="C536">
    <cfRule type="cellIs" rank="0" priority="1589" equalAverage="0" operator="greaterThan" aboveAverage="0" dxfId="8" text="" percent="0" bottom="0">
      <formula>0</formula>
    </cfRule>
  </conditionalFormatting>
  <conditionalFormatting sqref="G536">
    <cfRule type="cellIs" rank="0" priority="1590" equalAverage="0" operator="greaterThan" aboveAverage="0" dxfId="8" text="" percent="0" bottom="0">
      <formula>0</formula>
    </cfRule>
  </conditionalFormatting>
  <conditionalFormatting sqref="H536">
    <cfRule type="cellIs" rank="0" priority="1591" equalAverage="0" operator="greaterThan" aboveAverage="0" dxfId="8" text="" percent="0" bottom="0">
      <formula>0</formula>
    </cfRule>
  </conditionalFormatting>
  <conditionalFormatting sqref="C537">
    <cfRule type="cellIs" rank="0" priority="1592" equalAverage="0" operator="greaterThan" aboveAverage="0" dxfId="8" text="" percent="0" bottom="0">
      <formula>0</formula>
    </cfRule>
  </conditionalFormatting>
  <conditionalFormatting sqref="G537">
    <cfRule type="cellIs" rank="0" priority="1593" equalAverage="0" operator="greaterThan" aboveAverage="0" dxfId="8" text="" percent="0" bottom="0">
      <formula>0</formula>
    </cfRule>
  </conditionalFormatting>
  <conditionalFormatting sqref="H537">
    <cfRule type="cellIs" rank="0" priority="1594" equalAverage="0" operator="greaterThan" aboveAverage="0" dxfId="8" text="" percent="0" bottom="0">
      <formula>0</formula>
    </cfRule>
  </conditionalFormatting>
  <conditionalFormatting sqref="C538">
    <cfRule type="cellIs" rank="0" priority="1595" equalAverage="0" operator="greaterThan" aboveAverage="0" dxfId="8" text="" percent="0" bottom="0">
      <formula>0</formula>
    </cfRule>
  </conditionalFormatting>
  <conditionalFormatting sqref="G538">
    <cfRule type="cellIs" rank="0" priority="1596" equalAverage="0" operator="greaterThan" aboveAverage="0" dxfId="8" text="" percent="0" bottom="0">
      <formula>0</formula>
    </cfRule>
  </conditionalFormatting>
  <conditionalFormatting sqref="H538">
    <cfRule type="cellIs" rank="0" priority="1597" equalAverage="0" operator="greaterThan" aboveAverage="0" dxfId="8" text="" percent="0" bottom="0">
      <formula>0</formula>
    </cfRule>
  </conditionalFormatting>
  <conditionalFormatting sqref="C539">
    <cfRule type="cellIs" rank="0" priority="1598" equalAverage="0" operator="greaterThan" aboveAverage="0" dxfId="8" text="" percent="0" bottom="0">
      <formula>0</formula>
    </cfRule>
  </conditionalFormatting>
  <conditionalFormatting sqref="G539">
    <cfRule type="cellIs" rank="0" priority="1599" equalAverage="0" operator="greaterThan" aboveAverage="0" dxfId="8" text="" percent="0" bottom="0">
      <formula>0</formula>
    </cfRule>
  </conditionalFormatting>
  <conditionalFormatting sqref="H539">
    <cfRule type="cellIs" rank="0" priority="1600" equalAverage="0" operator="greaterThan" aboveAverage="0" dxfId="8" text="" percent="0" bottom="0">
      <formula>0</formula>
    </cfRule>
  </conditionalFormatting>
  <conditionalFormatting sqref="C540">
    <cfRule type="cellIs" rank="0" priority="1601" equalAverage="0" operator="greaterThan" aboveAverage="0" dxfId="8" text="" percent="0" bottom="0">
      <formula>0</formula>
    </cfRule>
  </conditionalFormatting>
  <conditionalFormatting sqref="G540">
    <cfRule type="cellIs" rank="0" priority="1602" equalAverage="0" operator="greaterThan" aboveAverage="0" dxfId="8" text="" percent="0" bottom="0">
      <formula>0</formula>
    </cfRule>
  </conditionalFormatting>
  <conditionalFormatting sqref="H540">
    <cfRule type="cellIs" rank="0" priority="1603" equalAverage="0" operator="greaterThan" aboveAverage="0" dxfId="8" text="" percent="0" bottom="0">
      <formula>0</formula>
    </cfRule>
  </conditionalFormatting>
  <conditionalFormatting sqref="C541">
    <cfRule type="cellIs" rank="0" priority="1604" equalAverage="0" operator="greaterThan" aboveAverage="0" dxfId="8" text="" percent="0" bottom="0">
      <formula>0</formula>
    </cfRule>
  </conditionalFormatting>
  <conditionalFormatting sqref="G541">
    <cfRule type="cellIs" rank="0" priority="1605" equalAverage="0" operator="greaterThan" aboveAverage="0" dxfId="8" text="" percent="0" bottom="0">
      <formula>0</formula>
    </cfRule>
  </conditionalFormatting>
  <conditionalFormatting sqref="H541">
    <cfRule type="cellIs" rank="0" priority="1606" equalAverage="0" operator="greaterThan" aboveAverage="0" dxfId="8" text="" percent="0" bottom="0">
      <formula>0</formula>
    </cfRule>
  </conditionalFormatting>
  <conditionalFormatting sqref="C542">
    <cfRule type="cellIs" rank="0" priority="1607" equalAverage="0" operator="greaterThan" aboveAverage="0" dxfId="8" text="" percent="0" bottom="0">
      <formula>0</formula>
    </cfRule>
  </conditionalFormatting>
  <conditionalFormatting sqref="G542">
    <cfRule type="cellIs" rank="0" priority="1608" equalAverage="0" operator="greaterThan" aboveAverage="0" dxfId="8" text="" percent="0" bottom="0">
      <formula>0</formula>
    </cfRule>
  </conditionalFormatting>
  <conditionalFormatting sqref="H542">
    <cfRule type="cellIs" rank="0" priority="1609" equalAverage="0" operator="greaterThan" aboveAverage="0" dxfId="8" text="" percent="0" bottom="0">
      <formula>0</formula>
    </cfRule>
  </conditionalFormatting>
  <conditionalFormatting sqref="C543">
    <cfRule type="cellIs" rank="0" priority="1610" equalAverage="0" operator="greaterThan" aboveAverage="0" dxfId="8" text="" percent="0" bottom="0">
      <formula>0</formula>
    </cfRule>
  </conditionalFormatting>
  <conditionalFormatting sqref="G543">
    <cfRule type="cellIs" rank="0" priority="1611" equalAverage="0" operator="greaterThan" aboveAverage="0" dxfId="8" text="" percent="0" bottom="0">
      <formula>0</formula>
    </cfRule>
  </conditionalFormatting>
  <conditionalFormatting sqref="H543">
    <cfRule type="cellIs" rank="0" priority="1612" equalAverage="0" operator="greaterThan" aboveAverage="0" dxfId="8" text="" percent="0" bottom="0">
      <formula>0</formula>
    </cfRule>
  </conditionalFormatting>
  <conditionalFormatting sqref="C544">
    <cfRule type="cellIs" rank="0" priority="1613" equalAverage="0" operator="greaterThan" aboveAverage="0" dxfId="8" text="" percent="0" bottom="0">
      <formula>0</formula>
    </cfRule>
  </conditionalFormatting>
  <conditionalFormatting sqref="G544">
    <cfRule type="cellIs" rank="0" priority="1614" equalAverage="0" operator="greaterThan" aboveAverage="0" dxfId="8" text="" percent="0" bottom="0">
      <formula>0</formula>
    </cfRule>
  </conditionalFormatting>
  <conditionalFormatting sqref="H544">
    <cfRule type="cellIs" rank="0" priority="1615" equalAverage="0" operator="greaterThan" aboveAverage="0" dxfId="8" text="" percent="0" bottom="0">
      <formula>0</formula>
    </cfRule>
  </conditionalFormatting>
  <conditionalFormatting sqref="C545">
    <cfRule type="cellIs" rank="0" priority="1616" equalAverage="0" operator="greaterThan" aboveAverage="0" dxfId="8" text="" percent="0" bottom="0">
      <formula>0</formula>
    </cfRule>
  </conditionalFormatting>
  <conditionalFormatting sqref="G545">
    <cfRule type="cellIs" rank="0" priority="1617" equalAverage="0" operator="greaterThan" aboveAverage="0" dxfId="8" text="" percent="0" bottom="0">
      <formula>0</formula>
    </cfRule>
  </conditionalFormatting>
  <conditionalFormatting sqref="H545">
    <cfRule type="cellIs" rank="0" priority="1618" equalAverage="0" operator="greaterThan" aboveAverage="0" dxfId="8" text="" percent="0" bottom="0">
      <formula>0</formula>
    </cfRule>
  </conditionalFormatting>
  <conditionalFormatting sqref="C546">
    <cfRule type="cellIs" rank="0" priority="1619" equalAverage="0" operator="greaterThan" aboveAverage="0" dxfId="8" text="" percent="0" bottom="0">
      <formula>0</formula>
    </cfRule>
  </conditionalFormatting>
  <conditionalFormatting sqref="G546">
    <cfRule type="cellIs" rank="0" priority="1620" equalAverage="0" operator="greaterThan" aboveAverage="0" dxfId="8" text="" percent="0" bottom="0">
      <formula>0</formula>
    </cfRule>
  </conditionalFormatting>
  <conditionalFormatting sqref="H546">
    <cfRule type="cellIs" rank="0" priority="1621" equalAverage="0" operator="greaterThan" aboveAverage="0" dxfId="8" text="" percent="0" bottom="0">
      <formula>0</formula>
    </cfRule>
  </conditionalFormatting>
  <conditionalFormatting sqref="C547">
    <cfRule type="cellIs" rank="0" priority="1622" equalAverage="0" operator="greaterThan" aboveAverage="0" dxfId="8" text="" percent="0" bottom="0">
      <formula>0</formula>
    </cfRule>
  </conditionalFormatting>
  <conditionalFormatting sqref="G547">
    <cfRule type="cellIs" rank="0" priority="1623" equalAverage="0" operator="greaterThan" aboveAverage="0" dxfId="8" text="" percent="0" bottom="0">
      <formula>0</formula>
    </cfRule>
  </conditionalFormatting>
  <conditionalFormatting sqref="H547">
    <cfRule type="cellIs" rank="0" priority="1624" equalAverage="0" operator="greaterThan" aboveAverage="0" dxfId="8" text="" percent="0" bottom="0">
      <formula>0</formula>
    </cfRule>
  </conditionalFormatting>
  <conditionalFormatting sqref="C548">
    <cfRule type="cellIs" rank="0" priority="1625" equalAverage="0" operator="greaterThan" aboveAverage="0" dxfId="8" text="" percent="0" bottom="0">
      <formula>0</formula>
    </cfRule>
  </conditionalFormatting>
  <conditionalFormatting sqref="G548">
    <cfRule type="cellIs" rank="0" priority="1626" equalAverage="0" operator="greaterThan" aboveAverage="0" dxfId="8" text="" percent="0" bottom="0">
      <formula>0</formula>
    </cfRule>
  </conditionalFormatting>
  <conditionalFormatting sqref="H548">
    <cfRule type="cellIs" rank="0" priority="1627" equalAverage="0" operator="greaterThan" aboveAverage="0" dxfId="8" text="" percent="0" bottom="0">
      <formula>0</formula>
    </cfRule>
  </conditionalFormatting>
  <conditionalFormatting sqref="C549">
    <cfRule type="cellIs" rank="0" priority="1628" equalAverage="0" operator="greaterThan" aboveAverage="0" dxfId="8" text="" percent="0" bottom="0">
      <formula>0</formula>
    </cfRule>
  </conditionalFormatting>
  <conditionalFormatting sqref="G549">
    <cfRule type="cellIs" rank="0" priority="1629" equalAverage="0" operator="greaterThan" aboveAverage="0" dxfId="8" text="" percent="0" bottom="0">
      <formula>0</formula>
    </cfRule>
  </conditionalFormatting>
  <conditionalFormatting sqref="H549">
    <cfRule type="cellIs" rank="0" priority="1630" equalAverage="0" operator="greaterThan" aboveAverage="0" dxfId="8" text="" percent="0" bottom="0">
      <formula>0</formula>
    </cfRule>
  </conditionalFormatting>
  <conditionalFormatting sqref="C550">
    <cfRule type="cellIs" rank="0" priority="1631" equalAverage="0" operator="greaterThan" aboveAverage="0" dxfId="8" text="" percent="0" bottom="0">
      <formula>0</formula>
    </cfRule>
  </conditionalFormatting>
  <conditionalFormatting sqref="G550">
    <cfRule type="cellIs" rank="0" priority="1632" equalAverage="0" operator="greaterThan" aboveAverage="0" dxfId="8" text="" percent="0" bottom="0">
      <formula>0</formula>
    </cfRule>
  </conditionalFormatting>
  <conditionalFormatting sqref="H550">
    <cfRule type="cellIs" rank="0" priority="1633" equalAverage="0" operator="greaterThan" aboveAverage="0" dxfId="8" text="" percent="0" bottom="0">
      <formula>0</formula>
    </cfRule>
  </conditionalFormatting>
  <conditionalFormatting sqref="C551">
    <cfRule type="cellIs" rank="0" priority="1634" equalAverage="0" operator="greaterThan" aboveAverage="0" dxfId="8" text="" percent="0" bottom="0">
      <formula>0</formula>
    </cfRule>
  </conditionalFormatting>
  <conditionalFormatting sqref="G551">
    <cfRule type="cellIs" rank="0" priority="1635" equalAverage="0" operator="greaterThan" aboveAverage="0" dxfId="8" text="" percent="0" bottom="0">
      <formula>0</formula>
    </cfRule>
  </conditionalFormatting>
  <conditionalFormatting sqref="H551">
    <cfRule type="cellIs" rank="0" priority="1636" equalAverage="0" operator="greaterThan" aboveAverage="0" dxfId="8" text="" percent="0" bottom="0">
      <formula>0</formula>
    </cfRule>
  </conditionalFormatting>
  <conditionalFormatting sqref="C552">
    <cfRule type="cellIs" rank="0" priority="1637" equalAverage="0" operator="greaterThan" aboveAverage="0" dxfId="8" text="" percent="0" bottom="0">
      <formula>0</formula>
    </cfRule>
  </conditionalFormatting>
  <conditionalFormatting sqref="G552">
    <cfRule type="cellIs" rank="0" priority="1638" equalAverage="0" operator="greaterThan" aboveAverage="0" dxfId="8" text="" percent="0" bottom="0">
      <formula>0</formula>
    </cfRule>
  </conditionalFormatting>
  <conditionalFormatting sqref="H552">
    <cfRule type="cellIs" rank="0" priority="1639" equalAverage="0" operator="greaterThan" aboveAverage="0" dxfId="8" text="" percent="0" bottom="0">
      <formula>0</formula>
    </cfRule>
  </conditionalFormatting>
  <conditionalFormatting sqref="C553">
    <cfRule type="cellIs" rank="0" priority="1640" equalAverage="0" operator="greaterThan" aboveAverage="0" dxfId="8" text="" percent="0" bottom="0">
      <formula>0</formula>
    </cfRule>
  </conditionalFormatting>
  <conditionalFormatting sqref="G553">
    <cfRule type="cellIs" rank="0" priority="1641" equalAverage="0" operator="greaterThan" aboveAverage="0" dxfId="8" text="" percent="0" bottom="0">
      <formula>0</formula>
    </cfRule>
  </conditionalFormatting>
  <conditionalFormatting sqref="H553">
    <cfRule type="cellIs" rank="0" priority="1642" equalAverage="0" operator="greaterThan" aboveAverage="0" dxfId="8" text="" percent="0" bottom="0">
      <formula>0</formula>
    </cfRule>
  </conditionalFormatting>
  <conditionalFormatting sqref="C554">
    <cfRule type="cellIs" rank="0" priority="1643" equalAverage="0" operator="greaterThan" aboveAverage="0" dxfId="8" text="" percent="0" bottom="0">
      <formula>0</formula>
    </cfRule>
  </conditionalFormatting>
  <conditionalFormatting sqref="G554">
    <cfRule type="cellIs" rank="0" priority="1644" equalAverage="0" operator="greaterThan" aboveAverage="0" dxfId="8" text="" percent="0" bottom="0">
      <formula>0</formula>
    </cfRule>
  </conditionalFormatting>
  <conditionalFormatting sqref="H554">
    <cfRule type="cellIs" rank="0" priority="1645" equalAverage="0" operator="greaterThan" aboveAverage="0" dxfId="8" text="" percent="0" bottom="0">
      <formula>0</formula>
    </cfRule>
  </conditionalFormatting>
  <conditionalFormatting sqref="C555">
    <cfRule type="cellIs" rank="0" priority="1646" equalAverage="0" operator="greaterThan" aboveAverage="0" dxfId="8" text="" percent="0" bottom="0">
      <formula>0</formula>
    </cfRule>
  </conditionalFormatting>
  <conditionalFormatting sqref="G555">
    <cfRule type="cellIs" rank="0" priority="1647" equalAverage="0" operator="greaterThan" aboveAverage="0" dxfId="8" text="" percent="0" bottom="0">
      <formula>0</formula>
    </cfRule>
  </conditionalFormatting>
  <conditionalFormatting sqref="H555">
    <cfRule type="cellIs" rank="0" priority="1648" equalAverage="0" operator="greaterThan" aboveAverage="0" dxfId="8" text="" percent="0" bottom="0">
      <formula>0</formula>
    </cfRule>
  </conditionalFormatting>
  <conditionalFormatting sqref="C556">
    <cfRule type="cellIs" rank="0" priority="1649" equalAverage="0" operator="greaterThan" aboveAverage="0" dxfId="8" text="" percent="0" bottom="0">
      <formula>0</formula>
    </cfRule>
  </conditionalFormatting>
  <conditionalFormatting sqref="G556">
    <cfRule type="cellIs" rank="0" priority="1650" equalAverage="0" operator="greaterThan" aboveAverage="0" dxfId="8" text="" percent="0" bottom="0">
      <formula>0</formula>
    </cfRule>
  </conditionalFormatting>
  <conditionalFormatting sqref="H556">
    <cfRule type="cellIs" rank="0" priority="1651" equalAverage="0" operator="greaterThan" aboveAverage="0" dxfId="8" text="" percent="0" bottom="0">
      <formula>0</formula>
    </cfRule>
  </conditionalFormatting>
  <conditionalFormatting sqref="C557">
    <cfRule type="cellIs" rank="0" priority="1652" equalAverage="0" operator="greaterThan" aboveAverage="0" dxfId="8" text="" percent="0" bottom="0">
      <formula>0</formula>
    </cfRule>
  </conditionalFormatting>
  <conditionalFormatting sqref="G557">
    <cfRule type="cellIs" rank="0" priority="1653" equalAverage="0" operator="greaterThan" aboveAverage="0" dxfId="8" text="" percent="0" bottom="0">
      <formula>0</formula>
    </cfRule>
  </conditionalFormatting>
  <conditionalFormatting sqref="H557">
    <cfRule type="cellIs" rank="0" priority="1654" equalAverage="0" operator="greaterThan" aboveAverage="0" dxfId="8" text="" percent="0" bottom="0">
      <formula>0</formula>
    </cfRule>
  </conditionalFormatting>
  <conditionalFormatting sqref="C558">
    <cfRule type="cellIs" rank="0" priority="1655" equalAverage="0" operator="greaterThan" aboveAverage="0" dxfId="8" text="" percent="0" bottom="0">
      <formula>0</formula>
    </cfRule>
  </conditionalFormatting>
  <conditionalFormatting sqref="G558">
    <cfRule type="cellIs" rank="0" priority="1656" equalAverage="0" operator="greaterThan" aboveAverage="0" dxfId="8" text="" percent="0" bottom="0">
      <formula>0</formula>
    </cfRule>
  </conditionalFormatting>
  <conditionalFormatting sqref="H558">
    <cfRule type="cellIs" rank="0" priority="1657" equalAverage="0" operator="greaterThan" aboveAverage="0" dxfId="8" text="" percent="0" bottom="0">
      <formula>0</formula>
    </cfRule>
  </conditionalFormatting>
  <conditionalFormatting sqref="C559">
    <cfRule type="cellIs" rank="0" priority="1658" equalAverage="0" operator="greaterThan" aboveAverage="0" dxfId="8" text="" percent="0" bottom="0">
      <formula>0</formula>
    </cfRule>
  </conditionalFormatting>
  <conditionalFormatting sqref="G559">
    <cfRule type="cellIs" rank="0" priority="1659" equalAverage="0" operator="greaterThan" aboveAverage="0" dxfId="8" text="" percent="0" bottom="0">
      <formula>0</formula>
    </cfRule>
  </conditionalFormatting>
  <conditionalFormatting sqref="H559">
    <cfRule type="cellIs" rank="0" priority="1660" equalAverage="0" operator="greaterThan" aboveAverage="0" dxfId="8" text="" percent="0" bottom="0">
      <formula>0</formula>
    </cfRule>
  </conditionalFormatting>
  <conditionalFormatting sqref="C560">
    <cfRule type="cellIs" rank="0" priority="1661" equalAverage="0" operator="greaterThan" aboveAverage="0" dxfId="8" text="" percent="0" bottom="0">
      <formula>0</formula>
    </cfRule>
  </conditionalFormatting>
  <conditionalFormatting sqref="G560">
    <cfRule type="cellIs" rank="0" priority="1662" equalAverage="0" operator="greaterThan" aboveAverage="0" dxfId="8" text="" percent="0" bottom="0">
      <formula>0</formula>
    </cfRule>
  </conditionalFormatting>
  <conditionalFormatting sqref="H560">
    <cfRule type="cellIs" rank="0" priority="1663" equalAverage="0" operator="greaterThan" aboveAverage="0" dxfId="8" text="" percent="0" bottom="0">
      <formula>0</formula>
    </cfRule>
  </conditionalFormatting>
  <conditionalFormatting sqref="C561">
    <cfRule type="cellIs" rank="0" priority="1664" equalAverage="0" operator="greaterThan" aboveAverage="0" dxfId="8" text="" percent="0" bottom="0">
      <formula>0</formula>
    </cfRule>
  </conditionalFormatting>
  <conditionalFormatting sqref="G561">
    <cfRule type="cellIs" rank="0" priority="1665" equalAverage="0" operator="greaterThan" aboveAverage="0" dxfId="8" text="" percent="0" bottom="0">
      <formula>0</formula>
    </cfRule>
  </conditionalFormatting>
  <conditionalFormatting sqref="H561">
    <cfRule type="cellIs" rank="0" priority="1666" equalAverage="0" operator="greaterThan" aboveAverage="0" dxfId="8" text="" percent="0" bottom="0">
      <formula>0</formula>
    </cfRule>
  </conditionalFormatting>
  <conditionalFormatting sqref="C562">
    <cfRule type="cellIs" rank="0" priority="1667" equalAverage="0" operator="greaterThan" aboveAverage="0" dxfId="8" text="" percent="0" bottom="0">
      <formula>0</formula>
    </cfRule>
  </conditionalFormatting>
  <conditionalFormatting sqref="G562">
    <cfRule type="cellIs" rank="0" priority="1668" equalAverage="0" operator="greaterThan" aboveAverage="0" dxfId="8" text="" percent="0" bottom="0">
      <formula>0</formula>
    </cfRule>
  </conditionalFormatting>
  <conditionalFormatting sqref="H562">
    <cfRule type="cellIs" rank="0" priority="1669" equalAverage="0" operator="greaterThan" aboveAverage="0" dxfId="8" text="" percent="0" bottom="0">
      <formula>0</formula>
    </cfRule>
  </conditionalFormatting>
  <conditionalFormatting sqref="C563">
    <cfRule type="cellIs" rank="0" priority="1670" equalAverage="0" operator="greaterThan" aboveAverage="0" dxfId="8" text="" percent="0" bottom="0">
      <formula>0</formula>
    </cfRule>
  </conditionalFormatting>
  <conditionalFormatting sqref="G563">
    <cfRule type="cellIs" rank="0" priority="1671" equalAverage="0" operator="greaterThan" aboveAverage="0" dxfId="8" text="" percent="0" bottom="0">
      <formula>0</formula>
    </cfRule>
  </conditionalFormatting>
  <conditionalFormatting sqref="H563">
    <cfRule type="cellIs" rank="0" priority="1672" equalAverage="0" operator="greaterThan" aboveAverage="0" dxfId="8" text="" percent="0" bottom="0">
      <formula>0</formula>
    </cfRule>
  </conditionalFormatting>
  <conditionalFormatting sqref="C564">
    <cfRule type="cellIs" rank="0" priority="1673" equalAverage="0" operator="greaterThan" aboveAverage="0" dxfId="8" text="" percent="0" bottom="0">
      <formula>0</formula>
    </cfRule>
  </conditionalFormatting>
  <conditionalFormatting sqref="G564">
    <cfRule type="cellIs" rank="0" priority="1674" equalAverage="0" operator="greaterThan" aboveAverage="0" dxfId="8" text="" percent="0" bottom="0">
      <formula>0</formula>
    </cfRule>
  </conditionalFormatting>
  <conditionalFormatting sqref="H564">
    <cfRule type="cellIs" rank="0" priority="1675" equalAverage="0" operator="greaterThan" aboveAverage="0" dxfId="8" text="" percent="0" bottom="0">
      <formula>0</formula>
    </cfRule>
  </conditionalFormatting>
  <conditionalFormatting sqref="C565">
    <cfRule type="cellIs" rank="0" priority="1676" equalAverage="0" operator="greaterThan" aboveAverage="0" dxfId="8" text="" percent="0" bottom="0">
      <formula>0</formula>
    </cfRule>
  </conditionalFormatting>
  <conditionalFormatting sqref="G565">
    <cfRule type="cellIs" rank="0" priority="1677" equalAverage="0" operator="greaterThan" aboveAverage="0" dxfId="8" text="" percent="0" bottom="0">
      <formula>0</formula>
    </cfRule>
  </conditionalFormatting>
  <conditionalFormatting sqref="H565">
    <cfRule type="cellIs" rank="0" priority="1678" equalAverage="0" operator="greaterThan" aboveAverage="0" dxfId="8" text="" percent="0" bottom="0">
      <formula>0</formula>
    </cfRule>
  </conditionalFormatting>
  <conditionalFormatting sqref="C566">
    <cfRule type="cellIs" rank="0" priority="1679" equalAverage="0" operator="greaterThan" aboveAverage="0" dxfId="8" text="" percent="0" bottom="0">
      <formula>0</formula>
    </cfRule>
  </conditionalFormatting>
  <conditionalFormatting sqref="G566">
    <cfRule type="cellIs" rank="0" priority="1680" equalAverage="0" operator="greaterThan" aboveAverage="0" dxfId="8" text="" percent="0" bottom="0">
      <formula>0</formula>
    </cfRule>
  </conditionalFormatting>
  <conditionalFormatting sqref="H566">
    <cfRule type="cellIs" rank="0" priority="1681" equalAverage="0" operator="greaterThan" aboveAverage="0" dxfId="8" text="" percent="0" bottom="0">
      <formula>0</formula>
    </cfRule>
  </conditionalFormatting>
  <conditionalFormatting sqref="C567">
    <cfRule type="cellIs" rank="0" priority="1682" equalAverage="0" operator="greaterThan" aboveAverage="0" dxfId="8" text="" percent="0" bottom="0">
      <formula>0</formula>
    </cfRule>
  </conditionalFormatting>
  <conditionalFormatting sqref="G567">
    <cfRule type="cellIs" rank="0" priority="1683" equalAverage="0" operator="greaterThan" aboveAverage="0" dxfId="8" text="" percent="0" bottom="0">
      <formula>0</formula>
    </cfRule>
  </conditionalFormatting>
  <conditionalFormatting sqref="H567">
    <cfRule type="cellIs" rank="0" priority="1684" equalAverage="0" operator="greaterThan" aboveAverage="0" dxfId="8" text="" percent="0" bottom="0">
      <formula>0</formula>
    </cfRule>
  </conditionalFormatting>
  <conditionalFormatting sqref="C568">
    <cfRule type="cellIs" rank="0" priority="1685" equalAverage="0" operator="greaterThan" aboveAverage="0" dxfId="8" text="" percent="0" bottom="0">
      <formula>0</formula>
    </cfRule>
  </conditionalFormatting>
  <conditionalFormatting sqref="G568">
    <cfRule type="cellIs" rank="0" priority="1686" equalAverage="0" operator="greaterThan" aboveAverage="0" dxfId="8" text="" percent="0" bottom="0">
      <formula>0</formula>
    </cfRule>
  </conditionalFormatting>
  <conditionalFormatting sqref="H568">
    <cfRule type="cellIs" rank="0" priority="1687" equalAverage="0" operator="greaterThan" aboveAverage="0" dxfId="8" text="" percent="0" bottom="0">
      <formula>0</formula>
    </cfRule>
  </conditionalFormatting>
  <conditionalFormatting sqref="C569">
    <cfRule type="cellIs" rank="0" priority="1688" equalAverage="0" operator="greaterThan" aboveAverage="0" dxfId="8" text="" percent="0" bottom="0">
      <formula>0</formula>
    </cfRule>
  </conditionalFormatting>
  <conditionalFormatting sqref="G569">
    <cfRule type="cellIs" rank="0" priority="1689" equalAverage="0" operator="greaterThan" aboveAverage="0" dxfId="8" text="" percent="0" bottom="0">
      <formula>0</formula>
    </cfRule>
  </conditionalFormatting>
  <conditionalFormatting sqref="H569">
    <cfRule type="cellIs" rank="0" priority="1690" equalAverage="0" operator="greaterThan" aboveAverage="0" dxfId="8" text="" percent="0" bottom="0">
      <formula>0</formula>
    </cfRule>
  </conditionalFormatting>
  <conditionalFormatting sqref="C570">
    <cfRule type="cellIs" rank="0" priority="1691" equalAverage="0" operator="greaterThan" aboveAverage="0" dxfId="8" text="" percent="0" bottom="0">
      <formula>0</formula>
    </cfRule>
  </conditionalFormatting>
  <conditionalFormatting sqref="G570">
    <cfRule type="cellIs" rank="0" priority="1692" equalAverage="0" operator="greaterThan" aboveAverage="0" dxfId="8" text="" percent="0" bottom="0">
      <formula>0</formula>
    </cfRule>
  </conditionalFormatting>
  <conditionalFormatting sqref="H570">
    <cfRule type="cellIs" rank="0" priority="1693" equalAverage="0" operator="greaterThan" aboveAverage="0" dxfId="8" text="" percent="0" bottom="0">
      <formula>0</formula>
    </cfRule>
  </conditionalFormatting>
  <conditionalFormatting sqref="C571">
    <cfRule type="cellIs" rank="0" priority="1694" equalAverage="0" operator="greaterThan" aboveAverage="0" dxfId="8" text="" percent="0" bottom="0">
      <formula>0</formula>
    </cfRule>
  </conditionalFormatting>
  <conditionalFormatting sqref="G571">
    <cfRule type="cellIs" rank="0" priority="1695" equalAverage="0" operator="greaterThan" aboveAverage="0" dxfId="8" text="" percent="0" bottom="0">
      <formula>0</formula>
    </cfRule>
  </conditionalFormatting>
  <conditionalFormatting sqref="H571">
    <cfRule type="cellIs" rank="0" priority="1696" equalAverage="0" operator="greaterThan" aboveAverage="0" dxfId="8" text="" percent="0" bottom="0">
      <formula>0</formula>
    </cfRule>
  </conditionalFormatting>
  <conditionalFormatting sqref="C572">
    <cfRule type="cellIs" rank="0" priority="1697" equalAverage="0" operator="greaterThan" aboveAverage="0" dxfId="8" text="" percent="0" bottom="0">
      <formula>0</formula>
    </cfRule>
  </conditionalFormatting>
  <conditionalFormatting sqref="G572">
    <cfRule type="cellIs" rank="0" priority="1698" equalAverage="0" operator="greaterThan" aboveAverage="0" dxfId="8" text="" percent="0" bottom="0">
      <formula>0</formula>
    </cfRule>
  </conditionalFormatting>
  <conditionalFormatting sqref="H572">
    <cfRule type="cellIs" rank="0" priority="1699" equalAverage="0" operator="greaterThan" aboveAverage="0" dxfId="8" text="" percent="0" bottom="0">
      <formula>0</formula>
    </cfRule>
  </conditionalFormatting>
  <conditionalFormatting sqref="C573">
    <cfRule type="cellIs" rank="0" priority="1700" equalAverage="0" operator="greaterThan" aboveAverage="0" dxfId="8" text="" percent="0" bottom="0">
      <formula>0</formula>
    </cfRule>
  </conditionalFormatting>
  <conditionalFormatting sqref="G573">
    <cfRule type="cellIs" rank="0" priority="1701" equalAverage="0" operator="greaterThan" aboveAverage="0" dxfId="8" text="" percent="0" bottom="0">
      <formula>0</formula>
    </cfRule>
  </conditionalFormatting>
  <conditionalFormatting sqref="H573">
    <cfRule type="cellIs" rank="0" priority="1702" equalAverage="0" operator="greaterThan" aboveAverage="0" dxfId="8" text="" percent="0" bottom="0">
      <formula>0</formula>
    </cfRule>
  </conditionalFormatting>
  <conditionalFormatting sqref="C574">
    <cfRule type="cellIs" rank="0" priority="1703" equalAverage="0" operator="greaterThan" aboveAverage="0" dxfId="8" text="" percent="0" bottom="0">
      <formula>0</formula>
    </cfRule>
  </conditionalFormatting>
  <conditionalFormatting sqref="G574">
    <cfRule type="cellIs" rank="0" priority="1704" equalAverage="0" operator="greaterThan" aboveAverage="0" dxfId="8" text="" percent="0" bottom="0">
      <formula>0</formula>
    </cfRule>
  </conditionalFormatting>
  <conditionalFormatting sqref="H574">
    <cfRule type="cellIs" rank="0" priority="1705" equalAverage="0" operator="greaterThan" aboveAverage="0" dxfId="8" text="" percent="0" bottom="0">
      <formula>0</formula>
    </cfRule>
  </conditionalFormatting>
  <conditionalFormatting sqref="C575">
    <cfRule type="cellIs" rank="0" priority="1706" equalAverage="0" operator="greaterThan" aboveAverage="0" dxfId="8" text="" percent="0" bottom="0">
      <formula>0</formula>
    </cfRule>
  </conditionalFormatting>
  <conditionalFormatting sqref="G575">
    <cfRule type="cellIs" rank="0" priority="1707" equalAverage="0" operator="greaterThan" aboveAverage="0" dxfId="8" text="" percent="0" bottom="0">
      <formula>0</formula>
    </cfRule>
  </conditionalFormatting>
  <conditionalFormatting sqref="H575">
    <cfRule type="cellIs" rank="0" priority="1708" equalAverage="0" operator="greaterThan" aboveAverage="0" dxfId="8" text="" percent="0" bottom="0">
      <formula>0</formula>
    </cfRule>
  </conditionalFormatting>
  <conditionalFormatting sqref="C576">
    <cfRule type="cellIs" rank="0" priority="1709" equalAverage="0" operator="greaterThan" aboveAverage="0" dxfId="8" text="" percent="0" bottom="0">
      <formula>0</formula>
    </cfRule>
  </conditionalFormatting>
  <conditionalFormatting sqref="G576">
    <cfRule type="cellIs" rank="0" priority="1710" equalAverage="0" operator="greaterThan" aboveAverage="0" dxfId="8" text="" percent="0" bottom="0">
      <formula>0</formula>
    </cfRule>
  </conditionalFormatting>
  <conditionalFormatting sqref="H576">
    <cfRule type="cellIs" rank="0" priority="1711" equalAverage="0" operator="greaterThan" aboveAverage="0" dxfId="8" text="" percent="0" bottom="0">
      <formula>0</formula>
    </cfRule>
  </conditionalFormatting>
  <conditionalFormatting sqref="C577">
    <cfRule type="cellIs" rank="0" priority="1712" equalAverage="0" operator="greaterThan" aboveAverage="0" dxfId="8" text="" percent="0" bottom="0">
      <formula>0</formula>
    </cfRule>
  </conditionalFormatting>
  <conditionalFormatting sqref="G577">
    <cfRule type="cellIs" rank="0" priority="1713" equalAverage="0" operator="greaterThan" aboveAverage="0" dxfId="8" text="" percent="0" bottom="0">
      <formula>0</formula>
    </cfRule>
  </conditionalFormatting>
  <conditionalFormatting sqref="H577">
    <cfRule type="cellIs" rank="0" priority="1714" equalAverage="0" operator="greaterThan" aboveAverage="0" dxfId="8" text="" percent="0" bottom="0">
      <formula>0</formula>
    </cfRule>
  </conditionalFormatting>
  <conditionalFormatting sqref="C578">
    <cfRule type="cellIs" rank="0" priority="1715" equalAverage="0" operator="greaterThan" aboveAverage="0" dxfId="8" text="" percent="0" bottom="0">
      <formula>0</formula>
    </cfRule>
  </conditionalFormatting>
  <conditionalFormatting sqref="G578">
    <cfRule type="cellIs" rank="0" priority="1716" equalAverage="0" operator="greaterThan" aboveAverage="0" dxfId="8" text="" percent="0" bottom="0">
      <formula>0</formula>
    </cfRule>
  </conditionalFormatting>
  <conditionalFormatting sqref="H578">
    <cfRule type="cellIs" rank="0" priority="1717" equalAverage="0" operator="greaterThan" aboveAverage="0" dxfId="8" text="" percent="0" bottom="0">
      <formula>0</formula>
    </cfRule>
  </conditionalFormatting>
  <conditionalFormatting sqref="C579">
    <cfRule type="cellIs" rank="0" priority="1718" equalAverage="0" operator="greaterThan" aboveAverage="0" dxfId="8" text="" percent="0" bottom="0">
      <formula>0</formula>
    </cfRule>
  </conditionalFormatting>
  <conditionalFormatting sqref="G579">
    <cfRule type="cellIs" rank="0" priority="1719" equalAverage="0" operator="greaterThan" aboveAverage="0" dxfId="8" text="" percent="0" bottom="0">
      <formula>0</formula>
    </cfRule>
  </conditionalFormatting>
  <conditionalFormatting sqref="H579">
    <cfRule type="cellIs" rank="0" priority="1720" equalAverage="0" operator="greaterThan" aboveAverage="0" dxfId="8" text="" percent="0" bottom="0">
      <formula>0</formula>
    </cfRule>
  </conditionalFormatting>
  <conditionalFormatting sqref="C580">
    <cfRule type="cellIs" rank="0" priority="1721" equalAverage="0" operator="greaterThan" aboveAverage="0" dxfId="8" text="" percent="0" bottom="0">
      <formula>0</formula>
    </cfRule>
  </conditionalFormatting>
  <conditionalFormatting sqref="G580">
    <cfRule type="cellIs" rank="0" priority="1722" equalAverage="0" operator="greaterThan" aboveAverage="0" dxfId="8" text="" percent="0" bottom="0">
      <formula>0</formula>
    </cfRule>
  </conditionalFormatting>
  <conditionalFormatting sqref="H580">
    <cfRule type="cellIs" rank="0" priority="1723" equalAverage="0" operator="greaterThan" aboveAverage="0" dxfId="8" text="" percent="0" bottom="0">
      <formula>0</formula>
    </cfRule>
  </conditionalFormatting>
  <conditionalFormatting sqref="C581">
    <cfRule type="cellIs" rank="0" priority="1724" equalAverage="0" operator="greaterThan" aboveAverage="0" dxfId="8" text="" percent="0" bottom="0">
      <formula>0</formula>
    </cfRule>
  </conditionalFormatting>
  <conditionalFormatting sqref="G581">
    <cfRule type="cellIs" rank="0" priority="1725" equalAverage="0" operator="greaterThan" aboveAverage="0" dxfId="8" text="" percent="0" bottom="0">
      <formula>0</formula>
    </cfRule>
  </conditionalFormatting>
  <conditionalFormatting sqref="H581">
    <cfRule type="cellIs" rank="0" priority="1726" equalAverage="0" operator="greaterThan" aboveAverage="0" dxfId="8" text="" percent="0" bottom="0">
      <formula>0</formula>
    </cfRule>
  </conditionalFormatting>
  <conditionalFormatting sqref="C582">
    <cfRule type="cellIs" rank="0" priority="1727" equalAverage="0" operator="greaterThan" aboveAverage="0" dxfId="8" text="" percent="0" bottom="0">
      <formula>0</formula>
    </cfRule>
  </conditionalFormatting>
  <conditionalFormatting sqref="G582">
    <cfRule type="cellIs" rank="0" priority="1728" equalAverage="0" operator="greaterThan" aboveAverage="0" dxfId="8" text="" percent="0" bottom="0">
      <formula>0</formula>
    </cfRule>
  </conditionalFormatting>
  <conditionalFormatting sqref="H582">
    <cfRule type="cellIs" rank="0" priority="1729" equalAverage="0" operator="greaterThan" aboveAverage="0" dxfId="8" text="" percent="0" bottom="0">
      <formula>0</formula>
    </cfRule>
  </conditionalFormatting>
  <conditionalFormatting sqref="C583">
    <cfRule type="cellIs" rank="0" priority="1730" equalAverage="0" operator="greaterThan" aboveAverage="0" dxfId="8" text="" percent="0" bottom="0">
      <formula>0</formula>
    </cfRule>
  </conditionalFormatting>
  <conditionalFormatting sqref="G583">
    <cfRule type="cellIs" rank="0" priority="1731" equalAverage="0" operator="greaterThan" aboveAverage="0" dxfId="8" text="" percent="0" bottom="0">
      <formula>0</formula>
    </cfRule>
  </conditionalFormatting>
  <conditionalFormatting sqref="H583">
    <cfRule type="cellIs" rank="0" priority="1732" equalAverage="0" operator="greaterThan" aboveAverage="0" dxfId="8" text="" percent="0" bottom="0">
      <formula>0</formula>
    </cfRule>
  </conditionalFormatting>
  <conditionalFormatting sqref="C584">
    <cfRule type="cellIs" rank="0" priority="1733" equalAverage="0" operator="greaterThan" aboveAverage="0" dxfId="8" text="" percent="0" bottom="0">
      <formula>0</formula>
    </cfRule>
  </conditionalFormatting>
  <conditionalFormatting sqref="G584">
    <cfRule type="cellIs" rank="0" priority="1734" equalAverage="0" operator="greaterThan" aboveAverage="0" dxfId="8" text="" percent="0" bottom="0">
      <formula>0</formula>
    </cfRule>
  </conditionalFormatting>
  <conditionalFormatting sqref="H584">
    <cfRule type="cellIs" rank="0" priority="1735" equalAverage="0" operator="greaterThan" aboveAverage="0" dxfId="8" text="" percent="0" bottom="0">
      <formula>0</formula>
    </cfRule>
  </conditionalFormatting>
  <conditionalFormatting sqref="C585">
    <cfRule type="cellIs" rank="0" priority="1736" equalAverage="0" operator="greaterThan" aboveAverage="0" dxfId="8" text="" percent="0" bottom="0">
      <formula>0</formula>
    </cfRule>
  </conditionalFormatting>
  <conditionalFormatting sqref="G585">
    <cfRule type="cellIs" rank="0" priority="1737" equalAverage="0" operator="greaterThan" aboveAverage="0" dxfId="8" text="" percent="0" bottom="0">
      <formula>0</formula>
    </cfRule>
  </conditionalFormatting>
  <conditionalFormatting sqref="H585">
    <cfRule type="cellIs" rank="0" priority="1738" equalAverage="0" operator="greaterThan" aboveAverage="0" dxfId="8" text="" percent="0" bottom="0">
      <formula>0</formula>
    </cfRule>
  </conditionalFormatting>
  <conditionalFormatting sqref="C586">
    <cfRule type="cellIs" rank="0" priority="1739" equalAverage="0" operator="greaterThan" aboveAverage="0" dxfId="8" text="" percent="0" bottom="0">
      <formula>0</formula>
    </cfRule>
  </conditionalFormatting>
  <conditionalFormatting sqref="G586">
    <cfRule type="cellIs" rank="0" priority="1740" equalAverage="0" operator="greaterThan" aboveAverage="0" dxfId="8" text="" percent="0" bottom="0">
      <formula>0</formula>
    </cfRule>
  </conditionalFormatting>
  <conditionalFormatting sqref="H586">
    <cfRule type="cellIs" rank="0" priority="1741" equalAverage="0" operator="greaterThan" aboveAverage="0" dxfId="8" text="" percent="0" bottom="0">
      <formula>0</formula>
    </cfRule>
  </conditionalFormatting>
  <conditionalFormatting sqref="C587">
    <cfRule type="cellIs" rank="0" priority="1742" equalAverage="0" operator="greaterThan" aboveAverage="0" dxfId="8" text="" percent="0" bottom="0">
      <formula>0</formula>
    </cfRule>
  </conditionalFormatting>
  <conditionalFormatting sqref="G587">
    <cfRule type="cellIs" rank="0" priority="1743" equalAverage="0" operator="greaterThan" aboveAverage="0" dxfId="8" text="" percent="0" bottom="0">
      <formula>0</formula>
    </cfRule>
  </conditionalFormatting>
  <conditionalFormatting sqref="H587">
    <cfRule type="cellIs" rank="0" priority="1744" equalAverage="0" operator="greaterThan" aboveAverage="0" dxfId="8" text="" percent="0" bottom="0">
      <formula>0</formula>
    </cfRule>
  </conditionalFormatting>
  <conditionalFormatting sqref="C588">
    <cfRule type="cellIs" rank="0" priority="1745" equalAverage="0" operator="greaterThan" aboveAverage="0" dxfId="8" text="" percent="0" bottom="0">
      <formula>0</formula>
    </cfRule>
  </conditionalFormatting>
  <conditionalFormatting sqref="G588">
    <cfRule type="cellIs" rank="0" priority="1746" equalAverage="0" operator="greaterThan" aboveAverage="0" dxfId="8" text="" percent="0" bottom="0">
      <formula>0</formula>
    </cfRule>
  </conditionalFormatting>
  <conditionalFormatting sqref="H588">
    <cfRule type="cellIs" rank="0" priority="1747" equalAverage="0" operator="greaterThan" aboveAverage="0" dxfId="8" text="" percent="0" bottom="0">
      <formula>0</formula>
    </cfRule>
  </conditionalFormatting>
  <conditionalFormatting sqref="C589">
    <cfRule type="cellIs" rank="0" priority="1748" equalAverage="0" operator="greaterThan" aboveAverage="0" dxfId="8" text="" percent="0" bottom="0">
      <formula>0</formula>
    </cfRule>
  </conditionalFormatting>
  <conditionalFormatting sqref="G589">
    <cfRule type="cellIs" rank="0" priority="1749" equalAverage="0" operator="greaterThan" aboveAverage="0" dxfId="8" text="" percent="0" bottom="0">
      <formula>0</formula>
    </cfRule>
  </conditionalFormatting>
  <conditionalFormatting sqref="H589">
    <cfRule type="cellIs" rank="0" priority="1750" equalAverage="0" operator="greaterThan" aboveAverage="0" dxfId="8" text="" percent="0" bottom="0">
      <formula>0</formula>
    </cfRule>
  </conditionalFormatting>
  <conditionalFormatting sqref="C590">
    <cfRule type="cellIs" rank="0" priority="1751" equalAverage="0" operator="greaterThan" aboveAverage="0" dxfId="8" text="" percent="0" bottom="0">
      <formula>0</formula>
    </cfRule>
  </conditionalFormatting>
  <conditionalFormatting sqref="G590">
    <cfRule type="cellIs" rank="0" priority="1752" equalAverage="0" operator="greaterThan" aboveAverage="0" dxfId="8" text="" percent="0" bottom="0">
      <formula>0</formula>
    </cfRule>
  </conditionalFormatting>
  <conditionalFormatting sqref="H590">
    <cfRule type="cellIs" rank="0" priority="1753" equalAverage="0" operator="greaterThan" aboveAverage="0" dxfId="8" text="" percent="0" bottom="0">
      <formula>0</formula>
    </cfRule>
  </conditionalFormatting>
  <conditionalFormatting sqref="C591">
    <cfRule type="cellIs" rank="0" priority="1754" equalAverage="0" operator="greaterThan" aboveAverage="0" dxfId="8" text="" percent="0" bottom="0">
      <formula>0</formula>
    </cfRule>
  </conditionalFormatting>
  <conditionalFormatting sqref="G591">
    <cfRule type="cellIs" rank="0" priority="1755" equalAverage="0" operator="greaterThan" aboveAverage="0" dxfId="8" text="" percent="0" bottom="0">
      <formula>0</formula>
    </cfRule>
  </conditionalFormatting>
  <conditionalFormatting sqref="H591">
    <cfRule type="cellIs" rank="0" priority="1756" equalAverage="0" operator="greaterThan" aboveAverage="0" dxfId="8" text="" percent="0" bottom="0">
      <formula>0</formula>
    </cfRule>
  </conditionalFormatting>
  <conditionalFormatting sqref="C592">
    <cfRule type="cellIs" rank="0" priority="1757" equalAverage="0" operator="greaterThan" aboveAverage="0" dxfId="8" text="" percent="0" bottom="0">
      <formula>0</formula>
    </cfRule>
  </conditionalFormatting>
  <conditionalFormatting sqref="G592">
    <cfRule type="cellIs" rank="0" priority="1758" equalAverage="0" operator="greaterThan" aboveAverage="0" dxfId="8" text="" percent="0" bottom="0">
      <formula>0</formula>
    </cfRule>
  </conditionalFormatting>
  <conditionalFormatting sqref="H592">
    <cfRule type="cellIs" rank="0" priority="1759" equalAverage="0" operator="greaterThan" aboveAverage="0" dxfId="8" text="" percent="0" bottom="0">
      <formula>0</formula>
    </cfRule>
  </conditionalFormatting>
  <conditionalFormatting sqref="C593">
    <cfRule type="cellIs" rank="0" priority="1760" equalAverage="0" operator="greaterThan" aboveAverage="0" dxfId="8" text="" percent="0" bottom="0">
      <formula>0</formula>
    </cfRule>
  </conditionalFormatting>
  <conditionalFormatting sqref="G593">
    <cfRule type="cellIs" rank="0" priority="1761" equalAverage="0" operator="greaterThan" aboveAverage="0" dxfId="8" text="" percent="0" bottom="0">
      <formula>0</formula>
    </cfRule>
  </conditionalFormatting>
  <conditionalFormatting sqref="H593">
    <cfRule type="cellIs" rank="0" priority="1762" equalAverage="0" operator="greaterThan" aboveAverage="0" dxfId="8" text="" percent="0" bottom="0">
      <formula>0</formula>
    </cfRule>
  </conditionalFormatting>
  <conditionalFormatting sqref="C594">
    <cfRule type="cellIs" rank="0" priority="1763" equalAverage="0" operator="greaterThan" aboveAverage="0" dxfId="8" text="" percent="0" bottom="0">
      <formula>0</formula>
    </cfRule>
  </conditionalFormatting>
  <conditionalFormatting sqref="G594">
    <cfRule type="cellIs" rank="0" priority="1764" equalAverage="0" operator="greaterThan" aboveAverage="0" dxfId="8" text="" percent="0" bottom="0">
      <formula>0</formula>
    </cfRule>
  </conditionalFormatting>
  <conditionalFormatting sqref="H594">
    <cfRule type="cellIs" rank="0" priority="1765" equalAverage="0" operator="greaterThan" aboveAverage="0" dxfId="8" text="" percent="0" bottom="0">
      <formula>0</formula>
    </cfRule>
  </conditionalFormatting>
  <conditionalFormatting sqref="C595">
    <cfRule type="cellIs" rank="0" priority="1766" equalAverage="0" operator="greaterThan" aboveAverage="0" dxfId="8" text="" percent="0" bottom="0">
      <formula>0</formula>
    </cfRule>
  </conditionalFormatting>
  <conditionalFormatting sqref="G595">
    <cfRule type="cellIs" rank="0" priority="1767" equalAverage="0" operator="greaterThan" aboveAverage="0" dxfId="8" text="" percent="0" bottom="0">
      <formula>0</formula>
    </cfRule>
  </conditionalFormatting>
  <conditionalFormatting sqref="H595">
    <cfRule type="cellIs" rank="0" priority="1768" equalAverage="0" operator="greaterThan" aboveAverage="0" dxfId="8" text="" percent="0" bottom="0">
      <formula>0</formula>
    </cfRule>
  </conditionalFormatting>
  <conditionalFormatting sqref="C596">
    <cfRule type="cellIs" rank="0" priority="1769" equalAverage="0" operator="greaterThan" aboveAverage="0" dxfId="8" text="" percent="0" bottom="0">
      <formula>0</formula>
    </cfRule>
  </conditionalFormatting>
  <conditionalFormatting sqref="G596">
    <cfRule type="cellIs" rank="0" priority="1770" equalAverage="0" operator="greaterThan" aboveAverage="0" dxfId="8" text="" percent="0" bottom="0">
      <formula>0</formula>
    </cfRule>
  </conditionalFormatting>
  <conditionalFormatting sqref="H596">
    <cfRule type="cellIs" rank="0" priority="1771" equalAverage="0" operator="greaterThan" aboveAverage="0" dxfId="8" text="" percent="0" bottom="0">
      <formula>0</formula>
    </cfRule>
  </conditionalFormatting>
  <conditionalFormatting sqref="C597">
    <cfRule type="cellIs" rank="0" priority="1772" equalAverage="0" operator="greaterThan" aboveAverage="0" dxfId="8" text="" percent="0" bottom="0">
      <formula>0</formula>
    </cfRule>
  </conditionalFormatting>
  <conditionalFormatting sqref="G597">
    <cfRule type="cellIs" rank="0" priority="1773" equalAverage="0" operator="greaterThan" aboveAverage="0" dxfId="8" text="" percent="0" bottom="0">
      <formula>0</formula>
    </cfRule>
  </conditionalFormatting>
  <conditionalFormatting sqref="H597">
    <cfRule type="cellIs" rank="0" priority="1774" equalAverage="0" operator="greaterThan" aboveAverage="0" dxfId="8" text="" percent="0" bottom="0">
      <formula>0</formula>
    </cfRule>
  </conditionalFormatting>
  <conditionalFormatting sqref="C598">
    <cfRule type="cellIs" rank="0" priority="1775" equalAverage="0" operator="greaterThan" aboveAverage="0" dxfId="8" text="" percent="0" bottom="0">
      <formula>0</formula>
    </cfRule>
  </conditionalFormatting>
  <conditionalFormatting sqref="G598">
    <cfRule type="cellIs" rank="0" priority="1776" equalAverage="0" operator="greaterThan" aboveAverage="0" dxfId="8" text="" percent="0" bottom="0">
      <formula>0</formula>
    </cfRule>
  </conditionalFormatting>
  <conditionalFormatting sqref="H598">
    <cfRule type="cellIs" rank="0" priority="1777" equalAverage="0" operator="greaterThan" aboveAverage="0" dxfId="8" text="" percent="0" bottom="0">
      <formula>0</formula>
    </cfRule>
  </conditionalFormatting>
  <conditionalFormatting sqref="C599">
    <cfRule type="cellIs" rank="0" priority="1778" equalAverage="0" operator="greaterThan" aboveAverage="0" dxfId="8" text="" percent="0" bottom="0">
      <formula>0</formula>
    </cfRule>
  </conditionalFormatting>
  <conditionalFormatting sqref="G599">
    <cfRule type="cellIs" rank="0" priority="1779" equalAverage="0" operator="greaterThan" aboveAverage="0" dxfId="8" text="" percent="0" bottom="0">
      <formula>0</formula>
    </cfRule>
  </conditionalFormatting>
  <conditionalFormatting sqref="H599">
    <cfRule type="cellIs" rank="0" priority="1780" equalAverage="0" operator="greaterThan" aboveAverage="0" dxfId="8" text="" percent="0" bottom="0">
      <formula>0</formula>
    </cfRule>
  </conditionalFormatting>
  <conditionalFormatting sqref="C600">
    <cfRule type="cellIs" rank="0" priority="1781" equalAverage="0" operator="greaterThan" aboveAverage="0" dxfId="8" text="" percent="0" bottom="0">
      <formula>0</formula>
    </cfRule>
  </conditionalFormatting>
  <conditionalFormatting sqref="G600">
    <cfRule type="cellIs" rank="0" priority="1782" equalAverage="0" operator="greaterThan" aboveAverage="0" dxfId="8" text="" percent="0" bottom="0">
      <formula>0</formula>
    </cfRule>
  </conditionalFormatting>
  <conditionalFormatting sqref="H600">
    <cfRule type="cellIs" rank="0" priority="1783" equalAverage="0" operator="greaterThan" aboveAverage="0" dxfId="8" text="" percent="0" bottom="0">
      <formula>0</formula>
    </cfRule>
  </conditionalFormatting>
  <conditionalFormatting sqref="C601">
    <cfRule type="cellIs" rank="0" priority="1784" equalAverage="0" operator="greaterThan" aboveAverage="0" dxfId="8" text="" percent="0" bottom="0">
      <formula>0</formula>
    </cfRule>
  </conditionalFormatting>
  <conditionalFormatting sqref="G601">
    <cfRule type="cellIs" rank="0" priority="1785" equalAverage="0" operator="greaterThan" aboveAverage="0" dxfId="8" text="" percent="0" bottom="0">
      <formula>0</formula>
    </cfRule>
  </conditionalFormatting>
  <conditionalFormatting sqref="H601">
    <cfRule type="cellIs" rank="0" priority="1786" equalAverage="0" operator="greaterThan" aboveAverage="0" dxfId="8" text="" percent="0" bottom="0">
      <formula>0</formula>
    </cfRule>
  </conditionalFormatting>
  <conditionalFormatting sqref="C602">
    <cfRule type="cellIs" rank="0" priority="1787" equalAverage="0" operator="greaterThan" aboveAverage="0" dxfId="8" text="" percent="0" bottom="0">
      <formula>0</formula>
    </cfRule>
  </conditionalFormatting>
  <conditionalFormatting sqref="G602">
    <cfRule type="cellIs" rank="0" priority="1788" equalAverage="0" operator="greaterThan" aboveAverage="0" dxfId="8" text="" percent="0" bottom="0">
      <formula>0</formula>
    </cfRule>
  </conditionalFormatting>
  <conditionalFormatting sqref="H602">
    <cfRule type="cellIs" rank="0" priority="1789" equalAverage="0" operator="greaterThan" aboveAverage="0" dxfId="8" text="" percent="0" bottom="0">
      <formula>0</formula>
    </cfRule>
  </conditionalFormatting>
  <conditionalFormatting sqref="C603">
    <cfRule type="cellIs" rank="0" priority="1790" equalAverage="0" operator="greaterThan" aboveAverage="0" dxfId="8" text="" percent="0" bottom="0">
      <formula>0</formula>
    </cfRule>
  </conditionalFormatting>
  <conditionalFormatting sqref="G603">
    <cfRule type="cellIs" rank="0" priority="1791" equalAverage="0" operator="greaterThan" aboveAverage="0" dxfId="8" text="" percent="0" bottom="0">
      <formula>0</formula>
    </cfRule>
  </conditionalFormatting>
  <conditionalFormatting sqref="H603">
    <cfRule type="cellIs" rank="0" priority="1792" equalAverage="0" operator="greaterThan" aboveAverage="0" dxfId="8" text="" percent="0" bottom="0">
      <formula>0</formula>
    </cfRule>
  </conditionalFormatting>
  <conditionalFormatting sqref="C604">
    <cfRule type="cellIs" rank="0" priority="1793" equalAverage="0" operator="greaterThan" aboveAverage="0" dxfId="8" text="" percent="0" bottom="0">
      <formula>0</formula>
    </cfRule>
  </conditionalFormatting>
  <conditionalFormatting sqref="G604">
    <cfRule type="cellIs" rank="0" priority="1794" equalAverage="0" operator="greaterThan" aboveAverage="0" dxfId="8" text="" percent="0" bottom="0">
      <formula>0</formula>
    </cfRule>
  </conditionalFormatting>
  <conditionalFormatting sqref="H604">
    <cfRule type="cellIs" rank="0" priority="1795" equalAverage="0" operator="greaterThan" aboveAverage="0" dxfId="8" text="" percent="0" bottom="0">
      <formula>0</formula>
    </cfRule>
  </conditionalFormatting>
  <conditionalFormatting sqref="C605">
    <cfRule type="cellIs" rank="0" priority="1796" equalAverage="0" operator="greaterThan" aboveAverage="0" dxfId="8" text="" percent="0" bottom="0">
      <formula>0</formula>
    </cfRule>
  </conditionalFormatting>
  <conditionalFormatting sqref="G605">
    <cfRule type="cellIs" rank="0" priority="1797" equalAverage="0" operator="greaterThan" aboveAverage="0" dxfId="8" text="" percent="0" bottom="0">
      <formula>0</formula>
    </cfRule>
  </conditionalFormatting>
  <conditionalFormatting sqref="H605">
    <cfRule type="cellIs" rank="0" priority="1798" equalAverage="0" operator="greaterThan" aboveAverage="0" dxfId="8" text="" percent="0" bottom="0">
      <formula>0</formula>
    </cfRule>
  </conditionalFormatting>
  <conditionalFormatting sqref="C606">
    <cfRule type="cellIs" rank="0" priority="1799" equalAverage="0" operator="greaterThan" aboveAverage="0" dxfId="8" text="" percent="0" bottom="0">
      <formula>0</formula>
    </cfRule>
  </conditionalFormatting>
  <conditionalFormatting sqref="G606">
    <cfRule type="cellIs" rank="0" priority="1800" equalAverage="0" operator="greaterThan" aboveAverage="0" dxfId="8" text="" percent="0" bottom="0">
      <formula>0</formula>
    </cfRule>
  </conditionalFormatting>
  <conditionalFormatting sqref="H606">
    <cfRule type="cellIs" rank="0" priority="1801" equalAverage="0" operator="greaterThan" aboveAverage="0" dxfId="8" text="" percent="0" bottom="0">
      <formula>0</formula>
    </cfRule>
  </conditionalFormatting>
  <conditionalFormatting sqref="C607">
    <cfRule type="cellIs" rank="0" priority="1802" equalAverage="0" operator="greaterThan" aboveAverage="0" dxfId="8" text="" percent="0" bottom="0">
      <formula>0</formula>
    </cfRule>
  </conditionalFormatting>
  <conditionalFormatting sqref="G607">
    <cfRule type="cellIs" rank="0" priority="1803" equalAverage="0" operator="greaterThan" aboveAverage="0" dxfId="8" text="" percent="0" bottom="0">
      <formula>0</formula>
    </cfRule>
  </conditionalFormatting>
  <conditionalFormatting sqref="H607">
    <cfRule type="cellIs" rank="0" priority="1804" equalAverage="0" operator="greaterThan" aboveAverage="0" dxfId="8" text="" percent="0" bottom="0">
      <formula>0</formula>
    </cfRule>
  </conditionalFormatting>
  <conditionalFormatting sqref="C608">
    <cfRule type="cellIs" rank="0" priority="1805" equalAverage="0" operator="greaterThan" aboveAverage="0" dxfId="8" text="" percent="0" bottom="0">
      <formula>0</formula>
    </cfRule>
  </conditionalFormatting>
  <conditionalFormatting sqref="G608">
    <cfRule type="cellIs" rank="0" priority="1806" equalAverage="0" operator="greaterThan" aboveAverage="0" dxfId="8" text="" percent="0" bottom="0">
      <formula>0</formula>
    </cfRule>
  </conditionalFormatting>
  <conditionalFormatting sqref="H608">
    <cfRule type="cellIs" rank="0" priority="1807" equalAverage="0" operator="greaterThan" aboveAverage="0" dxfId="8" text="" percent="0" bottom="0">
      <formula>0</formula>
    </cfRule>
  </conditionalFormatting>
  <conditionalFormatting sqref="C609">
    <cfRule type="cellIs" rank="0" priority="1808" equalAverage="0" operator="greaterThan" aboveAverage="0" dxfId="8" text="" percent="0" bottom="0">
      <formula>0</formula>
    </cfRule>
  </conditionalFormatting>
  <conditionalFormatting sqref="G609">
    <cfRule type="cellIs" rank="0" priority="1809" equalAverage="0" operator="greaterThan" aboveAverage="0" dxfId="8" text="" percent="0" bottom="0">
      <formula>0</formula>
    </cfRule>
  </conditionalFormatting>
  <conditionalFormatting sqref="H609">
    <cfRule type="cellIs" rank="0" priority="1810" equalAverage="0" operator="greaterThan" aboveAverage="0" dxfId="8" text="" percent="0" bottom="0">
      <formula>0</formula>
    </cfRule>
  </conditionalFormatting>
  <conditionalFormatting sqref="C610">
    <cfRule type="cellIs" rank="0" priority="1811" equalAverage="0" operator="greaterThan" aboveAverage="0" dxfId="8" text="" percent="0" bottom="0">
      <formula>0</formula>
    </cfRule>
  </conditionalFormatting>
  <conditionalFormatting sqref="G610">
    <cfRule type="cellIs" rank="0" priority="1812" equalAverage="0" operator="greaterThan" aboveAverage="0" dxfId="8" text="" percent="0" bottom="0">
      <formula>0</formula>
    </cfRule>
  </conditionalFormatting>
  <conditionalFormatting sqref="H610">
    <cfRule type="cellIs" rank="0" priority="1813" equalAverage="0" operator="greaterThan" aboveAverage="0" dxfId="8" text="" percent="0" bottom="0">
      <formula>0</formula>
    </cfRule>
  </conditionalFormatting>
  <conditionalFormatting sqref="C611">
    <cfRule type="cellIs" rank="0" priority="1814" equalAverage="0" operator="greaterThan" aboveAverage="0" dxfId="8" text="" percent="0" bottom="0">
      <formula>0</formula>
    </cfRule>
  </conditionalFormatting>
  <conditionalFormatting sqref="G611">
    <cfRule type="cellIs" rank="0" priority="1815" equalAverage="0" operator="greaterThan" aboveAverage="0" dxfId="8" text="" percent="0" bottom="0">
      <formula>0</formula>
    </cfRule>
  </conditionalFormatting>
  <conditionalFormatting sqref="H611">
    <cfRule type="cellIs" rank="0" priority="1816" equalAverage="0" operator="greaterThan" aboveAverage="0" dxfId="8" text="" percent="0" bottom="0">
      <formula>0</formula>
    </cfRule>
  </conditionalFormatting>
  <conditionalFormatting sqref="C612">
    <cfRule type="cellIs" rank="0" priority="1817" equalAverage="0" operator="greaterThan" aboveAverage="0" dxfId="8" text="" percent="0" bottom="0">
      <formula>0</formula>
    </cfRule>
  </conditionalFormatting>
  <conditionalFormatting sqref="G612">
    <cfRule type="cellIs" rank="0" priority="1818" equalAverage="0" operator="greaterThan" aboveAverage="0" dxfId="8" text="" percent="0" bottom="0">
      <formula>0</formula>
    </cfRule>
  </conditionalFormatting>
  <conditionalFormatting sqref="H612">
    <cfRule type="cellIs" rank="0" priority="1819" equalAverage="0" operator="greaterThan" aboveAverage="0" dxfId="8" text="" percent="0" bottom="0">
      <formula>0</formula>
    </cfRule>
  </conditionalFormatting>
  <conditionalFormatting sqref="C613">
    <cfRule type="cellIs" rank="0" priority="1820" equalAverage="0" operator="greaterThan" aboveAverage="0" dxfId="8" text="" percent="0" bottom="0">
      <formula>0</formula>
    </cfRule>
  </conditionalFormatting>
  <conditionalFormatting sqref="G613">
    <cfRule type="cellIs" rank="0" priority="1821" equalAverage="0" operator="greaterThan" aboveAverage="0" dxfId="8" text="" percent="0" bottom="0">
      <formula>0</formula>
    </cfRule>
  </conditionalFormatting>
  <conditionalFormatting sqref="H613">
    <cfRule type="cellIs" rank="0" priority="1822" equalAverage="0" operator="greaterThan" aboveAverage="0" dxfId="8" text="" percent="0" bottom="0">
      <formula>0</formula>
    </cfRule>
  </conditionalFormatting>
  <conditionalFormatting sqref="C614">
    <cfRule type="cellIs" rank="0" priority="1823" equalAverage="0" operator="greaterThan" aboveAverage="0" dxfId="8" text="" percent="0" bottom="0">
      <formula>0</formula>
    </cfRule>
  </conditionalFormatting>
  <conditionalFormatting sqref="G614">
    <cfRule type="cellIs" rank="0" priority="1824" equalAverage="0" operator="greaterThan" aboveAverage="0" dxfId="8" text="" percent="0" bottom="0">
      <formula>0</formula>
    </cfRule>
  </conditionalFormatting>
  <conditionalFormatting sqref="H614">
    <cfRule type="cellIs" rank="0" priority="1825" equalAverage="0" operator="greaterThan" aboveAverage="0" dxfId="8" text="" percent="0" bottom="0">
      <formula>0</formula>
    </cfRule>
  </conditionalFormatting>
  <conditionalFormatting sqref="C615">
    <cfRule type="cellIs" rank="0" priority="1826" equalAverage="0" operator="greaterThan" aboveAverage="0" dxfId="8" text="" percent="0" bottom="0">
      <formula>0</formula>
    </cfRule>
  </conditionalFormatting>
  <conditionalFormatting sqref="G615">
    <cfRule type="cellIs" rank="0" priority="1827" equalAverage="0" operator="greaterThan" aboveAverage="0" dxfId="8" text="" percent="0" bottom="0">
      <formula>0</formula>
    </cfRule>
  </conditionalFormatting>
  <conditionalFormatting sqref="H615">
    <cfRule type="cellIs" rank="0" priority="1828" equalAverage="0" operator="greaterThan" aboveAverage="0" dxfId="8" text="" percent="0" bottom="0">
      <formula>0</formula>
    </cfRule>
  </conditionalFormatting>
  <conditionalFormatting sqref="C616">
    <cfRule type="cellIs" rank="0" priority="1829" equalAverage="0" operator="greaterThan" aboveAverage="0" dxfId="8" text="" percent="0" bottom="0">
      <formula>0</formula>
    </cfRule>
  </conditionalFormatting>
  <conditionalFormatting sqref="G616">
    <cfRule type="cellIs" rank="0" priority="1830" equalAverage="0" operator="greaterThan" aboveAverage="0" dxfId="8" text="" percent="0" bottom="0">
      <formula>0</formula>
    </cfRule>
  </conditionalFormatting>
  <conditionalFormatting sqref="H616">
    <cfRule type="cellIs" rank="0" priority="1831" equalAverage="0" operator="greaterThan" aboveAverage="0" dxfId="8" text="" percent="0" bottom="0">
      <formula>0</formula>
    </cfRule>
  </conditionalFormatting>
  <conditionalFormatting sqref="C617">
    <cfRule type="cellIs" rank="0" priority="1832" equalAverage="0" operator="greaterThan" aboveAverage="0" dxfId="8" text="" percent="0" bottom="0">
      <formula>0</formula>
    </cfRule>
  </conditionalFormatting>
  <conditionalFormatting sqref="G617">
    <cfRule type="cellIs" rank="0" priority="1833" equalAverage="0" operator="greaterThan" aboveAverage="0" dxfId="8" text="" percent="0" bottom="0">
      <formula>0</formula>
    </cfRule>
  </conditionalFormatting>
  <conditionalFormatting sqref="H617">
    <cfRule type="cellIs" rank="0" priority="1834" equalAverage="0" operator="greaterThan" aboveAverage="0" dxfId="8" text="" percent="0" bottom="0">
      <formula>0</formula>
    </cfRule>
  </conditionalFormatting>
  <conditionalFormatting sqref="C618">
    <cfRule type="cellIs" rank="0" priority="1835" equalAverage="0" operator="greaterThan" aboveAverage="0" dxfId="8" text="" percent="0" bottom="0">
      <formula>0</formula>
    </cfRule>
  </conditionalFormatting>
  <conditionalFormatting sqref="G618">
    <cfRule type="cellIs" rank="0" priority="1836" equalAverage="0" operator="greaterThan" aboveAverage="0" dxfId="8" text="" percent="0" bottom="0">
      <formula>0</formula>
    </cfRule>
  </conditionalFormatting>
  <conditionalFormatting sqref="H618">
    <cfRule type="cellIs" rank="0" priority="1837" equalAverage="0" operator="greaterThan" aboveAverage="0" dxfId="8" text="" percent="0" bottom="0">
      <formula>0</formula>
    </cfRule>
  </conditionalFormatting>
  <conditionalFormatting sqref="C619">
    <cfRule type="cellIs" rank="0" priority="1838" equalAverage="0" operator="greaterThan" aboveAverage="0" dxfId="8" text="" percent="0" bottom="0">
      <formula>0</formula>
    </cfRule>
  </conditionalFormatting>
  <conditionalFormatting sqref="G619">
    <cfRule type="cellIs" rank="0" priority="1839" equalAverage="0" operator="greaterThan" aboveAverage="0" dxfId="8" text="" percent="0" bottom="0">
      <formula>0</formula>
    </cfRule>
  </conditionalFormatting>
  <conditionalFormatting sqref="H619">
    <cfRule type="cellIs" rank="0" priority="1840" equalAverage="0" operator="greaterThan" aboveAverage="0" dxfId="8" text="" percent="0" bottom="0">
      <formula>0</formula>
    </cfRule>
  </conditionalFormatting>
  <conditionalFormatting sqref="C620">
    <cfRule type="cellIs" rank="0" priority="1841" equalAverage="0" operator="greaterThan" aboveAverage="0" dxfId="8" text="" percent="0" bottom="0">
      <formula>0</formula>
    </cfRule>
  </conditionalFormatting>
  <conditionalFormatting sqref="G620">
    <cfRule type="cellIs" rank="0" priority="1842" equalAverage="0" operator="greaterThan" aboveAverage="0" dxfId="8" text="" percent="0" bottom="0">
      <formula>0</formula>
    </cfRule>
  </conditionalFormatting>
  <conditionalFormatting sqref="H620">
    <cfRule type="cellIs" rank="0" priority="1843" equalAverage="0" operator="greaterThan" aboveAverage="0" dxfId="8" text="" percent="0" bottom="0">
      <formula>0</formula>
    </cfRule>
  </conditionalFormatting>
  <conditionalFormatting sqref="C621">
    <cfRule type="cellIs" rank="0" priority="1844" equalAverage="0" operator="greaterThan" aboveAverage="0" dxfId="8" text="" percent="0" bottom="0">
      <formula>0</formula>
    </cfRule>
  </conditionalFormatting>
  <conditionalFormatting sqref="G621">
    <cfRule type="cellIs" rank="0" priority="1845" equalAverage="0" operator="greaterThan" aboveAverage="0" dxfId="8" text="" percent="0" bottom="0">
      <formula>0</formula>
    </cfRule>
  </conditionalFormatting>
  <conditionalFormatting sqref="H621">
    <cfRule type="cellIs" rank="0" priority="1846" equalAverage="0" operator="greaterThan" aboveAverage="0" dxfId="8" text="" percent="0" bottom="0">
      <formula>0</formula>
    </cfRule>
  </conditionalFormatting>
  <conditionalFormatting sqref="C622">
    <cfRule type="cellIs" rank="0" priority="1847" equalAverage="0" operator="greaterThan" aboveAverage="0" dxfId="8" text="" percent="0" bottom="0">
      <formula>0</formula>
    </cfRule>
  </conditionalFormatting>
  <conditionalFormatting sqref="G622">
    <cfRule type="cellIs" rank="0" priority="1848" equalAverage="0" operator="greaterThan" aboveAverage="0" dxfId="8" text="" percent="0" bottom="0">
      <formula>0</formula>
    </cfRule>
  </conditionalFormatting>
  <conditionalFormatting sqref="H622">
    <cfRule type="cellIs" rank="0" priority="1849" equalAverage="0" operator="greaterThan" aboveAverage="0" dxfId="8" text="" percent="0" bottom="0">
      <formula>0</formula>
    </cfRule>
  </conditionalFormatting>
  <conditionalFormatting sqref="C623">
    <cfRule type="cellIs" rank="0" priority="1850" equalAverage="0" operator="greaterThan" aboveAverage="0" dxfId="8" text="" percent="0" bottom="0">
      <formula>0</formula>
    </cfRule>
  </conditionalFormatting>
  <conditionalFormatting sqref="G623">
    <cfRule type="cellIs" rank="0" priority="1851" equalAverage="0" operator="greaterThan" aboveAverage="0" dxfId="8" text="" percent="0" bottom="0">
      <formula>0</formula>
    </cfRule>
  </conditionalFormatting>
  <conditionalFormatting sqref="H623">
    <cfRule type="cellIs" rank="0" priority="1852" equalAverage="0" operator="greaterThan" aboveAverage="0" dxfId="8" text="" percent="0" bottom="0">
      <formula>0</formula>
    </cfRule>
  </conditionalFormatting>
  <conditionalFormatting sqref="C624">
    <cfRule type="cellIs" rank="0" priority="1853" equalAverage="0" operator="greaterThan" aboveAverage="0" dxfId="8" text="" percent="0" bottom="0">
      <formula>0</formula>
    </cfRule>
  </conditionalFormatting>
  <conditionalFormatting sqref="G624">
    <cfRule type="cellIs" rank="0" priority="1854" equalAverage="0" operator="greaterThan" aboveAverage="0" dxfId="8" text="" percent="0" bottom="0">
      <formula>0</formula>
    </cfRule>
  </conditionalFormatting>
  <conditionalFormatting sqref="H624">
    <cfRule type="cellIs" rank="0" priority="1855" equalAverage="0" operator="greaterThan" aboveAverage="0" dxfId="8" text="" percent="0" bottom="0">
      <formula>0</formula>
    </cfRule>
  </conditionalFormatting>
  <conditionalFormatting sqref="C625">
    <cfRule type="cellIs" rank="0" priority="1856" equalAverage="0" operator="greaterThan" aboveAverage="0" dxfId="8" text="" percent="0" bottom="0">
      <formula>0</formula>
    </cfRule>
  </conditionalFormatting>
  <conditionalFormatting sqref="G625">
    <cfRule type="cellIs" rank="0" priority="1857" equalAverage="0" operator="greaterThan" aboveAverage="0" dxfId="8" text="" percent="0" bottom="0">
      <formula>0</formula>
    </cfRule>
  </conditionalFormatting>
  <conditionalFormatting sqref="H625">
    <cfRule type="cellIs" rank="0" priority="1858" equalAverage="0" operator="greaterThan" aboveAverage="0" dxfId="8" text="" percent="0" bottom="0">
      <formula>0</formula>
    </cfRule>
  </conditionalFormatting>
  <conditionalFormatting sqref="C626">
    <cfRule type="cellIs" rank="0" priority="1859" equalAverage="0" operator="greaterThan" aboveAverage="0" dxfId="8" text="" percent="0" bottom="0">
      <formula>0</formula>
    </cfRule>
  </conditionalFormatting>
  <conditionalFormatting sqref="G626">
    <cfRule type="cellIs" rank="0" priority="1860" equalAverage="0" operator="greaterThan" aboveAverage="0" dxfId="8" text="" percent="0" bottom="0">
      <formula>0</formula>
    </cfRule>
  </conditionalFormatting>
  <conditionalFormatting sqref="H626">
    <cfRule type="cellIs" rank="0" priority="1861" equalAverage="0" operator="greaterThan" aboveAverage="0" dxfId="8" text="" percent="0" bottom="0">
      <formula>0</formula>
    </cfRule>
  </conditionalFormatting>
  <conditionalFormatting sqref="C627">
    <cfRule type="cellIs" rank="0" priority="1862" equalAverage="0" operator="greaterThan" aboveAverage="0" dxfId="8" text="" percent="0" bottom="0">
      <formula>0</formula>
    </cfRule>
  </conditionalFormatting>
  <conditionalFormatting sqref="G627">
    <cfRule type="cellIs" rank="0" priority="1863" equalAverage="0" operator="greaterThan" aboveAverage="0" dxfId="8" text="" percent="0" bottom="0">
      <formula>0</formula>
    </cfRule>
  </conditionalFormatting>
  <conditionalFormatting sqref="H627">
    <cfRule type="cellIs" rank="0" priority="1864" equalAverage="0" operator="greaterThan" aboveAverage="0" dxfId="8" text="" percent="0" bottom="0">
      <formula>0</formula>
    </cfRule>
  </conditionalFormatting>
  <conditionalFormatting sqref="C628">
    <cfRule type="cellIs" rank="0" priority="1865" equalAverage="0" operator="greaterThan" aboveAverage="0" dxfId="8" text="" percent="0" bottom="0">
      <formula>0</formula>
    </cfRule>
  </conditionalFormatting>
  <conditionalFormatting sqref="G628">
    <cfRule type="cellIs" rank="0" priority="1866" equalAverage="0" operator="greaterThan" aboveAverage="0" dxfId="8" text="" percent="0" bottom="0">
      <formula>0</formula>
    </cfRule>
  </conditionalFormatting>
  <conditionalFormatting sqref="H628">
    <cfRule type="cellIs" rank="0" priority="1867" equalAverage="0" operator="greaterThan" aboveAverage="0" dxfId="8" text="" percent="0" bottom="0">
      <formula>0</formula>
    </cfRule>
  </conditionalFormatting>
  <conditionalFormatting sqref="C629">
    <cfRule type="cellIs" rank="0" priority="1868" equalAverage="0" operator="greaterThan" aboveAverage="0" dxfId="8" text="" percent="0" bottom="0">
      <formula>0</formula>
    </cfRule>
  </conditionalFormatting>
  <conditionalFormatting sqref="G629">
    <cfRule type="cellIs" rank="0" priority="1869" equalAverage="0" operator="greaterThan" aboveAverage="0" dxfId="8" text="" percent="0" bottom="0">
      <formula>0</formula>
    </cfRule>
  </conditionalFormatting>
  <conditionalFormatting sqref="H629">
    <cfRule type="cellIs" rank="0" priority="1870" equalAverage="0" operator="greaterThan" aboveAverage="0" dxfId="8" text="" percent="0" bottom="0">
      <formula>0</formula>
    </cfRule>
  </conditionalFormatting>
  <conditionalFormatting sqref="C630">
    <cfRule type="cellIs" rank="0" priority="1871" equalAverage="0" operator="greaterThan" aboveAverage="0" dxfId="8" text="" percent="0" bottom="0">
      <formula>0</formula>
    </cfRule>
  </conditionalFormatting>
  <conditionalFormatting sqref="G630">
    <cfRule type="cellIs" rank="0" priority="1872" equalAverage="0" operator="greaterThan" aboveAverage="0" dxfId="8" text="" percent="0" bottom="0">
      <formula>0</formula>
    </cfRule>
  </conditionalFormatting>
  <conditionalFormatting sqref="H630">
    <cfRule type="cellIs" rank="0" priority="1873" equalAverage="0" operator="greaterThan" aboveAverage="0" dxfId="8" text="" percent="0" bottom="0">
      <formula>0</formula>
    </cfRule>
  </conditionalFormatting>
  <conditionalFormatting sqref="C631">
    <cfRule type="cellIs" rank="0" priority="1874" equalAverage="0" operator="greaterThan" aboveAverage="0" dxfId="8" text="" percent="0" bottom="0">
      <formula>0</formula>
    </cfRule>
  </conditionalFormatting>
  <conditionalFormatting sqref="G631">
    <cfRule type="cellIs" rank="0" priority="1875" equalAverage="0" operator="greaterThan" aboveAverage="0" dxfId="8" text="" percent="0" bottom="0">
      <formula>0</formula>
    </cfRule>
  </conditionalFormatting>
  <conditionalFormatting sqref="H631">
    <cfRule type="cellIs" rank="0" priority="1876" equalAverage="0" operator="greaterThan" aboveAverage="0" dxfId="8" text="" percent="0" bottom="0">
      <formula>0</formula>
    </cfRule>
  </conditionalFormatting>
  <conditionalFormatting sqref="C632">
    <cfRule type="cellIs" rank="0" priority="1877" equalAverage="0" operator="greaterThan" aboveAverage="0" dxfId="8" text="" percent="0" bottom="0">
      <formula>0</formula>
    </cfRule>
  </conditionalFormatting>
  <conditionalFormatting sqref="G632">
    <cfRule type="cellIs" rank="0" priority="1878" equalAverage="0" operator="greaterThan" aboveAverage="0" dxfId="8" text="" percent="0" bottom="0">
      <formula>0</formula>
    </cfRule>
  </conditionalFormatting>
  <conditionalFormatting sqref="H632">
    <cfRule type="cellIs" rank="0" priority="1879" equalAverage="0" operator="greaterThan" aboveAverage="0" dxfId="8" text="" percent="0" bottom="0">
      <formula>0</formula>
    </cfRule>
  </conditionalFormatting>
  <conditionalFormatting sqref="C633">
    <cfRule type="cellIs" rank="0" priority="1880" equalAverage="0" operator="greaterThan" aboveAverage="0" dxfId="8" text="" percent="0" bottom="0">
      <formula>0</formula>
    </cfRule>
  </conditionalFormatting>
  <conditionalFormatting sqref="G633">
    <cfRule type="cellIs" rank="0" priority="1881" equalAverage="0" operator="greaterThan" aboveAverage="0" dxfId="8" text="" percent="0" bottom="0">
      <formula>0</formula>
    </cfRule>
  </conditionalFormatting>
  <conditionalFormatting sqref="H633">
    <cfRule type="cellIs" rank="0" priority="1882" equalAverage="0" operator="greaterThan" aboveAverage="0" dxfId="8" text="" percent="0" bottom="0">
      <formula>0</formula>
    </cfRule>
  </conditionalFormatting>
  <conditionalFormatting sqref="C634">
    <cfRule type="cellIs" rank="0" priority="1883" equalAverage="0" operator="greaterThan" aboveAverage="0" dxfId="8" text="" percent="0" bottom="0">
      <formula>0</formula>
    </cfRule>
  </conditionalFormatting>
  <conditionalFormatting sqref="G634">
    <cfRule type="cellIs" rank="0" priority="1884" equalAverage="0" operator="greaterThan" aboveAverage="0" dxfId="8" text="" percent="0" bottom="0">
      <formula>0</formula>
    </cfRule>
  </conditionalFormatting>
  <conditionalFormatting sqref="H634">
    <cfRule type="cellIs" rank="0" priority="1885" equalAverage="0" operator="greaterThan" aboveAverage="0" dxfId="8" text="" percent="0" bottom="0">
      <formula>0</formula>
    </cfRule>
  </conditionalFormatting>
  <conditionalFormatting sqref="C635">
    <cfRule type="cellIs" rank="0" priority="1886" equalAverage="0" operator="greaterThan" aboveAverage="0" dxfId="8" text="" percent="0" bottom="0">
      <formula>0</formula>
    </cfRule>
  </conditionalFormatting>
  <conditionalFormatting sqref="G635">
    <cfRule type="cellIs" rank="0" priority="1887" equalAverage="0" operator="greaterThan" aboveAverage="0" dxfId="8" text="" percent="0" bottom="0">
      <formula>0</formula>
    </cfRule>
  </conditionalFormatting>
  <conditionalFormatting sqref="H635">
    <cfRule type="cellIs" rank="0" priority="1888" equalAverage="0" operator="greaterThan" aboveAverage="0" dxfId="8" text="" percent="0" bottom="0">
      <formula>0</formula>
    </cfRule>
  </conditionalFormatting>
  <conditionalFormatting sqref="C636">
    <cfRule type="cellIs" rank="0" priority="1889" equalAverage="0" operator="greaterThan" aboveAverage="0" dxfId="8" text="" percent="0" bottom="0">
      <formula>0</formula>
    </cfRule>
  </conditionalFormatting>
  <conditionalFormatting sqref="G636">
    <cfRule type="cellIs" rank="0" priority="1890" equalAverage="0" operator="greaterThan" aboveAverage="0" dxfId="8" text="" percent="0" bottom="0">
      <formula>0</formula>
    </cfRule>
  </conditionalFormatting>
  <conditionalFormatting sqref="H636">
    <cfRule type="cellIs" rank="0" priority="1891" equalAverage="0" operator="greaterThan" aboveAverage="0" dxfId="8" text="" percent="0" bottom="0">
      <formula>0</formula>
    </cfRule>
  </conditionalFormatting>
  <conditionalFormatting sqref="C637">
    <cfRule type="cellIs" rank="0" priority="1892" equalAverage="0" operator="greaterThan" aboveAverage="0" dxfId="8" text="" percent="0" bottom="0">
      <formula>0</formula>
    </cfRule>
  </conditionalFormatting>
  <conditionalFormatting sqref="G637">
    <cfRule type="cellIs" rank="0" priority="1893" equalAverage="0" operator="greaterThan" aboveAverage="0" dxfId="8" text="" percent="0" bottom="0">
      <formula>0</formula>
    </cfRule>
  </conditionalFormatting>
  <conditionalFormatting sqref="H637">
    <cfRule type="cellIs" rank="0" priority="1894" equalAverage="0" operator="greaterThan" aboveAverage="0" dxfId="8" text="" percent="0" bottom="0">
      <formula>0</formula>
    </cfRule>
  </conditionalFormatting>
  <conditionalFormatting sqref="C638">
    <cfRule type="cellIs" rank="0" priority="1895" equalAverage="0" operator="greaterThan" aboveAverage="0" dxfId="8" text="" percent="0" bottom="0">
      <formula>0</formula>
    </cfRule>
  </conditionalFormatting>
  <conditionalFormatting sqref="G638">
    <cfRule type="cellIs" rank="0" priority="1896" equalAverage="0" operator="greaterThan" aboveAverage="0" dxfId="8" text="" percent="0" bottom="0">
      <formula>0</formula>
    </cfRule>
  </conditionalFormatting>
  <conditionalFormatting sqref="H638">
    <cfRule type="cellIs" rank="0" priority="1897" equalAverage="0" operator="greaterThan" aboveAverage="0" dxfId="8" text="" percent="0" bottom="0">
      <formula>0</formula>
    </cfRule>
  </conditionalFormatting>
  <conditionalFormatting sqref="C639">
    <cfRule type="cellIs" rank="0" priority="1898" equalAverage="0" operator="greaterThan" aboveAverage="0" dxfId="8" text="" percent="0" bottom="0">
      <formula>0</formula>
    </cfRule>
  </conditionalFormatting>
  <conditionalFormatting sqref="G639">
    <cfRule type="cellIs" rank="0" priority="1899" equalAverage="0" operator="greaterThan" aboveAverage="0" dxfId="8" text="" percent="0" bottom="0">
      <formula>0</formula>
    </cfRule>
  </conditionalFormatting>
  <conditionalFormatting sqref="H639">
    <cfRule type="cellIs" rank="0" priority="1900" equalAverage="0" operator="greaterThan" aboveAverage="0" dxfId="8" text="" percent="0" bottom="0">
      <formula>0</formula>
    </cfRule>
  </conditionalFormatting>
  <conditionalFormatting sqref="C640">
    <cfRule type="cellIs" rank="0" priority="1901" equalAverage="0" operator="greaterThan" aboveAverage="0" dxfId="8" text="" percent="0" bottom="0">
      <formula>0</formula>
    </cfRule>
  </conditionalFormatting>
  <conditionalFormatting sqref="G640">
    <cfRule type="cellIs" rank="0" priority="1902" equalAverage="0" operator="greaterThan" aboveAverage="0" dxfId="8" text="" percent="0" bottom="0">
      <formula>0</formula>
    </cfRule>
  </conditionalFormatting>
  <conditionalFormatting sqref="H640">
    <cfRule type="cellIs" rank="0" priority="1903" equalAverage="0" operator="greaterThan" aboveAverage="0" dxfId="8" text="" percent="0" bottom="0">
      <formula>0</formula>
    </cfRule>
  </conditionalFormatting>
  <conditionalFormatting sqref="C641">
    <cfRule type="cellIs" rank="0" priority="1904" equalAverage="0" operator="greaterThan" aboveAverage="0" dxfId="8" text="" percent="0" bottom="0">
      <formula>0</formula>
    </cfRule>
  </conditionalFormatting>
  <conditionalFormatting sqref="G641">
    <cfRule type="cellIs" rank="0" priority="1905" equalAverage="0" operator="greaterThan" aboveAverage="0" dxfId="8" text="" percent="0" bottom="0">
      <formula>0</formula>
    </cfRule>
  </conditionalFormatting>
  <conditionalFormatting sqref="H641">
    <cfRule type="cellIs" rank="0" priority="1906" equalAverage="0" operator="greaterThan" aboveAverage="0" dxfId="8" text="" percent="0" bottom="0">
      <formula>0</formula>
    </cfRule>
  </conditionalFormatting>
  <conditionalFormatting sqref="C642">
    <cfRule type="cellIs" rank="0" priority="1907" equalAverage="0" operator="greaterThan" aboveAverage="0" dxfId="8" text="" percent="0" bottom="0">
      <formula>0</formula>
    </cfRule>
  </conditionalFormatting>
  <conditionalFormatting sqref="G642">
    <cfRule type="cellIs" rank="0" priority="1908" equalAverage="0" operator="greaterThan" aboveAverage="0" dxfId="8" text="" percent="0" bottom="0">
      <formula>0</formula>
    </cfRule>
  </conditionalFormatting>
  <conditionalFormatting sqref="H642">
    <cfRule type="cellIs" rank="0" priority="1909" equalAverage="0" operator="greaterThan" aboveAverage="0" dxfId="8" text="" percent="0" bottom="0">
      <formula>0</formula>
    </cfRule>
  </conditionalFormatting>
  <conditionalFormatting sqref="C643">
    <cfRule type="cellIs" rank="0" priority="1910" equalAverage="0" operator="greaterThan" aboveAverage="0" dxfId="8" text="" percent="0" bottom="0">
      <formula>0</formula>
    </cfRule>
  </conditionalFormatting>
  <conditionalFormatting sqref="G643">
    <cfRule type="cellIs" rank="0" priority="1911" equalAverage="0" operator="greaterThan" aboveAverage="0" dxfId="8" text="" percent="0" bottom="0">
      <formula>0</formula>
    </cfRule>
  </conditionalFormatting>
  <conditionalFormatting sqref="H643">
    <cfRule type="cellIs" rank="0" priority="1912" equalAverage="0" operator="greaterThan" aboveAverage="0" dxfId="8" text="" percent="0" bottom="0">
      <formula>0</formula>
    </cfRule>
  </conditionalFormatting>
  <conditionalFormatting sqref="C644">
    <cfRule type="cellIs" rank="0" priority="1913" equalAverage="0" operator="greaterThan" aboveAverage="0" dxfId="8" text="" percent="0" bottom="0">
      <formula>0</formula>
    </cfRule>
  </conditionalFormatting>
  <conditionalFormatting sqref="G644">
    <cfRule type="cellIs" rank="0" priority="1914" equalAverage="0" operator="greaterThan" aboveAverage="0" dxfId="8" text="" percent="0" bottom="0">
      <formula>0</formula>
    </cfRule>
  </conditionalFormatting>
  <conditionalFormatting sqref="H644">
    <cfRule type="cellIs" rank="0" priority="1915" equalAverage="0" operator="greaterThan" aboveAverage="0" dxfId="8" text="" percent="0" bottom="0">
      <formula>0</formula>
    </cfRule>
  </conditionalFormatting>
  <conditionalFormatting sqref="C645">
    <cfRule type="cellIs" rank="0" priority="1916" equalAverage="0" operator="greaterThan" aboveAverage="0" dxfId="8" text="" percent="0" bottom="0">
      <formula>0</formula>
    </cfRule>
  </conditionalFormatting>
  <conditionalFormatting sqref="G645">
    <cfRule type="cellIs" rank="0" priority="1917" equalAverage="0" operator="greaterThan" aboveAverage="0" dxfId="8" text="" percent="0" bottom="0">
      <formula>0</formula>
    </cfRule>
  </conditionalFormatting>
  <conditionalFormatting sqref="H645">
    <cfRule type="cellIs" rank="0" priority="1918" equalAverage="0" operator="greaterThan" aboveAverage="0" dxfId="8" text="" percent="0" bottom="0">
      <formula>0</formula>
    </cfRule>
  </conditionalFormatting>
  <conditionalFormatting sqref="C646">
    <cfRule type="cellIs" rank="0" priority="1919" equalAverage="0" operator="greaterThan" aboveAverage="0" dxfId="8" text="" percent="0" bottom="0">
      <formula>0</formula>
    </cfRule>
  </conditionalFormatting>
  <conditionalFormatting sqref="G646">
    <cfRule type="cellIs" rank="0" priority="1920" equalAverage="0" operator="greaterThan" aboveAverage="0" dxfId="8" text="" percent="0" bottom="0">
      <formula>0</formula>
    </cfRule>
  </conditionalFormatting>
  <conditionalFormatting sqref="H646">
    <cfRule type="cellIs" rank="0" priority="1921" equalAverage="0" operator="greaterThan" aboveAverage="0" dxfId="8" text="" percent="0" bottom="0">
      <formula>0</formula>
    </cfRule>
  </conditionalFormatting>
  <conditionalFormatting sqref="C647">
    <cfRule type="cellIs" rank="0" priority="1922" equalAverage="0" operator="greaterThan" aboveAverage="0" dxfId="8" text="" percent="0" bottom="0">
      <formula>0</formula>
    </cfRule>
  </conditionalFormatting>
  <conditionalFormatting sqref="G647">
    <cfRule type="cellIs" rank="0" priority="1923" equalAverage="0" operator="greaterThan" aboveAverage="0" dxfId="8" text="" percent="0" bottom="0">
      <formula>0</formula>
    </cfRule>
  </conditionalFormatting>
  <conditionalFormatting sqref="H647">
    <cfRule type="cellIs" rank="0" priority="1924" equalAverage="0" operator="greaterThan" aboveAverage="0" dxfId="8" text="" percent="0" bottom="0">
      <formula>0</formula>
    </cfRule>
  </conditionalFormatting>
  <conditionalFormatting sqref="C648">
    <cfRule type="cellIs" rank="0" priority="1925" equalAverage="0" operator="greaterThan" aboveAverage="0" dxfId="8" text="" percent="0" bottom="0">
      <formula>0</formula>
    </cfRule>
  </conditionalFormatting>
  <conditionalFormatting sqref="G648">
    <cfRule type="cellIs" rank="0" priority="1926" equalAverage="0" operator="greaterThan" aboveAverage="0" dxfId="8" text="" percent="0" bottom="0">
      <formula>0</formula>
    </cfRule>
  </conditionalFormatting>
  <conditionalFormatting sqref="H648">
    <cfRule type="cellIs" rank="0" priority="1927" equalAverage="0" operator="greaterThan" aboveAverage="0" dxfId="8" text="" percent="0" bottom="0">
      <formula>0</formula>
    </cfRule>
  </conditionalFormatting>
  <conditionalFormatting sqref="C649">
    <cfRule type="cellIs" rank="0" priority="1928" equalAverage="0" operator="greaterThan" aboveAverage="0" dxfId="8" text="" percent="0" bottom="0">
      <formula>0</formula>
    </cfRule>
  </conditionalFormatting>
  <conditionalFormatting sqref="G649">
    <cfRule type="cellIs" rank="0" priority="1929" equalAverage="0" operator="greaterThan" aboveAverage="0" dxfId="8" text="" percent="0" bottom="0">
      <formula>0</formula>
    </cfRule>
  </conditionalFormatting>
  <conditionalFormatting sqref="H649">
    <cfRule type="cellIs" rank="0" priority="1930" equalAverage="0" operator="greaterThan" aboveAverage="0" dxfId="8" text="" percent="0" bottom="0">
      <formula>0</formula>
    </cfRule>
  </conditionalFormatting>
  <conditionalFormatting sqref="C650">
    <cfRule type="cellIs" rank="0" priority="1931" equalAverage="0" operator="greaterThan" aboveAverage="0" dxfId="8" text="" percent="0" bottom="0">
      <formula>0</formula>
    </cfRule>
  </conditionalFormatting>
  <conditionalFormatting sqref="G650">
    <cfRule type="cellIs" rank="0" priority="1932" equalAverage="0" operator="greaterThan" aboveAverage="0" dxfId="8" text="" percent="0" bottom="0">
      <formula>0</formula>
    </cfRule>
  </conditionalFormatting>
  <conditionalFormatting sqref="H650">
    <cfRule type="cellIs" rank="0" priority="1933" equalAverage="0" operator="greaterThan" aboveAverage="0" dxfId="8" text="" percent="0" bottom="0">
      <formula>0</formula>
    </cfRule>
  </conditionalFormatting>
  <conditionalFormatting sqref="C651">
    <cfRule type="cellIs" rank="0" priority="1934" equalAverage="0" operator="greaterThan" aboveAverage="0" dxfId="8" text="" percent="0" bottom="0">
      <formula>0</formula>
    </cfRule>
  </conditionalFormatting>
  <conditionalFormatting sqref="G651">
    <cfRule type="cellIs" rank="0" priority="1935" equalAverage="0" operator="greaterThan" aboveAverage="0" dxfId="8" text="" percent="0" bottom="0">
      <formula>0</formula>
    </cfRule>
  </conditionalFormatting>
  <conditionalFormatting sqref="H651">
    <cfRule type="cellIs" rank="0" priority="1936" equalAverage="0" operator="greaterThan" aboveAverage="0" dxfId="8" text="" percent="0" bottom="0">
      <formula>0</formula>
    </cfRule>
  </conditionalFormatting>
  <conditionalFormatting sqref="C652">
    <cfRule type="cellIs" rank="0" priority="1937" equalAverage="0" operator="greaterThan" aboveAverage="0" dxfId="8" text="" percent="0" bottom="0">
      <formula>0</formula>
    </cfRule>
  </conditionalFormatting>
  <conditionalFormatting sqref="G652">
    <cfRule type="cellIs" rank="0" priority="1938" equalAverage="0" operator="greaterThan" aboveAverage="0" dxfId="8" text="" percent="0" bottom="0">
      <formula>0</formula>
    </cfRule>
  </conditionalFormatting>
  <conditionalFormatting sqref="H652">
    <cfRule type="cellIs" rank="0" priority="1939" equalAverage="0" operator="greaterThan" aboveAverage="0" dxfId="8" text="" percent="0" bottom="0">
      <formula>0</formula>
    </cfRule>
  </conditionalFormatting>
  <conditionalFormatting sqref="C653">
    <cfRule type="cellIs" rank="0" priority="1940" equalAverage="0" operator="greaterThan" aboveAverage="0" dxfId="8" text="" percent="0" bottom="0">
      <formula>0</formula>
    </cfRule>
  </conditionalFormatting>
  <conditionalFormatting sqref="G653">
    <cfRule type="cellIs" rank="0" priority="1941" equalAverage="0" operator="greaterThan" aboveAverage="0" dxfId="8" text="" percent="0" bottom="0">
      <formula>0</formula>
    </cfRule>
  </conditionalFormatting>
  <conditionalFormatting sqref="H653">
    <cfRule type="cellIs" rank="0" priority="1942" equalAverage="0" operator="greaterThan" aboveAverage="0" dxfId="8" text="" percent="0" bottom="0">
      <formula>0</formula>
    </cfRule>
  </conditionalFormatting>
  <conditionalFormatting sqref="C654">
    <cfRule type="cellIs" rank="0" priority="1943" equalAverage="0" operator="greaterThan" aboveAverage="0" dxfId="8" text="" percent="0" bottom="0">
      <formula>0</formula>
    </cfRule>
  </conditionalFormatting>
  <conditionalFormatting sqref="G654">
    <cfRule type="cellIs" rank="0" priority="1944" equalAverage="0" operator="greaterThan" aboveAverage="0" dxfId="8" text="" percent="0" bottom="0">
      <formula>0</formula>
    </cfRule>
  </conditionalFormatting>
  <conditionalFormatting sqref="H654">
    <cfRule type="cellIs" rank="0" priority="1945" equalAverage="0" operator="greaterThan" aboveAverage="0" dxfId="8" text="" percent="0" bottom="0">
      <formula>0</formula>
    </cfRule>
  </conditionalFormatting>
  <conditionalFormatting sqref="C655">
    <cfRule type="cellIs" rank="0" priority="1946" equalAverage="0" operator="greaterThan" aboveAverage="0" dxfId="8" text="" percent="0" bottom="0">
      <formula>0</formula>
    </cfRule>
  </conditionalFormatting>
  <conditionalFormatting sqref="G655">
    <cfRule type="cellIs" rank="0" priority="1947" equalAverage="0" operator="greaterThan" aboveAverage="0" dxfId="8" text="" percent="0" bottom="0">
      <formula>0</formula>
    </cfRule>
  </conditionalFormatting>
  <conditionalFormatting sqref="H655">
    <cfRule type="cellIs" rank="0" priority="1948" equalAverage="0" operator="greaterThan" aboveAverage="0" dxfId="8" text="" percent="0" bottom="0">
      <formula>0</formula>
    </cfRule>
  </conditionalFormatting>
  <conditionalFormatting sqref="C656">
    <cfRule type="cellIs" rank="0" priority="1949" equalAverage="0" operator="greaterThan" aboveAverage="0" dxfId="8" text="" percent="0" bottom="0">
      <formula>0</formula>
    </cfRule>
  </conditionalFormatting>
  <conditionalFormatting sqref="G656">
    <cfRule type="cellIs" rank="0" priority="1950" equalAverage="0" operator="greaterThan" aboveAverage="0" dxfId="8" text="" percent="0" bottom="0">
      <formula>0</formula>
    </cfRule>
  </conditionalFormatting>
  <conditionalFormatting sqref="H656">
    <cfRule type="cellIs" rank="0" priority="1951" equalAverage="0" operator="greaterThan" aboveAverage="0" dxfId="8" text="" percent="0" bottom="0">
      <formula>0</formula>
    </cfRule>
  </conditionalFormatting>
  <conditionalFormatting sqref="C657">
    <cfRule type="cellIs" rank="0" priority="1952" equalAverage="0" operator="greaterThan" aboveAverage="0" dxfId="8" text="" percent="0" bottom="0">
      <formula>0</formula>
    </cfRule>
  </conditionalFormatting>
  <conditionalFormatting sqref="G657">
    <cfRule type="cellIs" rank="0" priority="1953" equalAverage="0" operator="greaterThan" aboveAverage="0" dxfId="8" text="" percent="0" bottom="0">
      <formula>0</formula>
    </cfRule>
  </conditionalFormatting>
  <conditionalFormatting sqref="H657">
    <cfRule type="cellIs" rank="0" priority="1954" equalAverage="0" operator="greaterThan" aboveAverage="0" dxfId="8" text="" percent="0" bottom="0">
      <formula>0</formula>
    </cfRule>
  </conditionalFormatting>
  <conditionalFormatting sqref="C658">
    <cfRule type="cellIs" rank="0" priority="1955" equalAverage="0" operator="greaterThan" aboveAverage="0" dxfId="8" text="" percent="0" bottom="0">
      <formula>0</formula>
    </cfRule>
  </conditionalFormatting>
  <conditionalFormatting sqref="G658">
    <cfRule type="cellIs" rank="0" priority="1956" equalAverage="0" operator="greaterThan" aboveAverage="0" dxfId="8" text="" percent="0" bottom="0">
      <formula>0</formula>
    </cfRule>
  </conditionalFormatting>
  <conditionalFormatting sqref="H658">
    <cfRule type="cellIs" rank="0" priority="1957" equalAverage="0" operator="greaterThan" aboveAverage="0" dxfId="8" text="" percent="0" bottom="0">
      <formula>0</formula>
    </cfRule>
  </conditionalFormatting>
  <conditionalFormatting sqref="C659">
    <cfRule type="cellIs" rank="0" priority="1958" equalAverage="0" operator="greaterThan" aboveAverage="0" dxfId="8" text="" percent="0" bottom="0">
      <formula>0</formula>
    </cfRule>
  </conditionalFormatting>
  <conditionalFormatting sqref="G659">
    <cfRule type="cellIs" rank="0" priority="1959" equalAverage="0" operator="greaterThan" aboveAverage="0" dxfId="8" text="" percent="0" bottom="0">
      <formula>0</formula>
    </cfRule>
  </conditionalFormatting>
  <conditionalFormatting sqref="H659">
    <cfRule type="cellIs" rank="0" priority="1960" equalAverage="0" operator="greaterThan" aboveAverage="0" dxfId="8" text="" percent="0" bottom="0">
      <formula>0</formula>
    </cfRule>
  </conditionalFormatting>
  <conditionalFormatting sqref="C660">
    <cfRule type="cellIs" rank="0" priority="1961" equalAverage="0" operator="greaterThan" aboveAverage="0" dxfId="8" text="" percent="0" bottom="0">
      <formula>0</formula>
    </cfRule>
  </conditionalFormatting>
  <conditionalFormatting sqref="G660">
    <cfRule type="cellIs" rank="0" priority="1962" equalAverage="0" operator="greaterThan" aboveAverage="0" dxfId="8" text="" percent="0" bottom="0">
      <formula>0</formula>
    </cfRule>
  </conditionalFormatting>
  <conditionalFormatting sqref="H660">
    <cfRule type="cellIs" rank="0" priority="1963" equalAverage="0" operator="greaterThan" aboveAverage="0" dxfId="8" text="" percent="0" bottom="0">
      <formula>0</formula>
    </cfRule>
  </conditionalFormatting>
  <conditionalFormatting sqref="C661">
    <cfRule type="cellIs" rank="0" priority="1964" equalAverage="0" operator="greaterThan" aboveAverage="0" dxfId="8" text="" percent="0" bottom="0">
      <formula>0</formula>
    </cfRule>
  </conditionalFormatting>
  <conditionalFormatting sqref="G661">
    <cfRule type="cellIs" rank="0" priority="1965" equalAverage="0" operator="greaterThan" aboveAverage="0" dxfId="8" text="" percent="0" bottom="0">
      <formula>0</formula>
    </cfRule>
  </conditionalFormatting>
  <conditionalFormatting sqref="H661">
    <cfRule type="cellIs" rank="0" priority="1966" equalAverage="0" operator="greaterThan" aboveAverage="0" dxfId="8" text="" percent="0" bottom="0">
      <formula>0</formula>
    </cfRule>
  </conditionalFormatting>
  <conditionalFormatting sqref="C662">
    <cfRule type="cellIs" rank="0" priority="1967" equalAverage="0" operator="greaterThan" aboveAverage="0" dxfId="8" text="" percent="0" bottom="0">
      <formula>0</formula>
    </cfRule>
  </conditionalFormatting>
  <conditionalFormatting sqref="G662">
    <cfRule type="cellIs" rank="0" priority="1968" equalAverage="0" operator="greaterThan" aboveAverage="0" dxfId="8" text="" percent="0" bottom="0">
      <formula>0</formula>
    </cfRule>
  </conditionalFormatting>
  <conditionalFormatting sqref="H662">
    <cfRule type="cellIs" rank="0" priority="1969" equalAverage="0" operator="greaterThan" aboveAverage="0" dxfId="8" text="" percent="0" bottom="0">
      <formula>0</formula>
    </cfRule>
  </conditionalFormatting>
  <conditionalFormatting sqref="C663">
    <cfRule type="cellIs" rank="0" priority="1970" equalAverage="0" operator="greaterThan" aboveAverage="0" dxfId="8" text="" percent="0" bottom="0">
      <formula>0</formula>
    </cfRule>
  </conditionalFormatting>
  <conditionalFormatting sqref="G663">
    <cfRule type="cellIs" rank="0" priority="1971" equalAverage="0" operator="greaterThan" aboveAverage="0" dxfId="8" text="" percent="0" bottom="0">
      <formula>0</formula>
    </cfRule>
  </conditionalFormatting>
  <conditionalFormatting sqref="H663">
    <cfRule type="cellIs" rank="0" priority="1972" equalAverage="0" operator="greaterThan" aboveAverage="0" dxfId="8" text="" percent="0" bottom="0">
      <formula>0</formula>
    </cfRule>
  </conditionalFormatting>
  <conditionalFormatting sqref="C664">
    <cfRule type="cellIs" rank="0" priority="1973" equalAverage="0" operator="greaterThan" aboveAverage="0" dxfId="8" text="" percent="0" bottom="0">
      <formula>0</formula>
    </cfRule>
  </conditionalFormatting>
  <conditionalFormatting sqref="G664">
    <cfRule type="cellIs" rank="0" priority="1974" equalAverage="0" operator="greaterThan" aboveAverage="0" dxfId="8" text="" percent="0" bottom="0">
      <formula>0</formula>
    </cfRule>
  </conditionalFormatting>
  <conditionalFormatting sqref="H664">
    <cfRule type="cellIs" rank="0" priority="1975" equalAverage="0" operator="greaterThan" aboveAverage="0" dxfId="8" text="" percent="0" bottom="0">
      <formula>0</formula>
    </cfRule>
  </conditionalFormatting>
  <conditionalFormatting sqref="C665">
    <cfRule type="cellIs" rank="0" priority="1976" equalAverage="0" operator="greaterThan" aboveAverage="0" dxfId="8" text="" percent="0" bottom="0">
      <formula>0</formula>
    </cfRule>
  </conditionalFormatting>
  <conditionalFormatting sqref="G665">
    <cfRule type="cellIs" rank="0" priority="1977" equalAverage="0" operator="greaterThan" aboveAverage="0" dxfId="8" text="" percent="0" bottom="0">
      <formula>0</formula>
    </cfRule>
  </conditionalFormatting>
  <conditionalFormatting sqref="H665">
    <cfRule type="cellIs" rank="0" priority="1978" equalAverage="0" operator="greaterThan" aboveAverage="0" dxfId="8" text="" percent="0" bottom="0">
      <formula>0</formula>
    </cfRule>
  </conditionalFormatting>
  <conditionalFormatting sqref="C666">
    <cfRule type="cellIs" rank="0" priority="1979" equalAverage="0" operator="greaterThan" aboveAverage="0" dxfId="8" text="" percent="0" bottom="0">
      <formula>0</formula>
    </cfRule>
  </conditionalFormatting>
  <conditionalFormatting sqref="G666">
    <cfRule type="cellIs" rank="0" priority="1980" equalAverage="0" operator="greaterThan" aboveAverage="0" dxfId="8" text="" percent="0" bottom="0">
      <formula>0</formula>
    </cfRule>
  </conditionalFormatting>
  <conditionalFormatting sqref="H666">
    <cfRule type="cellIs" rank="0" priority="1981" equalAverage="0" operator="greaterThan" aboveAverage="0" dxfId="8" text="" percent="0" bottom="0">
      <formula>0</formula>
    </cfRule>
  </conditionalFormatting>
  <conditionalFormatting sqref="C667">
    <cfRule type="cellIs" rank="0" priority="1982" equalAverage="0" operator="greaterThan" aboveAverage="0" dxfId="8" text="" percent="0" bottom="0">
      <formula>0</formula>
    </cfRule>
  </conditionalFormatting>
  <conditionalFormatting sqref="G667">
    <cfRule type="cellIs" rank="0" priority="1983" equalAverage="0" operator="greaterThan" aboveAverage="0" dxfId="8" text="" percent="0" bottom="0">
      <formula>0</formula>
    </cfRule>
  </conditionalFormatting>
  <conditionalFormatting sqref="H667">
    <cfRule type="cellIs" rank="0" priority="1984" equalAverage="0" operator="greaterThan" aboveAverage="0" dxfId="8" text="" percent="0" bottom="0">
      <formula>0</formula>
    </cfRule>
  </conditionalFormatting>
  <conditionalFormatting sqref="C668">
    <cfRule type="cellIs" rank="0" priority="1985" equalAverage="0" operator="greaterThan" aboveAverage="0" dxfId="8" text="" percent="0" bottom="0">
      <formula>0</formula>
    </cfRule>
  </conditionalFormatting>
  <conditionalFormatting sqref="G668">
    <cfRule type="cellIs" rank="0" priority="1986" equalAverage="0" operator="greaterThan" aboveAverage="0" dxfId="8" text="" percent="0" bottom="0">
      <formula>0</formula>
    </cfRule>
  </conditionalFormatting>
  <conditionalFormatting sqref="H668">
    <cfRule type="cellIs" rank="0" priority="1987" equalAverage="0" operator="greaterThan" aboveAverage="0" dxfId="8" text="" percent="0" bottom="0">
      <formula>0</formula>
    </cfRule>
  </conditionalFormatting>
  <conditionalFormatting sqref="C669">
    <cfRule type="cellIs" rank="0" priority="1988" equalAverage="0" operator="greaterThan" aboveAverage="0" dxfId="8" text="" percent="0" bottom="0">
      <formula>0</formula>
    </cfRule>
  </conditionalFormatting>
  <conditionalFormatting sqref="G669">
    <cfRule type="cellIs" rank="0" priority="1989" equalAverage="0" operator="greaterThan" aboveAverage="0" dxfId="8" text="" percent="0" bottom="0">
      <formula>0</formula>
    </cfRule>
  </conditionalFormatting>
  <conditionalFormatting sqref="H669">
    <cfRule type="cellIs" rank="0" priority="1990" equalAverage="0" operator="greaterThan" aboveAverage="0" dxfId="8" text="" percent="0" bottom="0">
      <formula>0</formula>
    </cfRule>
  </conditionalFormatting>
  <conditionalFormatting sqref="C670">
    <cfRule type="cellIs" rank="0" priority="1991" equalAverage="0" operator="greaterThan" aboveAverage="0" dxfId="8" text="" percent="0" bottom="0">
      <formula>0</formula>
    </cfRule>
  </conditionalFormatting>
  <conditionalFormatting sqref="G670">
    <cfRule type="cellIs" rank="0" priority="1992" equalAverage="0" operator="greaterThan" aboveAverage="0" dxfId="8" text="" percent="0" bottom="0">
      <formula>0</formula>
    </cfRule>
  </conditionalFormatting>
  <conditionalFormatting sqref="H670">
    <cfRule type="cellIs" rank="0" priority="1993" equalAverage="0" operator="greaterThan" aboveAverage="0" dxfId="8" text="" percent="0" bottom="0">
      <formula>0</formula>
    </cfRule>
  </conditionalFormatting>
  <conditionalFormatting sqref="C671">
    <cfRule type="cellIs" rank="0" priority="1994" equalAverage="0" operator="greaterThan" aboveAverage="0" dxfId="8" text="" percent="0" bottom="0">
      <formula>0</formula>
    </cfRule>
  </conditionalFormatting>
  <conditionalFormatting sqref="G671">
    <cfRule type="cellIs" rank="0" priority="1995" equalAverage="0" operator="greaterThan" aboveAverage="0" dxfId="8" text="" percent="0" bottom="0">
      <formula>0</formula>
    </cfRule>
  </conditionalFormatting>
  <conditionalFormatting sqref="H671">
    <cfRule type="cellIs" rank="0" priority="1996" equalAverage="0" operator="greaterThan" aboveAverage="0" dxfId="8" text="" percent="0" bottom="0">
      <formula>0</formula>
    </cfRule>
  </conditionalFormatting>
  <conditionalFormatting sqref="C672">
    <cfRule type="cellIs" rank="0" priority="1997" equalAverage="0" operator="greaterThan" aboveAverage="0" dxfId="8" text="" percent="0" bottom="0">
      <formula>0</formula>
    </cfRule>
  </conditionalFormatting>
  <conditionalFormatting sqref="G672">
    <cfRule type="cellIs" rank="0" priority="1998" equalAverage="0" operator="greaterThan" aboveAverage="0" dxfId="8" text="" percent="0" bottom="0">
      <formula>0</formula>
    </cfRule>
  </conditionalFormatting>
  <conditionalFormatting sqref="H672">
    <cfRule type="cellIs" rank="0" priority="1999" equalAverage="0" operator="greaterThan" aboveAverage="0" dxfId="8" text="" percent="0" bottom="0">
      <formula>0</formula>
    </cfRule>
  </conditionalFormatting>
  <conditionalFormatting sqref="C673">
    <cfRule type="cellIs" rank="0" priority="2000" equalAverage="0" operator="greaterThan" aboveAverage="0" dxfId="8" text="" percent="0" bottom="0">
      <formula>0</formula>
    </cfRule>
  </conditionalFormatting>
  <conditionalFormatting sqref="G673">
    <cfRule type="cellIs" rank="0" priority="2001" equalAverage="0" operator="greaterThan" aboveAverage="0" dxfId="8" text="" percent="0" bottom="0">
      <formula>0</formula>
    </cfRule>
  </conditionalFormatting>
  <conditionalFormatting sqref="H673">
    <cfRule type="cellIs" rank="0" priority="2002" equalAverage="0" operator="greaterThan" aboveAverage="0" dxfId="8" text="" percent="0" bottom="0">
      <formula>0</formula>
    </cfRule>
  </conditionalFormatting>
  <conditionalFormatting sqref="C674">
    <cfRule type="cellIs" rank="0" priority="2003" equalAverage="0" operator="greaterThan" aboveAverage="0" dxfId="8" text="" percent="0" bottom="0">
      <formula>0</formula>
    </cfRule>
  </conditionalFormatting>
  <conditionalFormatting sqref="G674">
    <cfRule type="cellIs" rank="0" priority="2004" equalAverage="0" operator="greaterThan" aboveAverage="0" dxfId="8" text="" percent="0" bottom="0">
      <formula>0</formula>
    </cfRule>
  </conditionalFormatting>
  <conditionalFormatting sqref="H674">
    <cfRule type="cellIs" rank="0" priority="2005" equalAverage="0" operator="greaterThan" aboveAverage="0" dxfId="8" text="" percent="0" bottom="0">
      <formula>0</formula>
    </cfRule>
  </conditionalFormatting>
  <conditionalFormatting sqref="C675">
    <cfRule type="cellIs" rank="0" priority="2006" equalAverage="0" operator="greaterThan" aboveAverage="0" dxfId="8" text="" percent="0" bottom="0">
      <formula>0</formula>
    </cfRule>
  </conditionalFormatting>
  <conditionalFormatting sqref="G675">
    <cfRule type="cellIs" rank="0" priority="2007" equalAverage="0" operator="greaterThan" aboveAverage="0" dxfId="8" text="" percent="0" bottom="0">
      <formula>0</formula>
    </cfRule>
  </conditionalFormatting>
  <conditionalFormatting sqref="H675">
    <cfRule type="cellIs" rank="0" priority="2008" equalAverage="0" operator="greaterThan" aboveAverage="0" dxfId="8" text="" percent="0" bottom="0">
      <formula>0</formula>
    </cfRule>
  </conditionalFormatting>
  <conditionalFormatting sqref="C676">
    <cfRule type="cellIs" rank="0" priority="2009" equalAverage="0" operator="greaterThan" aboveAverage="0" dxfId="8" text="" percent="0" bottom="0">
      <formula>0</formula>
    </cfRule>
  </conditionalFormatting>
  <conditionalFormatting sqref="G676">
    <cfRule type="cellIs" rank="0" priority="2010" equalAverage="0" operator="greaterThan" aboveAverage="0" dxfId="8" text="" percent="0" bottom="0">
      <formula>0</formula>
    </cfRule>
  </conditionalFormatting>
  <conditionalFormatting sqref="H676">
    <cfRule type="cellIs" rank="0" priority="2011" equalAverage="0" operator="greaterThan" aboveAverage="0" dxfId="8" text="" percent="0" bottom="0">
      <formula>0</formula>
    </cfRule>
  </conditionalFormatting>
  <conditionalFormatting sqref="C677">
    <cfRule type="cellIs" rank="0" priority="2012" equalAverage="0" operator="greaterThan" aboveAverage="0" dxfId="8" text="" percent="0" bottom="0">
      <formula>0</formula>
    </cfRule>
  </conditionalFormatting>
  <conditionalFormatting sqref="G677">
    <cfRule type="cellIs" rank="0" priority="2013" equalAverage="0" operator="greaterThan" aboveAverage="0" dxfId="8" text="" percent="0" bottom="0">
      <formula>0</formula>
    </cfRule>
  </conditionalFormatting>
  <conditionalFormatting sqref="H677">
    <cfRule type="cellIs" rank="0" priority="2014" equalAverage="0" operator="greaterThan" aboveAverage="0" dxfId="8" text="" percent="0" bottom="0">
      <formula>0</formula>
    </cfRule>
  </conditionalFormatting>
  <conditionalFormatting sqref="C678">
    <cfRule type="cellIs" rank="0" priority="2015" equalAverage="0" operator="greaterThan" aboveAverage="0" dxfId="8" text="" percent="0" bottom="0">
      <formula>0</formula>
    </cfRule>
  </conditionalFormatting>
  <conditionalFormatting sqref="G678">
    <cfRule type="cellIs" rank="0" priority="2016" equalAverage="0" operator="greaterThan" aboveAverage="0" dxfId="8" text="" percent="0" bottom="0">
      <formula>0</formula>
    </cfRule>
  </conditionalFormatting>
  <conditionalFormatting sqref="H678">
    <cfRule type="cellIs" rank="0" priority="2017" equalAverage="0" operator="greaterThan" aboveAverage="0" dxfId="8" text="" percent="0" bottom="0">
      <formula>0</formula>
    </cfRule>
  </conditionalFormatting>
  <conditionalFormatting sqref="C679">
    <cfRule type="cellIs" rank="0" priority="2018" equalAverage="0" operator="greaterThan" aboveAverage="0" dxfId="8" text="" percent="0" bottom="0">
      <formula>0</formula>
    </cfRule>
  </conditionalFormatting>
  <conditionalFormatting sqref="G679">
    <cfRule type="cellIs" rank="0" priority="2019" equalAverage="0" operator="greaterThan" aboveAverage="0" dxfId="8" text="" percent="0" bottom="0">
      <formula>0</formula>
    </cfRule>
  </conditionalFormatting>
  <conditionalFormatting sqref="H679">
    <cfRule type="cellIs" rank="0" priority="2020" equalAverage="0" operator="greaterThan" aboveAverage="0" dxfId="8" text="" percent="0" bottom="0">
      <formula>0</formula>
    </cfRule>
  </conditionalFormatting>
  <conditionalFormatting sqref="C680">
    <cfRule type="cellIs" rank="0" priority="2021" equalAverage="0" operator="greaterThan" aboveAverage="0" dxfId="8" text="" percent="0" bottom="0">
      <formula>0</formula>
    </cfRule>
  </conditionalFormatting>
  <conditionalFormatting sqref="G680">
    <cfRule type="cellIs" rank="0" priority="2022" equalAverage="0" operator="greaterThan" aboveAverage="0" dxfId="8" text="" percent="0" bottom="0">
      <formula>0</formula>
    </cfRule>
  </conditionalFormatting>
  <conditionalFormatting sqref="H680">
    <cfRule type="cellIs" rank="0" priority="2023" equalAverage="0" operator="greaterThan" aboveAverage="0" dxfId="8" text="" percent="0" bottom="0">
      <formula>0</formula>
    </cfRule>
  </conditionalFormatting>
  <conditionalFormatting sqref="C681">
    <cfRule type="cellIs" rank="0" priority="2024" equalAverage="0" operator="greaterThan" aboveAverage="0" dxfId="8" text="" percent="0" bottom="0">
      <formula>0</formula>
    </cfRule>
  </conditionalFormatting>
  <conditionalFormatting sqref="G681">
    <cfRule type="cellIs" rank="0" priority="2025" equalAverage="0" operator="greaterThan" aboveAverage="0" dxfId="8" text="" percent="0" bottom="0">
      <formula>0</formula>
    </cfRule>
  </conditionalFormatting>
  <conditionalFormatting sqref="H681">
    <cfRule type="cellIs" rank="0" priority="2026" equalAverage="0" operator="greaterThan" aboveAverage="0" dxfId="8" text="" percent="0" bottom="0">
      <formula>0</formula>
    </cfRule>
  </conditionalFormatting>
  <conditionalFormatting sqref="C682">
    <cfRule type="cellIs" rank="0" priority="2027" equalAverage="0" operator="greaterThan" aboveAverage="0" dxfId="8" text="" percent="0" bottom="0">
      <formula>0</formula>
    </cfRule>
  </conditionalFormatting>
  <conditionalFormatting sqref="G682">
    <cfRule type="cellIs" rank="0" priority="2028" equalAverage="0" operator="greaterThan" aboveAverage="0" dxfId="8" text="" percent="0" bottom="0">
      <formula>0</formula>
    </cfRule>
  </conditionalFormatting>
  <conditionalFormatting sqref="H682">
    <cfRule type="cellIs" rank="0" priority="2029" equalAverage="0" operator="greaterThan" aboveAverage="0" dxfId="8" text="" percent="0" bottom="0">
      <formula>0</formula>
    </cfRule>
  </conditionalFormatting>
  <conditionalFormatting sqref="C683">
    <cfRule type="cellIs" rank="0" priority="2030" equalAverage="0" operator="greaterThan" aboveAverage="0" dxfId="8" text="" percent="0" bottom="0">
      <formula>0</formula>
    </cfRule>
  </conditionalFormatting>
  <conditionalFormatting sqref="G683">
    <cfRule type="cellIs" rank="0" priority="2031" equalAverage="0" operator="greaterThan" aboveAverage="0" dxfId="8" text="" percent="0" bottom="0">
      <formula>0</formula>
    </cfRule>
  </conditionalFormatting>
  <conditionalFormatting sqref="H683">
    <cfRule type="cellIs" rank="0" priority="2032" equalAverage="0" operator="greaterThan" aboveAverage="0" dxfId="8" text="" percent="0" bottom="0">
      <formula>0</formula>
    </cfRule>
  </conditionalFormatting>
  <conditionalFormatting sqref="C684">
    <cfRule type="cellIs" rank="0" priority="2033" equalAverage="0" operator="greaterThan" aboveAverage="0" dxfId="8" text="" percent="0" bottom="0">
      <formula>0</formula>
    </cfRule>
  </conditionalFormatting>
  <conditionalFormatting sqref="G684">
    <cfRule type="cellIs" rank="0" priority="2034" equalAverage="0" operator="greaterThan" aboveAverage="0" dxfId="8" text="" percent="0" bottom="0">
      <formula>0</formula>
    </cfRule>
  </conditionalFormatting>
  <conditionalFormatting sqref="H684">
    <cfRule type="cellIs" rank="0" priority="2035" equalAverage="0" operator="greaterThan" aboveAverage="0" dxfId="8" text="" percent="0" bottom="0">
      <formula>0</formula>
    </cfRule>
  </conditionalFormatting>
  <conditionalFormatting sqref="C685">
    <cfRule type="cellIs" rank="0" priority="2036" equalAverage="0" operator="greaterThan" aboveAverage="0" dxfId="8" text="" percent="0" bottom="0">
      <formula>0</formula>
    </cfRule>
  </conditionalFormatting>
  <conditionalFormatting sqref="G685">
    <cfRule type="cellIs" rank="0" priority="2037" equalAverage="0" operator="greaterThan" aboveAverage="0" dxfId="8" text="" percent="0" bottom="0">
      <formula>0</formula>
    </cfRule>
  </conditionalFormatting>
  <conditionalFormatting sqref="H685">
    <cfRule type="cellIs" rank="0" priority="2038" equalAverage="0" operator="greaterThan" aboveAverage="0" dxfId="8" text="" percent="0" bottom="0">
      <formula>0</formula>
    </cfRule>
  </conditionalFormatting>
  <conditionalFormatting sqref="C686">
    <cfRule type="cellIs" rank="0" priority="2039" equalAverage="0" operator="greaterThan" aboveAverage="0" dxfId="8" text="" percent="0" bottom="0">
      <formula>0</formula>
    </cfRule>
  </conditionalFormatting>
  <conditionalFormatting sqref="G686">
    <cfRule type="cellIs" rank="0" priority="2040" equalAverage="0" operator="greaterThan" aboveAverage="0" dxfId="8" text="" percent="0" bottom="0">
      <formula>0</formula>
    </cfRule>
  </conditionalFormatting>
  <conditionalFormatting sqref="H686">
    <cfRule type="cellIs" rank="0" priority="2041" equalAverage="0" operator="greaterThan" aboveAverage="0" dxfId="8" text="" percent="0" bottom="0">
      <formula>0</formula>
    </cfRule>
  </conditionalFormatting>
  <conditionalFormatting sqref="C687">
    <cfRule type="cellIs" rank="0" priority="2042" equalAverage="0" operator="greaterThan" aboveAverage="0" dxfId="8" text="" percent="0" bottom="0">
      <formula>0</formula>
    </cfRule>
  </conditionalFormatting>
  <conditionalFormatting sqref="G687">
    <cfRule type="cellIs" rank="0" priority="2043" equalAverage="0" operator="greaterThan" aboveAverage="0" dxfId="8" text="" percent="0" bottom="0">
      <formula>0</formula>
    </cfRule>
  </conditionalFormatting>
  <conditionalFormatting sqref="H687">
    <cfRule type="cellIs" rank="0" priority="2044" equalAverage="0" operator="greaterThan" aboveAverage="0" dxfId="8" text="" percent="0" bottom="0">
      <formula>0</formula>
    </cfRule>
  </conditionalFormatting>
  <conditionalFormatting sqref="C688">
    <cfRule type="cellIs" rank="0" priority="2045" equalAverage="0" operator="greaterThan" aboveAverage="0" dxfId="8" text="" percent="0" bottom="0">
      <formula>0</formula>
    </cfRule>
  </conditionalFormatting>
  <conditionalFormatting sqref="G688">
    <cfRule type="cellIs" rank="0" priority="2046" equalAverage="0" operator="greaterThan" aboveAverage="0" dxfId="8" text="" percent="0" bottom="0">
      <formula>0</formula>
    </cfRule>
  </conditionalFormatting>
  <conditionalFormatting sqref="H688">
    <cfRule type="cellIs" rank="0" priority="2047" equalAverage="0" operator="greaterThan" aboveAverage="0" dxfId="8" text="" percent="0" bottom="0">
      <formula>0</formula>
    </cfRule>
  </conditionalFormatting>
  <conditionalFormatting sqref="C689">
    <cfRule type="cellIs" rank="0" priority="2048" equalAverage="0" operator="greaterThan" aboveAverage="0" dxfId="8" text="" percent="0" bottom="0">
      <formula>0</formula>
    </cfRule>
  </conditionalFormatting>
  <conditionalFormatting sqref="G689">
    <cfRule type="cellIs" rank="0" priority="2049" equalAverage="0" operator="greaterThan" aboveAverage="0" dxfId="8" text="" percent="0" bottom="0">
      <formula>0</formula>
    </cfRule>
  </conditionalFormatting>
  <conditionalFormatting sqref="H689">
    <cfRule type="cellIs" rank="0" priority="2050" equalAverage="0" operator="greaterThan" aboveAverage="0" dxfId="8" text="" percent="0" bottom="0">
      <formula>0</formula>
    </cfRule>
  </conditionalFormatting>
  <conditionalFormatting sqref="C690">
    <cfRule type="cellIs" rank="0" priority="2051" equalAverage="0" operator="greaterThan" aboveAverage="0" dxfId="8" text="" percent="0" bottom="0">
      <formula>0</formula>
    </cfRule>
  </conditionalFormatting>
  <conditionalFormatting sqref="G690">
    <cfRule type="cellIs" rank="0" priority="2052" equalAverage="0" operator="greaterThan" aboveAverage="0" dxfId="8" text="" percent="0" bottom="0">
      <formula>0</formula>
    </cfRule>
  </conditionalFormatting>
  <conditionalFormatting sqref="H690">
    <cfRule type="cellIs" rank="0" priority="2053" equalAverage="0" operator="greaterThan" aboveAverage="0" dxfId="8" text="" percent="0" bottom="0">
      <formula>0</formula>
    </cfRule>
  </conditionalFormatting>
  <conditionalFormatting sqref="C691">
    <cfRule type="cellIs" rank="0" priority="2054" equalAverage="0" operator="greaterThan" aboveAverage="0" dxfId="8" text="" percent="0" bottom="0">
      <formula>0</formula>
    </cfRule>
  </conditionalFormatting>
  <conditionalFormatting sqref="G691">
    <cfRule type="cellIs" rank="0" priority="2055" equalAverage="0" operator="greaterThan" aboveAverage="0" dxfId="8" text="" percent="0" bottom="0">
      <formula>0</formula>
    </cfRule>
  </conditionalFormatting>
  <conditionalFormatting sqref="H691">
    <cfRule type="cellIs" rank="0" priority="2056" equalAverage="0" operator="greaterThan" aboveAverage="0" dxfId="8" text="" percent="0" bottom="0">
      <formula>0</formula>
    </cfRule>
  </conditionalFormatting>
  <conditionalFormatting sqref="C692">
    <cfRule type="cellIs" rank="0" priority="2057" equalAverage="0" operator="greaterThan" aboveAverage="0" dxfId="8" text="" percent="0" bottom="0">
      <formula>0</formula>
    </cfRule>
  </conditionalFormatting>
  <conditionalFormatting sqref="G692">
    <cfRule type="cellIs" rank="0" priority="2058" equalAverage="0" operator="greaterThan" aboveAverage="0" dxfId="8" text="" percent="0" bottom="0">
      <formula>0</formula>
    </cfRule>
  </conditionalFormatting>
  <conditionalFormatting sqref="H692">
    <cfRule type="cellIs" rank="0" priority="2059" equalAverage="0" operator="greaterThan" aboveAverage="0" dxfId="8" text="" percent="0" bottom="0">
      <formula>0</formula>
    </cfRule>
  </conditionalFormatting>
  <conditionalFormatting sqref="C693">
    <cfRule type="cellIs" rank="0" priority="2060" equalAverage="0" operator="greaterThan" aboveAverage="0" dxfId="8" text="" percent="0" bottom="0">
      <formula>0</formula>
    </cfRule>
  </conditionalFormatting>
  <conditionalFormatting sqref="G693">
    <cfRule type="cellIs" rank="0" priority="2061" equalAverage="0" operator="greaterThan" aboveAverage="0" dxfId="8" text="" percent="0" bottom="0">
      <formula>0</formula>
    </cfRule>
  </conditionalFormatting>
  <conditionalFormatting sqref="H693">
    <cfRule type="cellIs" rank="0" priority="2062" equalAverage="0" operator="greaterThan" aboveAverage="0" dxfId="8" text="" percent="0" bottom="0">
      <formula>0</formula>
    </cfRule>
  </conditionalFormatting>
  <conditionalFormatting sqref="C694">
    <cfRule type="cellIs" rank="0" priority="2063" equalAverage="0" operator="greaterThan" aboveAverage="0" dxfId="8" text="" percent="0" bottom="0">
      <formula>0</formula>
    </cfRule>
  </conditionalFormatting>
  <conditionalFormatting sqref="G694">
    <cfRule type="cellIs" rank="0" priority="2064" equalAverage="0" operator="greaterThan" aboveAverage="0" dxfId="8" text="" percent="0" bottom="0">
      <formula>0</formula>
    </cfRule>
  </conditionalFormatting>
  <conditionalFormatting sqref="H694">
    <cfRule type="cellIs" rank="0" priority="2065" equalAverage="0" operator="greaterThan" aboveAverage="0" dxfId="8" text="" percent="0" bottom="0">
      <formula>0</formula>
    </cfRule>
  </conditionalFormatting>
  <conditionalFormatting sqref="C695">
    <cfRule type="cellIs" rank="0" priority="2066" equalAverage="0" operator="greaterThan" aboveAverage="0" dxfId="8" text="" percent="0" bottom="0">
      <formula>0</formula>
    </cfRule>
  </conditionalFormatting>
  <conditionalFormatting sqref="G695">
    <cfRule type="cellIs" rank="0" priority="2067" equalAverage="0" operator="greaterThan" aboveAverage="0" dxfId="8" text="" percent="0" bottom="0">
      <formula>0</formula>
    </cfRule>
  </conditionalFormatting>
  <conditionalFormatting sqref="H695">
    <cfRule type="cellIs" rank="0" priority="2068" equalAverage="0" operator="greaterThan" aboveAverage="0" dxfId="8" text="" percent="0" bottom="0">
      <formula>0</formula>
    </cfRule>
  </conditionalFormatting>
  <conditionalFormatting sqref="C696">
    <cfRule type="cellIs" rank="0" priority="2069" equalAverage="0" operator="greaterThan" aboveAverage="0" dxfId="8" text="" percent="0" bottom="0">
      <formula>0</formula>
    </cfRule>
  </conditionalFormatting>
  <conditionalFormatting sqref="G696">
    <cfRule type="cellIs" rank="0" priority="2070" equalAverage="0" operator="greaterThan" aboveAverage="0" dxfId="8" text="" percent="0" bottom="0">
      <formula>0</formula>
    </cfRule>
  </conditionalFormatting>
  <conditionalFormatting sqref="H696">
    <cfRule type="cellIs" rank="0" priority="2071" equalAverage="0" operator="greaterThan" aboveAverage="0" dxfId="8" text="" percent="0" bottom="0">
      <formula>0</formula>
    </cfRule>
  </conditionalFormatting>
  <conditionalFormatting sqref="C697">
    <cfRule type="cellIs" rank="0" priority="2072" equalAverage="0" operator="greaterThan" aboveAverage="0" dxfId="8" text="" percent="0" bottom="0">
      <formula>0</formula>
    </cfRule>
  </conditionalFormatting>
  <conditionalFormatting sqref="G697">
    <cfRule type="cellIs" rank="0" priority="2073" equalAverage="0" operator="greaterThan" aboveAverage="0" dxfId="8" text="" percent="0" bottom="0">
      <formula>0</formula>
    </cfRule>
  </conditionalFormatting>
  <conditionalFormatting sqref="H697">
    <cfRule type="cellIs" rank="0" priority="2074" equalAverage="0" operator="greaterThan" aboveAverage="0" dxfId="8" text="" percent="0" bottom="0">
      <formula>0</formula>
    </cfRule>
  </conditionalFormatting>
  <conditionalFormatting sqref="C698">
    <cfRule type="cellIs" rank="0" priority="2075" equalAverage="0" operator="greaterThan" aboveAverage="0" dxfId="8" text="" percent="0" bottom="0">
      <formula>0</formula>
    </cfRule>
  </conditionalFormatting>
  <conditionalFormatting sqref="G698">
    <cfRule type="cellIs" rank="0" priority="2076" equalAverage="0" operator="greaterThan" aboveAverage="0" dxfId="8" text="" percent="0" bottom="0">
      <formula>0</formula>
    </cfRule>
  </conditionalFormatting>
  <conditionalFormatting sqref="H698">
    <cfRule type="cellIs" rank="0" priority="2077" equalAverage="0" operator="greaterThan" aboveAverage="0" dxfId="8" text="" percent="0" bottom="0">
      <formula>0</formula>
    </cfRule>
  </conditionalFormatting>
  <conditionalFormatting sqref="C699">
    <cfRule type="cellIs" rank="0" priority="2078" equalAverage="0" operator="greaterThan" aboveAverage="0" dxfId="8" text="" percent="0" bottom="0">
      <formula>0</formula>
    </cfRule>
  </conditionalFormatting>
  <conditionalFormatting sqref="G699">
    <cfRule type="cellIs" rank="0" priority="2079" equalAverage="0" operator="greaterThan" aboveAverage="0" dxfId="8" text="" percent="0" bottom="0">
      <formula>0</formula>
    </cfRule>
  </conditionalFormatting>
  <conditionalFormatting sqref="H699">
    <cfRule type="cellIs" rank="0" priority="2080" equalAverage="0" operator="greaterThan" aboveAverage="0" dxfId="8" text="" percent="0" bottom="0">
      <formula>0</formula>
    </cfRule>
  </conditionalFormatting>
  <conditionalFormatting sqref="C700">
    <cfRule type="cellIs" rank="0" priority="2081" equalAverage="0" operator="greaterThan" aboveAverage="0" dxfId="8" text="" percent="0" bottom="0">
      <formula>0</formula>
    </cfRule>
  </conditionalFormatting>
  <conditionalFormatting sqref="G700">
    <cfRule type="cellIs" rank="0" priority="2082" equalAverage="0" operator="greaterThan" aboveAverage="0" dxfId="8" text="" percent="0" bottom="0">
      <formula>0</formula>
    </cfRule>
  </conditionalFormatting>
  <conditionalFormatting sqref="H700">
    <cfRule type="cellIs" rank="0" priority="2083" equalAverage="0" operator="greaterThan" aboveAverage="0" dxfId="8" text="" percent="0" bottom="0">
      <formula>0</formula>
    </cfRule>
  </conditionalFormatting>
  <conditionalFormatting sqref="C701">
    <cfRule type="cellIs" rank="0" priority="2084" equalAverage="0" operator="greaterThan" aboveAverage="0" dxfId="8" text="" percent="0" bottom="0">
      <formula>0</formula>
    </cfRule>
  </conditionalFormatting>
  <conditionalFormatting sqref="G701">
    <cfRule type="cellIs" rank="0" priority="2085" equalAverage="0" operator="greaterThan" aboveAverage="0" dxfId="8" text="" percent="0" bottom="0">
      <formula>0</formula>
    </cfRule>
  </conditionalFormatting>
  <conditionalFormatting sqref="H701">
    <cfRule type="cellIs" rank="0" priority="2086" equalAverage="0" operator="greaterThan" aboveAverage="0" dxfId="8" text="" percent="0" bottom="0">
      <formula>0</formula>
    </cfRule>
  </conditionalFormatting>
  <conditionalFormatting sqref="C702">
    <cfRule type="cellIs" rank="0" priority="2087" equalAverage="0" operator="greaterThan" aboveAverage="0" dxfId="8" text="" percent="0" bottom="0">
      <formula>0</formula>
    </cfRule>
  </conditionalFormatting>
  <conditionalFormatting sqref="G702">
    <cfRule type="cellIs" rank="0" priority="2088" equalAverage="0" operator="greaterThan" aboveAverage="0" dxfId="8" text="" percent="0" bottom="0">
      <formula>0</formula>
    </cfRule>
  </conditionalFormatting>
  <conditionalFormatting sqref="H702">
    <cfRule type="cellIs" rank="0" priority="2089" equalAverage="0" operator="greaterThan" aboveAverage="0" dxfId="8" text="" percent="0" bottom="0">
      <formula>0</formula>
    </cfRule>
  </conditionalFormatting>
  <conditionalFormatting sqref="C703">
    <cfRule type="cellIs" rank="0" priority="2090" equalAverage="0" operator="greaterThan" aboveAverage="0" dxfId="8" text="" percent="0" bottom="0">
      <formula>0</formula>
    </cfRule>
  </conditionalFormatting>
  <conditionalFormatting sqref="G703">
    <cfRule type="cellIs" rank="0" priority="2091" equalAverage="0" operator="greaterThan" aboveAverage="0" dxfId="8" text="" percent="0" bottom="0">
      <formula>0</formula>
    </cfRule>
  </conditionalFormatting>
  <conditionalFormatting sqref="H703">
    <cfRule type="cellIs" rank="0" priority="2092" equalAverage="0" operator="greaterThan" aboveAverage="0" dxfId="8" text="" percent="0" bottom="0">
      <formula>0</formula>
    </cfRule>
  </conditionalFormatting>
  <conditionalFormatting sqref="C704">
    <cfRule type="cellIs" rank="0" priority="2093" equalAverage="0" operator="greaterThan" aboveAverage="0" dxfId="8" text="" percent="0" bottom="0">
      <formula>0</formula>
    </cfRule>
  </conditionalFormatting>
  <conditionalFormatting sqref="G704">
    <cfRule type="cellIs" rank="0" priority="2094" equalAverage="0" operator="greaterThan" aboveAverage="0" dxfId="8" text="" percent="0" bottom="0">
      <formula>0</formula>
    </cfRule>
  </conditionalFormatting>
  <conditionalFormatting sqref="H704">
    <cfRule type="cellIs" rank="0" priority="2095" equalAverage="0" operator="greaterThan" aboveAverage="0" dxfId="8" text="" percent="0" bottom="0">
      <formula>0</formula>
    </cfRule>
  </conditionalFormatting>
  <conditionalFormatting sqref="C705">
    <cfRule type="cellIs" rank="0" priority="2096" equalAverage="0" operator="greaterThan" aboveAverage="0" dxfId="8" text="" percent="0" bottom="0">
      <formula>0</formula>
    </cfRule>
  </conditionalFormatting>
  <conditionalFormatting sqref="G705">
    <cfRule type="cellIs" rank="0" priority="2097" equalAverage="0" operator="greaterThan" aboveAverage="0" dxfId="8" text="" percent="0" bottom="0">
      <formula>0</formula>
    </cfRule>
  </conditionalFormatting>
  <conditionalFormatting sqref="H705">
    <cfRule type="cellIs" rank="0" priority="2098" equalAverage="0" operator="greaterThan" aboveAverage="0" dxfId="8" text="" percent="0" bottom="0">
      <formula>0</formula>
    </cfRule>
  </conditionalFormatting>
  <conditionalFormatting sqref="C706">
    <cfRule type="cellIs" rank="0" priority="2099" equalAverage="0" operator="greaterThan" aboveAverage="0" dxfId="8" text="" percent="0" bottom="0">
      <formula>0</formula>
    </cfRule>
  </conditionalFormatting>
  <conditionalFormatting sqref="G706">
    <cfRule type="cellIs" rank="0" priority="2100" equalAverage="0" operator="greaterThan" aboveAverage="0" dxfId="8" text="" percent="0" bottom="0">
      <formula>0</formula>
    </cfRule>
  </conditionalFormatting>
  <conditionalFormatting sqref="H706">
    <cfRule type="cellIs" rank="0" priority="2101" equalAverage="0" operator="greaterThan" aboveAverage="0" dxfId="8" text="" percent="0" bottom="0">
      <formula>0</formula>
    </cfRule>
  </conditionalFormatting>
  <conditionalFormatting sqref="C707">
    <cfRule type="cellIs" rank="0" priority="2102" equalAverage="0" operator="greaterThan" aboveAverage="0" dxfId="8" text="" percent="0" bottom="0">
      <formula>0</formula>
    </cfRule>
  </conditionalFormatting>
  <conditionalFormatting sqref="G707">
    <cfRule type="cellIs" rank="0" priority="2103" equalAverage="0" operator="greaterThan" aboveAverage="0" dxfId="8" text="" percent="0" bottom="0">
      <formula>0</formula>
    </cfRule>
  </conditionalFormatting>
  <conditionalFormatting sqref="H707">
    <cfRule type="cellIs" rank="0" priority="2104" equalAverage="0" operator="greaterThan" aboveAverage="0" dxfId="8" text="" percent="0" bottom="0">
      <formula>0</formula>
    </cfRule>
  </conditionalFormatting>
  <conditionalFormatting sqref="C708">
    <cfRule type="cellIs" rank="0" priority="2105" equalAverage="0" operator="greaterThan" aboveAverage="0" dxfId="8" text="" percent="0" bottom="0">
      <formula>0</formula>
    </cfRule>
  </conditionalFormatting>
  <conditionalFormatting sqref="G708">
    <cfRule type="cellIs" rank="0" priority="2106" equalAverage="0" operator="greaterThan" aboveAverage="0" dxfId="8" text="" percent="0" bottom="0">
      <formula>0</formula>
    </cfRule>
  </conditionalFormatting>
  <conditionalFormatting sqref="H708">
    <cfRule type="cellIs" rank="0" priority="2107" equalAverage="0" operator="greaterThan" aboveAverage="0" dxfId="8" text="" percent="0" bottom="0">
      <formula>0</formula>
    </cfRule>
  </conditionalFormatting>
  <conditionalFormatting sqref="C709">
    <cfRule type="cellIs" rank="0" priority="2108" equalAverage="0" operator="greaterThan" aboveAverage="0" dxfId="8" text="" percent="0" bottom="0">
      <formula>0</formula>
    </cfRule>
  </conditionalFormatting>
  <conditionalFormatting sqref="G709">
    <cfRule type="cellIs" rank="0" priority="2109" equalAverage="0" operator="greaterThan" aboveAverage="0" dxfId="8" text="" percent="0" bottom="0">
      <formula>0</formula>
    </cfRule>
  </conditionalFormatting>
  <conditionalFormatting sqref="H709">
    <cfRule type="cellIs" rank="0" priority="2110" equalAverage="0" operator="greaterThan" aboveAverage="0" dxfId="8" text="" percent="0" bottom="0">
      <formula>0</formula>
    </cfRule>
  </conditionalFormatting>
  <conditionalFormatting sqref="C710">
    <cfRule type="cellIs" rank="0" priority="2111" equalAverage="0" operator="greaterThan" aboveAverage="0" dxfId="8" text="" percent="0" bottom="0">
      <formula>0</formula>
    </cfRule>
  </conditionalFormatting>
  <conditionalFormatting sqref="G710">
    <cfRule type="cellIs" rank="0" priority="2112" equalAverage="0" operator="greaterThan" aboveAverage="0" dxfId="8" text="" percent="0" bottom="0">
      <formula>0</formula>
    </cfRule>
  </conditionalFormatting>
  <conditionalFormatting sqref="H710">
    <cfRule type="cellIs" rank="0" priority="2113" equalAverage="0" operator="greaterThan" aboveAverage="0" dxfId="8" text="" percent="0" bottom="0">
      <formula>0</formula>
    </cfRule>
  </conditionalFormatting>
  <conditionalFormatting sqref="C711">
    <cfRule type="cellIs" rank="0" priority="2114" equalAverage="0" operator="greaterThan" aboveAverage="0" dxfId="8" text="" percent="0" bottom="0">
      <formula>0</formula>
    </cfRule>
  </conditionalFormatting>
  <conditionalFormatting sqref="G711">
    <cfRule type="cellIs" rank="0" priority="2115" equalAverage="0" operator="greaterThan" aboveAverage="0" dxfId="8" text="" percent="0" bottom="0">
      <formula>0</formula>
    </cfRule>
  </conditionalFormatting>
  <conditionalFormatting sqref="H711">
    <cfRule type="cellIs" rank="0" priority="2116" equalAverage="0" operator="greaterThan" aboveAverage="0" dxfId="8" text="" percent="0" bottom="0">
      <formula>0</formula>
    </cfRule>
  </conditionalFormatting>
  <conditionalFormatting sqref="C712">
    <cfRule type="cellIs" rank="0" priority="2117" equalAverage="0" operator="greaterThan" aboveAverage="0" dxfId="8" text="" percent="0" bottom="0">
      <formula>0</formula>
    </cfRule>
  </conditionalFormatting>
  <conditionalFormatting sqref="G712">
    <cfRule type="cellIs" rank="0" priority="2118" equalAverage="0" operator="greaterThan" aboveAverage="0" dxfId="8" text="" percent="0" bottom="0">
      <formula>0</formula>
    </cfRule>
  </conditionalFormatting>
  <conditionalFormatting sqref="H712">
    <cfRule type="cellIs" rank="0" priority="2119" equalAverage="0" operator="greaterThan" aboveAverage="0" dxfId="8" text="" percent="0" bottom="0">
      <formula>0</formula>
    </cfRule>
  </conditionalFormatting>
  <conditionalFormatting sqref="C713">
    <cfRule type="cellIs" rank="0" priority="2120" equalAverage="0" operator="greaterThan" aboveAverage="0" dxfId="8" text="" percent="0" bottom="0">
      <formula>0</formula>
    </cfRule>
  </conditionalFormatting>
  <conditionalFormatting sqref="G713">
    <cfRule type="cellIs" rank="0" priority="2121" equalAverage="0" operator="greaterThan" aboveAverage="0" dxfId="8" text="" percent="0" bottom="0">
      <formula>0</formula>
    </cfRule>
  </conditionalFormatting>
  <conditionalFormatting sqref="H713">
    <cfRule type="cellIs" rank="0" priority="2122" equalAverage="0" operator="greaterThan" aboveAverage="0" dxfId="8" text="" percent="0" bottom="0">
      <formula>0</formula>
    </cfRule>
  </conditionalFormatting>
  <conditionalFormatting sqref="C714">
    <cfRule type="cellIs" rank="0" priority="2123" equalAverage="0" operator="greaterThan" aboveAverage="0" dxfId="8" text="" percent="0" bottom="0">
      <formula>0</formula>
    </cfRule>
  </conditionalFormatting>
  <conditionalFormatting sqref="G714">
    <cfRule type="cellIs" rank="0" priority="2124" equalAverage="0" operator="greaterThan" aboveAverage="0" dxfId="8" text="" percent="0" bottom="0">
      <formula>0</formula>
    </cfRule>
  </conditionalFormatting>
  <conditionalFormatting sqref="H714">
    <cfRule type="cellIs" rank="0" priority="2125" equalAverage="0" operator="greaterThan" aboveAverage="0" dxfId="8" text="" percent="0" bottom="0">
      <formula>0</formula>
    </cfRule>
  </conditionalFormatting>
  <conditionalFormatting sqref="C715">
    <cfRule type="cellIs" rank="0" priority="2126" equalAverage="0" operator="greaterThan" aboveAverage="0" dxfId="8" text="" percent="0" bottom="0">
      <formula>0</formula>
    </cfRule>
  </conditionalFormatting>
  <conditionalFormatting sqref="G715">
    <cfRule type="cellIs" rank="0" priority="2127" equalAverage="0" operator="greaterThan" aboveAverage="0" dxfId="8" text="" percent="0" bottom="0">
      <formula>0</formula>
    </cfRule>
  </conditionalFormatting>
  <conditionalFormatting sqref="H715">
    <cfRule type="cellIs" rank="0" priority="2128" equalAverage="0" operator="greaterThan" aboveAverage="0" dxfId="8" text="" percent="0" bottom="0">
      <formula>0</formula>
    </cfRule>
  </conditionalFormatting>
  <conditionalFormatting sqref="C716">
    <cfRule type="cellIs" rank="0" priority="2129" equalAverage="0" operator="greaterThan" aboveAverage="0" dxfId="8" text="" percent="0" bottom="0">
      <formula>0</formula>
    </cfRule>
  </conditionalFormatting>
  <conditionalFormatting sqref="G716">
    <cfRule type="cellIs" rank="0" priority="2130" equalAverage="0" operator="greaterThan" aboveAverage="0" dxfId="8" text="" percent="0" bottom="0">
      <formula>0</formula>
    </cfRule>
  </conditionalFormatting>
  <conditionalFormatting sqref="H716">
    <cfRule type="cellIs" rank="0" priority="2131" equalAverage="0" operator="greaterThan" aboveAverage="0" dxfId="8" text="" percent="0" bottom="0">
      <formula>0</formula>
    </cfRule>
  </conditionalFormatting>
  <conditionalFormatting sqref="C717">
    <cfRule type="cellIs" rank="0" priority="2132" equalAverage="0" operator="greaterThan" aboveAverage="0" dxfId="8" text="" percent="0" bottom="0">
      <formula>0</formula>
    </cfRule>
  </conditionalFormatting>
  <conditionalFormatting sqref="G717">
    <cfRule type="cellIs" rank="0" priority="2133" equalAverage="0" operator="greaterThan" aboveAverage="0" dxfId="8" text="" percent="0" bottom="0">
      <formula>0</formula>
    </cfRule>
  </conditionalFormatting>
  <conditionalFormatting sqref="H717">
    <cfRule type="cellIs" rank="0" priority="2134" equalAverage="0" operator="greaterThan" aboveAverage="0" dxfId="8" text="" percent="0" bottom="0">
      <formula>0</formula>
    </cfRule>
  </conditionalFormatting>
  <conditionalFormatting sqref="C718">
    <cfRule type="cellIs" rank="0" priority="2135" equalAverage="0" operator="greaterThan" aboveAverage="0" dxfId="8" text="" percent="0" bottom="0">
      <formula>0</formula>
    </cfRule>
  </conditionalFormatting>
  <conditionalFormatting sqref="G718">
    <cfRule type="cellIs" rank="0" priority="2136" equalAverage="0" operator="greaterThan" aboveAverage="0" dxfId="8" text="" percent="0" bottom="0">
      <formula>0</formula>
    </cfRule>
  </conditionalFormatting>
  <conditionalFormatting sqref="H718">
    <cfRule type="cellIs" rank="0" priority="2137" equalAverage="0" operator="greaterThan" aboveAverage="0" dxfId="8" text="" percent="0" bottom="0">
      <formula>0</formula>
    </cfRule>
  </conditionalFormatting>
  <conditionalFormatting sqref="C719">
    <cfRule type="cellIs" rank="0" priority="2138" equalAverage="0" operator="greaterThan" aboveAverage="0" dxfId="8" text="" percent="0" bottom="0">
      <formula>0</formula>
    </cfRule>
  </conditionalFormatting>
  <conditionalFormatting sqref="G719">
    <cfRule type="cellIs" rank="0" priority="2139" equalAverage="0" operator="greaterThan" aboveAverage="0" dxfId="8" text="" percent="0" bottom="0">
      <formula>0</formula>
    </cfRule>
  </conditionalFormatting>
  <conditionalFormatting sqref="H719">
    <cfRule type="cellIs" rank="0" priority="2140" equalAverage="0" operator="greaterThan" aboveAverage="0" dxfId="8" text="" percent="0" bottom="0">
      <formula>0</formula>
    </cfRule>
  </conditionalFormatting>
  <conditionalFormatting sqref="C720">
    <cfRule type="cellIs" rank="0" priority="2141" equalAverage="0" operator="greaterThan" aboveAverage="0" dxfId="8" text="" percent="0" bottom="0">
      <formula>0</formula>
    </cfRule>
  </conditionalFormatting>
  <conditionalFormatting sqref="G720">
    <cfRule type="cellIs" rank="0" priority="2142" equalAverage="0" operator="greaterThan" aboveAverage="0" dxfId="8" text="" percent="0" bottom="0">
      <formula>0</formula>
    </cfRule>
  </conditionalFormatting>
  <conditionalFormatting sqref="H720">
    <cfRule type="cellIs" rank="0" priority="2143" equalAverage="0" operator="greaterThan" aboveAverage="0" dxfId="8" text="" percent="0" bottom="0">
      <formula>0</formula>
    </cfRule>
  </conditionalFormatting>
  <conditionalFormatting sqref="C721">
    <cfRule type="cellIs" rank="0" priority="2144" equalAverage="0" operator="greaterThan" aboveAverage="0" dxfId="8" text="" percent="0" bottom="0">
      <formula>0</formula>
    </cfRule>
  </conditionalFormatting>
  <conditionalFormatting sqref="G721">
    <cfRule type="cellIs" rank="0" priority="2145" equalAverage="0" operator="greaterThan" aboveAverage="0" dxfId="8" text="" percent="0" bottom="0">
      <formula>0</formula>
    </cfRule>
  </conditionalFormatting>
  <conditionalFormatting sqref="H721">
    <cfRule type="cellIs" rank="0" priority="2146" equalAverage="0" operator="greaterThan" aboveAverage="0" dxfId="8" text="" percent="0" bottom="0">
      <formula>0</formula>
    </cfRule>
  </conditionalFormatting>
  <conditionalFormatting sqref="C722">
    <cfRule type="cellIs" rank="0" priority="2147" equalAverage="0" operator="greaterThan" aboveAverage="0" dxfId="8" text="" percent="0" bottom="0">
      <formula>0</formula>
    </cfRule>
  </conditionalFormatting>
  <conditionalFormatting sqref="G722">
    <cfRule type="cellIs" rank="0" priority="2148" equalAverage="0" operator="greaterThan" aboveAverage="0" dxfId="8" text="" percent="0" bottom="0">
      <formula>0</formula>
    </cfRule>
  </conditionalFormatting>
  <conditionalFormatting sqref="H722">
    <cfRule type="cellIs" rank="0" priority="2149" equalAverage="0" operator="greaterThan" aboveAverage="0" dxfId="8" text="" percent="0" bottom="0">
      <formula>0</formula>
    </cfRule>
  </conditionalFormatting>
  <conditionalFormatting sqref="C723">
    <cfRule type="cellIs" rank="0" priority="2150" equalAverage="0" operator="greaterThan" aboveAverage="0" dxfId="8" text="" percent="0" bottom="0">
      <formula>0</formula>
    </cfRule>
  </conditionalFormatting>
  <conditionalFormatting sqref="G723">
    <cfRule type="cellIs" rank="0" priority="2151" equalAverage="0" operator="greaterThan" aboveAverage="0" dxfId="8" text="" percent="0" bottom="0">
      <formula>0</formula>
    </cfRule>
  </conditionalFormatting>
  <conditionalFormatting sqref="H723">
    <cfRule type="cellIs" rank="0" priority="2152" equalAverage="0" operator="greaterThan" aboveAverage="0" dxfId="8" text="" percent="0" bottom="0">
      <formula>0</formula>
    </cfRule>
  </conditionalFormatting>
  <conditionalFormatting sqref="C724">
    <cfRule type="cellIs" rank="0" priority="2153" equalAverage="0" operator="greaterThan" aboveAverage="0" dxfId="8" text="" percent="0" bottom="0">
      <formula>0</formula>
    </cfRule>
  </conditionalFormatting>
  <conditionalFormatting sqref="G724">
    <cfRule type="cellIs" rank="0" priority="2154" equalAverage="0" operator="greaterThan" aboveAverage="0" dxfId="8" text="" percent="0" bottom="0">
      <formula>0</formula>
    </cfRule>
  </conditionalFormatting>
  <conditionalFormatting sqref="H724">
    <cfRule type="cellIs" rank="0" priority="2155" equalAverage="0" operator="greaterThan" aboveAverage="0" dxfId="8" text="" percent="0" bottom="0">
      <formula>0</formula>
    </cfRule>
  </conditionalFormatting>
  <conditionalFormatting sqref="C725">
    <cfRule type="cellIs" rank="0" priority="2156" equalAverage="0" operator="greaterThan" aboveAverage="0" dxfId="8" text="" percent="0" bottom="0">
      <formula>0</formula>
    </cfRule>
  </conditionalFormatting>
  <conditionalFormatting sqref="G725">
    <cfRule type="cellIs" rank="0" priority="2157" equalAverage="0" operator="greaterThan" aboveAverage="0" dxfId="8" text="" percent="0" bottom="0">
      <formula>0</formula>
    </cfRule>
  </conditionalFormatting>
  <conditionalFormatting sqref="H725">
    <cfRule type="cellIs" rank="0" priority="2158" equalAverage="0" operator="greaterThan" aboveAverage="0" dxfId="8" text="" percent="0" bottom="0">
      <formula>0</formula>
    </cfRule>
  </conditionalFormatting>
  <conditionalFormatting sqref="C726">
    <cfRule type="cellIs" rank="0" priority="2159" equalAverage="0" operator="greaterThan" aboveAverage="0" dxfId="8" text="" percent="0" bottom="0">
      <formula>0</formula>
    </cfRule>
  </conditionalFormatting>
  <conditionalFormatting sqref="G726">
    <cfRule type="cellIs" rank="0" priority="2160" equalAverage="0" operator="greaterThan" aboveAverage="0" dxfId="8" text="" percent="0" bottom="0">
      <formula>0</formula>
    </cfRule>
  </conditionalFormatting>
  <conditionalFormatting sqref="H726">
    <cfRule type="cellIs" rank="0" priority="2161" equalAverage="0" operator="greaterThan" aboveAverage="0" dxfId="8" text="" percent="0" bottom="0">
      <formula>0</formula>
    </cfRule>
  </conditionalFormatting>
  <conditionalFormatting sqref="C727">
    <cfRule type="cellIs" rank="0" priority="2162" equalAverage="0" operator="greaterThan" aboveAverage="0" dxfId="8" text="" percent="0" bottom="0">
      <formula>0</formula>
    </cfRule>
  </conditionalFormatting>
  <conditionalFormatting sqref="G727">
    <cfRule type="cellIs" rank="0" priority="2163" equalAverage="0" operator="greaterThan" aboveAverage="0" dxfId="8" text="" percent="0" bottom="0">
      <formula>0</formula>
    </cfRule>
  </conditionalFormatting>
  <conditionalFormatting sqref="H727">
    <cfRule type="cellIs" rank="0" priority="2164" equalAverage="0" operator="greaterThan" aboveAverage="0" dxfId="8" text="" percent="0" bottom="0">
      <formula>0</formula>
    </cfRule>
  </conditionalFormatting>
  <conditionalFormatting sqref="C728">
    <cfRule type="cellIs" rank="0" priority="2165" equalAverage="0" operator="greaterThan" aboveAverage="0" dxfId="8" text="" percent="0" bottom="0">
      <formula>0</formula>
    </cfRule>
  </conditionalFormatting>
  <conditionalFormatting sqref="G728">
    <cfRule type="cellIs" rank="0" priority="2166" equalAverage="0" operator="greaterThan" aboveAverage="0" dxfId="8" text="" percent="0" bottom="0">
      <formula>0</formula>
    </cfRule>
  </conditionalFormatting>
  <conditionalFormatting sqref="H728">
    <cfRule type="cellIs" rank="0" priority="2167" equalAverage="0" operator="greaterThan" aboveAverage="0" dxfId="8" text="" percent="0" bottom="0">
      <formula>0</formula>
    </cfRule>
  </conditionalFormatting>
  <conditionalFormatting sqref="C729">
    <cfRule type="cellIs" rank="0" priority="2168" equalAverage="0" operator="greaterThan" aboveAverage="0" dxfId="8" text="" percent="0" bottom="0">
      <formula>0</formula>
    </cfRule>
  </conditionalFormatting>
  <conditionalFormatting sqref="G729">
    <cfRule type="cellIs" rank="0" priority="2169" equalAverage="0" operator="greaterThan" aboveAverage="0" dxfId="8" text="" percent="0" bottom="0">
      <formula>0</formula>
    </cfRule>
  </conditionalFormatting>
  <conditionalFormatting sqref="H729">
    <cfRule type="cellIs" rank="0" priority="2170" equalAverage="0" operator="greaterThan" aboveAverage="0" dxfId="8" text="" percent="0" bottom="0">
      <formula>0</formula>
    </cfRule>
  </conditionalFormatting>
  <conditionalFormatting sqref="C730">
    <cfRule type="cellIs" rank="0" priority="2171" equalAverage="0" operator="greaterThan" aboveAverage="0" dxfId="8" text="" percent="0" bottom="0">
      <formula>0</formula>
    </cfRule>
  </conditionalFormatting>
  <conditionalFormatting sqref="G730">
    <cfRule type="cellIs" rank="0" priority="2172" equalAverage="0" operator="greaterThan" aboveAverage="0" dxfId="8" text="" percent="0" bottom="0">
      <formula>0</formula>
    </cfRule>
  </conditionalFormatting>
  <conditionalFormatting sqref="H730">
    <cfRule type="cellIs" rank="0" priority="2173" equalAverage="0" operator="greaterThan" aboveAverage="0" dxfId="8" text="" percent="0" bottom="0">
      <formula>0</formula>
    </cfRule>
  </conditionalFormatting>
  <conditionalFormatting sqref="C731">
    <cfRule type="cellIs" rank="0" priority="2174" equalAverage="0" operator="greaterThan" aboveAverage="0" dxfId="8" text="" percent="0" bottom="0">
      <formula>0</formula>
    </cfRule>
  </conditionalFormatting>
  <conditionalFormatting sqref="G731">
    <cfRule type="cellIs" rank="0" priority="2175" equalAverage="0" operator="greaterThan" aboveAverage="0" dxfId="8" text="" percent="0" bottom="0">
      <formula>0</formula>
    </cfRule>
  </conditionalFormatting>
  <conditionalFormatting sqref="H731">
    <cfRule type="cellIs" rank="0" priority="2176" equalAverage="0" operator="greaterThan" aboveAverage="0" dxfId="8" text="" percent="0" bottom="0">
      <formula>0</formula>
    </cfRule>
  </conditionalFormatting>
  <conditionalFormatting sqref="C732">
    <cfRule type="cellIs" rank="0" priority="2177" equalAverage="0" operator="greaterThan" aboveAverage="0" dxfId="8" text="" percent="0" bottom="0">
      <formula>0</formula>
    </cfRule>
  </conditionalFormatting>
  <conditionalFormatting sqref="G732">
    <cfRule type="cellIs" rank="0" priority="2178" equalAverage="0" operator="greaterThan" aboveAverage="0" dxfId="8" text="" percent="0" bottom="0">
      <formula>0</formula>
    </cfRule>
  </conditionalFormatting>
  <conditionalFormatting sqref="H732">
    <cfRule type="cellIs" rank="0" priority="2179" equalAverage="0" operator="greaterThan" aboveAverage="0" dxfId="8" text="" percent="0" bottom="0">
      <formula>0</formula>
    </cfRule>
  </conditionalFormatting>
  <conditionalFormatting sqref="C733">
    <cfRule type="cellIs" rank="0" priority="2180" equalAverage="0" operator="greaterThan" aboveAverage="0" dxfId="8" text="" percent="0" bottom="0">
      <formula>0</formula>
    </cfRule>
  </conditionalFormatting>
  <conditionalFormatting sqref="G733">
    <cfRule type="cellIs" rank="0" priority="2181" equalAverage="0" operator="greaterThan" aboveAverage="0" dxfId="8" text="" percent="0" bottom="0">
      <formula>0</formula>
    </cfRule>
  </conditionalFormatting>
  <conditionalFormatting sqref="H733">
    <cfRule type="cellIs" rank="0" priority="2182" equalAverage="0" operator="greaterThan" aboveAverage="0" dxfId="8" text="" percent="0" bottom="0">
      <formula>0</formula>
    </cfRule>
  </conditionalFormatting>
  <conditionalFormatting sqref="C734">
    <cfRule type="cellIs" rank="0" priority="2183" equalAverage="0" operator="greaterThan" aboveAverage="0" dxfId="8" text="" percent="0" bottom="0">
      <formula>0</formula>
    </cfRule>
  </conditionalFormatting>
  <conditionalFormatting sqref="G734">
    <cfRule type="cellIs" rank="0" priority="2184" equalAverage="0" operator="greaterThan" aboveAverage="0" dxfId="8" text="" percent="0" bottom="0">
      <formula>0</formula>
    </cfRule>
  </conditionalFormatting>
  <conditionalFormatting sqref="H734">
    <cfRule type="cellIs" rank="0" priority="2185" equalAverage="0" operator="greaterThan" aboveAverage="0" dxfId="8" text="" percent="0" bottom="0">
      <formula>0</formula>
    </cfRule>
  </conditionalFormatting>
  <conditionalFormatting sqref="C735">
    <cfRule type="cellIs" rank="0" priority="2186" equalAverage="0" operator="greaterThan" aboveAverage="0" dxfId="8" text="" percent="0" bottom="0">
      <formula>0</formula>
    </cfRule>
  </conditionalFormatting>
  <conditionalFormatting sqref="G735">
    <cfRule type="cellIs" rank="0" priority="2187" equalAverage="0" operator="greaterThan" aboveAverage="0" dxfId="8" text="" percent="0" bottom="0">
      <formula>0</formula>
    </cfRule>
  </conditionalFormatting>
  <conditionalFormatting sqref="H735">
    <cfRule type="cellIs" rank="0" priority="2188" equalAverage="0" operator="greaterThan" aboveAverage="0" dxfId="8" text="" percent="0" bottom="0">
      <formula>0</formula>
    </cfRule>
  </conditionalFormatting>
  <conditionalFormatting sqref="C736">
    <cfRule type="cellIs" rank="0" priority="2189" equalAverage="0" operator="greaterThan" aboveAverage="0" dxfId="8" text="" percent="0" bottom="0">
      <formula>0</formula>
    </cfRule>
  </conditionalFormatting>
  <conditionalFormatting sqref="G736">
    <cfRule type="cellIs" rank="0" priority="2190" equalAverage="0" operator="greaterThan" aboveAverage="0" dxfId="8" text="" percent="0" bottom="0">
      <formula>0</formula>
    </cfRule>
  </conditionalFormatting>
  <conditionalFormatting sqref="H736">
    <cfRule type="cellIs" rank="0" priority="2191" equalAverage="0" operator="greaterThan" aboveAverage="0" dxfId="8" text="" percent="0" bottom="0">
      <formula>0</formula>
    </cfRule>
  </conditionalFormatting>
  <conditionalFormatting sqref="C737">
    <cfRule type="cellIs" rank="0" priority="2192" equalAverage="0" operator="greaterThan" aboveAverage="0" dxfId="8" text="" percent="0" bottom="0">
      <formula>0</formula>
    </cfRule>
  </conditionalFormatting>
  <conditionalFormatting sqref="G737">
    <cfRule type="cellIs" rank="0" priority="2193" equalAverage="0" operator="greaterThan" aboveAverage="0" dxfId="8" text="" percent="0" bottom="0">
      <formula>0</formula>
    </cfRule>
  </conditionalFormatting>
  <conditionalFormatting sqref="H737">
    <cfRule type="cellIs" rank="0" priority="2194" equalAverage="0" operator="greaterThan" aboveAverage="0" dxfId="8" text="" percent="0" bottom="0">
      <formula>0</formula>
    </cfRule>
  </conditionalFormatting>
  <conditionalFormatting sqref="C738">
    <cfRule type="cellIs" rank="0" priority="2195" equalAverage="0" operator="greaterThan" aboveAverage="0" dxfId="8" text="" percent="0" bottom="0">
      <formula>0</formula>
    </cfRule>
  </conditionalFormatting>
  <conditionalFormatting sqref="G738">
    <cfRule type="cellIs" rank="0" priority="2196" equalAverage="0" operator="greaterThan" aboveAverage="0" dxfId="8" text="" percent="0" bottom="0">
      <formula>0</formula>
    </cfRule>
  </conditionalFormatting>
  <conditionalFormatting sqref="H738">
    <cfRule type="cellIs" rank="0" priority="2197" equalAverage="0" operator="greaterThan" aboveAverage="0" dxfId="8" text="" percent="0" bottom="0">
      <formula>0</formula>
    </cfRule>
  </conditionalFormatting>
  <conditionalFormatting sqref="C739">
    <cfRule type="cellIs" rank="0" priority="2198" equalAverage="0" operator="greaterThan" aboveAverage="0" dxfId="8" text="" percent="0" bottom="0">
      <formula>0</formula>
    </cfRule>
  </conditionalFormatting>
  <conditionalFormatting sqref="G739">
    <cfRule type="cellIs" rank="0" priority="2199" equalAverage="0" operator="greaterThan" aboveAverage="0" dxfId="8" text="" percent="0" bottom="0">
      <formula>0</formula>
    </cfRule>
  </conditionalFormatting>
  <conditionalFormatting sqref="H739">
    <cfRule type="cellIs" rank="0" priority="2200" equalAverage="0" operator="greaterThan" aboveAverage="0" dxfId="8" text="" percent="0" bottom="0">
      <formula>0</formula>
    </cfRule>
  </conditionalFormatting>
  <conditionalFormatting sqref="C740">
    <cfRule type="cellIs" rank="0" priority="2201" equalAverage="0" operator="greaterThan" aboveAverage="0" dxfId="8" text="" percent="0" bottom="0">
      <formula>0</formula>
    </cfRule>
  </conditionalFormatting>
  <conditionalFormatting sqref="G740">
    <cfRule type="cellIs" rank="0" priority="2202" equalAverage="0" operator="greaterThan" aboveAverage="0" dxfId="8" text="" percent="0" bottom="0">
      <formula>0</formula>
    </cfRule>
  </conditionalFormatting>
  <conditionalFormatting sqref="H740">
    <cfRule type="cellIs" rank="0" priority="2203" equalAverage="0" operator="greaterThan" aboveAverage="0" dxfId="8" text="" percent="0" bottom="0">
      <formula>0</formula>
    </cfRule>
  </conditionalFormatting>
  <conditionalFormatting sqref="C741">
    <cfRule type="cellIs" rank="0" priority="2204" equalAverage="0" operator="greaterThan" aboveAverage="0" dxfId="8" text="" percent="0" bottom="0">
      <formula>0</formula>
    </cfRule>
  </conditionalFormatting>
  <conditionalFormatting sqref="G741">
    <cfRule type="cellIs" rank="0" priority="2205" equalAverage="0" operator="greaterThan" aboveAverage="0" dxfId="8" text="" percent="0" bottom="0">
      <formula>0</formula>
    </cfRule>
  </conditionalFormatting>
  <conditionalFormatting sqref="H741">
    <cfRule type="cellIs" rank="0" priority="2206" equalAverage="0" operator="greaterThan" aboveAverage="0" dxfId="8" text="" percent="0" bottom="0">
      <formula>0</formula>
    </cfRule>
  </conditionalFormatting>
  <conditionalFormatting sqref="C742">
    <cfRule type="cellIs" rank="0" priority="2207" equalAverage="0" operator="greaterThan" aboveAverage="0" dxfId="8" text="" percent="0" bottom="0">
      <formula>0</formula>
    </cfRule>
  </conditionalFormatting>
  <conditionalFormatting sqref="G742">
    <cfRule type="cellIs" rank="0" priority="2208" equalAverage="0" operator="greaterThan" aboveAverage="0" dxfId="8" text="" percent="0" bottom="0">
      <formula>0</formula>
    </cfRule>
  </conditionalFormatting>
  <conditionalFormatting sqref="H742">
    <cfRule type="cellIs" rank="0" priority="2209" equalAverage="0" operator="greaterThan" aboveAverage="0" dxfId="8" text="" percent="0" bottom="0">
      <formula>0</formula>
    </cfRule>
  </conditionalFormatting>
  <conditionalFormatting sqref="C743">
    <cfRule type="cellIs" rank="0" priority="2210" equalAverage="0" operator="greaterThan" aboveAverage="0" dxfId="8" text="" percent="0" bottom="0">
      <formula>0</formula>
    </cfRule>
  </conditionalFormatting>
  <conditionalFormatting sqref="G743">
    <cfRule type="cellIs" rank="0" priority="2211" equalAverage="0" operator="greaterThan" aboveAverage="0" dxfId="8" text="" percent="0" bottom="0">
      <formula>0</formula>
    </cfRule>
  </conditionalFormatting>
  <conditionalFormatting sqref="H743">
    <cfRule type="cellIs" rank="0" priority="2212" equalAverage="0" operator="greaterThan" aboveAverage="0" dxfId="8" text="" percent="0" bottom="0">
      <formula>0</formula>
    </cfRule>
  </conditionalFormatting>
  <conditionalFormatting sqref="C744">
    <cfRule type="cellIs" rank="0" priority="2213" equalAverage="0" operator="greaterThan" aboveAverage="0" dxfId="8" text="" percent="0" bottom="0">
      <formula>0</formula>
    </cfRule>
  </conditionalFormatting>
  <conditionalFormatting sqref="G744">
    <cfRule type="cellIs" rank="0" priority="2214" equalAverage="0" operator="greaterThan" aboveAverage="0" dxfId="8" text="" percent="0" bottom="0">
      <formula>0</formula>
    </cfRule>
  </conditionalFormatting>
  <conditionalFormatting sqref="H744">
    <cfRule type="cellIs" rank="0" priority="2215" equalAverage="0" operator="greaterThan" aboveAverage="0" dxfId="8" text="" percent="0" bottom="0">
      <formula>0</formula>
    </cfRule>
  </conditionalFormatting>
  <conditionalFormatting sqref="C745">
    <cfRule type="cellIs" rank="0" priority="2216" equalAverage="0" operator="greaterThan" aboveAverage="0" dxfId="8" text="" percent="0" bottom="0">
      <formula>0</formula>
    </cfRule>
  </conditionalFormatting>
  <conditionalFormatting sqref="G745">
    <cfRule type="cellIs" rank="0" priority="2217" equalAverage="0" operator="greaterThan" aboveAverage="0" dxfId="8" text="" percent="0" bottom="0">
      <formula>0</formula>
    </cfRule>
  </conditionalFormatting>
  <conditionalFormatting sqref="H745">
    <cfRule type="cellIs" rank="0" priority="2218" equalAverage="0" operator="greaterThan" aboveAverage="0" dxfId="8" text="" percent="0" bottom="0">
      <formula>0</formula>
    </cfRule>
  </conditionalFormatting>
  <conditionalFormatting sqref="C746">
    <cfRule type="cellIs" rank="0" priority="2219" equalAverage="0" operator="greaterThan" aboveAverage="0" dxfId="8" text="" percent="0" bottom="0">
      <formula>0</formula>
    </cfRule>
  </conditionalFormatting>
  <conditionalFormatting sqref="G746">
    <cfRule type="cellIs" rank="0" priority="2220" equalAverage="0" operator="greaterThan" aboveAverage="0" dxfId="8" text="" percent="0" bottom="0">
      <formula>0</formula>
    </cfRule>
  </conditionalFormatting>
  <conditionalFormatting sqref="H746">
    <cfRule type="cellIs" rank="0" priority="2221" equalAverage="0" operator="greaterThan" aboveAverage="0" dxfId="8" text="" percent="0" bottom="0">
      <formula>0</formula>
    </cfRule>
  </conditionalFormatting>
  <conditionalFormatting sqref="C747">
    <cfRule type="cellIs" rank="0" priority="2222" equalAverage="0" operator="greaterThan" aboveAverage="0" dxfId="8" text="" percent="0" bottom="0">
      <formula>0</formula>
    </cfRule>
  </conditionalFormatting>
  <conditionalFormatting sqref="G747">
    <cfRule type="cellIs" rank="0" priority="2223" equalAverage="0" operator="greaterThan" aboveAverage="0" dxfId="8" text="" percent="0" bottom="0">
      <formula>0</formula>
    </cfRule>
  </conditionalFormatting>
  <conditionalFormatting sqref="H747">
    <cfRule type="cellIs" rank="0" priority="2224" equalAverage="0" operator="greaterThan" aboveAverage="0" dxfId="8" text="" percent="0" bottom="0">
      <formula>0</formula>
    </cfRule>
  </conditionalFormatting>
  <conditionalFormatting sqref="C748">
    <cfRule type="cellIs" rank="0" priority="2225" equalAverage="0" operator="greaterThan" aboveAverage="0" dxfId="8" text="" percent="0" bottom="0">
      <formula>0</formula>
    </cfRule>
  </conditionalFormatting>
  <conditionalFormatting sqref="G748">
    <cfRule type="cellIs" rank="0" priority="2226" equalAverage="0" operator="greaterThan" aboveAverage="0" dxfId="8" text="" percent="0" bottom="0">
      <formula>0</formula>
    </cfRule>
  </conditionalFormatting>
  <conditionalFormatting sqref="H748">
    <cfRule type="cellIs" rank="0" priority="2227" equalAverage="0" operator="greaterThan" aboveAverage="0" dxfId="8" text="" percent="0" bottom="0">
      <formula>0</formula>
    </cfRule>
  </conditionalFormatting>
  <conditionalFormatting sqref="C749">
    <cfRule type="cellIs" rank="0" priority="2228" equalAverage="0" operator="greaterThan" aboveAverage="0" dxfId="8" text="" percent="0" bottom="0">
      <formula>0</formula>
    </cfRule>
  </conditionalFormatting>
  <conditionalFormatting sqref="G749">
    <cfRule type="cellIs" rank="0" priority="2229" equalAverage="0" operator="greaterThan" aboveAverage="0" dxfId="8" text="" percent="0" bottom="0">
      <formula>0</formula>
    </cfRule>
  </conditionalFormatting>
  <conditionalFormatting sqref="H749">
    <cfRule type="cellIs" rank="0" priority="2230" equalAverage="0" operator="greaterThan" aboveAverage="0" dxfId="8" text="" percent="0" bottom="0">
      <formula>0</formula>
    </cfRule>
  </conditionalFormatting>
  <conditionalFormatting sqref="C750">
    <cfRule type="cellIs" rank="0" priority="2231" equalAverage="0" operator="greaterThan" aboveAverage="0" dxfId="8" text="" percent="0" bottom="0">
      <formula>0</formula>
    </cfRule>
  </conditionalFormatting>
  <conditionalFormatting sqref="G750">
    <cfRule type="cellIs" rank="0" priority="2232" equalAverage="0" operator="greaterThan" aboveAverage="0" dxfId="8" text="" percent="0" bottom="0">
      <formula>0</formula>
    </cfRule>
  </conditionalFormatting>
  <conditionalFormatting sqref="H750">
    <cfRule type="cellIs" rank="0" priority="2233" equalAverage="0" operator="greaterThan" aboveAverage="0" dxfId="8" text="" percent="0" bottom="0">
      <formula>0</formula>
    </cfRule>
  </conditionalFormatting>
  <conditionalFormatting sqref="C751">
    <cfRule type="cellIs" rank="0" priority="2234" equalAverage="0" operator="greaterThan" aboveAverage="0" dxfId="8" text="" percent="0" bottom="0">
      <formula>0</formula>
    </cfRule>
  </conditionalFormatting>
  <conditionalFormatting sqref="G751">
    <cfRule type="cellIs" rank="0" priority="2235" equalAverage="0" operator="greaterThan" aboveAverage="0" dxfId="8" text="" percent="0" bottom="0">
      <formula>0</formula>
    </cfRule>
  </conditionalFormatting>
  <conditionalFormatting sqref="H751">
    <cfRule type="cellIs" rank="0" priority="2236" equalAverage="0" operator="greaterThan" aboveAverage="0" dxfId="8" text="" percent="0" bottom="0">
      <formula>0</formula>
    </cfRule>
  </conditionalFormatting>
  <conditionalFormatting sqref="C752">
    <cfRule type="cellIs" rank="0" priority="2237" equalAverage="0" operator="greaterThan" aboveAverage="0" dxfId="8" text="" percent="0" bottom="0">
      <formula>0</formula>
    </cfRule>
  </conditionalFormatting>
  <conditionalFormatting sqref="G752">
    <cfRule type="cellIs" rank="0" priority="2238" equalAverage="0" operator="greaterThan" aboveAverage="0" dxfId="8" text="" percent="0" bottom="0">
      <formula>0</formula>
    </cfRule>
  </conditionalFormatting>
  <conditionalFormatting sqref="H752">
    <cfRule type="cellIs" rank="0" priority="2239" equalAverage="0" operator="greaterThan" aboveAverage="0" dxfId="8" text="" percent="0" bottom="0">
      <formula>0</formula>
    </cfRule>
  </conditionalFormatting>
  <conditionalFormatting sqref="C753">
    <cfRule type="cellIs" rank="0" priority="2240" equalAverage="0" operator="greaterThan" aboveAverage="0" dxfId="8" text="" percent="0" bottom="0">
      <formula>0</formula>
    </cfRule>
  </conditionalFormatting>
  <conditionalFormatting sqref="G753">
    <cfRule type="cellIs" rank="0" priority="2241" equalAverage="0" operator="greaterThan" aboveAverage="0" dxfId="8" text="" percent="0" bottom="0">
      <formula>0</formula>
    </cfRule>
  </conditionalFormatting>
  <conditionalFormatting sqref="H753">
    <cfRule type="cellIs" rank="0" priority="2242" equalAverage="0" operator="greaterThan" aboveAverage="0" dxfId="8" text="" percent="0" bottom="0">
      <formula>0</formula>
    </cfRule>
  </conditionalFormatting>
  <conditionalFormatting sqref="C754">
    <cfRule type="cellIs" rank="0" priority="2243" equalAverage="0" operator="greaterThan" aboveAverage="0" dxfId="8" text="" percent="0" bottom="0">
      <formula>0</formula>
    </cfRule>
  </conditionalFormatting>
  <conditionalFormatting sqref="G754">
    <cfRule type="cellIs" rank="0" priority="2244" equalAverage="0" operator="greaterThan" aboveAverage="0" dxfId="8" text="" percent="0" bottom="0">
      <formula>0</formula>
    </cfRule>
  </conditionalFormatting>
  <conditionalFormatting sqref="H754">
    <cfRule type="cellIs" rank="0" priority="2245" equalAverage="0" operator="greaterThan" aboveAverage="0" dxfId="8" text="" percent="0" bottom="0">
      <formula>0</formula>
    </cfRule>
  </conditionalFormatting>
  <conditionalFormatting sqref="C755">
    <cfRule type="cellIs" rank="0" priority="2246" equalAverage="0" operator="greaterThan" aboveAverage="0" dxfId="8" text="" percent="0" bottom="0">
      <formula>0</formula>
    </cfRule>
  </conditionalFormatting>
  <conditionalFormatting sqref="G755">
    <cfRule type="cellIs" rank="0" priority="2247" equalAverage="0" operator="greaterThan" aboveAverage="0" dxfId="8" text="" percent="0" bottom="0">
      <formula>0</formula>
    </cfRule>
  </conditionalFormatting>
  <conditionalFormatting sqref="H755">
    <cfRule type="cellIs" rank="0" priority="2248" equalAverage="0" operator="greaterThan" aboveAverage="0" dxfId="8" text="" percent="0" bottom="0">
      <formula>0</formula>
    </cfRule>
  </conditionalFormatting>
  <conditionalFormatting sqref="C756">
    <cfRule type="cellIs" rank="0" priority="2249" equalAverage="0" operator="greaterThan" aboveAverage="0" dxfId="8" text="" percent="0" bottom="0">
      <formula>0</formula>
    </cfRule>
  </conditionalFormatting>
  <conditionalFormatting sqref="G756">
    <cfRule type="cellIs" rank="0" priority="2250" equalAverage="0" operator="greaterThan" aboveAverage="0" dxfId="8" text="" percent="0" bottom="0">
      <formula>0</formula>
    </cfRule>
  </conditionalFormatting>
  <conditionalFormatting sqref="H756">
    <cfRule type="cellIs" rank="0" priority="2251" equalAverage="0" operator="greaterThan" aboveAverage="0" dxfId="8" text="" percent="0" bottom="0">
      <formula>0</formula>
    </cfRule>
  </conditionalFormatting>
  <conditionalFormatting sqref="C757">
    <cfRule type="cellIs" rank="0" priority="2252" equalAverage="0" operator="greaterThan" aboveAverage="0" dxfId="8" text="" percent="0" bottom="0">
      <formula>0</formula>
    </cfRule>
  </conditionalFormatting>
  <conditionalFormatting sqref="G757">
    <cfRule type="cellIs" rank="0" priority="2253" equalAverage="0" operator="greaterThan" aboveAverage="0" dxfId="8" text="" percent="0" bottom="0">
      <formula>0</formula>
    </cfRule>
  </conditionalFormatting>
  <conditionalFormatting sqref="H757">
    <cfRule type="cellIs" rank="0" priority="2254" equalAverage="0" operator="greaterThan" aboveAverage="0" dxfId="8" text="" percent="0" bottom="0">
      <formula>0</formula>
    </cfRule>
  </conditionalFormatting>
  <conditionalFormatting sqref="C758">
    <cfRule type="cellIs" rank="0" priority="2255" equalAverage="0" operator="greaterThan" aboveAverage="0" dxfId="8" text="" percent="0" bottom="0">
      <formula>0</formula>
    </cfRule>
  </conditionalFormatting>
  <conditionalFormatting sqref="G758">
    <cfRule type="cellIs" rank="0" priority="2256" equalAverage="0" operator="greaterThan" aboveAverage="0" dxfId="8" text="" percent="0" bottom="0">
      <formula>0</formula>
    </cfRule>
  </conditionalFormatting>
  <conditionalFormatting sqref="H758">
    <cfRule type="cellIs" rank="0" priority="2257" equalAverage="0" operator="greaterThan" aboveAverage="0" dxfId="8" text="" percent="0" bottom="0">
      <formula>0</formula>
    </cfRule>
  </conditionalFormatting>
  <conditionalFormatting sqref="C759">
    <cfRule type="cellIs" rank="0" priority="2258" equalAverage="0" operator="greaterThan" aboveAverage="0" dxfId="8" text="" percent="0" bottom="0">
      <formula>0</formula>
    </cfRule>
  </conditionalFormatting>
  <conditionalFormatting sqref="G759">
    <cfRule type="cellIs" rank="0" priority="2259" equalAverage="0" operator="greaterThan" aboveAverage="0" dxfId="8" text="" percent="0" bottom="0">
      <formula>0</formula>
    </cfRule>
  </conditionalFormatting>
  <conditionalFormatting sqref="H759">
    <cfRule type="cellIs" rank="0" priority="2260" equalAverage="0" operator="greaterThan" aboveAverage="0" dxfId="8" text="" percent="0" bottom="0">
      <formula>0</formula>
    </cfRule>
  </conditionalFormatting>
  <conditionalFormatting sqref="C760">
    <cfRule type="cellIs" rank="0" priority="2261" equalAverage="0" operator="greaterThan" aboveAverage="0" dxfId="8" text="" percent="0" bottom="0">
      <formula>0</formula>
    </cfRule>
  </conditionalFormatting>
  <conditionalFormatting sqref="G760">
    <cfRule type="cellIs" rank="0" priority="2262" equalAverage="0" operator="greaterThan" aboveAverage="0" dxfId="8" text="" percent="0" bottom="0">
      <formula>0</formula>
    </cfRule>
  </conditionalFormatting>
  <conditionalFormatting sqref="H760">
    <cfRule type="cellIs" rank="0" priority="2263" equalAverage="0" operator="greaterThan" aboveAverage="0" dxfId="8" text="" percent="0" bottom="0">
      <formula>0</formula>
    </cfRule>
  </conditionalFormatting>
  <conditionalFormatting sqref="C761">
    <cfRule type="cellIs" rank="0" priority="2264" equalAverage="0" operator="greaterThan" aboveAverage="0" dxfId="8" text="" percent="0" bottom="0">
      <formula>0</formula>
    </cfRule>
  </conditionalFormatting>
  <conditionalFormatting sqref="G761">
    <cfRule type="cellIs" rank="0" priority="2265" equalAverage="0" operator="greaterThan" aboveAverage="0" dxfId="8" text="" percent="0" bottom="0">
      <formula>0</formula>
    </cfRule>
  </conditionalFormatting>
  <conditionalFormatting sqref="H761">
    <cfRule type="cellIs" rank="0" priority="2266" equalAverage="0" operator="greaterThan" aboveAverage="0" dxfId="8" text="" percent="0" bottom="0">
      <formula>0</formula>
    </cfRule>
  </conditionalFormatting>
  <conditionalFormatting sqref="C762">
    <cfRule type="cellIs" rank="0" priority="2267" equalAverage="0" operator="greaterThan" aboveAverage="0" dxfId="8" text="" percent="0" bottom="0">
      <formula>0</formula>
    </cfRule>
  </conditionalFormatting>
  <conditionalFormatting sqref="G762">
    <cfRule type="cellIs" rank="0" priority="2268" equalAverage="0" operator="greaterThan" aboveAverage="0" dxfId="8" text="" percent="0" bottom="0">
      <formula>0</formula>
    </cfRule>
  </conditionalFormatting>
  <conditionalFormatting sqref="H762">
    <cfRule type="cellIs" rank="0" priority="2269" equalAverage="0" operator="greaterThan" aboveAverage="0" dxfId="8" text="" percent="0" bottom="0">
      <formula>0</formula>
    </cfRule>
  </conditionalFormatting>
  <conditionalFormatting sqref="C763">
    <cfRule type="cellIs" rank="0" priority="2270" equalAverage="0" operator="greaterThan" aboveAverage="0" dxfId="8" text="" percent="0" bottom="0">
      <formula>0</formula>
    </cfRule>
  </conditionalFormatting>
  <conditionalFormatting sqref="G763">
    <cfRule type="cellIs" rank="0" priority="2271" equalAverage="0" operator="greaterThan" aboveAverage="0" dxfId="8" text="" percent="0" bottom="0">
      <formula>0</formula>
    </cfRule>
  </conditionalFormatting>
  <conditionalFormatting sqref="H763">
    <cfRule type="cellIs" rank="0" priority="2272" equalAverage="0" operator="greaterThan" aboveAverage="0" dxfId="8" text="" percent="0" bottom="0">
      <formula>0</formula>
    </cfRule>
  </conditionalFormatting>
  <conditionalFormatting sqref="C764">
    <cfRule type="cellIs" rank="0" priority="2273" equalAverage="0" operator="greaterThan" aboveAverage="0" dxfId="8" text="" percent="0" bottom="0">
      <formula>0</formula>
    </cfRule>
  </conditionalFormatting>
  <conditionalFormatting sqref="G764">
    <cfRule type="cellIs" rank="0" priority="2274" equalAverage="0" operator="greaterThan" aboveAverage="0" dxfId="8" text="" percent="0" bottom="0">
      <formula>0</formula>
    </cfRule>
  </conditionalFormatting>
  <conditionalFormatting sqref="H764">
    <cfRule type="cellIs" rank="0" priority="2275" equalAverage="0" operator="greaterThan" aboveAverage="0" dxfId="8" text="" percent="0" bottom="0">
      <formula>0</formula>
    </cfRule>
  </conditionalFormatting>
  <conditionalFormatting sqref="C765">
    <cfRule type="cellIs" rank="0" priority="2276" equalAverage="0" operator="greaterThan" aboveAverage="0" dxfId="8" text="" percent="0" bottom="0">
      <formula>0</formula>
    </cfRule>
  </conditionalFormatting>
  <conditionalFormatting sqref="G765">
    <cfRule type="cellIs" rank="0" priority="2277" equalAverage="0" operator="greaterThan" aboveAverage="0" dxfId="8" text="" percent="0" bottom="0">
      <formula>0</formula>
    </cfRule>
  </conditionalFormatting>
  <conditionalFormatting sqref="H765">
    <cfRule type="cellIs" rank="0" priority="2278" equalAverage="0" operator="greaterThan" aboveAverage="0" dxfId="8" text="" percent="0" bottom="0">
      <formula>0</formula>
    </cfRule>
  </conditionalFormatting>
  <conditionalFormatting sqref="C766">
    <cfRule type="cellIs" rank="0" priority="2279" equalAverage="0" operator="greaterThan" aboveAverage="0" dxfId="8" text="" percent="0" bottom="0">
      <formula>0</formula>
    </cfRule>
  </conditionalFormatting>
  <conditionalFormatting sqref="G766">
    <cfRule type="cellIs" rank="0" priority="2280" equalAverage="0" operator="greaterThan" aboveAverage="0" dxfId="8" text="" percent="0" bottom="0">
      <formula>0</formula>
    </cfRule>
  </conditionalFormatting>
  <conditionalFormatting sqref="H766">
    <cfRule type="cellIs" rank="0" priority="2281" equalAverage="0" operator="greaterThan" aboveAverage="0" dxfId="8" text="" percent="0" bottom="0">
      <formula>0</formula>
    </cfRule>
  </conditionalFormatting>
  <conditionalFormatting sqref="C767">
    <cfRule type="cellIs" rank="0" priority="2282" equalAverage="0" operator="greaterThan" aboveAverage="0" dxfId="8" text="" percent="0" bottom="0">
      <formula>0</formula>
    </cfRule>
  </conditionalFormatting>
  <conditionalFormatting sqref="G767">
    <cfRule type="cellIs" rank="0" priority="2283" equalAverage="0" operator="greaterThan" aboveAverage="0" dxfId="8" text="" percent="0" bottom="0">
      <formula>0</formula>
    </cfRule>
  </conditionalFormatting>
  <conditionalFormatting sqref="H767">
    <cfRule type="cellIs" rank="0" priority="2284" equalAverage="0" operator="greaterThan" aboveAverage="0" dxfId="8" text="" percent="0" bottom="0">
      <formula>0</formula>
    </cfRule>
  </conditionalFormatting>
  <conditionalFormatting sqref="C768">
    <cfRule type="cellIs" rank="0" priority="2285" equalAverage="0" operator="greaterThan" aboveAverage="0" dxfId="8" text="" percent="0" bottom="0">
      <formula>0</formula>
    </cfRule>
  </conditionalFormatting>
  <conditionalFormatting sqref="G768">
    <cfRule type="cellIs" rank="0" priority="2286" equalAverage="0" operator="greaterThan" aboveAverage="0" dxfId="8" text="" percent="0" bottom="0">
      <formula>0</formula>
    </cfRule>
  </conditionalFormatting>
  <conditionalFormatting sqref="H768">
    <cfRule type="cellIs" rank="0" priority="2287" equalAverage="0" operator="greaterThan" aboveAverage="0" dxfId="8" text="" percent="0" bottom="0">
      <formula>0</formula>
    </cfRule>
  </conditionalFormatting>
  <conditionalFormatting sqref="C769">
    <cfRule type="cellIs" rank="0" priority="2288" equalAverage="0" operator="greaterThan" aboveAverage="0" dxfId="8" text="" percent="0" bottom="0">
      <formula>0</formula>
    </cfRule>
  </conditionalFormatting>
  <conditionalFormatting sqref="G769">
    <cfRule type="cellIs" rank="0" priority="2289" equalAverage="0" operator="greaterThan" aboveAverage="0" dxfId="8" text="" percent="0" bottom="0">
      <formula>0</formula>
    </cfRule>
  </conditionalFormatting>
  <conditionalFormatting sqref="H769">
    <cfRule type="cellIs" rank="0" priority="2290" equalAverage="0" operator="greaterThan" aboveAverage="0" dxfId="8" text="" percent="0" bottom="0">
      <formula>0</formula>
    </cfRule>
  </conditionalFormatting>
  <conditionalFormatting sqref="C770">
    <cfRule type="cellIs" rank="0" priority="2291" equalAverage="0" operator="greaterThan" aboveAverage="0" dxfId="8" text="" percent="0" bottom="0">
      <formula>0</formula>
    </cfRule>
  </conditionalFormatting>
  <conditionalFormatting sqref="G770">
    <cfRule type="cellIs" rank="0" priority="2292" equalAverage="0" operator="greaterThan" aboveAverage="0" dxfId="8" text="" percent="0" bottom="0">
      <formula>0</formula>
    </cfRule>
  </conditionalFormatting>
  <conditionalFormatting sqref="H770">
    <cfRule type="cellIs" rank="0" priority="2293" equalAverage="0" operator="greaterThan" aboveAverage="0" dxfId="8" text="" percent="0" bottom="0">
      <formula>0</formula>
    </cfRule>
  </conditionalFormatting>
  <conditionalFormatting sqref="C771">
    <cfRule type="cellIs" rank="0" priority="2294" equalAverage="0" operator="greaterThan" aboveAverage="0" dxfId="8" text="" percent="0" bottom="0">
      <formula>0</formula>
    </cfRule>
  </conditionalFormatting>
  <conditionalFormatting sqref="G771">
    <cfRule type="cellIs" rank="0" priority="2295" equalAverage="0" operator="greaterThan" aboveAverage="0" dxfId="8" text="" percent="0" bottom="0">
      <formula>0</formula>
    </cfRule>
  </conditionalFormatting>
  <conditionalFormatting sqref="H771">
    <cfRule type="cellIs" rank="0" priority="2296" equalAverage="0" operator="greaterThan" aboveAverage="0" dxfId="8" text="" percent="0" bottom="0">
      <formula>0</formula>
    </cfRule>
  </conditionalFormatting>
  <conditionalFormatting sqref="C772">
    <cfRule type="cellIs" rank="0" priority="2297" equalAverage="0" operator="greaterThan" aboveAverage="0" dxfId="8" text="" percent="0" bottom="0">
      <formula>0</formula>
    </cfRule>
  </conditionalFormatting>
  <conditionalFormatting sqref="G772">
    <cfRule type="cellIs" rank="0" priority="2298" equalAverage="0" operator="greaterThan" aboveAverage="0" dxfId="8" text="" percent="0" bottom="0">
      <formula>0</formula>
    </cfRule>
  </conditionalFormatting>
  <conditionalFormatting sqref="H772">
    <cfRule type="cellIs" rank="0" priority="2299" equalAverage="0" operator="greaterThan" aboveAverage="0" dxfId="8" text="" percent="0" bottom="0">
      <formula>0</formula>
    </cfRule>
  </conditionalFormatting>
  <conditionalFormatting sqref="C773">
    <cfRule type="cellIs" rank="0" priority="2300" equalAverage="0" operator="greaterThan" aboveAverage="0" dxfId="8" text="" percent="0" bottom="0">
      <formula>0</formula>
    </cfRule>
  </conditionalFormatting>
  <conditionalFormatting sqref="G773">
    <cfRule type="cellIs" rank="0" priority="2301" equalAverage="0" operator="greaterThan" aboveAverage="0" dxfId="8" text="" percent="0" bottom="0">
      <formula>0</formula>
    </cfRule>
  </conditionalFormatting>
  <conditionalFormatting sqref="H773">
    <cfRule type="cellIs" rank="0" priority="2302" equalAverage="0" operator="greaterThan" aboveAverage="0" dxfId="8" text="" percent="0" bottom="0">
      <formula>0</formula>
    </cfRule>
  </conditionalFormatting>
  <conditionalFormatting sqref="C774">
    <cfRule type="cellIs" rank="0" priority="2303" equalAverage="0" operator="greaterThan" aboveAverage="0" dxfId="8" text="" percent="0" bottom="0">
      <formula>0</formula>
    </cfRule>
  </conditionalFormatting>
  <conditionalFormatting sqref="G774">
    <cfRule type="cellIs" rank="0" priority="2304" equalAverage="0" operator="greaterThan" aboveAverage="0" dxfId="8" text="" percent="0" bottom="0">
      <formula>0</formula>
    </cfRule>
  </conditionalFormatting>
  <conditionalFormatting sqref="H774">
    <cfRule type="cellIs" rank="0" priority="2305" equalAverage="0" operator="greaterThan" aboveAverage="0" dxfId="8" text="" percent="0" bottom="0">
      <formula>0</formula>
    </cfRule>
  </conditionalFormatting>
  <conditionalFormatting sqref="C775">
    <cfRule type="cellIs" rank="0" priority="2306" equalAverage="0" operator="greaterThan" aboveAverage="0" dxfId="8" text="" percent="0" bottom="0">
      <formula>0</formula>
    </cfRule>
  </conditionalFormatting>
  <conditionalFormatting sqref="G775">
    <cfRule type="cellIs" rank="0" priority="2307" equalAverage="0" operator="greaterThan" aboveAverage="0" dxfId="8" text="" percent="0" bottom="0">
      <formula>0</formula>
    </cfRule>
  </conditionalFormatting>
  <conditionalFormatting sqref="H775">
    <cfRule type="cellIs" rank="0" priority="2308" equalAverage="0" operator="greaterThan" aboveAverage="0" dxfId="8" text="" percent="0" bottom="0">
      <formula>0</formula>
    </cfRule>
  </conditionalFormatting>
  <conditionalFormatting sqref="C776">
    <cfRule type="cellIs" rank="0" priority="2309" equalAverage="0" operator="greaterThan" aboveAverage="0" dxfId="8" text="" percent="0" bottom="0">
      <formula>0</formula>
    </cfRule>
  </conditionalFormatting>
  <conditionalFormatting sqref="G776">
    <cfRule type="cellIs" rank="0" priority="2310" equalAverage="0" operator="greaterThan" aboveAverage="0" dxfId="8" text="" percent="0" bottom="0">
      <formula>0</formula>
    </cfRule>
  </conditionalFormatting>
  <conditionalFormatting sqref="H776">
    <cfRule type="cellIs" rank="0" priority="2311" equalAverage="0" operator="greaterThan" aboveAverage="0" dxfId="8" text="" percent="0" bottom="0">
      <formula>0</formula>
    </cfRule>
  </conditionalFormatting>
  <conditionalFormatting sqref="C777">
    <cfRule type="cellIs" rank="0" priority="2312" equalAverage="0" operator="greaterThan" aboveAverage="0" dxfId="8" text="" percent="0" bottom="0">
      <formula>0</formula>
    </cfRule>
  </conditionalFormatting>
  <conditionalFormatting sqref="G777">
    <cfRule type="cellIs" rank="0" priority="2313" equalAverage="0" operator="greaterThan" aboveAverage="0" dxfId="8" text="" percent="0" bottom="0">
      <formula>0</formula>
    </cfRule>
  </conditionalFormatting>
  <conditionalFormatting sqref="H777">
    <cfRule type="cellIs" rank="0" priority="2314" equalAverage="0" operator="greaterThan" aboveAverage="0" dxfId="8" text="" percent="0" bottom="0">
      <formula>0</formula>
    </cfRule>
  </conditionalFormatting>
  <conditionalFormatting sqref="C778">
    <cfRule type="cellIs" rank="0" priority="2315" equalAverage="0" operator="greaterThan" aboveAverage="0" dxfId="8" text="" percent="0" bottom="0">
      <formula>0</formula>
    </cfRule>
  </conditionalFormatting>
  <conditionalFormatting sqref="G778">
    <cfRule type="cellIs" rank="0" priority="2316" equalAverage="0" operator="greaterThan" aboveAverage="0" dxfId="8" text="" percent="0" bottom="0">
      <formula>0</formula>
    </cfRule>
  </conditionalFormatting>
  <conditionalFormatting sqref="H778">
    <cfRule type="cellIs" rank="0" priority="2317" equalAverage="0" operator="greaterThan" aboveAverage="0" dxfId="8" text="" percent="0" bottom="0">
      <formula>0</formula>
    </cfRule>
  </conditionalFormatting>
  <conditionalFormatting sqref="C779">
    <cfRule type="cellIs" rank="0" priority="2318" equalAverage="0" operator="greaterThan" aboveAverage="0" dxfId="8" text="" percent="0" bottom="0">
      <formula>0</formula>
    </cfRule>
  </conditionalFormatting>
  <conditionalFormatting sqref="G779">
    <cfRule type="cellIs" rank="0" priority="2319" equalAverage="0" operator="greaterThan" aboveAverage="0" dxfId="8" text="" percent="0" bottom="0">
      <formula>0</formula>
    </cfRule>
  </conditionalFormatting>
  <conditionalFormatting sqref="H779">
    <cfRule type="cellIs" rank="0" priority="2320" equalAverage="0" operator="greaterThan" aboveAverage="0" dxfId="8" text="" percent="0" bottom="0">
      <formula>0</formula>
    </cfRule>
  </conditionalFormatting>
  <conditionalFormatting sqref="C780">
    <cfRule type="cellIs" rank="0" priority="2321" equalAverage="0" operator="greaterThan" aboveAverage="0" dxfId="8" text="" percent="0" bottom="0">
      <formula>0</formula>
    </cfRule>
  </conditionalFormatting>
  <conditionalFormatting sqref="G780">
    <cfRule type="cellIs" rank="0" priority="2322" equalAverage="0" operator="greaterThan" aboveAverage="0" dxfId="8" text="" percent="0" bottom="0">
      <formula>0</formula>
    </cfRule>
  </conditionalFormatting>
  <conditionalFormatting sqref="H780">
    <cfRule type="cellIs" rank="0" priority="2323" equalAverage="0" operator="greaterThan" aboveAverage="0" dxfId="8" text="" percent="0" bottom="0">
      <formula>0</formula>
    </cfRule>
  </conditionalFormatting>
  <conditionalFormatting sqref="C781">
    <cfRule type="cellIs" rank="0" priority="2324" equalAverage="0" operator="greaterThan" aboveAverage="0" dxfId="8" text="" percent="0" bottom="0">
      <formula>0</formula>
    </cfRule>
  </conditionalFormatting>
  <conditionalFormatting sqref="G781">
    <cfRule type="cellIs" rank="0" priority="2325" equalAverage="0" operator="greaterThan" aboveAverage="0" dxfId="8" text="" percent="0" bottom="0">
      <formula>0</formula>
    </cfRule>
  </conditionalFormatting>
  <conditionalFormatting sqref="H781">
    <cfRule type="cellIs" rank="0" priority="2326" equalAverage="0" operator="greaterThan" aboveAverage="0" dxfId="8" text="" percent="0" bottom="0">
      <formula>0</formula>
    </cfRule>
  </conditionalFormatting>
  <conditionalFormatting sqref="C782">
    <cfRule type="cellIs" rank="0" priority="2327" equalAverage="0" operator="greaterThan" aboveAverage="0" dxfId="8" text="" percent="0" bottom="0">
      <formula>0</formula>
    </cfRule>
  </conditionalFormatting>
  <conditionalFormatting sqref="G782">
    <cfRule type="cellIs" rank="0" priority="2328" equalAverage="0" operator="greaterThan" aboveAverage="0" dxfId="8" text="" percent="0" bottom="0">
      <formula>0</formula>
    </cfRule>
  </conditionalFormatting>
  <conditionalFormatting sqref="H782">
    <cfRule type="cellIs" rank="0" priority="2329" equalAverage="0" operator="greaterThan" aboveAverage="0" dxfId="8" text="" percent="0" bottom="0">
      <formula>0</formula>
    </cfRule>
  </conditionalFormatting>
  <conditionalFormatting sqref="C783">
    <cfRule type="cellIs" rank="0" priority="2330" equalAverage="0" operator="greaterThan" aboveAverage="0" dxfId="8" text="" percent="0" bottom="0">
      <formula>0</formula>
    </cfRule>
  </conditionalFormatting>
  <conditionalFormatting sqref="G783">
    <cfRule type="cellIs" rank="0" priority="2331" equalAverage="0" operator="greaterThan" aboveAverage="0" dxfId="8" text="" percent="0" bottom="0">
      <formula>0</formula>
    </cfRule>
  </conditionalFormatting>
  <conditionalFormatting sqref="H783">
    <cfRule type="cellIs" rank="0" priority="2332" equalAverage="0" operator="greaterThan" aboveAverage="0" dxfId="8" text="" percent="0" bottom="0">
      <formula>0</formula>
    </cfRule>
  </conditionalFormatting>
  <conditionalFormatting sqref="C784">
    <cfRule type="cellIs" rank="0" priority="2333" equalAverage="0" operator="greaterThan" aboveAverage="0" dxfId="8" text="" percent="0" bottom="0">
      <formula>0</formula>
    </cfRule>
  </conditionalFormatting>
  <conditionalFormatting sqref="G784">
    <cfRule type="cellIs" rank="0" priority="2334" equalAverage="0" operator="greaterThan" aboveAverage="0" dxfId="8" text="" percent="0" bottom="0">
      <formula>0</formula>
    </cfRule>
  </conditionalFormatting>
  <conditionalFormatting sqref="H784">
    <cfRule type="cellIs" rank="0" priority="2335" equalAverage="0" operator="greaterThan" aboveAverage="0" dxfId="8" text="" percent="0" bottom="0">
      <formula>0</formula>
    </cfRule>
  </conditionalFormatting>
  <conditionalFormatting sqref="C785">
    <cfRule type="cellIs" rank="0" priority="2336" equalAverage="0" operator="greaterThan" aboveAverage="0" dxfId="8" text="" percent="0" bottom="0">
      <formula>0</formula>
    </cfRule>
  </conditionalFormatting>
  <conditionalFormatting sqref="G785">
    <cfRule type="cellIs" rank="0" priority="2337" equalAverage="0" operator="greaterThan" aboveAverage="0" dxfId="8" text="" percent="0" bottom="0">
      <formula>0</formula>
    </cfRule>
  </conditionalFormatting>
  <conditionalFormatting sqref="H785">
    <cfRule type="cellIs" rank="0" priority="2338" equalAverage="0" operator="greaterThan" aboveAverage="0" dxfId="8" text="" percent="0" bottom="0">
      <formula>0</formula>
    </cfRule>
  </conditionalFormatting>
  <conditionalFormatting sqref="C786">
    <cfRule type="cellIs" rank="0" priority="2339" equalAverage="0" operator="greaterThan" aboveAverage="0" dxfId="8" text="" percent="0" bottom="0">
      <formula>0</formula>
    </cfRule>
  </conditionalFormatting>
  <conditionalFormatting sqref="G786">
    <cfRule type="cellIs" rank="0" priority="2340" equalAverage="0" operator="greaterThan" aboveAverage="0" dxfId="8" text="" percent="0" bottom="0">
      <formula>0</formula>
    </cfRule>
  </conditionalFormatting>
  <conditionalFormatting sqref="H786">
    <cfRule type="cellIs" rank="0" priority="2341" equalAverage="0" operator="greaterThan" aboveAverage="0" dxfId="8" text="" percent="0" bottom="0">
      <formula>0</formula>
    </cfRule>
  </conditionalFormatting>
  <conditionalFormatting sqref="C787">
    <cfRule type="cellIs" rank="0" priority="2342" equalAverage="0" operator="greaterThan" aboveAverage="0" dxfId="8" text="" percent="0" bottom="0">
      <formula>0</formula>
    </cfRule>
  </conditionalFormatting>
  <conditionalFormatting sqref="G787">
    <cfRule type="cellIs" rank="0" priority="2343" equalAverage="0" operator="greaterThan" aboveAverage="0" dxfId="8" text="" percent="0" bottom="0">
      <formula>0</formula>
    </cfRule>
  </conditionalFormatting>
  <conditionalFormatting sqref="H787">
    <cfRule type="cellIs" rank="0" priority="2344" equalAverage="0" operator="greaterThan" aboveAverage="0" dxfId="8" text="" percent="0" bottom="0">
      <formula>0</formula>
    </cfRule>
  </conditionalFormatting>
  <conditionalFormatting sqref="C788">
    <cfRule type="cellIs" rank="0" priority="2345" equalAverage="0" operator="greaterThan" aboveAverage="0" dxfId="8" text="" percent="0" bottom="0">
      <formula>0</formula>
    </cfRule>
  </conditionalFormatting>
  <conditionalFormatting sqref="G788">
    <cfRule type="cellIs" rank="0" priority="2346" equalAverage="0" operator="greaterThan" aboveAverage="0" dxfId="8" text="" percent="0" bottom="0">
      <formula>0</formula>
    </cfRule>
  </conditionalFormatting>
  <conditionalFormatting sqref="H788">
    <cfRule type="cellIs" rank="0" priority="2347" equalAverage="0" operator="greaterThan" aboveAverage="0" dxfId="8" text="" percent="0" bottom="0">
      <formula>0</formula>
    </cfRule>
  </conditionalFormatting>
  <conditionalFormatting sqref="C789">
    <cfRule type="cellIs" rank="0" priority="2348" equalAverage="0" operator="greaterThan" aboveAverage="0" dxfId="8" text="" percent="0" bottom="0">
      <formula>0</formula>
    </cfRule>
  </conditionalFormatting>
  <conditionalFormatting sqref="G789">
    <cfRule type="cellIs" rank="0" priority="2349" equalAverage="0" operator="greaterThan" aboveAverage="0" dxfId="8" text="" percent="0" bottom="0">
      <formula>0</formula>
    </cfRule>
  </conditionalFormatting>
  <conditionalFormatting sqref="H789">
    <cfRule type="cellIs" rank="0" priority="2350" equalAverage="0" operator="greaterThan" aboveAverage="0" dxfId="8" text="" percent="0" bottom="0">
      <formula>0</formula>
    </cfRule>
  </conditionalFormatting>
  <conditionalFormatting sqref="C790">
    <cfRule type="cellIs" rank="0" priority="2351" equalAverage="0" operator="greaterThan" aboveAverage="0" dxfId="8" text="" percent="0" bottom="0">
      <formula>0</formula>
    </cfRule>
  </conditionalFormatting>
  <conditionalFormatting sqref="G790">
    <cfRule type="cellIs" rank="0" priority="2352" equalAverage="0" operator="greaterThan" aboveAverage="0" dxfId="8" text="" percent="0" bottom="0">
      <formula>0</formula>
    </cfRule>
  </conditionalFormatting>
  <conditionalFormatting sqref="H790">
    <cfRule type="cellIs" rank="0" priority="2353" equalAverage="0" operator="greaterThan" aboveAverage="0" dxfId="8" text="" percent="0" bottom="0">
      <formula>0</formula>
    </cfRule>
  </conditionalFormatting>
  <conditionalFormatting sqref="C791">
    <cfRule type="cellIs" rank="0" priority="2354" equalAverage="0" operator="greaterThan" aboveAverage="0" dxfId="8" text="" percent="0" bottom="0">
      <formula>0</formula>
    </cfRule>
  </conditionalFormatting>
  <conditionalFormatting sqref="G791">
    <cfRule type="cellIs" rank="0" priority="2355" equalAverage="0" operator="greaterThan" aboveAverage="0" dxfId="8" text="" percent="0" bottom="0">
      <formula>0</formula>
    </cfRule>
  </conditionalFormatting>
  <conditionalFormatting sqref="H791">
    <cfRule type="cellIs" rank="0" priority="2356" equalAverage="0" operator="greaterThan" aboveAverage="0" dxfId="8" text="" percent="0" bottom="0">
      <formula>0</formula>
    </cfRule>
  </conditionalFormatting>
  <conditionalFormatting sqref="C792">
    <cfRule type="cellIs" rank="0" priority="2357" equalAverage="0" operator="greaterThan" aboveAverage="0" dxfId="8" text="" percent="0" bottom="0">
      <formula>0</formula>
    </cfRule>
  </conditionalFormatting>
  <conditionalFormatting sqref="G792">
    <cfRule type="cellIs" rank="0" priority="2358" equalAverage="0" operator="greaterThan" aboveAverage="0" dxfId="8" text="" percent="0" bottom="0">
      <formula>0</formula>
    </cfRule>
  </conditionalFormatting>
  <conditionalFormatting sqref="H792">
    <cfRule type="cellIs" rank="0" priority="2359" equalAverage="0" operator="greaterThan" aboveAverage="0" dxfId="8" text="" percent="0" bottom="0">
      <formula>0</formula>
    </cfRule>
  </conditionalFormatting>
  <conditionalFormatting sqref="C793">
    <cfRule type="cellIs" rank="0" priority="2360" equalAverage="0" operator="greaterThan" aboveAverage="0" dxfId="8" text="" percent="0" bottom="0">
      <formula>0</formula>
    </cfRule>
  </conditionalFormatting>
  <conditionalFormatting sqref="G793">
    <cfRule type="cellIs" rank="0" priority="2361" equalAverage="0" operator="greaterThan" aboveAverage="0" dxfId="8" text="" percent="0" bottom="0">
      <formula>0</formula>
    </cfRule>
  </conditionalFormatting>
  <conditionalFormatting sqref="H793">
    <cfRule type="cellIs" rank="0" priority="2362" equalAverage="0" operator="greaterThan" aboveAverage="0" dxfId="8" text="" percent="0" bottom="0">
      <formula>0</formula>
    </cfRule>
  </conditionalFormatting>
  <conditionalFormatting sqref="C794">
    <cfRule type="cellIs" rank="0" priority="2363" equalAverage="0" operator="greaterThan" aboveAverage="0" dxfId="8" text="" percent="0" bottom="0">
      <formula>0</formula>
    </cfRule>
  </conditionalFormatting>
  <conditionalFormatting sqref="G794">
    <cfRule type="cellIs" rank="0" priority="2364" equalAverage="0" operator="greaterThan" aboveAverage="0" dxfId="8" text="" percent="0" bottom="0">
      <formula>0</formula>
    </cfRule>
  </conditionalFormatting>
  <conditionalFormatting sqref="H794">
    <cfRule type="cellIs" rank="0" priority="2365" equalAverage="0" operator="greaterThan" aboveAverage="0" dxfId="8" text="" percent="0" bottom="0">
      <formula>0</formula>
    </cfRule>
  </conditionalFormatting>
  <conditionalFormatting sqref="C795">
    <cfRule type="cellIs" rank="0" priority="2366" equalAverage="0" operator="greaterThan" aboveAverage="0" dxfId="8" text="" percent="0" bottom="0">
      <formula>0</formula>
    </cfRule>
  </conditionalFormatting>
  <conditionalFormatting sqref="G795">
    <cfRule type="cellIs" rank="0" priority="2367" equalAverage="0" operator="greaterThan" aboveAverage="0" dxfId="8" text="" percent="0" bottom="0">
      <formula>0</formula>
    </cfRule>
  </conditionalFormatting>
  <conditionalFormatting sqref="H795">
    <cfRule type="cellIs" rank="0" priority="2368" equalAverage="0" operator="greaterThan" aboveAverage="0" dxfId="8" text="" percent="0" bottom="0">
      <formula>0</formula>
    </cfRule>
  </conditionalFormatting>
  <conditionalFormatting sqref="C796">
    <cfRule type="cellIs" rank="0" priority="2369" equalAverage="0" operator="greaterThan" aboveAverage="0" dxfId="8" text="" percent="0" bottom="0">
      <formula>0</formula>
    </cfRule>
  </conditionalFormatting>
  <conditionalFormatting sqref="G796">
    <cfRule type="cellIs" rank="0" priority="2370" equalAverage="0" operator="greaterThan" aboveAverage="0" dxfId="8" text="" percent="0" bottom="0">
      <formula>0</formula>
    </cfRule>
  </conditionalFormatting>
  <conditionalFormatting sqref="H796">
    <cfRule type="cellIs" rank="0" priority="2371" equalAverage="0" operator="greaterThan" aboveAverage="0" dxfId="8" text="" percent="0" bottom="0">
      <formula>0</formula>
    </cfRule>
  </conditionalFormatting>
  <conditionalFormatting sqref="C797">
    <cfRule type="cellIs" rank="0" priority="2372" equalAverage="0" operator="greaterThan" aboveAverage="0" dxfId="8" text="" percent="0" bottom="0">
      <formula>0</formula>
    </cfRule>
  </conditionalFormatting>
  <conditionalFormatting sqref="G797">
    <cfRule type="cellIs" rank="0" priority="2373" equalAverage="0" operator="greaterThan" aboveAverage="0" dxfId="8" text="" percent="0" bottom="0">
      <formula>0</formula>
    </cfRule>
  </conditionalFormatting>
  <conditionalFormatting sqref="H797">
    <cfRule type="cellIs" rank="0" priority="2374" equalAverage="0" operator="greaterThan" aboveAverage="0" dxfId="8" text="" percent="0" bottom="0">
      <formula>0</formula>
    </cfRule>
  </conditionalFormatting>
  <conditionalFormatting sqref="C798">
    <cfRule type="cellIs" rank="0" priority="2375" equalAverage="0" operator="greaterThan" aboveAverage="0" dxfId="8" text="" percent="0" bottom="0">
      <formula>0</formula>
    </cfRule>
  </conditionalFormatting>
  <conditionalFormatting sqref="G798">
    <cfRule type="cellIs" rank="0" priority="2376" equalAverage="0" operator="greaterThan" aboveAverage="0" dxfId="8" text="" percent="0" bottom="0">
      <formula>0</formula>
    </cfRule>
  </conditionalFormatting>
  <conditionalFormatting sqref="H798">
    <cfRule type="cellIs" rank="0" priority="2377" equalAverage="0" operator="greaterThan" aboveAverage="0" dxfId="8" text="" percent="0" bottom="0">
      <formula>0</formula>
    </cfRule>
  </conditionalFormatting>
  <conditionalFormatting sqref="C799">
    <cfRule type="cellIs" rank="0" priority="2378" equalAverage="0" operator="greaterThan" aboveAverage="0" dxfId="8" text="" percent="0" bottom="0">
      <formula>0</formula>
    </cfRule>
  </conditionalFormatting>
  <conditionalFormatting sqref="G799">
    <cfRule type="cellIs" rank="0" priority="2379" equalAverage="0" operator="greaterThan" aboveAverage="0" dxfId="8" text="" percent="0" bottom="0">
      <formula>0</formula>
    </cfRule>
  </conditionalFormatting>
  <conditionalFormatting sqref="H799">
    <cfRule type="cellIs" rank="0" priority="2380" equalAverage="0" operator="greaterThan" aboveAverage="0" dxfId="8" text="" percent="0" bottom="0">
      <formula>0</formula>
    </cfRule>
  </conditionalFormatting>
  <conditionalFormatting sqref="C800">
    <cfRule type="cellIs" rank="0" priority="2381" equalAverage="0" operator="greaterThan" aboveAverage="0" dxfId="8" text="" percent="0" bottom="0">
      <formula>0</formula>
    </cfRule>
  </conditionalFormatting>
  <conditionalFormatting sqref="G800">
    <cfRule type="cellIs" rank="0" priority="2382" equalAverage="0" operator="greaterThan" aboveAverage="0" dxfId="8" text="" percent="0" bottom="0">
      <formula>0</formula>
    </cfRule>
  </conditionalFormatting>
  <conditionalFormatting sqref="H800">
    <cfRule type="cellIs" rank="0" priority="2383" equalAverage="0" operator="greaterThan" aboveAverage="0" dxfId="8" text="" percent="0" bottom="0">
      <formula>0</formula>
    </cfRule>
  </conditionalFormatting>
  <conditionalFormatting sqref="C801">
    <cfRule type="cellIs" rank="0" priority="2384" equalAverage="0" operator="greaterThan" aboveAverage="0" dxfId="8" text="" percent="0" bottom="0">
      <formula>0</formula>
    </cfRule>
  </conditionalFormatting>
  <conditionalFormatting sqref="G801">
    <cfRule type="cellIs" rank="0" priority="2385" equalAverage="0" operator="greaterThan" aboveAverage="0" dxfId="8" text="" percent="0" bottom="0">
      <formula>0</formula>
    </cfRule>
  </conditionalFormatting>
  <conditionalFormatting sqref="H801">
    <cfRule type="cellIs" rank="0" priority="2386" equalAverage="0" operator="greaterThan" aboveAverage="0" dxfId="8" text="" percent="0" bottom="0">
      <formula>0</formula>
    </cfRule>
  </conditionalFormatting>
  <conditionalFormatting sqref="C802">
    <cfRule type="cellIs" rank="0" priority="2387" equalAverage="0" operator="greaterThan" aboveAverage="0" dxfId="8" text="" percent="0" bottom="0">
      <formula>0</formula>
    </cfRule>
  </conditionalFormatting>
  <conditionalFormatting sqref="G802">
    <cfRule type="cellIs" rank="0" priority="2388" equalAverage="0" operator="greaterThan" aboveAverage="0" dxfId="8" text="" percent="0" bottom="0">
      <formula>0</formula>
    </cfRule>
  </conditionalFormatting>
  <conditionalFormatting sqref="H802">
    <cfRule type="cellIs" rank="0" priority="2389" equalAverage="0" operator="greaterThan" aboveAverage="0" dxfId="8" text="" percent="0" bottom="0">
      <formula>0</formula>
    </cfRule>
  </conditionalFormatting>
  <conditionalFormatting sqref="C803">
    <cfRule type="cellIs" rank="0" priority="2390" equalAverage="0" operator="greaterThan" aboveAverage="0" dxfId="8" text="" percent="0" bottom="0">
      <formula>0</formula>
    </cfRule>
  </conditionalFormatting>
  <conditionalFormatting sqref="G803">
    <cfRule type="cellIs" rank="0" priority="2391" equalAverage="0" operator="greaterThan" aboveAverage="0" dxfId="8" text="" percent="0" bottom="0">
      <formula>0</formula>
    </cfRule>
  </conditionalFormatting>
  <conditionalFormatting sqref="H803">
    <cfRule type="cellIs" rank="0" priority="2392" equalAverage="0" operator="greaterThan" aboveAverage="0" dxfId="8" text="" percent="0" bottom="0">
      <formula>0</formula>
    </cfRule>
  </conditionalFormatting>
  <conditionalFormatting sqref="C804">
    <cfRule type="cellIs" rank="0" priority="2393" equalAverage="0" operator="greaterThan" aboveAverage="0" dxfId="8" text="" percent="0" bottom="0">
      <formula>0</formula>
    </cfRule>
  </conditionalFormatting>
  <conditionalFormatting sqref="G804">
    <cfRule type="cellIs" rank="0" priority="2394" equalAverage="0" operator="greaterThan" aboveAverage="0" dxfId="8" text="" percent="0" bottom="0">
      <formula>0</formula>
    </cfRule>
  </conditionalFormatting>
  <conditionalFormatting sqref="H804">
    <cfRule type="cellIs" rank="0" priority="2395" equalAverage="0" operator="greaterThan" aboveAverage="0" dxfId="8" text="" percent="0" bottom="0">
      <formula>0</formula>
    </cfRule>
  </conditionalFormatting>
  <conditionalFormatting sqref="C805">
    <cfRule type="cellIs" rank="0" priority="2396" equalAverage="0" operator="greaterThan" aboveAverage="0" dxfId="8" text="" percent="0" bottom="0">
      <formula>0</formula>
    </cfRule>
  </conditionalFormatting>
  <conditionalFormatting sqref="G805">
    <cfRule type="cellIs" rank="0" priority="2397" equalAverage="0" operator="greaterThan" aboveAverage="0" dxfId="8" text="" percent="0" bottom="0">
      <formula>0</formula>
    </cfRule>
  </conditionalFormatting>
  <conditionalFormatting sqref="H805">
    <cfRule type="cellIs" rank="0" priority="2398" equalAverage="0" operator="greaterThan" aboveAverage="0" dxfId="8" text="" percent="0" bottom="0">
      <formula>0</formula>
    </cfRule>
  </conditionalFormatting>
  <conditionalFormatting sqref="C806">
    <cfRule type="cellIs" rank="0" priority="2399" equalAverage="0" operator="greaterThan" aboveAverage="0" dxfId="8" text="" percent="0" bottom="0">
      <formula>0</formula>
    </cfRule>
  </conditionalFormatting>
  <conditionalFormatting sqref="G806">
    <cfRule type="cellIs" rank="0" priority="2400" equalAverage="0" operator="greaterThan" aboveAverage="0" dxfId="8" text="" percent="0" bottom="0">
      <formula>0</formula>
    </cfRule>
  </conditionalFormatting>
  <conditionalFormatting sqref="H806">
    <cfRule type="cellIs" rank="0" priority="2401" equalAverage="0" operator="greaterThan" aboveAverage="0" dxfId="8" text="" percent="0" bottom="0">
      <formula>0</formula>
    </cfRule>
  </conditionalFormatting>
  <conditionalFormatting sqref="C807">
    <cfRule type="cellIs" rank="0" priority="2402" equalAverage="0" operator="greaterThan" aboveAverage="0" dxfId="8" text="" percent="0" bottom="0">
      <formula>0</formula>
    </cfRule>
  </conditionalFormatting>
  <conditionalFormatting sqref="G807">
    <cfRule type="cellIs" rank="0" priority="2403" equalAverage="0" operator="greaterThan" aboveAverage="0" dxfId="8" text="" percent="0" bottom="0">
      <formula>0</formula>
    </cfRule>
  </conditionalFormatting>
  <conditionalFormatting sqref="H807">
    <cfRule type="cellIs" rank="0" priority="2404" equalAverage="0" operator="greaterThan" aboveAverage="0" dxfId="8" text="" percent="0" bottom="0">
      <formula>0</formula>
    </cfRule>
  </conditionalFormatting>
  <conditionalFormatting sqref="C808">
    <cfRule type="cellIs" rank="0" priority="2405" equalAverage="0" operator="greaterThan" aboveAverage="0" dxfId="8" text="" percent="0" bottom="0">
      <formula>0</formula>
    </cfRule>
  </conditionalFormatting>
  <conditionalFormatting sqref="G808">
    <cfRule type="cellIs" rank="0" priority="2406" equalAverage="0" operator="greaterThan" aboveAverage="0" dxfId="8" text="" percent="0" bottom="0">
      <formula>0</formula>
    </cfRule>
  </conditionalFormatting>
  <conditionalFormatting sqref="H808">
    <cfRule type="cellIs" rank="0" priority="2407" equalAverage="0" operator="greaterThan" aboveAverage="0" dxfId="8" text="" percent="0" bottom="0">
      <formula>0</formula>
    </cfRule>
  </conditionalFormatting>
  <conditionalFormatting sqref="C809">
    <cfRule type="cellIs" rank="0" priority="2408" equalAverage="0" operator="greaterThan" aboveAverage="0" dxfId="8" text="" percent="0" bottom="0">
      <formula>0</formula>
    </cfRule>
  </conditionalFormatting>
  <conditionalFormatting sqref="G809">
    <cfRule type="cellIs" rank="0" priority="2409" equalAverage="0" operator="greaterThan" aboveAverage="0" dxfId="8" text="" percent="0" bottom="0">
      <formula>0</formula>
    </cfRule>
  </conditionalFormatting>
  <conditionalFormatting sqref="H809">
    <cfRule type="cellIs" rank="0" priority="2410" equalAverage="0" operator="greaterThan" aboveAverage="0" dxfId="8" text="" percent="0" bottom="0">
      <formula>0</formula>
    </cfRule>
  </conditionalFormatting>
  <conditionalFormatting sqref="C810">
    <cfRule type="cellIs" rank="0" priority="2411" equalAverage="0" operator="greaterThan" aboveAverage="0" dxfId="8" text="" percent="0" bottom="0">
      <formula>0</formula>
    </cfRule>
  </conditionalFormatting>
  <conditionalFormatting sqref="G810">
    <cfRule type="cellIs" rank="0" priority="2412" equalAverage="0" operator="greaterThan" aboveAverage="0" dxfId="8" text="" percent="0" bottom="0">
      <formula>0</formula>
    </cfRule>
  </conditionalFormatting>
  <conditionalFormatting sqref="H810">
    <cfRule type="cellIs" rank="0" priority="2413" equalAverage="0" operator="greaterThan" aboveAverage="0" dxfId="8" text="" percent="0" bottom="0">
      <formula>0</formula>
    </cfRule>
  </conditionalFormatting>
  <conditionalFormatting sqref="C811">
    <cfRule type="cellIs" rank="0" priority="2414" equalAverage="0" operator="greaterThan" aboveAverage="0" dxfId="8" text="" percent="0" bottom="0">
      <formula>0</formula>
    </cfRule>
  </conditionalFormatting>
  <conditionalFormatting sqref="G811">
    <cfRule type="cellIs" rank="0" priority="2415" equalAverage="0" operator="greaterThan" aboveAverage="0" dxfId="8" text="" percent="0" bottom="0">
      <formula>0</formula>
    </cfRule>
  </conditionalFormatting>
  <conditionalFormatting sqref="H811">
    <cfRule type="cellIs" rank="0" priority="2416" equalAverage="0" operator="greaterThan" aboveAverage="0" dxfId="8" text="" percent="0" bottom="0">
      <formula>0</formula>
    </cfRule>
  </conditionalFormatting>
  <conditionalFormatting sqref="C812">
    <cfRule type="cellIs" rank="0" priority="2417" equalAverage="0" operator="greaterThan" aboveAverage="0" dxfId="8" text="" percent="0" bottom="0">
      <formula>0</formula>
    </cfRule>
  </conditionalFormatting>
  <conditionalFormatting sqref="G812">
    <cfRule type="cellIs" rank="0" priority="2418" equalAverage="0" operator="greaterThan" aboveAverage="0" dxfId="8" text="" percent="0" bottom="0">
      <formula>0</formula>
    </cfRule>
  </conditionalFormatting>
  <conditionalFormatting sqref="H812">
    <cfRule type="cellIs" rank="0" priority="2419" equalAverage="0" operator="greaterThan" aboveAverage="0" dxfId="8" text="" percent="0" bottom="0">
      <formula>0</formula>
    </cfRule>
  </conditionalFormatting>
  <conditionalFormatting sqref="C813">
    <cfRule type="cellIs" rank="0" priority="2420" equalAverage="0" operator="greaterThan" aboveAverage="0" dxfId="8" text="" percent="0" bottom="0">
      <formula>0</formula>
    </cfRule>
  </conditionalFormatting>
  <conditionalFormatting sqref="G813">
    <cfRule type="cellIs" rank="0" priority="2421" equalAverage="0" operator="greaterThan" aboveAverage="0" dxfId="8" text="" percent="0" bottom="0">
      <formula>0</formula>
    </cfRule>
  </conditionalFormatting>
  <conditionalFormatting sqref="H813">
    <cfRule type="cellIs" rank="0" priority="2422" equalAverage="0" operator="greaterThan" aboveAverage="0" dxfId="8" text="" percent="0" bottom="0">
      <formula>0</formula>
    </cfRule>
  </conditionalFormatting>
  <conditionalFormatting sqref="C814">
    <cfRule type="cellIs" rank="0" priority="2423" equalAverage="0" operator="greaterThan" aboveAverage="0" dxfId="8" text="" percent="0" bottom="0">
      <formula>0</formula>
    </cfRule>
  </conditionalFormatting>
  <conditionalFormatting sqref="G814">
    <cfRule type="cellIs" rank="0" priority="2424" equalAverage="0" operator="greaterThan" aboveAverage="0" dxfId="8" text="" percent="0" bottom="0">
      <formula>0</formula>
    </cfRule>
  </conditionalFormatting>
  <conditionalFormatting sqref="H814">
    <cfRule type="cellIs" rank="0" priority="2425" equalAverage="0" operator="greaterThan" aboveAverage="0" dxfId="8" text="" percent="0" bottom="0">
      <formula>0</formula>
    </cfRule>
  </conditionalFormatting>
  <conditionalFormatting sqref="C815">
    <cfRule type="cellIs" rank="0" priority="2426" equalAverage="0" operator="greaterThan" aboveAverage="0" dxfId="8" text="" percent="0" bottom="0">
      <formula>0</formula>
    </cfRule>
  </conditionalFormatting>
  <conditionalFormatting sqref="G815">
    <cfRule type="cellIs" rank="0" priority="2427" equalAverage="0" operator="greaterThan" aboveAverage="0" dxfId="8" text="" percent="0" bottom="0">
      <formula>0</formula>
    </cfRule>
  </conditionalFormatting>
  <conditionalFormatting sqref="H815">
    <cfRule type="cellIs" rank="0" priority="2428" equalAverage="0" operator="greaterThan" aboveAverage="0" dxfId="8" text="" percent="0" bottom="0">
      <formula>0</formula>
    </cfRule>
  </conditionalFormatting>
  <conditionalFormatting sqref="C816">
    <cfRule type="cellIs" rank="0" priority="2429" equalAverage="0" operator="greaterThan" aboveAverage="0" dxfId="8" text="" percent="0" bottom="0">
      <formula>0</formula>
    </cfRule>
  </conditionalFormatting>
  <conditionalFormatting sqref="G816">
    <cfRule type="cellIs" rank="0" priority="2430" equalAverage="0" operator="greaterThan" aboveAverage="0" dxfId="8" text="" percent="0" bottom="0">
      <formula>0</formula>
    </cfRule>
  </conditionalFormatting>
  <conditionalFormatting sqref="H816">
    <cfRule type="cellIs" rank="0" priority="2431" equalAverage="0" operator="greaterThan" aboveAverage="0" dxfId="8" text="" percent="0" bottom="0">
      <formula>0</formula>
    </cfRule>
  </conditionalFormatting>
  <conditionalFormatting sqref="C817">
    <cfRule type="cellIs" rank="0" priority="2432" equalAverage="0" operator="greaterThan" aboveAverage="0" dxfId="8" text="" percent="0" bottom="0">
      <formula>0</formula>
    </cfRule>
  </conditionalFormatting>
  <conditionalFormatting sqref="G817">
    <cfRule type="cellIs" rank="0" priority="2433" equalAverage="0" operator="greaterThan" aboveAverage="0" dxfId="8" text="" percent="0" bottom="0">
      <formula>0</formula>
    </cfRule>
  </conditionalFormatting>
  <conditionalFormatting sqref="H817">
    <cfRule type="cellIs" rank="0" priority="2434" equalAverage="0" operator="greaterThan" aboveAverage="0" dxfId="8" text="" percent="0" bottom="0">
      <formula>0</formula>
    </cfRule>
  </conditionalFormatting>
  <conditionalFormatting sqref="C818">
    <cfRule type="cellIs" rank="0" priority="2435" equalAverage="0" operator="greaterThan" aboveAverage="0" dxfId="8" text="" percent="0" bottom="0">
      <formula>0</formula>
    </cfRule>
  </conditionalFormatting>
  <conditionalFormatting sqref="G818">
    <cfRule type="cellIs" rank="0" priority="2436" equalAverage="0" operator="greaterThan" aboveAverage="0" dxfId="8" text="" percent="0" bottom="0">
      <formula>0</formula>
    </cfRule>
  </conditionalFormatting>
  <conditionalFormatting sqref="H818">
    <cfRule type="cellIs" rank="0" priority="2437" equalAverage="0" operator="greaterThan" aboveAverage="0" dxfId="8" text="" percent="0" bottom="0">
      <formula>0</formula>
    </cfRule>
  </conditionalFormatting>
  <conditionalFormatting sqref="C819">
    <cfRule type="cellIs" rank="0" priority="2438" equalAverage="0" operator="greaterThan" aboveAverage="0" dxfId="8" text="" percent="0" bottom="0">
      <formula>0</formula>
    </cfRule>
  </conditionalFormatting>
  <conditionalFormatting sqref="G819">
    <cfRule type="cellIs" rank="0" priority="2439" equalAverage="0" operator="greaterThan" aboveAverage="0" dxfId="8" text="" percent="0" bottom="0">
      <formula>0</formula>
    </cfRule>
  </conditionalFormatting>
  <conditionalFormatting sqref="H819">
    <cfRule type="cellIs" rank="0" priority="2440" equalAverage="0" operator="greaterThan" aboveAverage="0" dxfId="8" text="" percent="0" bottom="0">
      <formula>0</formula>
    </cfRule>
  </conditionalFormatting>
  <conditionalFormatting sqref="C820">
    <cfRule type="cellIs" rank="0" priority="2441" equalAverage="0" operator="greaterThan" aboveAverage="0" dxfId="8" text="" percent="0" bottom="0">
      <formula>0</formula>
    </cfRule>
  </conditionalFormatting>
  <conditionalFormatting sqref="G820">
    <cfRule type="cellIs" rank="0" priority="2442" equalAverage="0" operator="greaterThan" aboveAverage="0" dxfId="8" text="" percent="0" bottom="0">
      <formula>0</formula>
    </cfRule>
  </conditionalFormatting>
  <conditionalFormatting sqref="H820">
    <cfRule type="cellIs" rank="0" priority="2443" equalAverage="0" operator="greaterThan" aboveAverage="0" dxfId="8" text="" percent="0" bottom="0">
      <formula>0</formula>
    </cfRule>
  </conditionalFormatting>
  <conditionalFormatting sqref="C821">
    <cfRule type="cellIs" rank="0" priority="2444" equalAverage="0" operator="greaterThan" aboveAverage="0" dxfId="8" text="" percent="0" bottom="0">
      <formula>0</formula>
    </cfRule>
  </conditionalFormatting>
  <conditionalFormatting sqref="G821">
    <cfRule type="cellIs" rank="0" priority="2445" equalAverage="0" operator="greaterThan" aboveAverage="0" dxfId="8" text="" percent="0" bottom="0">
      <formula>0</formula>
    </cfRule>
  </conditionalFormatting>
  <conditionalFormatting sqref="H821">
    <cfRule type="cellIs" rank="0" priority="2446" equalAverage="0" operator="greaterThan" aboveAverage="0" dxfId="8" text="" percent="0" bottom="0">
      <formula>0</formula>
    </cfRule>
  </conditionalFormatting>
  <conditionalFormatting sqref="C822">
    <cfRule type="cellIs" rank="0" priority="2447" equalAverage="0" operator="greaterThan" aboveAverage="0" dxfId="8" text="" percent="0" bottom="0">
      <formula>0</formula>
    </cfRule>
  </conditionalFormatting>
  <conditionalFormatting sqref="G822">
    <cfRule type="cellIs" rank="0" priority="2448" equalAverage="0" operator="greaterThan" aboveAverage="0" dxfId="8" text="" percent="0" bottom="0">
      <formula>0</formula>
    </cfRule>
  </conditionalFormatting>
  <conditionalFormatting sqref="H822">
    <cfRule type="cellIs" rank="0" priority="2449" equalAverage="0" operator="greaterThan" aboveAverage="0" dxfId="8" text="" percent="0" bottom="0">
      <formula>0</formula>
    </cfRule>
  </conditionalFormatting>
  <conditionalFormatting sqref="C823">
    <cfRule type="cellIs" rank="0" priority="2450" equalAverage="0" operator="greaterThan" aboveAverage="0" dxfId="8" text="" percent="0" bottom="0">
      <formula>0</formula>
    </cfRule>
  </conditionalFormatting>
  <conditionalFormatting sqref="G823">
    <cfRule type="cellIs" rank="0" priority="2451" equalAverage="0" operator="greaterThan" aboveAverage="0" dxfId="8" text="" percent="0" bottom="0">
      <formula>0</formula>
    </cfRule>
  </conditionalFormatting>
  <conditionalFormatting sqref="H823">
    <cfRule type="cellIs" rank="0" priority="2452" equalAverage="0" operator="greaterThan" aboveAverage="0" dxfId="8" text="" percent="0" bottom="0">
      <formula>0</formula>
    </cfRule>
  </conditionalFormatting>
  <conditionalFormatting sqref="C824">
    <cfRule type="cellIs" rank="0" priority="2453" equalAverage="0" operator="greaterThan" aboveAverage="0" dxfId="8" text="" percent="0" bottom="0">
      <formula>0</formula>
    </cfRule>
  </conditionalFormatting>
  <conditionalFormatting sqref="G824">
    <cfRule type="cellIs" rank="0" priority="2454" equalAverage="0" operator="greaterThan" aboveAverage="0" dxfId="8" text="" percent="0" bottom="0">
      <formula>0</formula>
    </cfRule>
  </conditionalFormatting>
  <conditionalFormatting sqref="H824">
    <cfRule type="cellIs" rank="0" priority="2455" equalAverage="0" operator="greaterThan" aboveAverage="0" dxfId="8" text="" percent="0" bottom="0">
      <formula>0</formula>
    </cfRule>
  </conditionalFormatting>
  <conditionalFormatting sqref="C825">
    <cfRule type="cellIs" rank="0" priority="2456" equalAverage="0" operator="greaterThan" aboveAverage="0" dxfId="8" text="" percent="0" bottom="0">
      <formula>0</formula>
    </cfRule>
  </conditionalFormatting>
  <conditionalFormatting sqref="G825">
    <cfRule type="cellIs" rank="0" priority="2457" equalAverage="0" operator="greaterThan" aboveAverage="0" dxfId="8" text="" percent="0" bottom="0">
      <formula>0</formula>
    </cfRule>
  </conditionalFormatting>
  <conditionalFormatting sqref="H825">
    <cfRule type="cellIs" rank="0" priority="2458" equalAverage="0" operator="greaterThan" aboveAverage="0" dxfId="8" text="" percent="0" bottom="0">
      <formula>0</formula>
    </cfRule>
  </conditionalFormatting>
  <conditionalFormatting sqref="C826">
    <cfRule type="cellIs" rank="0" priority="2459" equalAverage="0" operator="greaterThan" aboveAverage="0" dxfId="8" text="" percent="0" bottom="0">
      <formula>0</formula>
    </cfRule>
  </conditionalFormatting>
  <conditionalFormatting sqref="G826">
    <cfRule type="cellIs" rank="0" priority="2460" equalAverage="0" operator="greaterThan" aboveAverage="0" dxfId="8" text="" percent="0" bottom="0">
      <formula>0</formula>
    </cfRule>
  </conditionalFormatting>
  <conditionalFormatting sqref="H826">
    <cfRule type="cellIs" rank="0" priority="2461" equalAverage="0" operator="greaterThan" aboveAverage="0" dxfId="8" text="" percent="0" bottom="0">
      <formula>0</formula>
    </cfRule>
  </conditionalFormatting>
  <conditionalFormatting sqref="C827">
    <cfRule type="cellIs" rank="0" priority="2462" equalAverage="0" operator="greaterThan" aboveAverage="0" dxfId="8" text="" percent="0" bottom="0">
      <formula>0</formula>
    </cfRule>
  </conditionalFormatting>
  <conditionalFormatting sqref="G827">
    <cfRule type="cellIs" rank="0" priority="2463" equalAverage="0" operator="greaterThan" aboveAverage="0" dxfId="8" text="" percent="0" bottom="0">
      <formula>0</formula>
    </cfRule>
  </conditionalFormatting>
  <conditionalFormatting sqref="H827">
    <cfRule type="cellIs" rank="0" priority="2464" equalAverage="0" operator="greaterThan" aboveAverage="0" dxfId="8" text="" percent="0" bottom="0">
      <formula>0</formula>
    </cfRule>
  </conditionalFormatting>
  <conditionalFormatting sqref="C828">
    <cfRule type="cellIs" rank="0" priority="2465" equalAverage="0" operator="greaterThan" aboveAverage="0" dxfId="8" text="" percent="0" bottom="0">
      <formula>0</formula>
    </cfRule>
  </conditionalFormatting>
  <conditionalFormatting sqref="G828">
    <cfRule type="cellIs" rank="0" priority="2466" equalAverage="0" operator="greaterThan" aboveAverage="0" dxfId="8" text="" percent="0" bottom="0">
      <formula>0</formula>
    </cfRule>
  </conditionalFormatting>
  <conditionalFormatting sqref="H828">
    <cfRule type="cellIs" rank="0" priority="2467" equalAverage="0" operator="greaterThan" aboveAverage="0" dxfId="8" text="" percent="0" bottom="0">
      <formula>0</formula>
    </cfRule>
  </conditionalFormatting>
  <conditionalFormatting sqref="C829">
    <cfRule type="cellIs" rank="0" priority="2468" equalAverage="0" operator="greaterThan" aboveAverage="0" dxfId="8" text="" percent="0" bottom="0">
      <formula>0</formula>
    </cfRule>
  </conditionalFormatting>
  <conditionalFormatting sqref="G829">
    <cfRule type="cellIs" rank="0" priority="2469" equalAverage="0" operator="greaterThan" aboveAverage="0" dxfId="8" text="" percent="0" bottom="0">
      <formula>0</formula>
    </cfRule>
  </conditionalFormatting>
  <conditionalFormatting sqref="H829">
    <cfRule type="cellIs" rank="0" priority="2470" equalAverage="0" operator="greaterThan" aboveAverage="0" dxfId="8" text="" percent="0" bottom="0">
      <formula>0</formula>
    </cfRule>
  </conditionalFormatting>
  <conditionalFormatting sqref="C830">
    <cfRule type="cellIs" rank="0" priority="2471" equalAverage="0" operator="greaterThan" aboveAverage="0" dxfId="8" text="" percent="0" bottom="0">
      <formula>0</formula>
    </cfRule>
  </conditionalFormatting>
  <conditionalFormatting sqref="G830">
    <cfRule type="cellIs" rank="0" priority="2472" equalAverage="0" operator="greaterThan" aboveAverage="0" dxfId="8" text="" percent="0" bottom="0">
      <formula>0</formula>
    </cfRule>
  </conditionalFormatting>
  <conditionalFormatting sqref="H830">
    <cfRule type="cellIs" rank="0" priority="2473" equalAverage="0" operator="greaterThan" aboveAverage="0" dxfId="8" text="" percent="0" bottom="0">
      <formula>0</formula>
    </cfRule>
  </conditionalFormatting>
  <conditionalFormatting sqref="C831">
    <cfRule type="cellIs" rank="0" priority="2474" equalAverage="0" operator="greaterThan" aboveAverage="0" dxfId="8" text="" percent="0" bottom="0">
      <formula>0</formula>
    </cfRule>
  </conditionalFormatting>
  <conditionalFormatting sqref="G831">
    <cfRule type="cellIs" rank="0" priority="2475" equalAverage="0" operator="greaterThan" aboveAverage="0" dxfId="8" text="" percent="0" bottom="0">
      <formula>0</formula>
    </cfRule>
  </conditionalFormatting>
  <conditionalFormatting sqref="H831">
    <cfRule type="cellIs" rank="0" priority="2476" equalAverage="0" operator="greaterThan" aboveAverage="0" dxfId="8" text="" percent="0" bottom="0">
      <formula>0</formula>
    </cfRule>
  </conditionalFormatting>
  <conditionalFormatting sqref="C832">
    <cfRule type="cellIs" rank="0" priority="2477" equalAverage="0" operator="greaterThan" aboveAverage="0" dxfId="8" text="" percent="0" bottom="0">
      <formula>0</formula>
    </cfRule>
  </conditionalFormatting>
  <conditionalFormatting sqref="G832">
    <cfRule type="cellIs" rank="0" priority="2478" equalAverage="0" operator="greaterThan" aboveAverage="0" dxfId="8" text="" percent="0" bottom="0">
      <formula>0</formula>
    </cfRule>
  </conditionalFormatting>
  <conditionalFormatting sqref="H832">
    <cfRule type="cellIs" rank="0" priority="2479" equalAverage="0" operator="greaterThan" aboveAverage="0" dxfId="8" text="" percent="0" bottom="0">
      <formula>0</formula>
    </cfRule>
  </conditionalFormatting>
  <conditionalFormatting sqref="C833">
    <cfRule type="cellIs" rank="0" priority="2480" equalAverage="0" operator="greaterThan" aboveAverage="0" dxfId="8" text="" percent="0" bottom="0">
      <formula>0</formula>
    </cfRule>
  </conditionalFormatting>
  <conditionalFormatting sqref="G833">
    <cfRule type="cellIs" rank="0" priority="2481" equalAverage="0" operator="greaterThan" aboveAverage="0" dxfId="8" text="" percent="0" bottom="0">
      <formula>0</formula>
    </cfRule>
  </conditionalFormatting>
  <conditionalFormatting sqref="H833">
    <cfRule type="cellIs" rank="0" priority="2482" equalAverage="0" operator="greaterThan" aboveAverage="0" dxfId="8" text="" percent="0" bottom="0">
      <formula>0</formula>
    </cfRule>
  </conditionalFormatting>
  <conditionalFormatting sqref="C834">
    <cfRule type="cellIs" rank="0" priority="2483" equalAverage="0" operator="greaterThan" aboveAverage="0" dxfId="8" text="" percent="0" bottom="0">
      <formula>0</formula>
    </cfRule>
  </conditionalFormatting>
  <conditionalFormatting sqref="G834">
    <cfRule type="cellIs" rank="0" priority="2484" equalAverage="0" operator="greaterThan" aboveAverage="0" dxfId="8" text="" percent="0" bottom="0">
      <formula>0</formula>
    </cfRule>
  </conditionalFormatting>
  <conditionalFormatting sqref="H834">
    <cfRule type="cellIs" rank="0" priority="2485" equalAverage="0" operator="greaterThan" aboveAverage="0" dxfId="8" text="" percent="0" bottom="0">
      <formula>0</formula>
    </cfRule>
  </conditionalFormatting>
  <conditionalFormatting sqref="C835">
    <cfRule type="cellIs" rank="0" priority="2486" equalAverage="0" operator="greaterThan" aboveAverage="0" dxfId="8" text="" percent="0" bottom="0">
      <formula>0</formula>
    </cfRule>
  </conditionalFormatting>
  <conditionalFormatting sqref="G835">
    <cfRule type="cellIs" rank="0" priority="2487" equalAverage="0" operator="greaterThan" aboveAverage="0" dxfId="8" text="" percent="0" bottom="0">
      <formula>0</formula>
    </cfRule>
  </conditionalFormatting>
  <conditionalFormatting sqref="H835">
    <cfRule type="cellIs" rank="0" priority="2488" equalAverage="0" operator="greaterThan" aboveAverage="0" dxfId="8" text="" percent="0" bottom="0">
      <formula>0</formula>
    </cfRule>
  </conditionalFormatting>
  <conditionalFormatting sqref="C836">
    <cfRule type="cellIs" rank="0" priority="2489" equalAverage="0" operator="greaterThan" aboveAverage="0" dxfId="8" text="" percent="0" bottom="0">
      <formula>0</formula>
    </cfRule>
  </conditionalFormatting>
  <conditionalFormatting sqref="G836">
    <cfRule type="cellIs" rank="0" priority="2490" equalAverage="0" operator="greaterThan" aboveAverage="0" dxfId="8" text="" percent="0" bottom="0">
      <formula>0</formula>
    </cfRule>
  </conditionalFormatting>
  <conditionalFormatting sqref="H836">
    <cfRule type="cellIs" rank="0" priority="2491" equalAverage="0" operator="greaterThan" aboveAverage="0" dxfId="8" text="" percent="0" bottom="0">
      <formula>0</formula>
    </cfRule>
  </conditionalFormatting>
  <conditionalFormatting sqref="C837">
    <cfRule type="cellIs" rank="0" priority="2492" equalAverage="0" operator="greaterThan" aboveAverage="0" dxfId="8" text="" percent="0" bottom="0">
      <formula>0</formula>
    </cfRule>
  </conditionalFormatting>
  <conditionalFormatting sqref="G837">
    <cfRule type="cellIs" rank="0" priority="2493" equalAverage="0" operator="greaterThan" aboveAverage="0" dxfId="8" text="" percent="0" bottom="0">
      <formula>0</formula>
    </cfRule>
  </conditionalFormatting>
  <conditionalFormatting sqref="H837">
    <cfRule type="cellIs" rank="0" priority="2494" equalAverage="0" operator="greaterThan" aboveAverage="0" dxfId="8" text="" percent="0" bottom="0">
      <formula>0</formula>
    </cfRule>
  </conditionalFormatting>
  <conditionalFormatting sqref="C838">
    <cfRule type="cellIs" rank="0" priority="2495" equalAverage="0" operator="greaterThan" aboveAverage="0" dxfId="8" text="" percent="0" bottom="0">
      <formula>0</formula>
    </cfRule>
  </conditionalFormatting>
  <conditionalFormatting sqref="G838">
    <cfRule type="cellIs" rank="0" priority="2496" equalAverage="0" operator="greaterThan" aboveAverage="0" dxfId="8" text="" percent="0" bottom="0">
      <formula>0</formula>
    </cfRule>
  </conditionalFormatting>
  <conditionalFormatting sqref="H838">
    <cfRule type="cellIs" rank="0" priority="2497" equalAverage="0" operator="greaterThan" aboveAverage="0" dxfId="8" text="" percent="0" bottom="0">
      <formula>0</formula>
    </cfRule>
  </conditionalFormatting>
  <conditionalFormatting sqref="C839">
    <cfRule type="cellIs" rank="0" priority="2498" equalAverage="0" operator="greaterThan" aboveAverage="0" dxfId="8" text="" percent="0" bottom="0">
      <formula>0</formula>
    </cfRule>
  </conditionalFormatting>
  <conditionalFormatting sqref="G839">
    <cfRule type="cellIs" rank="0" priority="2499" equalAverage="0" operator="greaterThan" aboveAverage="0" dxfId="8" text="" percent="0" bottom="0">
      <formula>0</formula>
    </cfRule>
  </conditionalFormatting>
  <conditionalFormatting sqref="H839">
    <cfRule type="cellIs" rank="0" priority="2500" equalAverage="0" operator="greaterThan" aboveAverage="0" dxfId="8" text="" percent="0" bottom="0">
      <formula>0</formula>
    </cfRule>
  </conditionalFormatting>
  <conditionalFormatting sqref="C840">
    <cfRule type="cellIs" rank="0" priority="2501" equalAverage="0" operator="greaterThan" aboveAverage="0" dxfId="8" text="" percent="0" bottom="0">
      <formula>0</formula>
    </cfRule>
  </conditionalFormatting>
  <conditionalFormatting sqref="G840">
    <cfRule type="cellIs" rank="0" priority="2502" equalAverage="0" operator="greaterThan" aboveAverage="0" dxfId="8" text="" percent="0" bottom="0">
      <formula>0</formula>
    </cfRule>
  </conditionalFormatting>
  <conditionalFormatting sqref="H840">
    <cfRule type="cellIs" rank="0" priority="2503" equalAverage="0" operator="greaterThan" aboveAverage="0" dxfId="8" text="" percent="0" bottom="0">
      <formula>0</formula>
    </cfRule>
  </conditionalFormatting>
  <conditionalFormatting sqref="C841">
    <cfRule type="cellIs" rank="0" priority="2504" equalAverage="0" operator="greaterThan" aboveAverage="0" dxfId="8" text="" percent="0" bottom="0">
      <formula>0</formula>
    </cfRule>
  </conditionalFormatting>
  <conditionalFormatting sqref="G841">
    <cfRule type="cellIs" rank="0" priority="2505" equalAverage="0" operator="greaterThan" aboveAverage="0" dxfId="8" text="" percent="0" bottom="0">
      <formula>0</formula>
    </cfRule>
  </conditionalFormatting>
  <conditionalFormatting sqref="H841">
    <cfRule type="cellIs" rank="0" priority="2506" equalAverage="0" operator="greaterThan" aboveAverage="0" dxfId="8" text="" percent="0" bottom="0">
      <formula>0</formula>
    </cfRule>
  </conditionalFormatting>
  <conditionalFormatting sqref="C842">
    <cfRule type="cellIs" rank="0" priority="2507" equalAverage="0" operator="greaterThan" aboveAverage="0" dxfId="8" text="" percent="0" bottom="0">
      <formula>0</formula>
    </cfRule>
  </conditionalFormatting>
  <conditionalFormatting sqref="G842">
    <cfRule type="cellIs" rank="0" priority="2508" equalAverage="0" operator="greaterThan" aboveAverage="0" dxfId="8" text="" percent="0" bottom="0">
      <formula>0</formula>
    </cfRule>
  </conditionalFormatting>
  <conditionalFormatting sqref="H842">
    <cfRule type="cellIs" rank="0" priority="2509" equalAverage="0" operator="greaterThan" aboveAverage="0" dxfId="8" text="" percent="0" bottom="0">
      <formula>0</formula>
    </cfRule>
  </conditionalFormatting>
  <conditionalFormatting sqref="C843">
    <cfRule type="cellIs" rank="0" priority="2510" equalAverage="0" operator="greaterThan" aboveAverage="0" dxfId="8" text="" percent="0" bottom="0">
      <formula>0</formula>
    </cfRule>
  </conditionalFormatting>
  <conditionalFormatting sqref="G843">
    <cfRule type="cellIs" rank="0" priority="2511" equalAverage="0" operator="greaterThan" aboveAverage="0" dxfId="8" text="" percent="0" bottom="0">
      <formula>0</formula>
    </cfRule>
  </conditionalFormatting>
  <conditionalFormatting sqref="H843">
    <cfRule type="cellIs" rank="0" priority="2512" equalAverage="0" operator="greaterThan" aboveAverage="0" dxfId="8" text="" percent="0" bottom="0">
      <formula>0</formula>
    </cfRule>
  </conditionalFormatting>
  <conditionalFormatting sqref="C844">
    <cfRule type="cellIs" rank="0" priority="2513" equalAverage="0" operator="greaterThan" aboveAverage="0" dxfId="8" text="" percent="0" bottom="0">
      <formula>0</formula>
    </cfRule>
  </conditionalFormatting>
  <conditionalFormatting sqref="G844">
    <cfRule type="cellIs" rank="0" priority="2514" equalAverage="0" operator="greaterThan" aboveAverage="0" dxfId="8" text="" percent="0" bottom="0">
      <formula>0</formula>
    </cfRule>
  </conditionalFormatting>
  <conditionalFormatting sqref="H844">
    <cfRule type="cellIs" rank="0" priority="2515" equalAverage="0" operator="greaterThan" aboveAverage="0" dxfId="8" text="" percent="0" bottom="0">
      <formula>0</formula>
    </cfRule>
  </conditionalFormatting>
  <conditionalFormatting sqref="C845">
    <cfRule type="cellIs" rank="0" priority="2516" equalAverage="0" operator="greaterThan" aboveAverage="0" dxfId="8" text="" percent="0" bottom="0">
      <formula>0</formula>
    </cfRule>
  </conditionalFormatting>
  <conditionalFormatting sqref="G845">
    <cfRule type="cellIs" rank="0" priority="2517" equalAverage="0" operator="greaterThan" aboveAverage="0" dxfId="8" text="" percent="0" bottom="0">
      <formula>0</formula>
    </cfRule>
  </conditionalFormatting>
  <conditionalFormatting sqref="H845">
    <cfRule type="cellIs" rank="0" priority="2518" equalAverage="0" operator="greaterThan" aboveAverage="0" dxfId="8" text="" percent="0" bottom="0">
      <formula>0</formula>
    </cfRule>
  </conditionalFormatting>
  <conditionalFormatting sqref="C846">
    <cfRule type="cellIs" rank="0" priority="2519" equalAverage="0" operator="greaterThan" aboveAverage="0" dxfId="8" text="" percent="0" bottom="0">
      <formula>0</formula>
    </cfRule>
  </conditionalFormatting>
  <conditionalFormatting sqref="G846">
    <cfRule type="cellIs" rank="0" priority="2520" equalAverage="0" operator="greaterThan" aboveAverage="0" dxfId="8" text="" percent="0" bottom="0">
      <formula>0</formula>
    </cfRule>
  </conditionalFormatting>
  <conditionalFormatting sqref="H846">
    <cfRule type="cellIs" rank="0" priority="2521" equalAverage="0" operator="greaterThan" aboveAverage="0" dxfId="8" text="" percent="0" bottom="0">
      <formula>0</formula>
    </cfRule>
  </conditionalFormatting>
  <conditionalFormatting sqref="C847">
    <cfRule type="cellIs" rank="0" priority="2522" equalAverage="0" operator="greaterThan" aboveAverage="0" dxfId="8" text="" percent="0" bottom="0">
      <formula>0</formula>
    </cfRule>
  </conditionalFormatting>
  <conditionalFormatting sqref="G847">
    <cfRule type="cellIs" rank="0" priority="2523" equalAverage="0" operator="greaterThan" aboveAverage="0" dxfId="8" text="" percent="0" bottom="0">
      <formula>0</formula>
    </cfRule>
  </conditionalFormatting>
  <conditionalFormatting sqref="H847">
    <cfRule type="cellIs" rank="0" priority="2524" equalAverage="0" operator="greaterThan" aboveAverage="0" dxfId="8" text="" percent="0" bottom="0">
      <formula>0</formula>
    </cfRule>
  </conditionalFormatting>
  <conditionalFormatting sqref="C848">
    <cfRule type="cellIs" rank="0" priority="2525" equalAverage="0" operator="greaterThan" aboveAverage="0" dxfId="8" text="" percent="0" bottom="0">
      <formula>0</formula>
    </cfRule>
  </conditionalFormatting>
  <conditionalFormatting sqref="G848">
    <cfRule type="cellIs" rank="0" priority="2526" equalAverage="0" operator="greaterThan" aboveAverage="0" dxfId="8" text="" percent="0" bottom="0">
      <formula>0</formula>
    </cfRule>
  </conditionalFormatting>
  <conditionalFormatting sqref="H848">
    <cfRule type="cellIs" rank="0" priority="2527" equalAverage="0" operator="greaterThan" aboveAverage="0" dxfId="8" text="" percent="0" bottom="0">
      <formula>0</formula>
    </cfRule>
  </conditionalFormatting>
  <conditionalFormatting sqref="C849">
    <cfRule type="cellIs" rank="0" priority="2528" equalAverage="0" operator="greaterThan" aboveAverage="0" dxfId="8" text="" percent="0" bottom="0">
      <formula>0</formula>
    </cfRule>
  </conditionalFormatting>
  <conditionalFormatting sqref="G849">
    <cfRule type="cellIs" rank="0" priority="2529" equalAverage="0" operator="greaterThan" aboveAverage="0" dxfId="8" text="" percent="0" bottom="0">
      <formula>0</formula>
    </cfRule>
  </conditionalFormatting>
  <conditionalFormatting sqref="H849">
    <cfRule type="cellIs" rank="0" priority="2530" equalAverage="0" operator="greaterThan" aboveAverage="0" dxfId="8" text="" percent="0" bottom="0">
      <formula>0</formula>
    </cfRule>
  </conditionalFormatting>
  <conditionalFormatting sqref="C850">
    <cfRule type="cellIs" rank="0" priority="2531" equalAverage="0" operator="greaterThan" aboveAverage="0" dxfId="8" text="" percent="0" bottom="0">
      <formula>0</formula>
    </cfRule>
  </conditionalFormatting>
  <conditionalFormatting sqref="G850">
    <cfRule type="cellIs" rank="0" priority="2532" equalAverage="0" operator="greaterThan" aboveAverage="0" dxfId="8" text="" percent="0" bottom="0">
      <formula>0</formula>
    </cfRule>
  </conditionalFormatting>
  <conditionalFormatting sqref="H850">
    <cfRule type="cellIs" rank="0" priority="2533" equalAverage="0" operator="greaterThan" aboveAverage="0" dxfId="8" text="" percent="0" bottom="0">
      <formula>0</formula>
    </cfRule>
  </conditionalFormatting>
  <conditionalFormatting sqref="C851">
    <cfRule type="cellIs" rank="0" priority="2534" equalAverage="0" operator="greaterThan" aboveAverage="0" dxfId="8" text="" percent="0" bottom="0">
      <formula>0</formula>
    </cfRule>
  </conditionalFormatting>
  <conditionalFormatting sqref="G851">
    <cfRule type="cellIs" rank="0" priority="2535" equalAverage="0" operator="greaterThan" aboveAverage="0" dxfId="8" text="" percent="0" bottom="0">
      <formula>0</formula>
    </cfRule>
  </conditionalFormatting>
  <conditionalFormatting sqref="H851">
    <cfRule type="cellIs" rank="0" priority="2536" equalAverage="0" operator="greaterThan" aboveAverage="0" dxfId="8" text="" percent="0" bottom="0">
      <formula>0</formula>
    </cfRule>
  </conditionalFormatting>
  <conditionalFormatting sqref="C852">
    <cfRule type="cellIs" rank="0" priority="2537" equalAverage="0" operator="greaterThan" aboveAverage="0" dxfId="8" text="" percent="0" bottom="0">
      <formula>0</formula>
    </cfRule>
  </conditionalFormatting>
  <conditionalFormatting sqref="G852">
    <cfRule type="cellIs" rank="0" priority="2538" equalAverage="0" operator="greaterThan" aboveAverage="0" dxfId="8" text="" percent="0" bottom="0">
      <formula>0</formula>
    </cfRule>
  </conditionalFormatting>
  <conditionalFormatting sqref="H852">
    <cfRule type="cellIs" rank="0" priority="2539" equalAverage="0" operator="greaterThan" aboveAverage="0" dxfId="8" text="" percent="0" bottom="0">
      <formula>0</formula>
    </cfRule>
  </conditionalFormatting>
  <conditionalFormatting sqref="C853">
    <cfRule type="cellIs" rank="0" priority="2540" equalAverage="0" operator="greaterThan" aboveAverage="0" dxfId="8" text="" percent="0" bottom="0">
      <formula>0</formula>
    </cfRule>
  </conditionalFormatting>
  <conditionalFormatting sqref="G853">
    <cfRule type="cellIs" rank="0" priority="2541" equalAverage="0" operator="greaterThan" aboveAverage="0" dxfId="8" text="" percent="0" bottom="0">
      <formula>0</formula>
    </cfRule>
  </conditionalFormatting>
  <conditionalFormatting sqref="H853">
    <cfRule type="cellIs" rank="0" priority="2542" equalAverage="0" operator="greaterThan" aboveAverage="0" dxfId="8" text="" percent="0" bottom="0">
      <formula>0</formula>
    </cfRule>
  </conditionalFormatting>
  <conditionalFormatting sqref="C854">
    <cfRule type="cellIs" rank="0" priority="2543" equalAverage="0" operator="greaterThan" aboveAverage="0" dxfId="8" text="" percent="0" bottom="0">
      <formula>0</formula>
    </cfRule>
  </conditionalFormatting>
  <conditionalFormatting sqref="G854">
    <cfRule type="cellIs" rank="0" priority="2544" equalAverage="0" operator="greaterThan" aboveAverage="0" dxfId="8" text="" percent="0" bottom="0">
      <formula>0</formula>
    </cfRule>
  </conditionalFormatting>
  <conditionalFormatting sqref="H854">
    <cfRule type="cellIs" rank="0" priority="2545" equalAverage="0" operator="greaterThan" aboveAverage="0" dxfId="8" text="" percent="0" bottom="0">
      <formula>0</formula>
    </cfRule>
  </conditionalFormatting>
  <conditionalFormatting sqref="C855">
    <cfRule type="cellIs" rank="0" priority="2546" equalAverage="0" operator="greaterThan" aboveAverage="0" dxfId="8" text="" percent="0" bottom="0">
      <formula>0</formula>
    </cfRule>
  </conditionalFormatting>
  <conditionalFormatting sqref="G855">
    <cfRule type="cellIs" rank="0" priority="2547" equalAverage="0" operator="greaterThan" aboveAverage="0" dxfId="8" text="" percent="0" bottom="0">
      <formula>0</formula>
    </cfRule>
  </conditionalFormatting>
  <conditionalFormatting sqref="H855">
    <cfRule type="cellIs" rank="0" priority="2548" equalAverage="0" operator="greaterThan" aboveAverage="0" dxfId="8" text="" percent="0" bottom="0">
      <formula>0</formula>
    </cfRule>
  </conditionalFormatting>
  <conditionalFormatting sqref="C856">
    <cfRule type="cellIs" rank="0" priority="2549" equalAverage="0" operator="greaterThan" aboveAverage="0" dxfId="8" text="" percent="0" bottom="0">
      <formula>0</formula>
    </cfRule>
  </conditionalFormatting>
  <conditionalFormatting sqref="G856">
    <cfRule type="cellIs" rank="0" priority="2550" equalAverage="0" operator="greaterThan" aboveAverage="0" dxfId="8" text="" percent="0" bottom="0">
      <formula>0</formula>
    </cfRule>
  </conditionalFormatting>
  <conditionalFormatting sqref="H856">
    <cfRule type="cellIs" rank="0" priority="2551" equalAverage="0" operator="greaterThan" aboveAverage="0" dxfId="8" text="" percent="0" bottom="0">
      <formula>0</formula>
    </cfRule>
  </conditionalFormatting>
  <conditionalFormatting sqref="C857">
    <cfRule type="cellIs" rank="0" priority="2552" equalAverage="0" operator="greaterThan" aboveAverage="0" dxfId="8" text="" percent="0" bottom="0">
      <formula>0</formula>
    </cfRule>
  </conditionalFormatting>
  <conditionalFormatting sqref="G857">
    <cfRule type="cellIs" rank="0" priority="2553" equalAverage="0" operator="greaterThan" aboveAverage="0" dxfId="8" text="" percent="0" bottom="0">
      <formula>0</formula>
    </cfRule>
  </conditionalFormatting>
  <conditionalFormatting sqref="H857">
    <cfRule type="cellIs" rank="0" priority="2554" equalAverage="0" operator="greaterThan" aboveAverage="0" dxfId="8" text="" percent="0" bottom="0">
      <formula>0</formula>
    </cfRule>
  </conditionalFormatting>
  <conditionalFormatting sqref="C858">
    <cfRule type="cellIs" rank="0" priority="2555" equalAverage="0" operator="greaterThan" aboveAverage="0" dxfId="8" text="" percent="0" bottom="0">
      <formula>0</formula>
    </cfRule>
  </conditionalFormatting>
  <conditionalFormatting sqref="G858">
    <cfRule type="cellIs" rank="0" priority="2556" equalAverage="0" operator="greaterThan" aboveAverage="0" dxfId="8" text="" percent="0" bottom="0">
      <formula>0</formula>
    </cfRule>
  </conditionalFormatting>
  <conditionalFormatting sqref="H858">
    <cfRule type="cellIs" rank="0" priority="2557" equalAverage="0" operator="greaterThan" aboveAverage="0" dxfId="8" text="" percent="0" bottom="0">
      <formula>0</formula>
    </cfRule>
  </conditionalFormatting>
  <conditionalFormatting sqref="C859">
    <cfRule type="cellIs" rank="0" priority="2558" equalAverage="0" operator="greaterThan" aboveAverage="0" dxfId="8" text="" percent="0" bottom="0">
      <formula>0</formula>
    </cfRule>
  </conditionalFormatting>
  <conditionalFormatting sqref="G859">
    <cfRule type="cellIs" rank="0" priority="2559" equalAverage="0" operator="greaterThan" aboveAverage="0" dxfId="8" text="" percent="0" bottom="0">
      <formula>0</formula>
    </cfRule>
  </conditionalFormatting>
  <conditionalFormatting sqref="H859">
    <cfRule type="cellIs" rank="0" priority="2560" equalAverage="0" operator="greaterThan" aboveAverage="0" dxfId="8" text="" percent="0" bottom="0">
      <formula>0</formula>
    </cfRule>
  </conditionalFormatting>
  <conditionalFormatting sqref="C860">
    <cfRule type="cellIs" rank="0" priority="2561" equalAverage="0" operator="greaterThan" aboveAverage="0" dxfId="8" text="" percent="0" bottom="0">
      <formula>0</formula>
    </cfRule>
  </conditionalFormatting>
  <conditionalFormatting sqref="G860">
    <cfRule type="cellIs" rank="0" priority="2562" equalAverage="0" operator="greaterThan" aboveAverage="0" dxfId="8" text="" percent="0" bottom="0">
      <formula>0</formula>
    </cfRule>
  </conditionalFormatting>
  <conditionalFormatting sqref="H860">
    <cfRule type="cellIs" rank="0" priority="2563" equalAverage="0" operator="greaterThan" aboveAverage="0" dxfId="8" text="" percent="0" bottom="0">
      <formula>0</formula>
    </cfRule>
  </conditionalFormatting>
  <conditionalFormatting sqref="C861">
    <cfRule type="cellIs" rank="0" priority="2564" equalAverage="0" operator="greaterThan" aboveAverage="0" dxfId="8" text="" percent="0" bottom="0">
      <formula>0</formula>
    </cfRule>
  </conditionalFormatting>
  <conditionalFormatting sqref="G861">
    <cfRule type="cellIs" rank="0" priority="2565" equalAverage="0" operator="greaterThan" aboveAverage="0" dxfId="8" text="" percent="0" bottom="0">
      <formula>0</formula>
    </cfRule>
  </conditionalFormatting>
  <conditionalFormatting sqref="H861">
    <cfRule type="cellIs" rank="0" priority="2566" equalAverage="0" operator="greaterThan" aboveAverage="0" dxfId="8" text="" percent="0" bottom="0">
      <formula>0</formula>
    </cfRule>
  </conditionalFormatting>
  <conditionalFormatting sqref="C862">
    <cfRule type="cellIs" rank="0" priority="2567" equalAverage="0" operator="greaterThan" aboveAverage="0" dxfId="8" text="" percent="0" bottom="0">
      <formula>0</formula>
    </cfRule>
  </conditionalFormatting>
  <conditionalFormatting sqref="G862">
    <cfRule type="cellIs" rank="0" priority="2568" equalAverage="0" operator="greaterThan" aboveAverage="0" dxfId="8" text="" percent="0" bottom="0">
      <formula>0</formula>
    </cfRule>
  </conditionalFormatting>
  <conditionalFormatting sqref="H862">
    <cfRule type="cellIs" rank="0" priority="2569" equalAverage="0" operator="greaterThan" aboveAverage="0" dxfId="8" text="" percent="0" bottom="0">
      <formula>0</formula>
    </cfRule>
  </conditionalFormatting>
  <conditionalFormatting sqref="C863">
    <cfRule type="cellIs" rank="0" priority="2570" equalAverage="0" operator="greaterThan" aboveAverage="0" dxfId="8" text="" percent="0" bottom="0">
      <formula>0</formula>
    </cfRule>
  </conditionalFormatting>
  <conditionalFormatting sqref="G863">
    <cfRule type="cellIs" rank="0" priority="2571" equalAverage="0" operator="greaterThan" aboveAverage="0" dxfId="8" text="" percent="0" bottom="0">
      <formula>0</formula>
    </cfRule>
  </conditionalFormatting>
  <conditionalFormatting sqref="H863">
    <cfRule type="cellIs" rank="0" priority="2572" equalAverage="0" operator="greaterThan" aboveAverage="0" dxfId="8" text="" percent="0" bottom="0">
      <formula>0</formula>
    </cfRule>
  </conditionalFormatting>
  <conditionalFormatting sqref="C864">
    <cfRule type="cellIs" rank="0" priority="2573" equalAverage="0" operator="greaterThan" aboveAverage="0" dxfId="8" text="" percent="0" bottom="0">
      <formula>0</formula>
    </cfRule>
  </conditionalFormatting>
  <conditionalFormatting sqref="G864">
    <cfRule type="cellIs" rank="0" priority="2574" equalAverage="0" operator="greaterThan" aboveAverage="0" dxfId="8" text="" percent="0" bottom="0">
      <formula>0</formula>
    </cfRule>
  </conditionalFormatting>
  <conditionalFormatting sqref="H864">
    <cfRule type="cellIs" rank="0" priority="2575" equalAverage="0" operator="greaterThan" aboveAverage="0" dxfId="8" text="" percent="0" bottom="0">
      <formula>0</formula>
    </cfRule>
  </conditionalFormatting>
  <conditionalFormatting sqref="C865">
    <cfRule type="cellIs" rank="0" priority="2576" equalAverage="0" operator="greaterThan" aboveAverage="0" dxfId="8" text="" percent="0" bottom="0">
      <formula>0</formula>
    </cfRule>
  </conditionalFormatting>
  <conditionalFormatting sqref="G865">
    <cfRule type="cellIs" rank="0" priority="2577" equalAverage="0" operator="greaterThan" aboveAverage="0" dxfId="8" text="" percent="0" bottom="0">
      <formula>0</formula>
    </cfRule>
  </conditionalFormatting>
  <conditionalFormatting sqref="H865">
    <cfRule type="cellIs" rank="0" priority="2578" equalAverage="0" operator="greaterThan" aboveAverage="0" dxfId="8" text="" percent="0" bottom="0">
      <formula>0</formula>
    </cfRule>
  </conditionalFormatting>
  <conditionalFormatting sqref="C866">
    <cfRule type="cellIs" rank="0" priority="2579" equalAverage="0" operator="greaterThan" aboveAverage="0" dxfId="8" text="" percent="0" bottom="0">
      <formula>0</formula>
    </cfRule>
  </conditionalFormatting>
  <conditionalFormatting sqref="G866">
    <cfRule type="cellIs" rank="0" priority="2580" equalAverage="0" operator="greaterThan" aboveAverage="0" dxfId="8" text="" percent="0" bottom="0">
      <formula>0</formula>
    </cfRule>
  </conditionalFormatting>
  <conditionalFormatting sqref="H866">
    <cfRule type="cellIs" rank="0" priority="2581" equalAverage="0" operator="greaterThan" aboveAverage="0" dxfId="8" text="" percent="0" bottom="0">
      <formula>0</formula>
    </cfRule>
  </conditionalFormatting>
  <conditionalFormatting sqref="C867">
    <cfRule type="cellIs" rank="0" priority="2582" equalAverage="0" operator="greaterThan" aboveAverage="0" dxfId="8" text="" percent="0" bottom="0">
      <formula>0</formula>
    </cfRule>
  </conditionalFormatting>
  <conditionalFormatting sqref="G867">
    <cfRule type="cellIs" rank="0" priority="2583" equalAverage="0" operator="greaterThan" aboveAverage="0" dxfId="8" text="" percent="0" bottom="0">
      <formula>0</formula>
    </cfRule>
  </conditionalFormatting>
  <conditionalFormatting sqref="H867">
    <cfRule type="cellIs" rank="0" priority="2584" equalAverage="0" operator="greaterThan" aboveAverage="0" dxfId="8" text="" percent="0" bottom="0">
      <formula>0</formula>
    </cfRule>
  </conditionalFormatting>
  <conditionalFormatting sqref="C868">
    <cfRule type="cellIs" rank="0" priority="2585" equalAverage="0" operator="greaterThan" aboveAverage="0" dxfId="8" text="" percent="0" bottom="0">
      <formula>0</formula>
    </cfRule>
  </conditionalFormatting>
  <conditionalFormatting sqref="G868">
    <cfRule type="cellIs" rank="0" priority="2586" equalAverage="0" operator="greaterThan" aboveAverage="0" dxfId="8" text="" percent="0" bottom="0">
      <formula>0</formula>
    </cfRule>
  </conditionalFormatting>
  <conditionalFormatting sqref="H868">
    <cfRule type="cellIs" rank="0" priority="2587" equalAverage="0" operator="greaterThan" aboveAverage="0" dxfId="8" text="" percent="0" bottom="0">
      <formula>0</formula>
    </cfRule>
  </conditionalFormatting>
  <conditionalFormatting sqref="C869">
    <cfRule type="cellIs" rank="0" priority="2588" equalAverage="0" operator="greaterThan" aboveAverage="0" dxfId="8" text="" percent="0" bottom="0">
      <formula>0</formula>
    </cfRule>
  </conditionalFormatting>
  <conditionalFormatting sqref="G869">
    <cfRule type="cellIs" rank="0" priority="2589" equalAverage="0" operator="greaterThan" aboveAverage="0" dxfId="8" text="" percent="0" bottom="0">
      <formula>0</formula>
    </cfRule>
  </conditionalFormatting>
  <conditionalFormatting sqref="H869">
    <cfRule type="cellIs" rank="0" priority="2590" equalAverage="0" operator="greaterThan" aboveAverage="0" dxfId="8" text="" percent="0" bottom="0">
      <formula>0</formula>
    </cfRule>
  </conditionalFormatting>
  <conditionalFormatting sqref="C870">
    <cfRule type="cellIs" rank="0" priority="2591" equalAverage="0" operator="greaterThan" aboveAverage="0" dxfId="8" text="" percent="0" bottom="0">
      <formula>0</formula>
    </cfRule>
  </conditionalFormatting>
  <conditionalFormatting sqref="G870">
    <cfRule type="cellIs" rank="0" priority="2592" equalAverage="0" operator="greaterThan" aboveAverage="0" dxfId="8" text="" percent="0" bottom="0">
      <formula>0</formula>
    </cfRule>
  </conditionalFormatting>
  <conditionalFormatting sqref="H870">
    <cfRule type="cellIs" rank="0" priority="2593" equalAverage="0" operator="greaterThan" aboveAverage="0" dxfId="8" text="" percent="0" bottom="0">
      <formula>0</formula>
    </cfRule>
  </conditionalFormatting>
  <conditionalFormatting sqref="C871">
    <cfRule type="cellIs" rank="0" priority="2594" equalAverage="0" operator="greaterThan" aboveAverage="0" dxfId="8" text="" percent="0" bottom="0">
      <formula>0</formula>
    </cfRule>
  </conditionalFormatting>
  <conditionalFormatting sqref="G871">
    <cfRule type="cellIs" rank="0" priority="2595" equalAverage="0" operator="greaterThan" aboveAverage="0" dxfId="8" text="" percent="0" bottom="0">
      <formula>0</formula>
    </cfRule>
  </conditionalFormatting>
  <conditionalFormatting sqref="H871">
    <cfRule type="cellIs" rank="0" priority="2596" equalAverage="0" operator="greaterThan" aboveAverage="0" dxfId="8" text="" percent="0" bottom="0">
      <formula>0</formula>
    </cfRule>
  </conditionalFormatting>
  <conditionalFormatting sqref="C872">
    <cfRule type="cellIs" rank="0" priority="2597" equalAverage="0" operator="greaterThan" aboveAverage="0" dxfId="8" text="" percent="0" bottom="0">
      <formula>0</formula>
    </cfRule>
  </conditionalFormatting>
  <conditionalFormatting sqref="G872">
    <cfRule type="cellIs" rank="0" priority="2598" equalAverage="0" operator="greaterThan" aboveAverage="0" dxfId="8" text="" percent="0" bottom="0">
      <formula>0</formula>
    </cfRule>
  </conditionalFormatting>
  <conditionalFormatting sqref="H872">
    <cfRule type="cellIs" rank="0" priority="2599" equalAverage="0" operator="greaterThan" aboveAverage="0" dxfId="8" text="" percent="0" bottom="0">
      <formula>0</formula>
    </cfRule>
  </conditionalFormatting>
  <conditionalFormatting sqref="C873">
    <cfRule type="cellIs" rank="0" priority="2600" equalAverage="0" operator="greaterThan" aboveAverage="0" dxfId="8" text="" percent="0" bottom="0">
      <formula>0</formula>
    </cfRule>
  </conditionalFormatting>
  <conditionalFormatting sqref="G873">
    <cfRule type="cellIs" rank="0" priority="2601" equalAverage="0" operator="greaterThan" aboveAverage="0" dxfId="8" text="" percent="0" bottom="0">
      <formula>0</formula>
    </cfRule>
  </conditionalFormatting>
  <conditionalFormatting sqref="H873">
    <cfRule type="cellIs" rank="0" priority="2602" equalAverage="0" operator="greaterThan" aboveAverage="0" dxfId="8" text="" percent="0" bottom="0">
      <formula>0</formula>
    </cfRule>
  </conditionalFormatting>
  <conditionalFormatting sqref="C874">
    <cfRule type="cellIs" rank="0" priority="2603" equalAverage="0" operator="greaterThan" aboveAverage="0" dxfId="8" text="" percent="0" bottom="0">
      <formula>0</formula>
    </cfRule>
  </conditionalFormatting>
  <conditionalFormatting sqref="G874">
    <cfRule type="cellIs" rank="0" priority="2604" equalAverage="0" operator="greaterThan" aboveAverage="0" dxfId="8" text="" percent="0" bottom="0">
      <formula>0</formula>
    </cfRule>
  </conditionalFormatting>
  <conditionalFormatting sqref="H874">
    <cfRule type="cellIs" rank="0" priority="2605" equalAverage="0" operator="greaterThan" aboveAverage="0" dxfId="8" text="" percent="0" bottom="0">
      <formula>0</formula>
    </cfRule>
  </conditionalFormatting>
  <conditionalFormatting sqref="C875">
    <cfRule type="cellIs" rank="0" priority="2606" equalAverage="0" operator="greaterThan" aboveAverage="0" dxfId="8" text="" percent="0" bottom="0">
      <formula>0</formula>
    </cfRule>
  </conditionalFormatting>
  <conditionalFormatting sqref="G875">
    <cfRule type="cellIs" rank="0" priority="2607" equalAverage="0" operator="greaterThan" aboveAverage="0" dxfId="8" text="" percent="0" bottom="0">
      <formula>0</formula>
    </cfRule>
  </conditionalFormatting>
  <conditionalFormatting sqref="H875">
    <cfRule type="cellIs" rank="0" priority="2608" equalAverage="0" operator="greaterThan" aboveAverage="0" dxfId="8" text="" percent="0" bottom="0">
      <formula>0</formula>
    </cfRule>
  </conditionalFormatting>
  <conditionalFormatting sqref="C876">
    <cfRule type="cellIs" rank="0" priority="2609" equalAverage="0" operator="greaterThan" aboveAverage="0" dxfId="8" text="" percent="0" bottom="0">
      <formula>0</formula>
    </cfRule>
  </conditionalFormatting>
  <conditionalFormatting sqref="G876">
    <cfRule type="cellIs" rank="0" priority="2610" equalAverage="0" operator="greaterThan" aboveAverage="0" dxfId="8" text="" percent="0" bottom="0">
      <formula>0</formula>
    </cfRule>
  </conditionalFormatting>
  <conditionalFormatting sqref="H876">
    <cfRule type="cellIs" rank="0" priority="2611" equalAverage="0" operator="greaterThan" aboveAverage="0" dxfId="8" text="" percent="0" bottom="0">
      <formula>0</formula>
    </cfRule>
  </conditionalFormatting>
  <conditionalFormatting sqref="C877">
    <cfRule type="cellIs" rank="0" priority="2612" equalAverage="0" operator="greaterThan" aboveAverage="0" dxfId="8" text="" percent="0" bottom="0">
      <formula>0</formula>
    </cfRule>
  </conditionalFormatting>
  <conditionalFormatting sqref="G877">
    <cfRule type="cellIs" rank="0" priority="2613" equalAverage="0" operator="greaterThan" aboveAverage="0" dxfId="8" text="" percent="0" bottom="0">
      <formula>0</formula>
    </cfRule>
  </conditionalFormatting>
  <conditionalFormatting sqref="H877">
    <cfRule type="cellIs" rank="0" priority="2614" equalAverage="0" operator="greaterThan" aboveAverage="0" dxfId="8" text="" percent="0" bottom="0">
      <formula>0</formula>
    </cfRule>
  </conditionalFormatting>
  <conditionalFormatting sqref="C878">
    <cfRule type="cellIs" rank="0" priority="2615" equalAverage="0" operator="greaterThan" aboveAverage="0" dxfId="8" text="" percent="0" bottom="0">
      <formula>0</formula>
    </cfRule>
  </conditionalFormatting>
  <conditionalFormatting sqref="G878">
    <cfRule type="cellIs" rank="0" priority="2616" equalAverage="0" operator="greaterThan" aboveAverage="0" dxfId="8" text="" percent="0" bottom="0">
      <formula>0</formula>
    </cfRule>
  </conditionalFormatting>
  <conditionalFormatting sqref="H878">
    <cfRule type="cellIs" rank="0" priority="2617" equalAverage="0" operator="greaterThan" aboveAverage="0" dxfId="8" text="" percent="0" bottom="0">
      <formula>0</formula>
    </cfRule>
  </conditionalFormatting>
  <conditionalFormatting sqref="C879">
    <cfRule type="cellIs" rank="0" priority="2618" equalAverage="0" operator="greaterThan" aboveAverage="0" dxfId="8" text="" percent="0" bottom="0">
      <formula>0</formula>
    </cfRule>
  </conditionalFormatting>
  <conditionalFormatting sqref="G879">
    <cfRule type="cellIs" rank="0" priority="2619" equalAverage="0" operator="greaterThan" aboveAverage="0" dxfId="8" text="" percent="0" bottom="0">
      <formula>0</formula>
    </cfRule>
  </conditionalFormatting>
  <conditionalFormatting sqref="H879">
    <cfRule type="cellIs" rank="0" priority="2620" equalAverage="0" operator="greaterThan" aboveAverage="0" dxfId="8" text="" percent="0" bottom="0">
      <formula>0</formula>
    </cfRule>
  </conditionalFormatting>
  <conditionalFormatting sqref="C880">
    <cfRule type="cellIs" rank="0" priority="2621" equalAverage="0" operator="greaterThan" aboveAverage="0" dxfId="8" text="" percent="0" bottom="0">
      <formula>0</formula>
    </cfRule>
  </conditionalFormatting>
  <conditionalFormatting sqref="G880">
    <cfRule type="cellIs" rank="0" priority="2622" equalAverage="0" operator="greaterThan" aboveAverage="0" dxfId="8" text="" percent="0" bottom="0">
      <formula>0</formula>
    </cfRule>
  </conditionalFormatting>
  <conditionalFormatting sqref="H880">
    <cfRule type="cellIs" rank="0" priority="2623" equalAverage="0" operator="greaterThan" aboveAverage="0" dxfId="8" text="" percent="0" bottom="0">
      <formula>0</formula>
    </cfRule>
  </conditionalFormatting>
  <conditionalFormatting sqref="C881">
    <cfRule type="cellIs" rank="0" priority="2624" equalAverage="0" operator="greaterThan" aboveAverage="0" dxfId="8" text="" percent="0" bottom="0">
      <formula>0</formula>
    </cfRule>
  </conditionalFormatting>
  <conditionalFormatting sqref="G881">
    <cfRule type="cellIs" rank="0" priority="2625" equalAverage="0" operator="greaterThan" aboveAverage="0" dxfId="8" text="" percent="0" bottom="0">
      <formula>0</formula>
    </cfRule>
  </conditionalFormatting>
  <conditionalFormatting sqref="H881">
    <cfRule type="cellIs" rank="0" priority="2626" equalAverage="0" operator="greaterThan" aboveAverage="0" dxfId="8" text="" percent="0" bottom="0">
      <formula>0</formula>
    </cfRule>
  </conditionalFormatting>
  <conditionalFormatting sqref="C882">
    <cfRule type="cellIs" rank="0" priority="2627" equalAverage="0" operator="greaterThan" aboveAverage="0" dxfId="8" text="" percent="0" bottom="0">
      <formula>0</formula>
    </cfRule>
  </conditionalFormatting>
  <conditionalFormatting sqref="G882">
    <cfRule type="cellIs" rank="0" priority="2628" equalAverage="0" operator="greaterThan" aboveAverage="0" dxfId="8" text="" percent="0" bottom="0">
      <formula>0</formula>
    </cfRule>
  </conditionalFormatting>
  <conditionalFormatting sqref="H882">
    <cfRule type="cellIs" rank="0" priority="2629" equalAverage="0" operator="greaterThan" aboveAverage="0" dxfId="8" text="" percent="0" bottom="0">
      <formula>0</formula>
    </cfRule>
  </conditionalFormatting>
  <conditionalFormatting sqref="C883">
    <cfRule type="cellIs" rank="0" priority="2630" equalAverage="0" operator="greaterThan" aboveAverage="0" dxfId="8" text="" percent="0" bottom="0">
      <formula>0</formula>
    </cfRule>
  </conditionalFormatting>
  <conditionalFormatting sqref="G883">
    <cfRule type="cellIs" rank="0" priority="2631" equalAverage="0" operator="greaterThan" aboveAverage="0" dxfId="8" text="" percent="0" bottom="0">
      <formula>0</formula>
    </cfRule>
  </conditionalFormatting>
  <conditionalFormatting sqref="H883">
    <cfRule type="cellIs" rank="0" priority="2632" equalAverage="0" operator="greaterThan" aboveAverage="0" dxfId="8" text="" percent="0" bottom="0">
      <formula>0</formula>
    </cfRule>
  </conditionalFormatting>
  <conditionalFormatting sqref="C884">
    <cfRule type="cellIs" rank="0" priority="2633" equalAverage="0" operator="greaterThan" aboveAverage="0" dxfId="8" text="" percent="0" bottom="0">
      <formula>0</formula>
    </cfRule>
  </conditionalFormatting>
  <conditionalFormatting sqref="G884">
    <cfRule type="cellIs" rank="0" priority="2634" equalAverage="0" operator="greaterThan" aboveAverage="0" dxfId="8" text="" percent="0" bottom="0">
      <formula>0</formula>
    </cfRule>
  </conditionalFormatting>
  <conditionalFormatting sqref="H884">
    <cfRule type="cellIs" rank="0" priority="2635" equalAverage="0" operator="greaterThan" aboveAverage="0" dxfId="8" text="" percent="0" bottom="0">
      <formula>0</formula>
    </cfRule>
  </conditionalFormatting>
  <conditionalFormatting sqref="C885">
    <cfRule type="cellIs" rank="0" priority="2636" equalAverage="0" operator="greaterThan" aboveAverage="0" dxfId="8" text="" percent="0" bottom="0">
      <formula>0</formula>
    </cfRule>
  </conditionalFormatting>
  <conditionalFormatting sqref="G885">
    <cfRule type="cellIs" rank="0" priority="2637" equalAverage="0" operator="greaterThan" aboveAverage="0" dxfId="8" text="" percent="0" bottom="0">
      <formula>0</formula>
    </cfRule>
  </conditionalFormatting>
  <conditionalFormatting sqref="H885">
    <cfRule type="cellIs" rank="0" priority="2638" equalAverage="0" operator="greaterThan" aboveAverage="0" dxfId="8" text="" percent="0" bottom="0">
      <formula>0</formula>
    </cfRule>
  </conditionalFormatting>
  <conditionalFormatting sqref="C886">
    <cfRule type="cellIs" rank="0" priority="2639" equalAverage="0" operator="greaterThan" aboveAverage="0" dxfId="8" text="" percent="0" bottom="0">
      <formula>0</formula>
    </cfRule>
  </conditionalFormatting>
  <conditionalFormatting sqref="G886">
    <cfRule type="cellIs" rank="0" priority="2640" equalAverage="0" operator="greaterThan" aboveAverage="0" dxfId="8" text="" percent="0" bottom="0">
      <formula>0</formula>
    </cfRule>
  </conditionalFormatting>
  <conditionalFormatting sqref="H886">
    <cfRule type="cellIs" rank="0" priority="2641" equalAverage="0" operator="greaterThan" aboveAverage="0" dxfId="8" text="" percent="0" bottom="0">
      <formula>0</formula>
    </cfRule>
  </conditionalFormatting>
  <conditionalFormatting sqref="C887">
    <cfRule type="cellIs" rank="0" priority="2642" equalAverage="0" operator="greaterThan" aboveAverage="0" dxfId="8" text="" percent="0" bottom="0">
      <formula>0</formula>
    </cfRule>
  </conditionalFormatting>
  <conditionalFormatting sqref="G887">
    <cfRule type="cellIs" rank="0" priority="2643" equalAverage="0" operator="greaterThan" aboveAverage="0" dxfId="8" text="" percent="0" bottom="0">
      <formula>0</formula>
    </cfRule>
  </conditionalFormatting>
  <conditionalFormatting sqref="H887">
    <cfRule type="cellIs" rank="0" priority="2644" equalAverage="0" operator="greaterThan" aboveAverage="0" dxfId="8" text="" percent="0" bottom="0">
      <formula>0</formula>
    </cfRule>
  </conditionalFormatting>
  <conditionalFormatting sqref="C888">
    <cfRule type="cellIs" rank="0" priority="2645" equalAverage="0" operator="greaterThan" aboveAverage="0" dxfId="8" text="" percent="0" bottom="0">
      <formula>0</formula>
    </cfRule>
  </conditionalFormatting>
  <conditionalFormatting sqref="G888">
    <cfRule type="cellIs" rank="0" priority="2646" equalAverage="0" operator="greaterThan" aboveAverage="0" dxfId="8" text="" percent="0" bottom="0">
      <formula>0</formula>
    </cfRule>
  </conditionalFormatting>
  <conditionalFormatting sqref="H888">
    <cfRule type="cellIs" rank="0" priority="2647" equalAverage="0" operator="greaterThan" aboveAverage="0" dxfId="8" text="" percent="0" bottom="0">
      <formula>0</formula>
    </cfRule>
  </conditionalFormatting>
  <conditionalFormatting sqref="C889">
    <cfRule type="cellIs" rank="0" priority="2648" equalAverage="0" operator="greaterThan" aboveAverage="0" dxfId="8" text="" percent="0" bottom="0">
      <formula>0</formula>
    </cfRule>
  </conditionalFormatting>
  <conditionalFormatting sqref="G889">
    <cfRule type="cellIs" rank="0" priority="2649" equalAverage="0" operator="greaterThan" aboveAverage="0" dxfId="8" text="" percent="0" bottom="0">
      <formula>0</formula>
    </cfRule>
  </conditionalFormatting>
  <conditionalFormatting sqref="H889">
    <cfRule type="cellIs" rank="0" priority="2650" equalAverage="0" operator="greaterThan" aboveAverage="0" dxfId="8" text="" percent="0" bottom="0">
      <formula>0</formula>
    </cfRule>
  </conditionalFormatting>
  <conditionalFormatting sqref="C890">
    <cfRule type="cellIs" rank="0" priority="2651" equalAverage="0" operator="greaterThan" aboveAverage="0" dxfId="8" text="" percent="0" bottom="0">
      <formula>0</formula>
    </cfRule>
  </conditionalFormatting>
  <conditionalFormatting sqref="G890">
    <cfRule type="cellIs" rank="0" priority="2652" equalAverage="0" operator="greaterThan" aboveAverage="0" dxfId="8" text="" percent="0" bottom="0">
      <formula>0</formula>
    </cfRule>
  </conditionalFormatting>
  <conditionalFormatting sqref="H890">
    <cfRule type="cellIs" rank="0" priority="2653" equalAverage="0" operator="greaterThan" aboveAverage="0" dxfId="8" text="" percent="0" bottom="0">
      <formula>0</formula>
    </cfRule>
  </conditionalFormatting>
  <conditionalFormatting sqref="C891">
    <cfRule type="cellIs" rank="0" priority="2654" equalAverage="0" operator="greaterThan" aboveAverage="0" dxfId="8" text="" percent="0" bottom="0">
      <formula>0</formula>
    </cfRule>
  </conditionalFormatting>
  <conditionalFormatting sqref="G891">
    <cfRule type="cellIs" rank="0" priority="2655" equalAverage="0" operator="greaterThan" aboveAverage="0" dxfId="8" text="" percent="0" bottom="0">
      <formula>0</formula>
    </cfRule>
  </conditionalFormatting>
  <conditionalFormatting sqref="H891">
    <cfRule type="cellIs" rank="0" priority="2656" equalAverage="0" operator="greaterThan" aboveAverage="0" dxfId="8" text="" percent="0" bottom="0">
      <formula>0</formula>
    </cfRule>
  </conditionalFormatting>
  <conditionalFormatting sqref="C892">
    <cfRule type="cellIs" rank="0" priority="2657" equalAverage="0" operator="greaterThan" aboveAverage="0" dxfId="8" text="" percent="0" bottom="0">
      <formula>0</formula>
    </cfRule>
  </conditionalFormatting>
  <conditionalFormatting sqref="G892">
    <cfRule type="cellIs" rank="0" priority="2658" equalAverage="0" operator="greaterThan" aboveAverage="0" dxfId="8" text="" percent="0" bottom="0">
      <formula>0</formula>
    </cfRule>
  </conditionalFormatting>
  <conditionalFormatting sqref="H892">
    <cfRule type="cellIs" rank="0" priority="2659" equalAverage="0" operator="greaterThan" aboveAverage="0" dxfId="8" text="" percent="0" bottom="0">
      <formula>0</formula>
    </cfRule>
  </conditionalFormatting>
  <conditionalFormatting sqref="C893">
    <cfRule type="cellIs" rank="0" priority="2660" equalAverage="0" operator="greaterThan" aboveAverage="0" dxfId="8" text="" percent="0" bottom="0">
      <formula>0</formula>
    </cfRule>
  </conditionalFormatting>
  <conditionalFormatting sqref="G893">
    <cfRule type="cellIs" rank="0" priority="2661" equalAverage="0" operator="greaterThan" aboveAverage="0" dxfId="8" text="" percent="0" bottom="0">
      <formula>0</formula>
    </cfRule>
  </conditionalFormatting>
  <conditionalFormatting sqref="H893">
    <cfRule type="cellIs" rank="0" priority="2662" equalAverage="0" operator="greaterThan" aboveAverage="0" dxfId="8" text="" percent="0" bottom="0">
      <formula>0</formula>
    </cfRule>
  </conditionalFormatting>
  <conditionalFormatting sqref="C894">
    <cfRule type="cellIs" rank="0" priority="2663" equalAverage="0" operator="greaterThan" aboveAverage="0" dxfId="8" text="" percent="0" bottom="0">
      <formula>0</formula>
    </cfRule>
  </conditionalFormatting>
  <conditionalFormatting sqref="G894">
    <cfRule type="cellIs" rank="0" priority="2664" equalAverage="0" operator="greaterThan" aboveAverage="0" dxfId="8" text="" percent="0" bottom="0">
      <formula>0</formula>
    </cfRule>
  </conditionalFormatting>
  <conditionalFormatting sqref="H894">
    <cfRule type="cellIs" rank="0" priority="2665" equalAverage="0" operator="greaterThan" aboveAverage="0" dxfId="8" text="" percent="0" bottom="0">
      <formula>0</formula>
    </cfRule>
  </conditionalFormatting>
  <conditionalFormatting sqref="C895">
    <cfRule type="cellIs" rank="0" priority="2666" equalAverage="0" operator="greaterThan" aboveAverage="0" dxfId="8" text="" percent="0" bottom="0">
      <formula>0</formula>
    </cfRule>
  </conditionalFormatting>
  <conditionalFormatting sqref="G895">
    <cfRule type="cellIs" rank="0" priority="2667" equalAverage="0" operator="greaterThan" aboveAverage="0" dxfId="8" text="" percent="0" bottom="0">
      <formula>0</formula>
    </cfRule>
  </conditionalFormatting>
  <conditionalFormatting sqref="H895">
    <cfRule type="cellIs" rank="0" priority="2668" equalAverage="0" operator="greaterThan" aboveAverage="0" dxfId="8" text="" percent="0" bottom="0">
      <formula>0</formula>
    </cfRule>
  </conditionalFormatting>
  <conditionalFormatting sqref="C896">
    <cfRule type="cellIs" rank="0" priority="2669" equalAverage="0" operator="greaterThan" aboveAverage="0" dxfId="8" text="" percent="0" bottom="0">
      <formula>0</formula>
    </cfRule>
  </conditionalFormatting>
  <conditionalFormatting sqref="G896">
    <cfRule type="cellIs" rank="0" priority="2670" equalAverage="0" operator="greaterThan" aboveAverage="0" dxfId="8" text="" percent="0" bottom="0">
      <formula>0</formula>
    </cfRule>
  </conditionalFormatting>
  <conditionalFormatting sqref="H896">
    <cfRule type="cellIs" rank="0" priority="2671" equalAverage="0" operator="greaterThan" aboveAverage="0" dxfId="8" text="" percent="0" bottom="0">
      <formula>0</formula>
    </cfRule>
  </conditionalFormatting>
  <conditionalFormatting sqref="C897">
    <cfRule type="cellIs" rank="0" priority="2672" equalAverage="0" operator="greaterThan" aboveAverage="0" dxfId="8" text="" percent="0" bottom="0">
      <formula>0</formula>
    </cfRule>
  </conditionalFormatting>
  <conditionalFormatting sqref="G897">
    <cfRule type="cellIs" rank="0" priority="2673" equalAverage="0" operator="greaterThan" aboveAverage="0" dxfId="8" text="" percent="0" bottom="0">
      <formula>0</formula>
    </cfRule>
  </conditionalFormatting>
  <conditionalFormatting sqref="H897">
    <cfRule type="cellIs" rank="0" priority="2674" equalAverage="0" operator="greaterThan" aboveAverage="0" dxfId="8" text="" percent="0" bottom="0">
      <formula>0</formula>
    </cfRule>
  </conditionalFormatting>
  <conditionalFormatting sqref="C898">
    <cfRule type="cellIs" rank="0" priority="2675" equalAverage="0" operator="greaterThan" aboveAverage="0" dxfId="8" text="" percent="0" bottom="0">
      <formula>0</formula>
    </cfRule>
  </conditionalFormatting>
  <conditionalFormatting sqref="G898">
    <cfRule type="cellIs" rank="0" priority="2676" equalAverage="0" operator="greaterThan" aboveAverage="0" dxfId="8" text="" percent="0" bottom="0">
      <formula>0</formula>
    </cfRule>
  </conditionalFormatting>
  <conditionalFormatting sqref="H898">
    <cfRule type="cellIs" rank="0" priority="2677" equalAverage="0" operator="greaterThan" aboveAverage="0" dxfId="8" text="" percent="0" bottom="0">
      <formula>0</formula>
    </cfRule>
  </conditionalFormatting>
  <conditionalFormatting sqref="C899">
    <cfRule type="cellIs" rank="0" priority="2678" equalAverage="0" operator="greaterThan" aboveAverage="0" dxfId="8" text="" percent="0" bottom="0">
      <formula>0</formula>
    </cfRule>
  </conditionalFormatting>
  <conditionalFormatting sqref="G899">
    <cfRule type="cellIs" rank="0" priority="2679" equalAverage="0" operator="greaterThan" aboveAverage="0" dxfId="8" text="" percent="0" bottom="0">
      <formula>0</formula>
    </cfRule>
  </conditionalFormatting>
  <conditionalFormatting sqref="H899">
    <cfRule type="cellIs" rank="0" priority="2680" equalAverage="0" operator="greaterThan" aboveAverage="0" dxfId="8" text="" percent="0" bottom="0">
      <formula>0</formula>
    </cfRule>
  </conditionalFormatting>
  <conditionalFormatting sqref="C900">
    <cfRule type="cellIs" rank="0" priority="2681" equalAverage="0" operator="greaterThan" aboveAverage="0" dxfId="8" text="" percent="0" bottom="0">
      <formula>0</formula>
    </cfRule>
  </conditionalFormatting>
  <conditionalFormatting sqref="G900">
    <cfRule type="cellIs" rank="0" priority="2682" equalAverage="0" operator="greaterThan" aboveAverage="0" dxfId="8" text="" percent="0" bottom="0">
      <formula>0</formula>
    </cfRule>
  </conditionalFormatting>
  <conditionalFormatting sqref="H900">
    <cfRule type="cellIs" rank="0" priority="2683" equalAverage="0" operator="greaterThan" aboveAverage="0" dxfId="8" text="" percent="0" bottom="0">
      <formula>0</formula>
    </cfRule>
  </conditionalFormatting>
  <conditionalFormatting sqref="C901">
    <cfRule type="cellIs" rank="0" priority="2684" equalAverage="0" operator="greaterThan" aboveAverage="0" dxfId="8" text="" percent="0" bottom="0">
      <formula>0</formula>
    </cfRule>
  </conditionalFormatting>
  <conditionalFormatting sqref="G901">
    <cfRule type="cellIs" rank="0" priority="2685" equalAverage="0" operator="greaterThan" aboveAverage="0" dxfId="8" text="" percent="0" bottom="0">
      <formula>0</formula>
    </cfRule>
  </conditionalFormatting>
  <conditionalFormatting sqref="H901">
    <cfRule type="cellIs" rank="0" priority="2686" equalAverage="0" operator="greaterThan" aboveAverage="0" dxfId="8" text="" percent="0" bottom="0">
      <formula>0</formula>
    </cfRule>
  </conditionalFormatting>
  <conditionalFormatting sqref="C902">
    <cfRule type="cellIs" rank="0" priority="2687" equalAverage="0" operator="greaterThan" aboveAverage="0" dxfId="8" text="" percent="0" bottom="0">
      <formula>0</formula>
    </cfRule>
  </conditionalFormatting>
  <conditionalFormatting sqref="G902">
    <cfRule type="cellIs" rank="0" priority="2688" equalAverage="0" operator="greaterThan" aboveAverage="0" dxfId="8" text="" percent="0" bottom="0">
      <formula>0</formula>
    </cfRule>
  </conditionalFormatting>
  <conditionalFormatting sqref="H902">
    <cfRule type="cellIs" rank="0" priority="2689" equalAverage="0" operator="greaterThan" aboveAverage="0" dxfId="8" text="" percent="0" bottom="0">
      <formula>0</formula>
    </cfRule>
  </conditionalFormatting>
  <conditionalFormatting sqref="C903">
    <cfRule type="cellIs" rank="0" priority="2690" equalAverage="0" operator="greaterThan" aboveAverage="0" dxfId="8" text="" percent="0" bottom="0">
      <formula>0</formula>
    </cfRule>
  </conditionalFormatting>
  <conditionalFormatting sqref="G903">
    <cfRule type="cellIs" rank="0" priority="2691" equalAverage="0" operator="greaterThan" aboveAverage="0" dxfId="8" text="" percent="0" bottom="0">
      <formula>0</formula>
    </cfRule>
  </conditionalFormatting>
  <conditionalFormatting sqref="H903">
    <cfRule type="cellIs" rank="0" priority="2692" equalAverage="0" operator="greaterThan" aboveAverage="0" dxfId="8" text="" percent="0" bottom="0">
      <formula>0</formula>
    </cfRule>
  </conditionalFormatting>
  <conditionalFormatting sqref="C904">
    <cfRule type="cellIs" rank="0" priority="2693" equalAverage="0" operator="greaterThan" aboveAverage="0" dxfId="8" text="" percent="0" bottom="0">
      <formula>0</formula>
    </cfRule>
  </conditionalFormatting>
  <conditionalFormatting sqref="G904">
    <cfRule type="cellIs" rank="0" priority="2694" equalAverage="0" operator="greaterThan" aboveAverage="0" dxfId="8" text="" percent="0" bottom="0">
      <formula>0</formula>
    </cfRule>
  </conditionalFormatting>
  <conditionalFormatting sqref="H904">
    <cfRule type="cellIs" rank="0" priority="2695" equalAverage="0" operator="greaterThan" aboveAverage="0" dxfId="8" text="" percent="0" bottom="0">
      <formula>0</formula>
    </cfRule>
  </conditionalFormatting>
  <conditionalFormatting sqref="C905">
    <cfRule type="cellIs" rank="0" priority="2696" equalAverage="0" operator="greaterThan" aboveAverage="0" dxfId="8" text="" percent="0" bottom="0">
      <formula>0</formula>
    </cfRule>
  </conditionalFormatting>
  <conditionalFormatting sqref="G905">
    <cfRule type="cellIs" rank="0" priority="2697" equalAverage="0" operator="greaterThan" aboveAverage="0" dxfId="8" text="" percent="0" bottom="0">
      <formula>0</formula>
    </cfRule>
  </conditionalFormatting>
  <conditionalFormatting sqref="H905">
    <cfRule type="cellIs" rank="0" priority="2698" equalAverage="0" operator="greaterThan" aboveAverage="0" dxfId="8" text="" percent="0" bottom="0">
      <formula>0</formula>
    </cfRule>
  </conditionalFormatting>
  <conditionalFormatting sqref="C906">
    <cfRule type="cellIs" rank="0" priority="2699" equalAverage="0" operator="greaterThan" aboveAverage="0" dxfId="8" text="" percent="0" bottom="0">
      <formula>0</formula>
    </cfRule>
  </conditionalFormatting>
  <conditionalFormatting sqref="G906">
    <cfRule type="cellIs" rank="0" priority="2700" equalAverage="0" operator="greaterThan" aboveAverage="0" dxfId="8" text="" percent="0" bottom="0">
      <formula>0</formula>
    </cfRule>
  </conditionalFormatting>
  <conditionalFormatting sqref="H906">
    <cfRule type="cellIs" rank="0" priority="2701" equalAverage="0" operator="greaterThan" aboveAverage="0" dxfId="8" text="" percent="0" bottom="0">
      <formula>0</formula>
    </cfRule>
  </conditionalFormatting>
  <conditionalFormatting sqref="C907">
    <cfRule type="cellIs" rank="0" priority="2702" equalAverage="0" operator="greaterThan" aboveAverage="0" dxfId="8" text="" percent="0" bottom="0">
      <formula>0</formula>
    </cfRule>
  </conditionalFormatting>
  <conditionalFormatting sqref="G907">
    <cfRule type="cellIs" rank="0" priority="2703" equalAverage="0" operator="greaterThan" aboveAverage="0" dxfId="8" text="" percent="0" bottom="0">
      <formula>0</formula>
    </cfRule>
  </conditionalFormatting>
  <conditionalFormatting sqref="H907">
    <cfRule type="cellIs" rank="0" priority="2704" equalAverage="0" operator="greaterThan" aboveAverage="0" dxfId="8" text="" percent="0" bottom="0">
      <formula>0</formula>
    </cfRule>
  </conditionalFormatting>
  <conditionalFormatting sqref="C908">
    <cfRule type="cellIs" rank="0" priority="2705" equalAverage="0" operator="greaterThan" aboveAverage="0" dxfId="8" text="" percent="0" bottom="0">
      <formula>0</formula>
    </cfRule>
  </conditionalFormatting>
  <conditionalFormatting sqref="G908">
    <cfRule type="cellIs" rank="0" priority="2706" equalAverage="0" operator="greaterThan" aboveAverage="0" dxfId="8" text="" percent="0" bottom="0">
      <formula>0</formula>
    </cfRule>
  </conditionalFormatting>
  <conditionalFormatting sqref="H908">
    <cfRule type="cellIs" rank="0" priority="2707" equalAverage="0" operator="greaterThan" aboveAverage="0" dxfId="8" text="" percent="0" bottom="0">
      <formula>0</formula>
    </cfRule>
  </conditionalFormatting>
  <conditionalFormatting sqref="C909">
    <cfRule type="cellIs" rank="0" priority="2708" equalAverage="0" operator="greaterThan" aboveAverage="0" dxfId="8" text="" percent="0" bottom="0">
      <formula>0</formula>
    </cfRule>
  </conditionalFormatting>
  <conditionalFormatting sqref="G909">
    <cfRule type="cellIs" rank="0" priority="2709" equalAverage="0" operator="greaterThan" aboveAverage="0" dxfId="8" text="" percent="0" bottom="0">
      <formula>0</formula>
    </cfRule>
  </conditionalFormatting>
  <conditionalFormatting sqref="H909">
    <cfRule type="cellIs" rank="0" priority="2710" equalAverage="0" operator="greaterThan" aboveAverage="0" dxfId="8" text="" percent="0" bottom="0">
      <formula>0</formula>
    </cfRule>
  </conditionalFormatting>
  <conditionalFormatting sqref="C910">
    <cfRule type="cellIs" rank="0" priority="2711" equalAverage="0" operator="greaterThan" aboveAverage="0" dxfId="8" text="" percent="0" bottom="0">
      <formula>0</formula>
    </cfRule>
  </conditionalFormatting>
  <conditionalFormatting sqref="G910">
    <cfRule type="cellIs" rank="0" priority="2712" equalAverage="0" operator="greaterThan" aboveAverage="0" dxfId="8" text="" percent="0" bottom="0">
      <formula>0</formula>
    </cfRule>
  </conditionalFormatting>
  <conditionalFormatting sqref="H910">
    <cfRule type="cellIs" rank="0" priority="2713" equalAverage="0" operator="greaterThan" aboveAverage="0" dxfId="8" text="" percent="0" bottom="0">
      <formula>0</formula>
    </cfRule>
  </conditionalFormatting>
  <conditionalFormatting sqref="C911">
    <cfRule type="cellIs" rank="0" priority="2714" equalAverage="0" operator="greaterThan" aboveAverage="0" dxfId="8" text="" percent="0" bottom="0">
      <formula>0</formula>
    </cfRule>
  </conditionalFormatting>
  <conditionalFormatting sqref="G911">
    <cfRule type="cellIs" rank="0" priority="2715" equalAverage="0" operator="greaterThan" aboveAverage="0" dxfId="8" text="" percent="0" bottom="0">
      <formula>0</formula>
    </cfRule>
  </conditionalFormatting>
  <conditionalFormatting sqref="H911">
    <cfRule type="cellIs" rank="0" priority="2716" equalAverage="0" operator="greaterThan" aboveAverage="0" dxfId="8" text="" percent="0" bottom="0">
      <formula>0</formula>
    </cfRule>
  </conditionalFormatting>
  <conditionalFormatting sqref="C912">
    <cfRule type="cellIs" rank="0" priority="2717" equalAverage="0" operator="greaterThan" aboveAverage="0" dxfId="8" text="" percent="0" bottom="0">
      <formula>0</formula>
    </cfRule>
  </conditionalFormatting>
  <conditionalFormatting sqref="G912">
    <cfRule type="cellIs" rank="0" priority="2718" equalAverage="0" operator="greaterThan" aboveAverage="0" dxfId="8" text="" percent="0" bottom="0">
      <formula>0</formula>
    </cfRule>
  </conditionalFormatting>
  <conditionalFormatting sqref="H912">
    <cfRule type="cellIs" rank="0" priority="2719" equalAverage="0" operator="greaterThan" aboveAverage="0" dxfId="8" text="" percent="0" bottom="0">
      <formula>0</formula>
    </cfRule>
  </conditionalFormatting>
  <conditionalFormatting sqref="C913">
    <cfRule type="cellIs" rank="0" priority="2720" equalAverage="0" operator="greaterThan" aboveAverage="0" dxfId="8" text="" percent="0" bottom="0">
      <formula>0</formula>
    </cfRule>
  </conditionalFormatting>
  <conditionalFormatting sqref="G913">
    <cfRule type="cellIs" rank="0" priority="2721" equalAverage="0" operator="greaterThan" aboveAverage="0" dxfId="8" text="" percent="0" bottom="0">
      <formula>0</formula>
    </cfRule>
  </conditionalFormatting>
  <conditionalFormatting sqref="H913">
    <cfRule type="cellIs" rank="0" priority="2722" equalAverage="0" operator="greaterThan" aboveAverage="0" dxfId="8" text="" percent="0" bottom="0">
      <formula>0</formula>
    </cfRule>
  </conditionalFormatting>
  <conditionalFormatting sqref="C914">
    <cfRule type="cellIs" rank="0" priority="2723" equalAverage="0" operator="greaterThan" aboveAverage="0" dxfId="8" text="" percent="0" bottom="0">
      <formula>0</formula>
    </cfRule>
  </conditionalFormatting>
  <conditionalFormatting sqref="G914">
    <cfRule type="cellIs" rank="0" priority="2724" equalAverage="0" operator="greaterThan" aboveAverage="0" dxfId="8" text="" percent="0" bottom="0">
      <formula>0</formula>
    </cfRule>
  </conditionalFormatting>
  <conditionalFormatting sqref="H914">
    <cfRule type="cellIs" rank="0" priority="2725" equalAverage="0" operator="greaterThan" aboveAverage="0" dxfId="8" text="" percent="0" bottom="0">
      <formula>0</formula>
    </cfRule>
  </conditionalFormatting>
  <conditionalFormatting sqref="C915">
    <cfRule type="cellIs" rank="0" priority="2726" equalAverage="0" operator="greaterThan" aboveAverage="0" dxfId="8" text="" percent="0" bottom="0">
      <formula>0</formula>
    </cfRule>
  </conditionalFormatting>
  <conditionalFormatting sqref="G915">
    <cfRule type="cellIs" rank="0" priority="2727" equalAverage="0" operator="greaterThan" aboveAverage="0" dxfId="8" text="" percent="0" bottom="0">
      <formula>0</formula>
    </cfRule>
  </conditionalFormatting>
  <conditionalFormatting sqref="H915">
    <cfRule type="cellIs" rank="0" priority="2728" equalAverage="0" operator="greaterThan" aboveAverage="0" dxfId="8" text="" percent="0" bottom="0">
      <formula>0</formula>
    </cfRule>
  </conditionalFormatting>
  <conditionalFormatting sqref="C916">
    <cfRule type="cellIs" rank="0" priority="2729" equalAverage="0" operator="greaterThan" aboveAverage="0" dxfId="8" text="" percent="0" bottom="0">
      <formula>0</formula>
    </cfRule>
  </conditionalFormatting>
  <conditionalFormatting sqref="G916">
    <cfRule type="cellIs" rank="0" priority="2730" equalAverage="0" operator="greaterThan" aboveAverage="0" dxfId="8" text="" percent="0" bottom="0">
      <formula>0</formula>
    </cfRule>
  </conditionalFormatting>
  <conditionalFormatting sqref="H916">
    <cfRule type="cellIs" rank="0" priority="2731" equalAverage="0" operator="greaterThan" aboveAverage="0" dxfId="8" text="" percent="0" bottom="0">
      <formula>0</formula>
    </cfRule>
  </conditionalFormatting>
  <conditionalFormatting sqref="C917">
    <cfRule type="cellIs" rank="0" priority="2732" equalAverage="0" operator="greaterThan" aboveAverage="0" dxfId="8" text="" percent="0" bottom="0">
      <formula>0</formula>
    </cfRule>
  </conditionalFormatting>
  <conditionalFormatting sqref="G917">
    <cfRule type="cellIs" rank="0" priority="2733" equalAverage="0" operator="greaterThan" aboveAverage="0" dxfId="8" text="" percent="0" bottom="0">
      <formula>0</formula>
    </cfRule>
  </conditionalFormatting>
  <conditionalFormatting sqref="H917">
    <cfRule type="cellIs" rank="0" priority="2734" equalAverage="0" operator="greaterThan" aboveAverage="0" dxfId="8" text="" percent="0" bottom="0">
      <formula>0</formula>
    </cfRule>
  </conditionalFormatting>
  <conditionalFormatting sqref="C918">
    <cfRule type="cellIs" rank="0" priority="2735" equalAverage="0" operator="greaterThan" aboveAverage="0" dxfId="8" text="" percent="0" bottom="0">
      <formula>0</formula>
    </cfRule>
  </conditionalFormatting>
  <conditionalFormatting sqref="G918">
    <cfRule type="cellIs" rank="0" priority="2736" equalAverage="0" operator="greaterThan" aboveAverage="0" dxfId="8" text="" percent="0" bottom="0">
      <formula>0</formula>
    </cfRule>
  </conditionalFormatting>
  <conditionalFormatting sqref="H918">
    <cfRule type="cellIs" rank="0" priority="2737" equalAverage="0" operator="greaterThan" aboveAverage="0" dxfId="8" text="" percent="0" bottom="0">
      <formula>0</formula>
    </cfRule>
  </conditionalFormatting>
  <conditionalFormatting sqref="C919">
    <cfRule type="cellIs" rank="0" priority="2738" equalAverage="0" operator="greaterThan" aboveAverage="0" dxfId="8" text="" percent="0" bottom="0">
      <formula>0</formula>
    </cfRule>
  </conditionalFormatting>
  <conditionalFormatting sqref="G919">
    <cfRule type="cellIs" rank="0" priority="2739" equalAverage="0" operator="greaterThan" aboveAverage="0" dxfId="8" text="" percent="0" bottom="0">
      <formula>0</formula>
    </cfRule>
  </conditionalFormatting>
  <conditionalFormatting sqref="H919">
    <cfRule type="cellIs" rank="0" priority="2740" equalAverage="0" operator="greaterThan" aboveAverage="0" dxfId="8" text="" percent="0" bottom="0">
      <formula>0</formula>
    </cfRule>
  </conditionalFormatting>
  <conditionalFormatting sqref="C920">
    <cfRule type="cellIs" rank="0" priority="2741" equalAverage="0" operator="greaterThan" aboveAverage="0" dxfId="8" text="" percent="0" bottom="0">
      <formula>0</formula>
    </cfRule>
  </conditionalFormatting>
  <conditionalFormatting sqref="G920">
    <cfRule type="cellIs" rank="0" priority="2742" equalAverage="0" operator="greaterThan" aboveAverage="0" dxfId="8" text="" percent="0" bottom="0">
      <formula>0</formula>
    </cfRule>
  </conditionalFormatting>
  <conditionalFormatting sqref="H920">
    <cfRule type="cellIs" rank="0" priority="2743" equalAverage="0" operator="greaterThan" aboveAverage="0" dxfId="8" text="" percent="0" bottom="0">
      <formula>0</formula>
    </cfRule>
  </conditionalFormatting>
  <conditionalFormatting sqref="C921">
    <cfRule type="cellIs" rank="0" priority="2744" equalAverage="0" operator="greaterThan" aboveAverage="0" dxfId="8" text="" percent="0" bottom="0">
      <formula>0</formula>
    </cfRule>
  </conditionalFormatting>
  <conditionalFormatting sqref="G921">
    <cfRule type="cellIs" rank="0" priority="2745" equalAverage="0" operator="greaterThan" aboveAverage="0" dxfId="8" text="" percent="0" bottom="0">
      <formula>0</formula>
    </cfRule>
  </conditionalFormatting>
  <conditionalFormatting sqref="H921">
    <cfRule type="cellIs" rank="0" priority="2746" equalAverage="0" operator="greaterThan" aboveAverage="0" dxfId="8" text="" percent="0" bottom="0">
      <formula>0</formula>
    </cfRule>
  </conditionalFormatting>
  <conditionalFormatting sqref="C922">
    <cfRule type="cellIs" rank="0" priority="2747" equalAverage="0" operator="greaterThan" aboveAverage="0" dxfId="8" text="" percent="0" bottom="0">
      <formula>0</formula>
    </cfRule>
  </conditionalFormatting>
  <conditionalFormatting sqref="G922">
    <cfRule type="cellIs" rank="0" priority="2748" equalAverage="0" operator="greaterThan" aboveAverage="0" dxfId="8" text="" percent="0" bottom="0">
      <formula>0</formula>
    </cfRule>
  </conditionalFormatting>
  <conditionalFormatting sqref="H922">
    <cfRule type="cellIs" rank="0" priority="2749" equalAverage="0" operator="greaterThan" aboveAverage="0" dxfId="8" text="" percent="0" bottom="0">
      <formula>0</formula>
    </cfRule>
  </conditionalFormatting>
  <conditionalFormatting sqref="C923">
    <cfRule type="cellIs" rank="0" priority="2750" equalAverage="0" operator="greaterThan" aboveAverage="0" dxfId="8" text="" percent="0" bottom="0">
      <formula>0</formula>
    </cfRule>
  </conditionalFormatting>
  <conditionalFormatting sqref="G923">
    <cfRule type="cellIs" rank="0" priority="2751" equalAverage="0" operator="greaterThan" aboveAverage="0" dxfId="8" text="" percent="0" bottom="0">
      <formula>0</formula>
    </cfRule>
  </conditionalFormatting>
  <conditionalFormatting sqref="H923">
    <cfRule type="cellIs" rank="0" priority="2752" equalAverage="0" operator="greaterThan" aboveAverage="0" dxfId="8" text="" percent="0" bottom="0">
      <formula>0</formula>
    </cfRule>
  </conditionalFormatting>
  <conditionalFormatting sqref="C924">
    <cfRule type="cellIs" rank="0" priority="2753" equalAverage="0" operator="greaterThan" aboveAverage="0" dxfId="8" text="" percent="0" bottom="0">
      <formula>0</formula>
    </cfRule>
  </conditionalFormatting>
  <conditionalFormatting sqref="G924">
    <cfRule type="cellIs" rank="0" priority="2754" equalAverage="0" operator="greaterThan" aboveAverage="0" dxfId="8" text="" percent="0" bottom="0">
      <formula>0</formula>
    </cfRule>
  </conditionalFormatting>
  <conditionalFormatting sqref="H924">
    <cfRule type="cellIs" rank="0" priority="2755" equalAverage="0" operator="greaterThan" aboveAverage="0" dxfId="8" text="" percent="0" bottom="0">
      <formula>0</formula>
    </cfRule>
  </conditionalFormatting>
  <conditionalFormatting sqref="C925">
    <cfRule type="cellIs" rank="0" priority="2756" equalAverage="0" operator="greaterThan" aboveAverage="0" dxfId="8" text="" percent="0" bottom="0">
      <formula>0</formula>
    </cfRule>
  </conditionalFormatting>
  <conditionalFormatting sqref="G925">
    <cfRule type="cellIs" rank="0" priority="2757" equalAverage="0" operator="greaterThan" aboveAverage="0" dxfId="8" text="" percent="0" bottom="0">
      <formula>0</formula>
    </cfRule>
  </conditionalFormatting>
  <conditionalFormatting sqref="H925">
    <cfRule type="cellIs" rank="0" priority="2758" equalAverage="0" operator="greaterThan" aboveAverage="0" dxfId="8" text="" percent="0" bottom="0">
      <formula>0</formula>
    </cfRule>
  </conditionalFormatting>
  <conditionalFormatting sqref="C926">
    <cfRule type="cellIs" rank="0" priority="2759" equalAverage="0" operator="greaterThan" aboveAverage="0" dxfId="8" text="" percent="0" bottom="0">
      <formula>0</formula>
    </cfRule>
  </conditionalFormatting>
  <conditionalFormatting sqref="G926">
    <cfRule type="cellIs" rank="0" priority="2760" equalAverage="0" operator="greaterThan" aboveAverage="0" dxfId="8" text="" percent="0" bottom="0">
      <formula>0</formula>
    </cfRule>
  </conditionalFormatting>
  <conditionalFormatting sqref="H926">
    <cfRule type="cellIs" rank="0" priority="2761" equalAverage="0" operator="greaterThan" aboveAverage="0" dxfId="8" text="" percent="0" bottom="0">
      <formula>0</formula>
    </cfRule>
  </conditionalFormatting>
  <conditionalFormatting sqref="C927">
    <cfRule type="cellIs" rank="0" priority="2762" equalAverage="0" operator="greaterThan" aboveAverage="0" dxfId="8" text="" percent="0" bottom="0">
      <formula>0</formula>
    </cfRule>
  </conditionalFormatting>
  <conditionalFormatting sqref="G927">
    <cfRule type="cellIs" rank="0" priority="2763" equalAverage="0" operator="greaterThan" aboveAverage="0" dxfId="8" text="" percent="0" bottom="0">
      <formula>0</formula>
    </cfRule>
  </conditionalFormatting>
  <conditionalFormatting sqref="H927">
    <cfRule type="cellIs" rank="0" priority="2764" equalAverage="0" operator="greaterThan" aboveAverage="0" dxfId="8" text="" percent="0" bottom="0">
      <formula>0</formula>
    </cfRule>
  </conditionalFormatting>
  <conditionalFormatting sqref="C928">
    <cfRule type="cellIs" rank="0" priority="2765" equalAverage="0" operator="greaterThan" aboveAverage="0" dxfId="8" text="" percent="0" bottom="0">
      <formula>0</formula>
    </cfRule>
  </conditionalFormatting>
  <conditionalFormatting sqref="G928">
    <cfRule type="cellIs" rank="0" priority="2766" equalAverage="0" operator="greaterThan" aboveAverage="0" dxfId="8" text="" percent="0" bottom="0">
      <formula>0</formula>
    </cfRule>
  </conditionalFormatting>
  <conditionalFormatting sqref="H928">
    <cfRule type="cellIs" rank="0" priority="2767" equalAverage="0" operator="greaterThan" aboveAverage="0" dxfId="8" text="" percent="0" bottom="0">
      <formula>0</formula>
    </cfRule>
  </conditionalFormatting>
  <conditionalFormatting sqref="C929">
    <cfRule type="cellIs" rank="0" priority="2768" equalAverage="0" operator="greaterThan" aboveAverage="0" dxfId="8" text="" percent="0" bottom="0">
      <formula>0</formula>
    </cfRule>
  </conditionalFormatting>
  <conditionalFormatting sqref="G929">
    <cfRule type="cellIs" rank="0" priority="2769" equalAverage="0" operator="greaterThan" aboveAverage="0" dxfId="8" text="" percent="0" bottom="0">
      <formula>0</formula>
    </cfRule>
  </conditionalFormatting>
  <conditionalFormatting sqref="H929">
    <cfRule type="cellIs" rank="0" priority="2770" equalAverage="0" operator="greaterThan" aboveAverage="0" dxfId="8" text="" percent="0" bottom="0">
      <formula>0</formula>
    </cfRule>
  </conditionalFormatting>
  <conditionalFormatting sqref="C930">
    <cfRule type="cellIs" rank="0" priority="2771" equalAverage="0" operator="greaterThan" aboveAverage="0" dxfId="8" text="" percent="0" bottom="0">
      <formula>0</formula>
    </cfRule>
  </conditionalFormatting>
  <conditionalFormatting sqref="G930">
    <cfRule type="cellIs" rank="0" priority="2772" equalAverage="0" operator="greaterThan" aboveAverage="0" dxfId="8" text="" percent="0" bottom="0">
      <formula>0</formula>
    </cfRule>
  </conditionalFormatting>
  <conditionalFormatting sqref="H930">
    <cfRule type="cellIs" rank="0" priority="2773" equalAverage="0" operator="greaterThan" aboveAverage="0" dxfId="8" text="" percent="0" bottom="0">
      <formula>0</formula>
    </cfRule>
  </conditionalFormatting>
  <conditionalFormatting sqref="C931">
    <cfRule type="cellIs" rank="0" priority="2774" equalAverage="0" operator="greaterThan" aboveAverage="0" dxfId="8" text="" percent="0" bottom="0">
      <formula>0</formula>
    </cfRule>
  </conditionalFormatting>
  <conditionalFormatting sqref="G931">
    <cfRule type="cellIs" rank="0" priority="2775" equalAverage="0" operator="greaterThan" aboveAverage="0" dxfId="8" text="" percent="0" bottom="0">
      <formula>0</formula>
    </cfRule>
  </conditionalFormatting>
  <conditionalFormatting sqref="H931">
    <cfRule type="cellIs" rank="0" priority="2776" equalAverage="0" operator="greaterThan" aboveAverage="0" dxfId="8" text="" percent="0" bottom="0">
      <formula>0</formula>
    </cfRule>
  </conditionalFormatting>
  <conditionalFormatting sqref="C932">
    <cfRule type="cellIs" rank="0" priority="2777" equalAverage="0" operator="greaterThan" aboveAverage="0" dxfId="8" text="" percent="0" bottom="0">
      <formula>0</formula>
    </cfRule>
  </conditionalFormatting>
  <conditionalFormatting sqref="G932">
    <cfRule type="cellIs" rank="0" priority="2778" equalAverage="0" operator="greaterThan" aboveAverage="0" dxfId="8" text="" percent="0" bottom="0">
      <formula>0</formula>
    </cfRule>
  </conditionalFormatting>
  <conditionalFormatting sqref="H932">
    <cfRule type="cellIs" rank="0" priority="2779" equalAverage="0" operator="greaterThan" aboveAverage="0" dxfId="8" text="" percent="0" bottom="0">
      <formula>0</formula>
    </cfRule>
  </conditionalFormatting>
  <conditionalFormatting sqref="C933">
    <cfRule type="cellIs" rank="0" priority="2780" equalAverage="0" operator="greaterThan" aboveAverage="0" dxfId="8" text="" percent="0" bottom="0">
      <formula>0</formula>
    </cfRule>
  </conditionalFormatting>
  <conditionalFormatting sqref="G933">
    <cfRule type="cellIs" rank="0" priority="2781" equalAverage="0" operator="greaterThan" aboveAverage="0" dxfId="8" text="" percent="0" bottom="0">
      <formula>0</formula>
    </cfRule>
  </conditionalFormatting>
  <conditionalFormatting sqref="H933">
    <cfRule type="cellIs" rank="0" priority="2782" equalAverage="0" operator="greaterThan" aboveAverage="0" dxfId="8" text="" percent="0" bottom="0">
      <formula>0</formula>
    </cfRule>
  </conditionalFormatting>
  <conditionalFormatting sqref="C934">
    <cfRule type="cellIs" rank="0" priority="2783" equalAverage="0" operator="greaterThan" aboveAverage="0" dxfId="8" text="" percent="0" bottom="0">
      <formula>0</formula>
    </cfRule>
  </conditionalFormatting>
  <conditionalFormatting sqref="G934">
    <cfRule type="cellIs" rank="0" priority="2784" equalAverage="0" operator="greaterThan" aboveAverage="0" dxfId="8" text="" percent="0" bottom="0">
      <formula>0</formula>
    </cfRule>
  </conditionalFormatting>
  <conditionalFormatting sqref="H934">
    <cfRule type="cellIs" rank="0" priority="2785" equalAverage="0" operator="greaterThan" aboveAverage="0" dxfId="8" text="" percent="0" bottom="0">
      <formula>0</formula>
    </cfRule>
  </conditionalFormatting>
  <conditionalFormatting sqref="C935">
    <cfRule type="cellIs" rank="0" priority="2786" equalAverage="0" operator="greaterThan" aboveAverage="0" dxfId="8" text="" percent="0" bottom="0">
      <formula>0</formula>
    </cfRule>
  </conditionalFormatting>
  <conditionalFormatting sqref="G935">
    <cfRule type="cellIs" rank="0" priority="2787" equalAverage="0" operator="greaterThan" aboveAverage="0" dxfId="8" text="" percent="0" bottom="0">
      <formula>0</formula>
    </cfRule>
  </conditionalFormatting>
  <conditionalFormatting sqref="H935">
    <cfRule type="cellIs" rank="0" priority="2788" equalAverage="0" operator="greaterThan" aboveAverage="0" dxfId="8" text="" percent="0" bottom="0">
      <formula>0</formula>
    </cfRule>
  </conditionalFormatting>
  <conditionalFormatting sqref="C936">
    <cfRule type="cellIs" rank="0" priority="2789" equalAverage="0" operator="greaterThan" aboveAverage="0" dxfId="8" text="" percent="0" bottom="0">
      <formula>0</formula>
    </cfRule>
  </conditionalFormatting>
  <conditionalFormatting sqref="G936">
    <cfRule type="cellIs" rank="0" priority="2790" equalAverage="0" operator="greaterThan" aboveAverage="0" dxfId="8" text="" percent="0" bottom="0">
      <formula>0</formula>
    </cfRule>
  </conditionalFormatting>
  <conditionalFormatting sqref="H936">
    <cfRule type="cellIs" rank="0" priority="2791" equalAverage="0" operator="greaterThan" aboveAverage="0" dxfId="8" text="" percent="0" bottom="0">
      <formula>0</formula>
    </cfRule>
  </conditionalFormatting>
  <conditionalFormatting sqref="C937">
    <cfRule type="cellIs" rank="0" priority="2792" equalAverage="0" operator="greaterThan" aboveAverage="0" dxfId="8" text="" percent="0" bottom="0">
      <formula>0</formula>
    </cfRule>
  </conditionalFormatting>
  <conditionalFormatting sqref="G937">
    <cfRule type="cellIs" rank="0" priority="2793" equalAverage="0" operator="greaterThan" aboveAverage="0" dxfId="8" text="" percent="0" bottom="0">
      <formula>0</formula>
    </cfRule>
  </conditionalFormatting>
  <conditionalFormatting sqref="H937">
    <cfRule type="cellIs" rank="0" priority="2794" equalAverage="0" operator="greaterThan" aboveAverage="0" dxfId="8" text="" percent="0" bottom="0">
      <formula>0</formula>
    </cfRule>
  </conditionalFormatting>
  <conditionalFormatting sqref="C938">
    <cfRule type="cellIs" rank="0" priority="2795" equalAverage="0" operator="greaterThan" aboveAverage="0" dxfId="8" text="" percent="0" bottom="0">
      <formula>0</formula>
    </cfRule>
  </conditionalFormatting>
  <conditionalFormatting sqref="G938">
    <cfRule type="cellIs" rank="0" priority="2796" equalAverage="0" operator="greaterThan" aboveAverage="0" dxfId="8" text="" percent="0" bottom="0">
      <formula>0</formula>
    </cfRule>
  </conditionalFormatting>
  <conditionalFormatting sqref="H938">
    <cfRule type="cellIs" rank="0" priority="2797" equalAverage="0" operator="greaterThan" aboveAverage="0" dxfId="8" text="" percent="0" bottom="0">
      <formula>0</formula>
    </cfRule>
  </conditionalFormatting>
  <conditionalFormatting sqref="C939">
    <cfRule type="cellIs" rank="0" priority="2798" equalAverage="0" operator="greaterThan" aboveAverage="0" dxfId="8" text="" percent="0" bottom="0">
      <formula>0</formula>
    </cfRule>
  </conditionalFormatting>
  <conditionalFormatting sqref="G939">
    <cfRule type="cellIs" rank="0" priority="2799" equalAverage="0" operator="greaterThan" aboveAverage="0" dxfId="8" text="" percent="0" bottom="0">
      <formula>0</formula>
    </cfRule>
  </conditionalFormatting>
  <conditionalFormatting sqref="H939">
    <cfRule type="cellIs" rank="0" priority="2800" equalAverage="0" operator="greaterThan" aboveAverage="0" dxfId="8" text="" percent="0" bottom="0">
      <formula>0</formula>
    </cfRule>
  </conditionalFormatting>
  <conditionalFormatting sqref="C940">
    <cfRule type="cellIs" rank="0" priority="2801" equalAverage="0" operator="greaterThan" aboveAverage="0" dxfId="8" text="" percent="0" bottom="0">
      <formula>0</formula>
    </cfRule>
  </conditionalFormatting>
  <conditionalFormatting sqref="G940">
    <cfRule type="cellIs" rank="0" priority="2802" equalAverage="0" operator="greaterThan" aboveAverage="0" dxfId="8" text="" percent="0" bottom="0">
      <formula>0</formula>
    </cfRule>
  </conditionalFormatting>
  <conditionalFormatting sqref="H940">
    <cfRule type="cellIs" rank="0" priority="2803" equalAverage="0" operator="greaterThan" aboveAverage="0" dxfId="8" text="" percent="0" bottom="0">
      <formula>0</formula>
    </cfRule>
  </conditionalFormatting>
  <conditionalFormatting sqref="C941">
    <cfRule type="cellIs" rank="0" priority="2804" equalAverage="0" operator="greaterThan" aboveAverage="0" dxfId="8" text="" percent="0" bottom="0">
      <formula>0</formula>
    </cfRule>
  </conditionalFormatting>
  <conditionalFormatting sqref="G941">
    <cfRule type="cellIs" rank="0" priority="2805" equalAverage="0" operator="greaterThan" aboveAverage="0" dxfId="8" text="" percent="0" bottom="0">
      <formula>0</formula>
    </cfRule>
  </conditionalFormatting>
  <conditionalFormatting sqref="H941">
    <cfRule type="cellIs" rank="0" priority="2806" equalAverage="0" operator="greaterThan" aboveAverage="0" dxfId="8" text="" percent="0" bottom="0">
      <formula>0</formula>
    </cfRule>
  </conditionalFormatting>
  <conditionalFormatting sqref="C942">
    <cfRule type="cellIs" rank="0" priority="2807" equalAverage="0" operator="greaterThan" aboveAverage="0" dxfId="8" text="" percent="0" bottom="0">
      <formula>0</formula>
    </cfRule>
  </conditionalFormatting>
  <conditionalFormatting sqref="G942">
    <cfRule type="cellIs" rank="0" priority="2808" equalAverage="0" operator="greaterThan" aboveAverage="0" dxfId="8" text="" percent="0" bottom="0">
      <formula>0</formula>
    </cfRule>
  </conditionalFormatting>
  <conditionalFormatting sqref="H942">
    <cfRule type="cellIs" rank="0" priority="2809" equalAverage="0" operator="greaterThan" aboveAverage="0" dxfId="8" text="" percent="0" bottom="0">
      <formula>0</formula>
    </cfRule>
  </conditionalFormatting>
  <conditionalFormatting sqref="C943">
    <cfRule type="cellIs" rank="0" priority="2810" equalAverage="0" operator="greaterThan" aboveAverage="0" dxfId="8" text="" percent="0" bottom="0">
      <formula>0</formula>
    </cfRule>
  </conditionalFormatting>
  <conditionalFormatting sqref="G943">
    <cfRule type="cellIs" rank="0" priority="2811" equalAverage="0" operator="greaterThan" aboveAverage="0" dxfId="8" text="" percent="0" bottom="0">
      <formula>0</formula>
    </cfRule>
  </conditionalFormatting>
  <conditionalFormatting sqref="H943">
    <cfRule type="cellIs" rank="0" priority="2812" equalAverage="0" operator="greaterThan" aboveAverage="0" dxfId="8" text="" percent="0" bottom="0">
      <formula>0</formula>
    </cfRule>
  </conditionalFormatting>
  <conditionalFormatting sqref="C944">
    <cfRule type="cellIs" rank="0" priority="2813" equalAverage="0" operator="greaterThan" aboveAverage="0" dxfId="8" text="" percent="0" bottom="0">
      <formula>0</formula>
    </cfRule>
  </conditionalFormatting>
  <conditionalFormatting sqref="G944">
    <cfRule type="cellIs" rank="0" priority="2814" equalAverage="0" operator="greaterThan" aboveAverage="0" dxfId="8" text="" percent="0" bottom="0">
      <formula>0</formula>
    </cfRule>
  </conditionalFormatting>
  <conditionalFormatting sqref="H944">
    <cfRule type="cellIs" rank="0" priority="2815" equalAverage="0" operator="greaterThan" aboveAverage="0" dxfId="8" text="" percent="0" bottom="0">
      <formula>0</formula>
    </cfRule>
  </conditionalFormatting>
  <conditionalFormatting sqref="C945">
    <cfRule type="cellIs" rank="0" priority="2816" equalAverage="0" operator="greaterThan" aboveAverage="0" dxfId="8" text="" percent="0" bottom="0">
      <formula>0</formula>
    </cfRule>
  </conditionalFormatting>
  <conditionalFormatting sqref="G945">
    <cfRule type="cellIs" rank="0" priority="2817" equalAverage="0" operator="greaterThan" aboveAverage="0" dxfId="8" text="" percent="0" bottom="0">
      <formula>0</formula>
    </cfRule>
  </conditionalFormatting>
  <conditionalFormatting sqref="H945">
    <cfRule type="cellIs" rank="0" priority="2818" equalAverage="0" operator="greaterThan" aboveAverage="0" dxfId="8" text="" percent="0" bottom="0">
      <formula>0</formula>
    </cfRule>
  </conditionalFormatting>
  <conditionalFormatting sqref="C946">
    <cfRule type="cellIs" rank="0" priority="2819" equalAverage="0" operator="greaterThan" aboveAverage="0" dxfId="8" text="" percent="0" bottom="0">
      <formula>0</formula>
    </cfRule>
  </conditionalFormatting>
  <conditionalFormatting sqref="G946">
    <cfRule type="cellIs" rank="0" priority="2820" equalAverage="0" operator="greaterThan" aboveAverage="0" dxfId="8" text="" percent="0" bottom="0">
      <formula>0</formula>
    </cfRule>
  </conditionalFormatting>
  <conditionalFormatting sqref="H946">
    <cfRule type="cellIs" rank="0" priority="2821" equalAverage="0" operator="greaterThan" aboveAverage="0" dxfId="8" text="" percent="0" bottom="0">
      <formula>0</formula>
    </cfRule>
  </conditionalFormatting>
  <conditionalFormatting sqref="C947">
    <cfRule type="cellIs" rank="0" priority="2822" equalAverage="0" operator="greaterThan" aboveAverage="0" dxfId="8" text="" percent="0" bottom="0">
      <formula>0</formula>
    </cfRule>
  </conditionalFormatting>
  <conditionalFormatting sqref="G947">
    <cfRule type="cellIs" rank="0" priority="2823" equalAverage="0" operator="greaterThan" aboveAverage="0" dxfId="8" text="" percent="0" bottom="0">
      <formula>0</formula>
    </cfRule>
  </conditionalFormatting>
  <conditionalFormatting sqref="H947">
    <cfRule type="cellIs" rank="0" priority="2824" equalAverage="0" operator="greaterThan" aboveAverage="0" dxfId="8" text="" percent="0" bottom="0">
      <formula>0</formula>
    </cfRule>
  </conditionalFormatting>
  <conditionalFormatting sqref="C948">
    <cfRule type="cellIs" rank="0" priority="2825" equalAverage="0" operator="greaterThan" aboveAverage="0" dxfId="8" text="" percent="0" bottom="0">
      <formula>0</formula>
    </cfRule>
  </conditionalFormatting>
  <conditionalFormatting sqref="G948">
    <cfRule type="cellIs" rank="0" priority="2826" equalAverage="0" operator="greaterThan" aboveAverage="0" dxfId="8" text="" percent="0" bottom="0">
      <formula>0</formula>
    </cfRule>
  </conditionalFormatting>
  <conditionalFormatting sqref="H948">
    <cfRule type="cellIs" rank="0" priority="2827" equalAverage="0" operator="greaterThan" aboveAverage="0" dxfId="8" text="" percent="0" bottom="0">
      <formula>0</formula>
    </cfRule>
  </conditionalFormatting>
  <conditionalFormatting sqref="C949">
    <cfRule type="cellIs" rank="0" priority="2828" equalAverage="0" operator="greaterThan" aboveAverage="0" dxfId="8" text="" percent="0" bottom="0">
      <formula>0</formula>
    </cfRule>
  </conditionalFormatting>
  <conditionalFormatting sqref="G949">
    <cfRule type="cellIs" rank="0" priority="2829" equalAverage="0" operator="greaterThan" aboveAverage="0" dxfId="8" text="" percent="0" bottom="0">
      <formula>0</formula>
    </cfRule>
  </conditionalFormatting>
  <conditionalFormatting sqref="H949">
    <cfRule type="cellIs" rank="0" priority="2830" equalAverage="0" operator="greaterThan" aboveAverage="0" dxfId="8" text="" percent="0" bottom="0">
      <formula>0</formula>
    </cfRule>
  </conditionalFormatting>
  <conditionalFormatting sqref="C950">
    <cfRule type="cellIs" rank="0" priority="2831" equalAverage="0" operator="greaterThan" aboveAverage="0" dxfId="8" text="" percent="0" bottom="0">
      <formula>0</formula>
    </cfRule>
  </conditionalFormatting>
  <conditionalFormatting sqref="G950">
    <cfRule type="cellIs" rank="0" priority="2832" equalAverage="0" operator="greaterThan" aboveAverage="0" dxfId="8" text="" percent="0" bottom="0">
      <formula>0</formula>
    </cfRule>
  </conditionalFormatting>
  <conditionalFormatting sqref="H950">
    <cfRule type="cellIs" rank="0" priority="2833" equalAverage="0" operator="greaterThan" aboveAverage="0" dxfId="8" text="" percent="0" bottom="0">
      <formula>0</formula>
    </cfRule>
  </conditionalFormatting>
  <conditionalFormatting sqref="C951">
    <cfRule type="cellIs" rank="0" priority="2834" equalAverage="0" operator="greaterThan" aboveAverage="0" dxfId="8" text="" percent="0" bottom="0">
      <formula>0</formula>
    </cfRule>
  </conditionalFormatting>
  <conditionalFormatting sqref="G951">
    <cfRule type="cellIs" rank="0" priority="2835" equalAverage="0" operator="greaterThan" aboveAverage="0" dxfId="8" text="" percent="0" bottom="0">
      <formula>0</formula>
    </cfRule>
  </conditionalFormatting>
  <conditionalFormatting sqref="H951">
    <cfRule type="cellIs" rank="0" priority="2836" equalAverage="0" operator="greaterThan" aboveAverage="0" dxfId="8" text="" percent="0" bottom="0">
      <formula>0</formula>
    </cfRule>
  </conditionalFormatting>
  <conditionalFormatting sqref="C952">
    <cfRule type="cellIs" rank="0" priority="2837" equalAverage="0" operator="greaterThan" aboveAverage="0" dxfId="8" text="" percent="0" bottom="0">
      <formula>0</formula>
    </cfRule>
  </conditionalFormatting>
  <conditionalFormatting sqref="G952">
    <cfRule type="cellIs" rank="0" priority="2838" equalAverage="0" operator="greaterThan" aboveAverage="0" dxfId="8" text="" percent="0" bottom="0">
      <formula>0</formula>
    </cfRule>
  </conditionalFormatting>
  <conditionalFormatting sqref="H952">
    <cfRule type="cellIs" rank="0" priority="2839" equalAverage="0" operator="greaterThan" aboveAverage="0" dxfId="8" text="" percent="0" bottom="0">
      <formula>0</formula>
    </cfRule>
  </conditionalFormatting>
  <conditionalFormatting sqref="C953">
    <cfRule type="cellIs" rank="0" priority="2840" equalAverage="0" operator="greaterThan" aboveAverage="0" dxfId="8" text="" percent="0" bottom="0">
      <formula>0</formula>
    </cfRule>
  </conditionalFormatting>
  <conditionalFormatting sqref="G953">
    <cfRule type="cellIs" rank="0" priority="2841" equalAverage="0" operator="greaterThan" aboveAverage="0" dxfId="8" text="" percent="0" bottom="0">
      <formula>0</formula>
    </cfRule>
  </conditionalFormatting>
  <conditionalFormatting sqref="H953">
    <cfRule type="cellIs" rank="0" priority="2842" equalAverage="0" operator="greaterThan" aboveAverage="0" dxfId="8" text="" percent="0" bottom="0">
      <formula>0</formula>
    </cfRule>
  </conditionalFormatting>
  <conditionalFormatting sqref="C954">
    <cfRule type="cellIs" rank="0" priority="2843" equalAverage="0" operator="greaterThan" aboveAverage="0" dxfId="8" text="" percent="0" bottom="0">
      <formula>0</formula>
    </cfRule>
  </conditionalFormatting>
  <conditionalFormatting sqref="G954">
    <cfRule type="cellIs" rank="0" priority="2844" equalAverage="0" operator="greaterThan" aboveAverage="0" dxfId="8" text="" percent="0" bottom="0">
      <formula>0</formula>
    </cfRule>
  </conditionalFormatting>
  <conditionalFormatting sqref="H954">
    <cfRule type="cellIs" rank="0" priority="2845" equalAverage="0" operator="greaterThan" aboveAverage="0" dxfId="8" text="" percent="0" bottom="0">
      <formula>0</formula>
    </cfRule>
  </conditionalFormatting>
  <conditionalFormatting sqref="C955">
    <cfRule type="cellIs" rank="0" priority="2846" equalAverage="0" operator="greaterThan" aboveAverage="0" dxfId="8" text="" percent="0" bottom="0">
      <formula>0</formula>
    </cfRule>
  </conditionalFormatting>
  <conditionalFormatting sqref="G955">
    <cfRule type="cellIs" rank="0" priority="2847" equalAverage="0" operator="greaterThan" aboveAverage="0" dxfId="8" text="" percent="0" bottom="0">
      <formula>0</formula>
    </cfRule>
  </conditionalFormatting>
  <conditionalFormatting sqref="H955">
    <cfRule type="cellIs" rank="0" priority="2848" equalAverage="0" operator="greaterThan" aboveAverage="0" dxfId="8" text="" percent="0" bottom="0">
      <formula>0</formula>
    </cfRule>
  </conditionalFormatting>
  <conditionalFormatting sqref="C956">
    <cfRule type="cellIs" rank="0" priority="2849" equalAverage="0" operator="greaterThan" aboveAverage="0" dxfId="8" text="" percent="0" bottom="0">
      <formula>0</formula>
    </cfRule>
  </conditionalFormatting>
  <conditionalFormatting sqref="G956">
    <cfRule type="cellIs" rank="0" priority="2850" equalAverage="0" operator="greaterThan" aboveAverage="0" dxfId="8" text="" percent="0" bottom="0">
      <formula>0</formula>
    </cfRule>
  </conditionalFormatting>
  <conditionalFormatting sqref="H956">
    <cfRule type="cellIs" rank="0" priority="2851" equalAverage="0" operator="greaterThan" aboveAverage="0" dxfId="8" text="" percent="0" bottom="0">
      <formula>0</formula>
    </cfRule>
  </conditionalFormatting>
  <conditionalFormatting sqref="C957">
    <cfRule type="cellIs" rank="0" priority="2852" equalAverage="0" operator="greaterThan" aboveAverage="0" dxfId="8" text="" percent="0" bottom="0">
      <formula>0</formula>
    </cfRule>
  </conditionalFormatting>
  <conditionalFormatting sqref="G957">
    <cfRule type="cellIs" rank="0" priority="2853" equalAverage="0" operator="greaterThan" aboveAverage="0" dxfId="8" text="" percent="0" bottom="0">
      <formula>0</formula>
    </cfRule>
  </conditionalFormatting>
  <conditionalFormatting sqref="H957">
    <cfRule type="cellIs" rank="0" priority="2854" equalAverage="0" operator="greaterThan" aboveAverage="0" dxfId="8" text="" percent="0" bottom="0">
      <formula>0</formula>
    </cfRule>
  </conditionalFormatting>
  <conditionalFormatting sqref="C958">
    <cfRule type="cellIs" rank="0" priority="2855" equalAverage="0" operator="greaterThan" aboveAverage="0" dxfId="8" text="" percent="0" bottom="0">
      <formula>0</formula>
    </cfRule>
  </conditionalFormatting>
  <conditionalFormatting sqref="G958">
    <cfRule type="cellIs" rank="0" priority="2856" equalAverage="0" operator="greaterThan" aboveAverage="0" dxfId="8" text="" percent="0" bottom="0">
      <formula>0</formula>
    </cfRule>
  </conditionalFormatting>
  <conditionalFormatting sqref="H958">
    <cfRule type="cellIs" rank="0" priority="2857" equalAverage="0" operator="greaterThan" aboveAverage="0" dxfId="8" text="" percent="0" bottom="0">
      <formula>0</formula>
    </cfRule>
  </conditionalFormatting>
  <conditionalFormatting sqref="C959">
    <cfRule type="cellIs" rank="0" priority="2858" equalAverage="0" operator="greaterThan" aboveAverage="0" dxfId="8" text="" percent="0" bottom="0">
      <formula>0</formula>
    </cfRule>
  </conditionalFormatting>
  <conditionalFormatting sqref="G959">
    <cfRule type="cellIs" rank="0" priority="2859" equalAverage="0" operator="greaterThan" aboveAverage="0" dxfId="8" text="" percent="0" bottom="0">
      <formula>0</formula>
    </cfRule>
  </conditionalFormatting>
  <conditionalFormatting sqref="H959">
    <cfRule type="cellIs" rank="0" priority="2860" equalAverage="0" operator="greaterThan" aboveAverage="0" dxfId="8" text="" percent="0" bottom="0">
      <formula>0</formula>
    </cfRule>
  </conditionalFormatting>
  <conditionalFormatting sqref="C960">
    <cfRule type="cellIs" rank="0" priority="2861" equalAverage="0" operator="greaterThan" aboveAverage="0" dxfId="8" text="" percent="0" bottom="0">
      <formula>0</formula>
    </cfRule>
  </conditionalFormatting>
  <conditionalFormatting sqref="G960">
    <cfRule type="cellIs" rank="0" priority="2862" equalAverage="0" operator="greaterThan" aboveAverage="0" dxfId="8" text="" percent="0" bottom="0">
      <formula>0</formula>
    </cfRule>
  </conditionalFormatting>
  <conditionalFormatting sqref="H960">
    <cfRule type="cellIs" rank="0" priority="2863" equalAverage="0" operator="greaterThan" aboveAverage="0" dxfId="8" text="" percent="0" bottom="0">
      <formula>0</formula>
    </cfRule>
  </conditionalFormatting>
  <conditionalFormatting sqref="C961">
    <cfRule type="cellIs" rank="0" priority="2864" equalAverage="0" operator="greaterThan" aboveAverage="0" dxfId="8" text="" percent="0" bottom="0">
      <formula>0</formula>
    </cfRule>
  </conditionalFormatting>
  <conditionalFormatting sqref="G961">
    <cfRule type="cellIs" rank="0" priority="2865" equalAverage="0" operator="greaterThan" aboveAverage="0" dxfId="8" text="" percent="0" bottom="0">
      <formula>0</formula>
    </cfRule>
  </conditionalFormatting>
  <conditionalFormatting sqref="H961">
    <cfRule type="cellIs" rank="0" priority="2866" equalAverage="0" operator="greaterThan" aboveAverage="0" dxfId="8" text="" percent="0" bottom="0">
      <formula>0</formula>
    </cfRule>
  </conditionalFormatting>
  <conditionalFormatting sqref="C962">
    <cfRule type="cellIs" rank="0" priority="2867" equalAverage="0" operator="greaterThan" aboveAverage="0" dxfId="8" text="" percent="0" bottom="0">
      <formula>0</formula>
    </cfRule>
  </conditionalFormatting>
  <conditionalFormatting sqref="G962">
    <cfRule type="cellIs" rank="0" priority="2868" equalAverage="0" operator="greaterThan" aboveAverage="0" dxfId="8" text="" percent="0" bottom="0">
      <formula>0</formula>
    </cfRule>
  </conditionalFormatting>
  <conditionalFormatting sqref="H962">
    <cfRule type="cellIs" rank="0" priority="2869" equalAverage="0" operator="greaterThan" aboveAverage="0" dxfId="8" text="" percent="0" bottom="0">
      <formula>0</formula>
    </cfRule>
  </conditionalFormatting>
  <conditionalFormatting sqref="C963">
    <cfRule type="cellIs" rank="0" priority="2870" equalAverage="0" operator="greaterThan" aboveAverage="0" dxfId="8" text="" percent="0" bottom="0">
      <formula>0</formula>
    </cfRule>
  </conditionalFormatting>
  <conditionalFormatting sqref="G963">
    <cfRule type="cellIs" rank="0" priority="2871" equalAverage="0" operator="greaterThan" aboveAverage="0" dxfId="8" text="" percent="0" bottom="0">
      <formula>0</formula>
    </cfRule>
  </conditionalFormatting>
  <conditionalFormatting sqref="H963">
    <cfRule type="cellIs" rank="0" priority="2872" equalAverage="0" operator="greaterThan" aboveAverage="0" dxfId="8" text="" percent="0" bottom="0">
      <formula>0</formula>
    </cfRule>
  </conditionalFormatting>
  <conditionalFormatting sqref="C964">
    <cfRule type="cellIs" rank="0" priority="2873" equalAverage="0" operator="greaterThan" aboveAverage="0" dxfId="8" text="" percent="0" bottom="0">
      <formula>0</formula>
    </cfRule>
  </conditionalFormatting>
  <conditionalFormatting sqref="G964">
    <cfRule type="cellIs" rank="0" priority="2874" equalAverage="0" operator="greaterThan" aboveAverage="0" dxfId="8" text="" percent="0" bottom="0">
      <formula>0</formula>
    </cfRule>
  </conditionalFormatting>
  <conditionalFormatting sqref="H964">
    <cfRule type="cellIs" rank="0" priority="2875" equalAverage="0" operator="greaterThan" aboveAverage="0" dxfId="8" text="" percent="0" bottom="0">
      <formula>0</formula>
    </cfRule>
  </conditionalFormatting>
  <conditionalFormatting sqref="C965">
    <cfRule type="cellIs" rank="0" priority="2876" equalAverage="0" operator="greaterThan" aboveAverage="0" dxfId="8" text="" percent="0" bottom="0">
      <formula>0</formula>
    </cfRule>
  </conditionalFormatting>
  <conditionalFormatting sqref="G965">
    <cfRule type="cellIs" rank="0" priority="2877" equalAverage="0" operator="greaterThan" aboveAverage="0" dxfId="8" text="" percent="0" bottom="0">
      <formula>0</formula>
    </cfRule>
  </conditionalFormatting>
  <conditionalFormatting sqref="H965">
    <cfRule type="cellIs" rank="0" priority="2878" equalAverage="0" operator="greaterThan" aboveAverage="0" dxfId="8" text="" percent="0" bottom="0">
      <formula>0</formula>
    </cfRule>
  </conditionalFormatting>
  <conditionalFormatting sqref="C966">
    <cfRule type="cellIs" rank="0" priority="2879" equalAverage="0" operator="greaterThan" aboveAverage="0" dxfId="8" text="" percent="0" bottom="0">
      <formula>0</formula>
    </cfRule>
  </conditionalFormatting>
  <conditionalFormatting sqref="G966">
    <cfRule type="cellIs" rank="0" priority="2880" equalAverage="0" operator="greaterThan" aboveAverage="0" dxfId="8" text="" percent="0" bottom="0">
      <formula>0</formula>
    </cfRule>
  </conditionalFormatting>
  <conditionalFormatting sqref="H966">
    <cfRule type="cellIs" rank="0" priority="2881" equalAverage="0" operator="greaterThan" aboveAverage="0" dxfId="8" text="" percent="0" bottom="0">
      <formula>0</formula>
    </cfRule>
  </conditionalFormatting>
  <conditionalFormatting sqref="C967">
    <cfRule type="cellIs" rank="0" priority="2882" equalAverage="0" operator="greaterThan" aboveAverage="0" dxfId="8" text="" percent="0" bottom="0">
      <formula>0</formula>
    </cfRule>
  </conditionalFormatting>
  <conditionalFormatting sqref="G967">
    <cfRule type="cellIs" rank="0" priority="2883" equalAverage="0" operator="greaterThan" aboveAverage="0" dxfId="8" text="" percent="0" bottom="0">
      <formula>0</formula>
    </cfRule>
  </conditionalFormatting>
  <conditionalFormatting sqref="H967">
    <cfRule type="cellIs" rank="0" priority="2884" equalAverage="0" operator="greaterThan" aboveAverage="0" dxfId="8" text="" percent="0" bottom="0">
      <formula>0</formula>
    </cfRule>
  </conditionalFormatting>
  <conditionalFormatting sqref="C968">
    <cfRule type="cellIs" rank="0" priority="2885" equalAverage="0" operator="greaterThan" aboveAverage="0" dxfId="8" text="" percent="0" bottom="0">
      <formula>0</formula>
    </cfRule>
  </conditionalFormatting>
  <conditionalFormatting sqref="G968">
    <cfRule type="cellIs" rank="0" priority="2886" equalAverage="0" operator="greaterThan" aboveAverage="0" dxfId="8" text="" percent="0" bottom="0">
      <formula>0</formula>
    </cfRule>
  </conditionalFormatting>
  <conditionalFormatting sqref="H968">
    <cfRule type="cellIs" rank="0" priority="2887" equalAverage="0" operator="greaterThan" aboveAverage="0" dxfId="8" text="" percent="0" bottom="0">
      <formula>0</formula>
    </cfRule>
  </conditionalFormatting>
  <conditionalFormatting sqref="C969">
    <cfRule type="cellIs" rank="0" priority="2888" equalAverage="0" operator="greaterThan" aboveAverage="0" dxfId="8" text="" percent="0" bottom="0">
      <formula>0</formula>
    </cfRule>
  </conditionalFormatting>
  <conditionalFormatting sqref="G969">
    <cfRule type="cellIs" rank="0" priority="2889" equalAverage="0" operator="greaterThan" aboveAverage="0" dxfId="8" text="" percent="0" bottom="0">
      <formula>0</formula>
    </cfRule>
  </conditionalFormatting>
  <conditionalFormatting sqref="H969">
    <cfRule type="cellIs" rank="0" priority="2890" equalAverage="0" operator="greaterThan" aboveAverage="0" dxfId="8" text="" percent="0" bottom="0">
      <formula>0</formula>
    </cfRule>
  </conditionalFormatting>
  <conditionalFormatting sqref="C970">
    <cfRule type="cellIs" rank="0" priority="2891" equalAverage="0" operator="greaterThan" aboveAverage="0" dxfId="8" text="" percent="0" bottom="0">
      <formula>0</formula>
    </cfRule>
  </conditionalFormatting>
  <conditionalFormatting sqref="G970">
    <cfRule type="cellIs" rank="0" priority="2892" equalAverage="0" operator="greaterThan" aboveAverage="0" dxfId="8" text="" percent="0" bottom="0">
      <formula>0</formula>
    </cfRule>
  </conditionalFormatting>
  <conditionalFormatting sqref="H970">
    <cfRule type="cellIs" rank="0" priority="2893" equalAverage="0" operator="greaterThan" aboveAverage="0" dxfId="8" text="" percent="0" bottom="0">
      <formula>0</formula>
    </cfRule>
  </conditionalFormatting>
  <conditionalFormatting sqref="C971">
    <cfRule type="cellIs" rank="0" priority="2894" equalAverage="0" operator="greaterThan" aboveAverage="0" dxfId="8" text="" percent="0" bottom="0">
      <formula>0</formula>
    </cfRule>
  </conditionalFormatting>
  <conditionalFormatting sqref="G971">
    <cfRule type="cellIs" rank="0" priority="2895" equalAverage="0" operator="greaterThan" aboveAverage="0" dxfId="8" text="" percent="0" bottom="0">
      <formula>0</formula>
    </cfRule>
  </conditionalFormatting>
  <conditionalFormatting sqref="H971">
    <cfRule type="cellIs" rank="0" priority="2896" equalAverage="0" operator="greaterThan" aboveAverage="0" dxfId="8" text="" percent="0" bottom="0">
      <formula>0</formula>
    </cfRule>
  </conditionalFormatting>
  <conditionalFormatting sqref="C972">
    <cfRule type="cellIs" rank="0" priority="2897" equalAverage="0" operator="greaterThan" aboveAverage="0" dxfId="8" text="" percent="0" bottom="0">
      <formula>0</formula>
    </cfRule>
  </conditionalFormatting>
  <conditionalFormatting sqref="G972">
    <cfRule type="cellIs" rank="0" priority="2898" equalAverage="0" operator="greaterThan" aboveAverage="0" dxfId="8" text="" percent="0" bottom="0">
      <formula>0</formula>
    </cfRule>
  </conditionalFormatting>
  <conditionalFormatting sqref="H972">
    <cfRule type="cellIs" rank="0" priority="2899" equalAverage="0" operator="greaterThan" aboveAverage="0" dxfId="8" text="" percent="0" bottom="0">
      <formula>0</formula>
    </cfRule>
  </conditionalFormatting>
  <conditionalFormatting sqref="C973">
    <cfRule type="cellIs" rank="0" priority="2900" equalAverage="0" operator="greaterThan" aboveAverage="0" dxfId="8" text="" percent="0" bottom="0">
      <formula>0</formula>
    </cfRule>
  </conditionalFormatting>
  <conditionalFormatting sqref="G973">
    <cfRule type="cellIs" rank="0" priority="2901" equalAverage="0" operator="greaterThan" aboveAverage="0" dxfId="8" text="" percent="0" bottom="0">
      <formula>0</formula>
    </cfRule>
  </conditionalFormatting>
  <conditionalFormatting sqref="H973">
    <cfRule type="cellIs" rank="0" priority="2902" equalAverage="0" operator="greaterThan" aboveAverage="0" dxfId="8" text="" percent="0" bottom="0">
      <formula>0</formula>
    </cfRule>
  </conditionalFormatting>
  <conditionalFormatting sqref="C974">
    <cfRule type="cellIs" rank="0" priority="2903" equalAverage="0" operator="greaterThan" aboveAverage="0" dxfId="8" text="" percent="0" bottom="0">
      <formula>0</formula>
    </cfRule>
  </conditionalFormatting>
  <conditionalFormatting sqref="G974">
    <cfRule type="cellIs" rank="0" priority="2904" equalAverage="0" operator="greaterThan" aboveAverage="0" dxfId="8" text="" percent="0" bottom="0">
      <formula>0</formula>
    </cfRule>
  </conditionalFormatting>
  <conditionalFormatting sqref="H974">
    <cfRule type="cellIs" rank="0" priority="2905" equalAverage="0" operator="greaterThan" aboveAverage="0" dxfId="8" text="" percent="0" bottom="0">
      <formula>0</formula>
    </cfRule>
  </conditionalFormatting>
  <conditionalFormatting sqref="C975">
    <cfRule type="cellIs" rank="0" priority="2906" equalAverage="0" operator="greaterThan" aboveAverage="0" dxfId="8" text="" percent="0" bottom="0">
      <formula>0</formula>
    </cfRule>
  </conditionalFormatting>
  <conditionalFormatting sqref="G975">
    <cfRule type="cellIs" rank="0" priority="2907" equalAverage="0" operator="greaterThan" aboveAverage="0" dxfId="8" text="" percent="0" bottom="0">
      <formula>0</formula>
    </cfRule>
  </conditionalFormatting>
  <conditionalFormatting sqref="H975">
    <cfRule type="cellIs" rank="0" priority="2908" equalAverage="0" operator="greaterThan" aboveAverage="0" dxfId="8" text="" percent="0" bottom="0">
      <formula>0</formula>
    </cfRule>
  </conditionalFormatting>
  <conditionalFormatting sqref="C976">
    <cfRule type="cellIs" rank="0" priority="2909" equalAverage="0" operator="greaterThan" aboveAverage="0" dxfId="8" text="" percent="0" bottom="0">
      <formula>0</formula>
    </cfRule>
  </conditionalFormatting>
  <conditionalFormatting sqref="G976">
    <cfRule type="cellIs" rank="0" priority="2910" equalAverage="0" operator="greaterThan" aboveAverage="0" dxfId="8" text="" percent="0" bottom="0">
      <formula>0</formula>
    </cfRule>
  </conditionalFormatting>
  <conditionalFormatting sqref="H976">
    <cfRule type="cellIs" rank="0" priority="2911" equalAverage="0" operator="greaterThan" aboveAverage="0" dxfId="8" text="" percent="0" bottom="0">
      <formula>0</formula>
    </cfRule>
  </conditionalFormatting>
  <conditionalFormatting sqref="C977">
    <cfRule type="cellIs" rank="0" priority="2912" equalAverage="0" operator="greaterThan" aboveAverage="0" dxfId="8" text="" percent="0" bottom="0">
      <formula>0</formula>
    </cfRule>
  </conditionalFormatting>
  <conditionalFormatting sqref="G977">
    <cfRule type="cellIs" rank="0" priority="2913" equalAverage="0" operator="greaterThan" aboveAverage="0" dxfId="8" text="" percent="0" bottom="0">
      <formula>0</formula>
    </cfRule>
  </conditionalFormatting>
  <conditionalFormatting sqref="H977">
    <cfRule type="cellIs" rank="0" priority="2914" equalAverage="0" operator="greaterThan" aboveAverage="0" dxfId="8" text="" percent="0" bottom="0">
      <formula>0</formula>
    </cfRule>
  </conditionalFormatting>
  <conditionalFormatting sqref="C978">
    <cfRule type="cellIs" rank="0" priority="2915" equalAverage="0" operator="greaterThan" aboveAverage="0" dxfId="8" text="" percent="0" bottom="0">
      <formula>0</formula>
    </cfRule>
  </conditionalFormatting>
  <conditionalFormatting sqref="G978">
    <cfRule type="cellIs" rank="0" priority="2916" equalAverage="0" operator="greaterThan" aboveAverage="0" dxfId="8" text="" percent="0" bottom="0">
      <formula>0</formula>
    </cfRule>
  </conditionalFormatting>
  <conditionalFormatting sqref="H978">
    <cfRule type="cellIs" rank="0" priority="2917" equalAverage="0" operator="greaterThan" aboveAverage="0" dxfId="8" text="" percent="0" bottom="0">
      <formula>0</formula>
    </cfRule>
  </conditionalFormatting>
  <conditionalFormatting sqref="C979">
    <cfRule type="cellIs" rank="0" priority="2918" equalAverage="0" operator="greaterThan" aboveAverage="0" dxfId="8" text="" percent="0" bottom="0">
      <formula>0</formula>
    </cfRule>
  </conditionalFormatting>
  <conditionalFormatting sqref="G979">
    <cfRule type="cellIs" rank="0" priority="2919" equalAverage="0" operator="greaterThan" aboveAverage="0" dxfId="8" text="" percent="0" bottom="0">
      <formula>0</formula>
    </cfRule>
  </conditionalFormatting>
  <conditionalFormatting sqref="H979">
    <cfRule type="cellIs" rank="0" priority="2920" equalAverage="0" operator="greaterThan" aboveAverage="0" dxfId="8" text="" percent="0" bottom="0">
      <formula>0</formula>
    </cfRule>
  </conditionalFormatting>
  <conditionalFormatting sqref="C980">
    <cfRule type="cellIs" rank="0" priority="2921" equalAverage="0" operator="greaterThan" aboveAverage="0" dxfId="8" text="" percent="0" bottom="0">
      <formula>0</formula>
    </cfRule>
  </conditionalFormatting>
  <conditionalFormatting sqref="G980">
    <cfRule type="cellIs" rank="0" priority="2922" equalAverage="0" operator="greaterThan" aboveAverage="0" dxfId="8" text="" percent="0" bottom="0">
      <formula>0</formula>
    </cfRule>
  </conditionalFormatting>
  <conditionalFormatting sqref="H980">
    <cfRule type="cellIs" rank="0" priority="2923" equalAverage="0" operator="greaterThan" aboveAverage="0" dxfId="8" text="" percent="0" bottom="0">
      <formula>0</formula>
    </cfRule>
  </conditionalFormatting>
  <conditionalFormatting sqref="C981">
    <cfRule type="cellIs" rank="0" priority="2924" equalAverage="0" operator="greaterThan" aboveAverage="0" dxfId="8" text="" percent="0" bottom="0">
      <formula>0</formula>
    </cfRule>
  </conditionalFormatting>
  <conditionalFormatting sqref="G981">
    <cfRule type="cellIs" rank="0" priority="2925" equalAverage="0" operator="greaterThan" aboveAverage="0" dxfId="8" text="" percent="0" bottom="0">
      <formula>0</formula>
    </cfRule>
  </conditionalFormatting>
  <conditionalFormatting sqref="H981">
    <cfRule type="cellIs" rank="0" priority="2926" equalAverage="0" operator="greaterThan" aboveAverage="0" dxfId="8" text="" percent="0" bottom="0">
      <formula>0</formula>
    </cfRule>
  </conditionalFormatting>
  <conditionalFormatting sqref="C982">
    <cfRule type="cellIs" rank="0" priority="2927" equalAverage="0" operator="greaterThan" aboveAverage="0" dxfId="8" text="" percent="0" bottom="0">
      <formula>0</formula>
    </cfRule>
  </conditionalFormatting>
  <conditionalFormatting sqref="G982">
    <cfRule type="cellIs" rank="0" priority="2928" equalAverage="0" operator="greaterThan" aboveAverage="0" dxfId="8" text="" percent="0" bottom="0">
      <formula>0</formula>
    </cfRule>
  </conditionalFormatting>
  <conditionalFormatting sqref="H982">
    <cfRule type="cellIs" rank="0" priority="2929" equalAverage="0" operator="greaterThan" aboveAverage="0" dxfId="8" text="" percent="0" bottom="0">
      <formula>0</formula>
    </cfRule>
  </conditionalFormatting>
  <conditionalFormatting sqref="C983">
    <cfRule type="cellIs" rank="0" priority="2930" equalAverage="0" operator="greaterThan" aboveAverage="0" dxfId="8" text="" percent="0" bottom="0">
      <formula>0</formula>
    </cfRule>
  </conditionalFormatting>
  <conditionalFormatting sqref="G983">
    <cfRule type="cellIs" rank="0" priority="2931" equalAverage="0" operator="greaterThan" aboveAverage="0" dxfId="8" text="" percent="0" bottom="0">
      <formula>0</formula>
    </cfRule>
  </conditionalFormatting>
  <conditionalFormatting sqref="H983">
    <cfRule type="cellIs" rank="0" priority="2932" equalAverage="0" operator="greaterThan" aboveAverage="0" dxfId="8" text="" percent="0" bottom="0">
      <formula>0</formula>
    </cfRule>
  </conditionalFormatting>
  <conditionalFormatting sqref="C984">
    <cfRule type="cellIs" rank="0" priority="2933" equalAverage="0" operator="greaterThan" aboveAverage="0" dxfId="8" text="" percent="0" bottom="0">
      <formula>0</formula>
    </cfRule>
  </conditionalFormatting>
  <conditionalFormatting sqref="G984">
    <cfRule type="cellIs" rank="0" priority="2934" equalAverage="0" operator="greaterThan" aboveAverage="0" dxfId="8" text="" percent="0" bottom="0">
      <formula>0</formula>
    </cfRule>
  </conditionalFormatting>
  <conditionalFormatting sqref="H984">
    <cfRule type="cellIs" rank="0" priority="2935" equalAverage="0" operator="greaterThan" aboveAverage="0" dxfId="8" text="" percent="0" bottom="0">
      <formula>0</formula>
    </cfRule>
  </conditionalFormatting>
  <conditionalFormatting sqref="C985">
    <cfRule type="cellIs" rank="0" priority="2936" equalAverage="0" operator="greaterThan" aboveAverage="0" dxfId="8" text="" percent="0" bottom="0">
      <formula>0</formula>
    </cfRule>
  </conditionalFormatting>
  <conditionalFormatting sqref="G985">
    <cfRule type="cellIs" rank="0" priority="2937" equalAverage="0" operator="greaterThan" aboveAverage="0" dxfId="8" text="" percent="0" bottom="0">
      <formula>0</formula>
    </cfRule>
  </conditionalFormatting>
  <conditionalFormatting sqref="H985">
    <cfRule type="cellIs" rank="0" priority="2938" equalAverage="0" operator="greaterThan" aboveAverage="0" dxfId="8" text="" percent="0" bottom="0">
      <formula>0</formula>
    </cfRule>
  </conditionalFormatting>
  <conditionalFormatting sqref="C986">
    <cfRule type="cellIs" rank="0" priority="2939" equalAverage="0" operator="greaterThan" aboveAverage="0" dxfId="8" text="" percent="0" bottom="0">
      <formula>0</formula>
    </cfRule>
  </conditionalFormatting>
  <conditionalFormatting sqref="G986">
    <cfRule type="cellIs" rank="0" priority="2940" equalAverage="0" operator="greaterThan" aboveAverage="0" dxfId="8" text="" percent="0" bottom="0">
      <formula>0</formula>
    </cfRule>
  </conditionalFormatting>
  <conditionalFormatting sqref="H986">
    <cfRule type="cellIs" rank="0" priority="2941" equalAverage="0" operator="greaterThan" aboveAverage="0" dxfId="8" text="" percent="0" bottom="0">
      <formula>0</formula>
    </cfRule>
  </conditionalFormatting>
  <conditionalFormatting sqref="C987">
    <cfRule type="cellIs" rank="0" priority="2942" equalAverage="0" operator="greaterThan" aboveAverage="0" dxfId="8" text="" percent="0" bottom="0">
      <formula>0</formula>
    </cfRule>
  </conditionalFormatting>
  <conditionalFormatting sqref="G987">
    <cfRule type="cellIs" rank="0" priority="2943" equalAverage="0" operator="greaterThan" aboveAverage="0" dxfId="8" text="" percent="0" bottom="0">
      <formula>0</formula>
    </cfRule>
  </conditionalFormatting>
  <conditionalFormatting sqref="H987">
    <cfRule type="cellIs" rank="0" priority="2944" equalAverage="0" operator="greaterThan" aboveAverage="0" dxfId="8" text="" percent="0" bottom="0">
      <formula>0</formula>
    </cfRule>
  </conditionalFormatting>
  <conditionalFormatting sqref="C988">
    <cfRule type="cellIs" rank="0" priority="2945" equalAverage="0" operator="greaterThan" aboveAverage="0" dxfId="8" text="" percent="0" bottom="0">
      <formula>0</formula>
    </cfRule>
  </conditionalFormatting>
  <conditionalFormatting sqref="G988">
    <cfRule type="cellIs" rank="0" priority="2946" equalAverage="0" operator="greaterThan" aboveAverage="0" dxfId="8" text="" percent="0" bottom="0">
      <formula>0</formula>
    </cfRule>
  </conditionalFormatting>
  <conditionalFormatting sqref="H988">
    <cfRule type="cellIs" rank="0" priority="2947" equalAverage="0" operator="greaterThan" aboveAverage="0" dxfId="8" text="" percent="0" bottom="0">
      <formula>0</formula>
    </cfRule>
  </conditionalFormatting>
  <conditionalFormatting sqref="C989">
    <cfRule type="cellIs" rank="0" priority="2948" equalAverage="0" operator="greaterThan" aboveAverage="0" dxfId="8" text="" percent="0" bottom="0">
      <formula>0</formula>
    </cfRule>
  </conditionalFormatting>
  <conditionalFormatting sqref="G989">
    <cfRule type="cellIs" rank="0" priority="2949" equalAverage="0" operator="greaterThan" aboveAverage="0" dxfId="8" text="" percent="0" bottom="0">
      <formula>0</formula>
    </cfRule>
  </conditionalFormatting>
  <conditionalFormatting sqref="H989">
    <cfRule type="cellIs" rank="0" priority="2950" equalAverage="0" operator="greaterThan" aboveAverage="0" dxfId="8" text="" percent="0" bottom="0">
      <formula>0</formula>
    </cfRule>
  </conditionalFormatting>
  <conditionalFormatting sqref="C990">
    <cfRule type="cellIs" rank="0" priority="2951" equalAverage="0" operator="greaterThan" aboveAverage="0" dxfId="8" text="" percent="0" bottom="0">
      <formula>0</formula>
    </cfRule>
  </conditionalFormatting>
  <conditionalFormatting sqref="G990">
    <cfRule type="cellIs" rank="0" priority="2952" equalAverage="0" operator="greaterThan" aboveAverage="0" dxfId="8" text="" percent="0" bottom="0">
      <formula>0</formula>
    </cfRule>
  </conditionalFormatting>
  <conditionalFormatting sqref="H990">
    <cfRule type="cellIs" rank="0" priority="2953" equalAverage="0" operator="greaterThan" aboveAverage="0" dxfId="8" text="" percent="0" bottom="0">
      <formula>0</formula>
    </cfRule>
  </conditionalFormatting>
  <conditionalFormatting sqref="C991">
    <cfRule type="cellIs" rank="0" priority="2954" equalAverage="0" operator="greaterThan" aboveAverage="0" dxfId="8" text="" percent="0" bottom="0">
      <formula>0</formula>
    </cfRule>
  </conditionalFormatting>
  <conditionalFormatting sqref="G991">
    <cfRule type="cellIs" rank="0" priority="2955" equalAverage="0" operator="greaterThan" aboveAverage="0" dxfId="8" text="" percent="0" bottom="0">
      <formula>0</formula>
    </cfRule>
  </conditionalFormatting>
  <conditionalFormatting sqref="H991">
    <cfRule type="cellIs" rank="0" priority="2956" equalAverage="0" operator="greaterThan" aboveAverage="0" dxfId="8" text="" percent="0" bottom="0">
      <formula>0</formula>
    </cfRule>
  </conditionalFormatting>
  <conditionalFormatting sqref="C992">
    <cfRule type="cellIs" rank="0" priority="2957" equalAverage="0" operator="greaterThan" aboveAverage="0" dxfId="8" text="" percent="0" bottom="0">
      <formula>0</formula>
    </cfRule>
  </conditionalFormatting>
  <conditionalFormatting sqref="G992">
    <cfRule type="cellIs" rank="0" priority="2958" equalAverage="0" operator="greaterThan" aboveAverage="0" dxfId="8" text="" percent="0" bottom="0">
      <formula>0</formula>
    </cfRule>
  </conditionalFormatting>
  <conditionalFormatting sqref="H992">
    <cfRule type="cellIs" rank="0" priority="2959" equalAverage="0" operator="greaterThan" aboveAverage="0" dxfId="8" text="" percent="0" bottom="0">
      <formula>0</formula>
    </cfRule>
  </conditionalFormatting>
  <conditionalFormatting sqref="C993">
    <cfRule type="cellIs" rank="0" priority="2960" equalAverage="0" operator="greaterThan" aboveAverage="0" dxfId="8" text="" percent="0" bottom="0">
      <formula>0</formula>
    </cfRule>
  </conditionalFormatting>
  <conditionalFormatting sqref="G993">
    <cfRule type="cellIs" rank="0" priority="2961" equalAverage="0" operator="greaterThan" aboveAverage="0" dxfId="8" text="" percent="0" bottom="0">
      <formula>0</formula>
    </cfRule>
  </conditionalFormatting>
  <conditionalFormatting sqref="H993">
    <cfRule type="cellIs" rank="0" priority="2962" equalAverage="0" operator="greaterThan" aboveAverage="0" dxfId="8" text="" percent="0" bottom="0">
      <formula>0</formula>
    </cfRule>
  </conditionalFormatting>
  <conditionalFormatting sqref="C994">
    <cfRule type="cellIs" rank="0" priority="2963" equalAverage="0" operator="greaterThan" aboveAverage="0" dxfId="8" text="" percent="0" bottom="0">
      <formula>0</formula>
    </cfRule>
  </conditionalFormatting>
  <conditionalFormatting sqref="G994">
    <cfRule type="cellIs" rank="0" priority="2964" equalAverage="0" operator="greaterThan" aboveAverage="0" dxfId="8" text="" percent="0" bottom="0">
      <formula>0</formula>
    </cfRule>
  </conditionalFormatting>
  <conditionalFormatting sqref="H994">
    <cfRule type="cellIs" rank="0" priority="2965" equalAverage="0" operator="greaterThan" aboveAverage="0" dxfId="8" text="" percent="0" bottom="0">
      <formula>0</formula>
    </cfRule>
  </conditionalFormatting>
  <conditionalFormatting sqref="C995">
    <cfRule type="cellIs" rank="0" priority="2966" equalAverage="0" operator="greaterThan" aboveAverage="0" dxfId="8" text="" percent="0" bottom="0">
      <formula>0</formula>
    </cfRule>
  </conditionalFormatting>
  <conditionalFormatting sqref="G995">
    <cfRule type="cellIs" rank="0" priority="2967" equalAverage="0" operator="greaterThan" aboveAverage="0" dxfId="8" text="" percent="0" bottom="0">
      <formula>0</formula>
    </cfRule>
  </conditionalFormatting>
  <conditionalFormatting sqref="H995">
    <cfRule type="cellIs" rank="0" priority="2968" equalAverage="0" operator="greaterThan" aboveAverage="0" dxfId="8" text="" percent="0" bottom="0">
      <formula>0</formula>
    </cfRule>
  </conditionalFormatting>
  <conditionalFormatting sqref="C996">
    <cfRule type="cellIs" rank="0" priority="2969" equalAverage="0" operator="greaterThan" aboveAverage="0" dxfId="8" text="" percent="0" bottom="0">
      <formula>0</formula>
    </cfRule>
  </conditionalFormatting>
  <conditionalFormatting sqref="G996">
    <cfRule type="cellIs" rank="0" priority="2970" equalAverage="0" operator="greaterThan" aboveAverage="0" dxfId="8" text="" percent="0" bottom="0">
      <formula>0</formula>
    </cfRule>
  </conditionalFormatting>
  <conditionalFormatting sqref="H996">
    <cfRule type="cellIs" rank="0" priority="2971" equalAverage="0" operator="greaterThan" aboveAverage="0" dxfId="8" text="" percent="0" bottom="0">
      <formula>0</formula>
    </cfRule>
  </conditionalFormatting>
  <conditionalFormatting sqref="C997">
    <cfRule type="cellIs" rank="0" priority="2972" equalAverage="0" operator="greaterThan" aboveAverage="0" dxfId="8" text="" percent="0" bottom="0">
      <formula>0</formula>
    </cfRule>
  </conditionalFormatting>
  <conditionalFormatting sqref="G997">
    <cfRule type="cellIs" rank="0" priority="2973" equalAverage="0" operator="greaterThan" aboveAverage="0" dxfId="8" text="" percent="0" bottom="0">
      <formula>0</formula>
    </cfRule>
  </conditionalFormatting>
  <conditionalFormatting sqref="H997">
    <cfRule type="cellIs" rank="0" priority="2974" equalAverage="0" operator="greaterThan" aboveAverage="0" dxfId="8" text="" percent="0" bottom="0">
      <formula>0</formula>
    </cfRule>
  </conditionalFormatting>
  <conditionalFormatting sqref="C998">
    <cfRule type="cellIs" rank="0" priority="2975" equalAverage="0" operator="greaterThan" aboveAverage="0" dxfId="8" text="" percent="0" bottom="0">
      <formula>0</formula>
    </cfRule>
  </conditionalFormatting>
  <conditionalFormatting sqref="G998">
    <cfRule type="cellIs" rank="0" priority="2976" equalAverage="0" operator="greaterThan" aboveAverage="0" dxfId="8" text="" percent="0" bottom="0">
      <formula>0</formula>
    </cfRule>
  </conditionalFormatting>
  <conditionalFormatting sqref="H998">
    <cfRule type="cellIs" rank="0" priority="2977" equalAverage="0" operator="greaterThan" aboveAverage="0" dxfId="8" text="" percent="0" bottom="0">
      <formula>0</formula>
    </cfRule>
  </conditionalFormatting>
  <conditionalFormatting sqref="C999">
    <cfRule type="cellIs" rank="0" priority="2978" equalAverage="0" operator="greaterThan" aboveAverage="0" dxfId="8" text="" percent="0" bottom="0">
      <formula>0</formula>
    </cfRule>
  </conditionalFormatting>
  <conditionalFormatting sqref="G999">
    <cfRule type="cellIs" rank="0" priority="2979" equalAverage="0" operator="greaterThan" aboveAverage="0" dxfId="8" text="" percent="0" bottom="0">
      <formula>0</formula>
    </cfRule>
  </conditionalFormatting>
  <conditionalFormatting sqref="H999">
    <cfRule type="cellIs" rank="0" priority="2980" equalAverage="0" operator="greaterThan" aboveAverage="0" dxfId="8" text="" percent="0" bottom="0">
      <formula>0</formula>
    </cfRule>
  </conditionalFormatting>
  <conditionalFormatting sqref="C1000">
    <cfRule type="cellIs" rank="0" priority="2981" equalAverage="0" operator="greaterThan" aboveAverage="0" dxfId="8" text="" percent="0" bottom="0">
      <formula>0</formula>
    </cfRule>
  </conditionalFormatting>
  <conditionalFormatting sqref="G1000">
    <cfRule type="cellIs" rank="0" priority="2982" equalAverage="0" operator="greaterThan" aboveAverage="0" dxfId="8" text="" percent="0" bottom="0">
      <formula>0</formula>
    </cfRule>
  </conditionalFormatting>
  <conditionalFormatting sqref="H1000">
    <cfRule type="cellIs" rank="0" priority="2983" equalAverage="0" operator="greaterThan" aboveAverage="0" dxfId="8" text="" percent="0" bottom="0">
      <formula>0</formula>
    </cfRule>
  </conditionalFormatting>
  <conditionalFormatting sqref="C1001">
    <cfRule type="cellIs" rank="0" priority="2984" equalAverage="0" operator="greaterThan" aboveAverage="0" dxfId="8" text="" percent="0" bottom="0">
      <formula>0</formula>
    </cfRule>
  </conditionalFormatting>
  <conditionalFormatting sqref="G1001">
    <cfRule type="cellIs" rank="0" priority="2985" equalAverage="0" operator="greaterThan" aboveAverage="0" dxfId="8" text="" percent="0" bottom="0">
      <formula>0</formula>
    </cfRule>
  </conditionalFormatting>
  <conditionalFormatting sqref="H1001">
    <cfRule type="cellIs" rank="0" priority="2986" equalAverage="0" operator="greaterThan" aboveAverage="0" dxfId="8" text="" percent="0" bottom="0">
      <formula>0</formula>
    </cfRule>
  </conditionalFormatting>
  <conditionalFormatting sqref="C1002">
    <cfRule type="cellIs" rank="0" priority="2987" equalAverage="0" operator="greaterThan" aboveAverage="0" dxfId="8" text="" percent="0" bottom="0">
      <formula>0</formula>
    </cfRule>
  </conditionalFormatting>
  <conditionalFormatting sqref="G1002">
    <cfRule type="cellIs" rank="0" priority="2988" equalAverage="0" operator="greaterThan" aboveAverage="0" dxfId="8" text="" percent="0" bottom="0">
      <formula>0</formula>
    </cfRule>
  </conditionalFormatting>
  <conditionalFormatting sqref="H1002">
    <cfRule type="cellIs" rank="0" priority="2989" equalAverage="0" operator="greaterThan" aboveAverage="0" dxfId="8" text="" percent="0" bottom="0">
      <formula>0</formula>
    </cfRule>
  </conditionalFormatting>
  <conditionalFormatting sqref="C1003">
    <cfRule type="cellIs" rank="0" priority="2990" equalAverage="0" operator="greaterThan" aboveAverage="0" dxfId="8" text="" percent="0" bottom="0">
      <formula>0</formula>
    </cfRule>
  </conditionalFormatting>
  <conditionalFormatting sqref="G1003">
    <cfRule type="cellIs" rank="0" priority="2991" equalAverage="0" operator="greaterThan" aboveAverage="0" dxfId="8" text="" percent="0" bottom="0">
      <formula>0</formula>
    </cfRule>
  </conditionalFormatting>
  <conditionalFormatting sqref="H1003">
    <cfRule type="cellIs" rank="0" priority="2992" equalAverage="0" operator="greaterThan" aboveAverage="0" dxfId="8" text="" percent="0" bottom="0">
      <formula>0</formula>
    </cfRule>
  </conditionalFormatting>
  <conditionalFormatting sqref="C1004">
    <cfRule type="cellIs" rank="0" priority="2993" equalAverage="0" operator="greaterThan" aboveAverage="0" dxfId="8" text="" percent="0" bottom="0">
      <formula>0</formula>
    </cfRule>
  </conditionalFormatting>
  <conditionalFormatting sqref="G1004">
    <cfRule type="cellIs" rank="0" priority="2994" equalAverage="0" operator="greaterThan" aboveAverage="0" dxfId="8" text="" percent="0" bottom="0">
      <formula>0</formula>
    </cfRule>
  </conditionalFormatting>
  <conditionalFormatting sqref="H1004">
    <cfRule type="cellIs" rank="0" priority="2995" equalAverage="0" operator="greaterThan" aboveAverage="0" dxfId="8" text="" percent="0" bottom="0">
      <formula>0</formula>
    </cfRule>
  </conditionalFormatting>
  <conditionalFormatting sqref="C1005">
    <cfRule type="cellIs" rank="0" priority="2996" equalAverage="0" operator="greaterThan" aboveAverage="0" dxfId="8" text="" percent="0" bottom="0">
      <formula>0</formula>
    </cfRule>
  </conditionalFormatting>
  <conditionalFormatting sqref="G1005">
    <cfRule type="cellIs" rank="0" priority="2997" equalAverage="0" operator="greaterThan" aboveAverage="0" dxfId="8" text="" percent="0" bottom="0">
      <formula>0</formula>
    </cfRule>
  </conditionalFormatting>
  <conditionalFormatting sqref="H1005">
    <cfRule type="cellIs" rank="0" priority="2998" equalAverage="0" operator="greaterThan" aboveAverage="0" dxfId="8" text="" percent="0" bottom="0">
      <formula>0</formula>
    </cfRule>
  </conditionalFormatting>
  <conditionalFormatting sqref="C1006">
    <cfRule type="cellIs" rank="0" priority="2999" equalAverage="0" operator="greaterThan" aboveAverage="0" dxfId="8" text="" percent="0" bottom="0">
      <formula>0</formula>
    </cfRule>
  </conditionalFormatting>
  <conditionalFormatting sqref="G1006">
    <cfRule type="cellIs" rank="0" priority="3000" equalAverage="0" operator="greaterThan" aboveAverage="0" dxfId="8" text="" percent="0" bottom="0">
      <formula>0</formula>
    </cfRule>
  </conditionalFormatting>
  <conditionalFormatting sqref="H1006">
    <cfRule type="cellIs" rank="0" priority="3001" equalAverage="0" operator="greaterThan" aboveAverage="0" dxfId="8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AN100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4" customWidth="1" style="88" min="1" max="1"/>
    <col width="26" customWidth="1" style="88" min="2" max="2"/>
    <col width="15" customWidth="1" style="88" min="3" max="5"/>
  </cols>
  <sheetData>
    <row r="1" ht="25.5" customHeight="1" s="62">
      <c r="A1" s="100" t="inlineStr">
        <is>
          <t>TESVIK SIMULATOR — KAÇIRILAN SGK TEŞVİKLERİ &amp; GERÇEK İŞÇİLİK MALİYETİ ANALİZİ</t>
        </is>
      </c>
    </row>
    <row r="3" ht="15" customHeight="1" s="62">
      <c r="A3" s="101" t="inlineStr">
        <is>
          <t>SGK Teşvik Simülatörü</t>
        </is>
      </c>
    </row>
    <row r="4" ht="15" customHeight="1" s="62">
      <c r="A4" s="95" t="inlineStr">
        <is>
          <t>Her satırda bir çalışan-teşvik çifti seçilir; aylık ve yıllık teşvik tutarı otomatik hesaplanır. Teşvike rağmen 'Kaçırılan: Evet' işaretlenenler analize girer.</t>
        </is>
      </c>
    </row>
    <row r="6" ht="30" customHeight="1" s="62">
      <c r="A6" s="106" t="inlineStr">
        <is>
          <t>Çalışan Adı</t>
        </is>
      </c>
      <c r="B6" s="106" t="inlineStr">
        <is>
          <t>Teşvik Türü</t>
        </is>
      </c>
      <c r="C6" s="106" t="inlineStr">
        <is>
          <t>Aylık Teşvik (₺)</t>
        </is>
      </c>
      <c r="D6" s="106" t="inlineStr">
        <is>
          <t>Yıllık Teşvik (₺)</t>
        </is>
      </c>
      <c r="E6" s="106" t="inlineStr">
        <is>
          <t>Kaçırılan?</t>
        </is>
      </c>
    </row>
    <row r="7" ht="15" customHeight="1" s="62">
      <c r="A7" s="107" t="inlineStr">
        <is>
          <t>Ali Yılmaz</t>
        </is>
      </c>
      <c r="B7" s="107" t="inlineStr">
        <is>
          <t>5 Puan İndirimi</t>
        </is>
      </c>
      <c r="C7" s="110">
        <f>IFERROR(IF(OR($A7="",$B7=""),"",INDEX(tblCalisan[Brüt Ücret (₺)],MATCH($A7,tblCalisan[Çalışan Adı],0))*IF($B7="5 Puan İndirimi",BesPuanOrani,IF($B7="İlave İstihdam",IlaveIstihdamOrani,IF($B7="Kadın/Genç",KadinGencOrani,IF($B7="Engelli",EngelliOrani,GencGirisimciOrani))))),"")</f>
        <v/>
      </c>
      <c r="D7" s="110">
        <f>IF($C7="","",$C7*AySayisi)</f>
        <v/>
      </c>
      <c r="E7" s="107" t="inlineStr">
        <is>
          <t>Evet</t>
        </is>
      </c>
    </row>
    <row r="8" ht="15" customHeight="1" s="62">
      <c r="A8" s="107" t="inlineStr">
        <is>
          <t>Ayşe Demir</t>
        </is>
      </c>
      <c r="B8" s="107" t="inlineStr">
        <is>
          <t>İlave İstihdam</t>
        </is>
      </c>
      <c r="C8" s="110">
        <f>IFERROR(IF(OR($A8="",$B8=""),"",INDEX(tblCalisan[Brüt Ücret (₺)],MATCH($A8,tblCalisan[Çalışan Adı],0))*IF($B8="5 Puan İndirimi",BesPuanOrani,IF($B8="İlave İstihdam",IlaveIstihdamOrani,IF($B8="Kadın/Genç",KadinGencOrani,IF($B8="Engelli",EngelliOrani,GencGirisimciOrani))))),"")</f>
        <v/>
      </c>
      <c r="D8" s="110">
        <f>IF($C8="","",$C8*AySayisi)</f>
        <v/>
      </c>
      <c r="E8" s="107" t="inlineStr">
        <is>
          <t>Evet</t>
        </is>
      </c>
    </row>
    <row r="9" ht="15" customHeight="1" s="62">
      <c r="A9" s="107" t="inlineStr">
        <is>
          <t>Mehmet Kaya</t>
        </is>
      </c>
      <c r="B9" s="107" t="inlineStr">
        <is>
          <t>Kadın/Genç</t>
        </is>
      </c>
      <c r="C9" s="110">
        <f>IFERROR(IF(OR($A9="",$B9=""),"",INDEX(tblCalisan[Brüt Ücret (₺)],MATCH($A9,tblCalisan[Çalışan Adı],0))*IF($B9="5 Puan İndirimi",BesPuanOrani,IF($B9="İlave İstihdam",IlaveIstihdamOrani,IF($B9="Kadın/Genç",KadinGencOrani,IF($B9="Engelli",EngelliOrani,GencGirisimciOrani))))),"")</f>
        <v/>
      </c>
      <c r="D9" s="110">
        <f>IF($C9="","",$C9*AySayisi)</f>
        <v/>
      </c>
      <c r="E9" s="107" t="inlineStr">
        <is>
          <t>Hayır</t>
        </is>
      </c>
    </row>
    <row r="10" ht="15" customHeight="1" s="62">
      <c r="A10" s="107" t="inlineStr">
        <is>
          <t>Zeynep Şahin</t>
        </is>
      </c>
      <c r="B10" s="107" t="inlineStr">
        <is>
          <t>Genç Girişimci</t>
        </is>
      </c>
      <c r="C10" s="110">
        <f>IFERROR(IF(OR($A10="",$B10=""),"",INDEX(tblCalisan[Brüt Ücret (₺)],MATCH($A10,tblCalisan[Çalışan Adı],0))*IF($B10="5 Puan İndirimi",BesPuanOrani,IF($B10="İlave İstihdam",IlaveIstihdamOrani,IF($B10="Kadın/Genç",KadinGencOrani,IF($B10="Engelli",EngelliOrani,GencGirisimciOrani))))),"")</f>
        <v/>
      </c>
      <c r="D10" s="110">
        <f>IF($C10="","",$C10*AySayisi)</f>
        <v/>
      </c>
      <c r="E10" s="107" t="inlineStr">
        <is>
          <t>Hayır</t>
        </is>
      </c>
    </row>
    <row r="11" ht="15" customHeight="1" s="62">
      <c r="A11" s="107" t="inlineStr">
        <is>
          <t>Hasan Çelik</t>
        </is>
      </c>
      <c r="B11" s="107" t="inlineStr">
        <is>
          <t>Engelli</t>
        </is>
      </c>
      <c r="C11" s="110">
        <f>IFERROR(IF(OR($A11="",$B11=""),"",INDEX(tblCalisan[Brüt Ücret (₺)],MATCH($A11,tblCalisan[Çalışan Adı],0))*IF($B11="5 Puan İndirimi",BesPuanOrani,IF($B11="İlave İstihdam",IlaveIstihdamOrani,IF($B11="Kadın/Genç",KadinGencOrani,IF($B11="Engelli",EngelliOrani,GencGirisimciOrani))))),"")</f>
        <v/>
      </c>
      <c r="D11" s="110">
        <f>IF($C11="","",$C11*AySayisi)</f>
        <v/>
      </c>
      <c r="E11" s="107" t="inlineStr">
        <is>
          <t>Evet</t>
        </is>
      </c>
    </row>
    <row r="12" ht="15" customHeight="1" s="62">
      <c r="A12" s="107" t="inlineStr">
        <is>
          <t>Fatma Aydın</t>
        </is>
      </c>
      <c r="B12" s="107" t="inlineStr">
        <is>
          <t>Kadın/Genç</t>
        </is>
      </c>
      <c r="C12" s="110">
        <f>IFERROR(IF(OR($A12="",$B12=""),"",INDEX(tblCalisan[Brüt Ücret (₺)],MATCH($A12,tblCalisan[Çalışan Adı],0))*IF($B12="5 Puan İndirimi",BesPuanOrani,IF($B12="İlave İstihdam",IlaveIstihdamOrani,IF($B12="Kadın/Genç",KadinGencOrani,IF($B12="Engelli",EngelliOrani,GencGirisimciOrani))))),"")</f>
        <v/>
      </c>
      <c r="D12" s="110">
        <f>IF($C12="","",$C12*AySayisi)</f>
        <v/>
      </c>
      <c r="E12" s="107" t="inlineStr">
        <is>
          <t>Evet</t>
        </is>
      </c>
    </row>
    <row r="13" ht="15" customHeight="1" s="62">
      <c r="A13" s="107" t="inlineStr">
        <is>
          <t>Mustafa Koç</t>
        </is>
      </c>
      <c r="B13" s="107" t="inlineStr">
        <is>
          <t>5 Puan İndirimi</t>
        </is>
      </c>
      <c r="C13" s="110">
        <f>IFERROR(IF(OR($A13="",$B13=""),"",INDEX(tblCalisan[Brüt Ücret (₺)],MATCH($A13,tblCalisan[Çalışan Adı],0))*IF($B13="5 Puan İndirimi",BesPuanOrani,IF($B13="İlave İstihdam",IlaveIstihdamOrani,IF($B13="Kadın/Genç",KadinGencOrani,IF($B13="Engelli",EngelliOrani,GencGirisimciOrani))))),"")</f>
        <v/>
      </c>
      <c r="D13" s="110">
        <f>IF($C13="","",$C13*AySayisi)</f>
        <v/>
      </c>
      <c r="E13" s="107" t="inlineStr">
        <is>
          <t>Evet</t>
        </is>
      </c>
    </row>
    <row r="14" ht="15" customHeight="1" s="62">
      <c r="A14" s="107" t="inlineStr">
        <is>
          <t>Elif Yıldız</t>
        </is>
      </c>
      <c r="B14" s="107" t="inlineStr">
        <is>
          <t>İlave İstihdam</t>
        </is>
      </c>
      <c r="C14" s="110">
        <f>IFERROR(IF(OR($A14="",$B14=""),"",INDEX(tblCalisan[Brüt Ücret (₺)],MATCH($A14,tblCalisan[Çalışan Adı],0))*IF($B14="5 Puan İndirimi",BesPuanOrani,IF($B14="İlave İstihdam",IlaveIstihdamOrani,IF($B14="Kadın/Genç",KadinGencOrani,IF($B14="Engelli",EngelliOrani,GencGirisimciOrani))))),"")</f>
        <v/>
      </c>
      <c r="D14" s="110">
        <f>IF($C14="","",$C14*AySayisi)</f>
        <v/>
      </c>
      <c r="E14" s="107" t="inlineStr">
        <is>
          <t>Hayır</t>
        </is>
      </c>
    </row>
    <row r="15" ht="15" customHeight="1" s="62">
      <c r="A15" s="107" t="inlineStr">
        <is>
          <t>Burak Arslan</t>
        </is>
      </c>
      <c r="B15" s="107" t="inlineStr">
        <is>
          <t>5 Puan İndirimi</t>
        </is>
      </c>
      <c r="C15" s="110">
        <f>IFERROR(IF(OR($A15="",$B15=""),"",INDEX(tblCalisan[Brüt Ücret (₺)],MATCH($A15,tblCalisan[Çalışan Adı],0))*IF($B15="5 Puan İndirimi",BesPuanOrani,IF($B15="İlave İstihdam",IlaveIstihdamOrani,IF($B15="Kadın/Genç",KadinGencOrani,IF($B15="Engelli",EngelliOrani,GencGirisimciOrani))))),"")</f>
        <v/>
      </c>
      <c r="D15" s="110">
        <f>IF($C15="","",$C15*AySayisi)</f>
        <v/>
      </c>
      <c r="E15" s="107" t="inlineStr">
        <is>
          <t>Hayır</t>
        </is>
      </c>
    </row>
    <row r="16" ht="15" customHeight="1" s="62">
      <c r="A16" s="107" t="inlineStr">
        <is>
          <t>Merve Çetin</t>
        </is>
      </c>
      <c r="B16" s="107" t="inlineStr">
        <is>
          <t>Genç Girişimci</t>
        </is>
      </c>
      <c r="C16" s="110">
        <f>IFERROR(IF(OR($A16="",$B16=""),"",INDEX(tblCalisan[Brüt Ücret (₺)],MATCH($A16,tblCalisan[Çalışan Adı],0))*IF($B16="5 Puan İndirimi",BesPuanOrani,IF($B16="İlave İstihdam",IlaveIstihdamOrani,IF($B16="Kadın/Genç",KadinGencOrani,IF($B16="Engelli",EngelliOrani,GencGirisimciOrani))))),"")</f>
        <v/>
      </c>
      <c r="D16" s="110">
        <f>IF($C16="","",$C16*AySayisi)</f>
        <v/>
      </c>
      <c r="E16" s="107" t="inlineStr">
        <is>
          <t>Evet</t>
        </is>
      </c>
    </row>
    <row r="17" ht="15" customHeight="1" s="62">
      <c r="A17" s="107" t="inlineStr">
        <is>
          <t>Kemal Demir</t>
        </is>
      </c>
      <c r="B17" s="107" t="inlineStr">
        <is>
          <t>İşveren Teşviki</t>
        </is>
      </c>
      <c r="C17" s="110">
        <f>IFERROR(IF(OR($A17="",$B17=""),"",INDEX(tblCalisan[Brüt Ücret (₺)],MATCH($A17,tblCalisan[Çalışan Adı],0))*IF($B17="5 Puan İndirimi",BesPuanOrani,IF($B17="İlave İstihdam",IlaveIstihdamOrani,IF($B17="Kadın/Genç",KadinGencOrani,IF($B17="Engelli",EngelliOrani,GencGirisimciOrani))))),"")</f>
        <v/>
      </c>
      <c r="D17" s="110">
        <f>IF($C17="","",$C17*AySayisi)</f>
        <v/>
      </c>
      <c r="E17" s="107" t="inlineStr">
        <is>
          <t>Hayır</t>
        </is>
      </c>
    </row>
    <row r="18" ht="15" customHeight="1" s="62">
      <c r="A18" s="107" t="inlineStr">
        <is>
          <t>Selin Korkmaz</t>
        </is>
      </c>
      <c r="B18" s="107" t="inlineStr">
        <is>
          <t>Kadın/Genç</t>
        </is>
      </c>
      <c r="C18" s="110">
        <f>IFERROR(IF(OR($A18="",$B18=""),"",INDEX(tblCalisan[Brüt Ücret (₺)],MATCH($A18,tblCalisan[Çalışan Adı],0))*IF($B18="5 Puan İndirimi",BesPuanOrani,IF($B18="İlave İstihdam",IlaveIstihdamOrani,IF($B18="Kadın/Genç",KadinGencOrani,IF($B18="Engelli",EngelliOrani,GencGirisimciOrani))))),"")</f>
        <v/>
      </c>
      <c r="D18" s="110">
        <f>IF($C18="","",$C18*AySayisi)</f>
        <v/>
      </c>
      <c r="E18" s="107" t="inlineStr">
        <is>
          <t>Evet</t>
        </is>
      </c>
    </row>
    <row r="19" ht="15" customHeight="1" s="62">
      <c r="A19" s="107" t="inlineStr">
        <is>
          <t>Emre Şahin</t>
        </is>
      </c>
      <c r="B19" s="107" t="inlineStr">
        <is>
          <t>İlave İstihdam</t>
        </is>
      </c>
      <c r="C19" s="110">
        <f>IFERROR(IF(OR($A19="",$B19=""),"",INDEX(tblCalisan[Brüt Ücret (₺)],MATCH($A19,tblCalisan[Çalışan Adı],0))*IF($B19="5 Puan İndirimi",BesPuanOrani,IF($B19="İlave İstihdam",IlaveIstihdamOrani,IF($B19="Kadın/Genç",KadinGencOrani,IF($B19="Engelli",EngelliOrani,GencGirisimciOrani))))),"")</f>
        <v/>
      </c>
      <c r="D19" s="110">
        <f>IF($C19="","",$C19*AySayisi)</f>
        <v/>
      </c>
      <c r="E19" s="107" t="inlineStr">
        <is>
          <t>Hayır</t>
        </is>
      </c>
    </row>
    <row r="20" ht="15" customHeight="1" s="62">
      <c r="A20" s="107" t="inlineStr">
        <is>
          <t>Gülay Öztürk</t>
        </is>
      </c>
      <c r="B20" s="107" t="inlineStr">
        <is>
          <t>Genç Girişimci</t>
        </is>
      </c>
      <c r="C20" s="110">
        <f>IFERROR(IF(OR($A20="",$B20=""),"",INDEX(tblCalisan[Brüt Ücret (₺)],MATCH($A20,tblCalisan[Çalışan Adı],0))*IF($B20="5 Puan İndirimi",BesPuanOrani,IF($B20="İlave İstihdam",IlaveIstihdamOrani,IF($B20="Kadın/Genç",KadinGencOrani,IF($B20="Engelli",EngelliOrani,GencGirisimciOrani))))),"")</f>
        <v/>
      </c>
      <c r="D20" s="110">
        <f>IF($C20="","",$C20*AySayisi)</f>
        <v/>
      </c>
      <c r="E20" s="107" t="inlineStr">
        <is>
          <t>Hayır</t>
        </is>
      </c>
    </row>
    <row r="21" ht="15" customHeight="1" s="62">
      <c r="A21" s="107" t="n"/>
      <c r="B21" s="107" t="n"/>
      <c r="C21" s="110">
        <f>IFERROR(IF(OR($A21="",$B21=""),"",INDEX(tblCalisan[Brüt Ücret (₺)],MATCH($A21,tblCalisan[Çalışan Adı],0))*IF($B21="5 Puan İndirimi",BesPuanOrani,IF($B21="İlave İstihdam",IlaveIstihdamOrani,IF($B21="Kadın/Genç",KadinGencOrani,IF($B21="Engelli",EngelliOrani,GencGirisimciOrani))))),"")</f>
        <v/>
      </c>
      <c r="D21" s="110">
        <f>IF($C21="","",$C21*AySayisi)</f>
        <v/>
      </c>
      <c r="E21" s="107" t="n"/>
    </row>
    <row r="22" ht="15" customHeight="1" s="62">
      <c r="A22" s="107" t="n"/>
      <c r="B22" s="107" t="n"/>
      <c r="C22" s="110">
        <f>IFERROR(IF(OR($A22="",$B22=""),"",INDEX(tblCalisan[Brüt Ücret (₺)],MATCH($A22,tblCalisan[Çalışan Adı],0))*IF($B22="5 Puan İndirimi",BesPuanOrani,IF($B22="İlave İstihdam",IlaveIstihdamOrani,IF($B22="Kadın/Genç",KadinGencOrani,IF($B22="Engelli",EngelliOrani,GencGirisimciOrani))))),"")</f>
        <v/>
      </c>
      <c r="D22" s="110">
        <f>IF($C22="","",$C22*AySayisi)</f>
        <v/>
      </c>
      <c r="E22" s="107" t="n"/>
    </row>
    <row r="23" ht="15" customHeight="1" s="62">
      <c r="A23" s="107" t="n"/>
      <c r="B23" s="107" t="n"/>
      <c r="C23" s="110">
        <f>IFERROR(IF(OR($A23="",$B23=""),"",INDEX(tblCalisan[Brüt Ücret (₺)],MATCH($A23,tblCalisan[Çalışan Adı],0))*IF($B23="5 Puan İndirimi",BesPuanOrani,IF($B23="İlave İstihdam",IlaveIstihdamOrani,IF($B23="Kadın/Genç",KadinGencOrani,IF($B23="Engelli",EngelliOrani,GencGirisimciOrani))))),"")</f>
        <v/>
      </c>
      <c r="D23" s="110">
        <f>IF($C23="","",$C23*AySayisi)</f>
        <v/>
      </c>
      <c r="E23" s="107" t="n"/>
    </row>
    <row r="24" ht="15" customHeight="1" s="62">
      <c r="A24" s="107" t="n"/>
      <c r="B24" s="107" t="n"/>
      <c r="C24" s="110">
        <f>IFERROR(IF(OR($A24="",$B24=""),"",INDEX(tblCalisan[Brüt Ücret (₺)],MATCH($A24,tblCalisan[Çalışan Adı],0))*IF($B24="5 Puan İndirimi",BesPuanOrani,IF($B24="İlave İstihdam",IlaveIstihdamOrani,IF($B24="Kadın/Genç",KadinGencOrani,IF($B24="Engelli",EngelliOrani,GencGirisimciOrani))))),"")</f>
        <v/>
      </c>
      <c r="D24" s="110">
        <f>IF($C24="","",$C24*AySayisi)</f>
        <v/>
      </c>
      <c r="E24" s="107" t="n"/>
    </row>
    <row r="25" ht="15" customHeight="1" s="62">
      <c r="A25" s="107" t="n"/>
      <c r="B25" s="107" t="n"/>
      <c r="C25" s="110">
        <f>IFERROR(IF(OR($A25="",$B25=""),"",INDEX(tblCalisan[Brüt Ücret (₺)],MATCH($A25,tblCalisan[Çalışan Adı],0))*IF($B25="5 Puan İndirimi",BesPuanOrani,IF($B25="İlave İstihdam",IlaveIstihdamOrani,IF($B25="Kadın/Genç",KadinGencOrani,IF($B25="Engelli",EngelliOrani,GencGirisimciOrani))))),"")</f>
        <v/>
      </c>
      <c r="D25" s="110">
        <f>IF($C25="","",$C25*AySayisi)</f>
        <v/>
      </c>
      <c r="E25" s="107" t="n"/>
    </row>
    <row r="26" ht="15" customHeight="1" s="62">
      <c r="A26" s="107" t="n"/>
      <c r="B26" s="107" t="n"/>
      <c r="C26" s="110">
        <f>IFERROR(IF(OR($A26="",$B26=""),"",INDEX(tblCalisan[Brüt Ücret (₺)],MATCH($A26,tblCalisan[Çalışan Adı],0))*IF($B26="5 Puan İndirimi",BesPuanOrani,IF($B26="İlave İstihdam",IlaveIstihdamOrani,IF($B26="Kadın/Genç",KadinGencOrani,IF($B26="Engelli",EngelliOrani,GencGirisimciOrani))))),"")</f>
        <v/>
      </c>
      <c r="D26" s="110">
        <f>IF($C26="","",$C26*AySayisi)</f>
        <v/>
      </c>
      <c r="E26" s="107" t="n"/>
    </row>
    <row r="27" ht="15" customHeight="1" s="62">
      <c r="A27" s="107" t="n"/>
      <c r="B27" s="107" t="n"/>
      <c r="C27" s="110">
        <f>IFERROR(IF(OR($A27="",$B27=""),"",INDEX(tblCalisan[Brüt Ücret (₺)],MATCH($A27,tblCalisan[Çalışan Adı],0))*IF($B27="5 Puan İndirimi",BesPuanOrani,IF($B27="İlave İstihdam",IlaveIstihdamOrani,IF($B27="Kadın/Genç",KadinGencOrani,IF($B27="Engelli",EngelliOrani,GencGirisimciOrani))))),"")</f>
        <v/>
      </c>
      <c r="D27" s="110">
        <f>IF($C27="","",$C27*AySayisi)</f>
        <v/>
      </c>
      <c r="E27" s="107" t="n"/>
    </row>
    <row r="28" ht="15" customHeight="1" s="62">
      <c r="A28" s="107" t="n"/>
      <c r="B28" s="107" t="n"/>
      <c r="C28" s="110">
        <f>IFERROR(IF(OR($A28="",$B28=""),"",INDEX(tblCalisan[Brüt Ücret (₺)],MATCH($A28,tblCalisan[Çalışan Adı],0))*IF($B28="5 Puan İndirimi",BesPuanOrani,IF($B28="İlave İstihdam",IlaveIstihdamOrani,IF($B28="Kadın/Genç",KadinGencOrani,IF($B28="Engelli",EngelliOrani,GencGirisimciOrani))))),"")</f>
        <v/>
      </c>
      <c r="D28" s="110">
        <f>IF($C28="","",$C28*AySayisi)</f>
        <v/>
      </c>
      <c r="E28" s="107" t="n"/>
    </row>
    <row r="29" ht="15" customHeight="1" s="62">
      <c r="A29" s="107" t="n"/>
      <c r="B29" s="107" t="n"/>
      <c r="C29" s="110">
        <f>IFERROR(IF(OR($A29="",$B29=""),"",INDEX(tblCalisan[Brüt Ücret (₺)],MATCH($A29,tblCalisan[Çalışan Adı],0))*IF($B29="5 Puan İndirimi",BesPuanOrani,IF($B29="İlave İstihdam",IlaveIstihdamOrani,IF($B29="Kadın/Genç",KadinGencOrani,IF($B29="Engelli",EngelliOrani,GencGirisimciOrani))))),"")</f>
        <v/>
      </c>
      <c r="D29" s="110">
        <f>IF($C29="","",$C29*AySayisi)</f>
        <v/>
      </c>
      <c r="E29" s="107" t="n"/>
    </row>
    <row r="30" ht="15" customHeight="1" s="62">
      <c r="A30" s="107" t="n"/>
      <c r="B30" s="107" t="n"/>
      <c r="C30" s="110">
        <f>IFERROR(IF(OR($A30="",$B30=""),"",INDEX(tblCalisan[Brüt Ücret (₺)],MATCH($A30,tblCalisan[Çalışan Adı],0))*IF($B30="5 Puan İndirimi",BesPuanOrani,IF($B30="İlave İstihdam",IlaveIstihdamOrani,IF($B30="Kadın/Genç",KadinGencOrani,IF($B30="Engelli",EngelliOrani,GencGirisimciOrani))))),"")</f>
        <v/>
      </c>
      <c r="D30" s="110">
        <f>IF($C30="","",$C30*AySayisi)</f>
        <v/>
      </c>
      <c r="E30" s="107" t="n"/>
    </row>
    <row r="31" ht="15" customHeight="1" s="62">
      <c r="A31" s="107" t="n"/>
      <c r="B31" s="107" t="n"/>
      <c r="C31" s="110">
        <f>IFERROR(IF(OR($A31="",$B31=""),"",INDEX(tblCalisan[Brüt Ücret (₺)],MATCH($A31,tblCalisan[Çalışan Adı],0))*IF($B31="5 Puan İndirimi",BesPuanOrani,IF($B31="İlave İstihdam",IlaveIstihdamOrani,IF($B31="Kadın/Genç",KadinGencOrani,IF($B31="Engelli",EngelliOrani,GencGirisimciOrani))))),"")</f>
        <v/>
      </c>
      <c r="D31" s="110">
        <f>IF($C31="","",$C31*AySayisi)</f>
        <v/>
      </c>
      <c r="E31" s="107" t="n"/>
    </row>
    <row r="32" ht="15" customHeight="1" s="62">
      <c r="A32" s="107" t="n"/>
      <c r="B32" s="107" t="n"/>
      <c r="C32" s="110">
        <f>IFERROR(IF(OR($A32="",$B32=""),"",INDEX(tblCalisan[Brüt Ücret (₺)],MATCH($A32,tblCalisan[Çalışan Adı],0))*IF($B32="5 Puan İndirimi",BesPuanOrani,IF($B32="İlave İstihdam",IlaveIstihdamOrani,IF($B32="Kadın/Genç",KadinGencOrani,IF($B32="Engelli",EngelliOrani,GencGirisimciOrani))))),"")</f>
        <v/>
      </c>
      <c r="D32" s="110">
        <f>IF($C32="","",$C32*AySayisi)</f>
        <v/>
      </c>
      <c r="E32" s="107" t="n"/>
    </row>
    <row r="33" ht="15" customHeight="1" s="62">
      <c r="A33" s="107" t="n"/>
      <c r="B33" s="107" t="n"/>
      <c r="C33" s="110">
        <f>IFERROR(IF(OR($A33="",$B33=""),"",INDEX(tblCalisan[Brüt Ücret (₺)],MATCH($A33,tblCalisan[Çalışan Adı],0))*IF($B33="5 Puan İndirimi",BesPuanOrani,IF($B33="İlave İstihdam",IlaveIstihdamOrani,IF($B33="Kadın/Genç",KadinGencOrani,IF($B33="Engelli",EngelliOrani,GencGirisimciOrani))))),"")</f>
        <v/>
      </c>
      <c r="D33" s="110">
        <f>IF($C33="","",$C33*AySayisi)</f>
        <v/>
      </c>
      <c r="E33" s="107" t="n"/>
    </row>
    <row r="34" ht="15" customHeight="1" s="62">
      <c r="A34" s="107" t="n"/>
      <c r="B34" s="107" t="n"/>
      <c r="C34" s="110">
        <f>IFERROR(IF(OR($A34="",$B34=""),"",INDEX(tblCalisan[Brüt Ücret (₺)],MATCH($A34,tblCalisan[Çalışan Adı],0))*IF($B34="5 Puan İndirimi",BesPuanOrani,IF($B34="İlave İstihdam",IlaveIstihdamOrani,IF($B34="Kadın/Genç",KadinGencOrani,IF($B34="Engelli",EngelliOrani,GencGirisimciOrani))))),"")</f>
        <v/>
      </c>
      <c r="D34" s="110">
        <f>IF($C34="","",$C34*AySayisi)</f>
        <v/>
      </c>
      <c r="E34" s="107" t="n"/>
    </row>
    <row r="35" ht="15" customHeight="1" s="62">
      <c r="A35" s="107" t="n"/>
      <c r="B35" s="107" t="n"/>
      <c r="C35" s="110">
        <f>IFERROR(IF(OR($A35="",$B35=""),"",INDEX(tblCalisan[Brüt Ücret (₺)],MATCH($A35,tblCalisan[Çalışan Adı],0))*IF($B35="5 Puan İndirimi",BesPuanOrani,IF($B35="İlave İstihdam",IlaveIstihdamOrani,IF($B35="Kadın/Genç",KadinGencOrani,IF($B35="Engelli",EngelliOrani,GencGirisimciOrani))))),"")</f>
        <v/>
      </c>
      <c r="D35" s="110">
        <f>IF($C35="","",$C35*AySayisi)</f>
        <v/>
      </c>
      <c r="E35" s="107" t="n"/>
    </row>
    <row r="36" ht="15" customHeight="1" s="62">
      <c r="A36" s="107" t="n"/>
      <c r="B36" s="107" t="n"/>
      <c r="C36" s="110">
        <f>IFERROR(IF(OR($A36="",$B36=""),"",INDEX(tblCalisan[Brüt Ücret (₺)],MATCH($A36,tblCalisan[Çalışan Adı],0))*IF($B36="5 Puan İndirimi",BesPuanOrani,IF($B36="İlave İstihdam",IlaveIstihdamOrani,IF($B36="Kadın/Genç",KadinGencOrani,IF($B36="Engelli",EngelliOrani,GencGirisimciOrani))))),"")</f>
        <v/>
      </c>
      <c r="D36" s="110">
        <f>IF($C36="","",$C36*AySayisi)</f>
        <v/>
      </c>
      <c r="E36" s="107" t="n"/>
    </row>
    <row r="37" ht="15" customHeight="1" s="62">
      <c r="A37" s="107" t="n"/>
      <c r="B37" s="107" t="n"/>
      <c r="C37" s="110">
        <f>IFERROR(IF(OR($A37="",$B37=""),"",INDEX(tblCalisan[Brüt Ücret (₺)],MATCH($A37,tblCalisan[Çalışan Adı],0))*IF($B37="5 Puan İndirimi",BesPuanOrani,IF($B37="İlave İstihdam",IlaveIstihdamOrani,IF($B37="Kadın/Genç",KadinGencOrani,IF($B37="Engelli",EngelliOrani,GencGirisimciOrani))))),"")</f>
        <v/>
      </c>
      <c r="D37" s="110">
        <f>IF($C37="","",$C37*AySayisi)</f>
        <v/>
      </c>
      <c r="E37" s="107" t="n"/>
    </row>
    <row r="38" ht="15" customHeight="1" s="62">
      <c r="A38" s="107" t="n"/>
      <c r="B38" s="107" t="n"/>
      <c r="C38" s="110">
        <f>IFERROR(IF(OR($A38="",$B38=""),"",INDEX(tblCalisan[Brüt Ücret (₺)],MATCH($A38,tblCalisan[Çalışan Adı],0))*IF($B38="5 Puan İndirimi",BesPuanOrani,IF($B38="İlave İstihdam",IlaveIstihdamOrani,IF($B38="Kadın/Genç",KadinGencOrani,IF($B38="Engelli",EngelliOrani,GencGirisimciOrani))))),"")</f>
        <v/>
      </c>
      <c r="D38" s="110">
        <f>IF($C38="","",$C38*AySayisi)</f>
        <v/>
      </c>
      <c r="E38" s="107" t="n"/>
    </row>
    <row r="39" ht="15" customHeight="1" s="62">
      <c r="A39" s="107" t="n"/>
      <c r="B39" s="107" t="n"/>
      <c r="C39" s="110">
        <f>IFERROR(IF(OR($A39="",$B39=""),"",INDEX(tblCalisan[Brüt Ücret (₺)],MATCH($A39,tblCalisan[Çalışan Adı],0))*IF($B39="5 Puan İndirimi",BesPuanOrani,IF($B39="İlave İstihdam",IlaveIstihdamOrani,IF($B39="Kadın/Genç",KadinGencOrani,IF($B39="Engelli",EngelliOrani,GencGirisimciOrani))))),"")</f>
        <v/>
      </c>
      <c r="D39" s="110">
        <f>IF($C39="","",$C39*AySayisi)</f>
        <v/>
      </c>
      <c r="E39" s="107" t="n"/>
    </row>
    <row r="40" ht="15" customHeight="1" s="62">
      <c r="A40" s="107" t="n"/>
      <c r="B40" s="107" t="n"/>
      <c r="C40" s="110">
        <f>IFERROR(IF(OR($A40="",$B40=""),"",INDEX(tblCalisan[Brüt Ücret (₺)],MATCH($A40,tblCalisan[Çalışan Adı],0))*IF($B40="5 Puan İndirimi",BesPuanOrani,IF($B40="İlave İstihdam",IlaveIstihdamOrani,IF($B40="Kadın/Genç",KadinGencOrani,IF($B40="Engelli",EngelliOrani,GencGirisimciOrani))))),"")</f>
        <v/>
      </c>
      <c r="D40" s="110">
        <f>IF($C40="","",$C40*AySayisi)</f>
        <v/>
      </c>
      <c r="E40" s="107" t="n"/>
    </row>
    <row r="41" ht="15" customHeight="1" s="62">
      <c r="A41" s="107" t="n"/>
      <c r="B41" s="107" t="n"/>
      <c r="C41" s="110">
        <f>IFERROR(IF(OR($A41="",$B41=""),"",INDEX(tblCalisan[Brüt Ücret (₺)],MATCH($A41,tblCalisan[Çalışan Adı],0))*IF($B41="5 Puan İndirimi",BesPuanOrani,IF($B41="İlave İstihdam",IlaveIstihdamOrani,IF($B41="Kadın/Genç",KadinGencOrani,IF($B41="Engelli",EngelliOrani,GencGirisimciOrani))))),"")</f>
        <v/>
      </c>
      <c r="D41" s="110">
        <f>IF($C41="","",$C41*AySayisi)</f>
        <v/>
      </c>
      <c r="E41" s="107" t="n"/>
    </row>
    <row r="42" ht="15" customHeight="1" s="62">
      <c r="A42" s="107" t="n"/>
      <c r="B42" s="107" t="n"/>
      <c r="C42" s="110">
        <f>IFERROR(IF(OR($A42="",$B42=""),"",INDEX(tblCalisan[Brüt Ücret (₺)],MATCH($A42,tblCalisan[Çalışan Adı],0))*IF($B42="5 Puan İndirimi",BesPuanOrani,IF($B42="İlave İstihdam",IlaveIstihdamOrani,IF($B42="Kadın/Genç",KadinGencOrani,IF($B42="Engelli",EngelliOrani,GencGirisimciOrani))))),"")</f>
        <v/>
      </c>
      <c r="D42" s="110">
        <f>IF($C42="","",$C42*AySayisi)</f>
        <v/>
      </c>
      <c r="E42" s="107" t="n"/>
    </row>
    <row r="43" ht="15" customHeight="1" s="62">
      <c r="A43" s="107" t="n"/>
      <c r="B43" s="107" t="n"/>
      <c r="C43" s="110">
        <f>IFERROR(IF(OR($A43="",$B43=""),"",INDEX(tblCalisan[Brüt Ücret (₺)],MATCH($A43,tblCalisan[Çalışan Adı],0))*IF($B43="5 Puan İndirimi",BesPuanOrani,IF($B43="İlave İstihdam",IlaveIstihdamOrani,IF($B43="Kadın/Genç",KadinGencOrani,IF($B43="Engelli",EngelliOrani,GencGirisimciOrani))))),"")</f>
        <v/>
      </c>
      <c r="D43" s="110">
        <f>IF($C43="","",$C43*AySayisi)</f>
        <v/>
      </c>
      <c r="E43" s="107" t="n"/>
    </row>
    <row r="44" ht="15" customHeight="1" s="62">
      <c r="A44" s="107" t="n"/>
      <c r="B44" s="107" t="n"/>
      <c r="C44" s="110">
        <f>IFERROR(IF(OR($A44="",$B44=""),"",INDEX(tblCalisan[Brüt Ücret (₺)],MATCH($A44,tblCalisan[Çalışan Adı],0))*IF($B44="5 Puan İndirimi",BesPuanOrani,IF($B44="İlave İstihdam",IlaveIstihdamOrani,IF($B44="Kadın/Genç",KadinGencOrani,IF($B44="Engelli",EngelliOrani,GencGirisimciOrani))))),"")</f>
        <v/>
      </c>
      <c r="D44" s="110">
        <f>IF($C44="","",$C44*AySayisi)</f>
        <v/>
      </c>
      <c r="E44" s="107" t="n"/>
    </row>
    <row r="45" ht="15" customHeight="1" s="62">
      <c r="A45" s="107" t="n"/>
      <c r="B45" s="107" t="n"/>
      <c r="C45" s="110">
        <f>IFERROR(IF(OR($A45="",$B45=""),"",INDEX(tblCalisan[Brüt Ücret (₺)],MATCH($A45,tblCalisan[Çalışan Adı],0))*IF($B45="5 Puan İndirimi",BesPuanOrani,IF($B45="İlave İstihdam",IlaveIstihdamOrani,IF($B45="Kadın/Genç",KadinGencOrani,IF($B45="Engelli",EngelliOrani,GencGirisimciOrani))))),"")</f>
        <v/>
      </c>
      <c r="D45" s="110">
        <f>IF($C45="","",$C45*AySayisi)</f>
        <v/>
      </c>
      <c r="E45" s="107" t="n"/>
    </row>
    <row r="46" ht="15" customHeight="1" s="62">
      <c r="A46" s="107" t="n"/>
      <c r="B46" s="107" t="n"/>
      <c r="C46" s="110">
        <f>IFERROR(IF(OR($A46="",$B46=""),"",INDEX(tblCalisan[Brüt Ücret (₺)],MATCH($A46,tblCalisan[Çalışan Adı],0))*IF($B46="5 Puan İndirimi",BesPuanOrani,IF($B46="İlave İstihdam",IlaveIstihdamOrani,IF($B46="Kadın/Genç",KadinGencOrani,IF($B46="Engelli",EngelliOrani,GencGirisimciOrani))))),"")</f>
        <v/>
      </c>
      <c r="D46" s="110">
        <f>IF($C46="","",$C46*AySayisi)</f>
        <v/>
      </c>
      <c r="E46" s="107" t="n"/>
    </row>
    <row r="47" ht="15" customHeight="1" s="62">
      <c r="A47" s="107" t="n"/>
      <c r="B47" s="107" t="n"/>
      <c r="C47" s="110">
        <f>IFERROR(IF(OR($A47="",$B47=""),"",INDEX(tblCalisan[Brüt Ücret (₺)],MATCH($A47,tblCalisan[Çalışan Adı],0))*IF($B47="5 Puan İndirimi",BesPuanOrani,IF($B47="İlave İstihdam",IlaveIstihdamOrani,IF($B47="Kadın/Genç",KadinGencOrani,IF($B47="Engelli",EngelliOrani,GencGirisimciOrani))))),"")</f>
        <v/>
      </c>
      <c r="D47" s="110">
        <f>IF($C47="","",$C47*AySayisi)</f>
        <v/>
      </c>
      <c r="E47" s="107" t="n"/>
    </row>
    <row r="48" ht="15" customHeight="1" s="62">
      <c r="A48" s="107" t="n"/>
      <c r="B48" s="107" t="n"/>
      <c r="C48" s="110">
        <f>IFERROR(IF(OR($A48="",$B48=""),"",INDEX(tblCalisan[Brüt Ücret (₺)],MATCH($A48,tblCalisan[Çalışan Adı],0))*IF($B48="5 Puan İndirimi",BesPuanOrani,IF($B48="İlave İstihdam",IlaveIstihdamOrani,IF($B48="Kadın/Genç",KadinGencOrani,IF($B48="Engelli",EngelliOrani,GencGirisimciOrani))))),"")</f>
        <v/>
      </c>
      <c r="D48" s="110">
        <f>IF($C48="","",$C48*AySayisi)</f>
        <v/>
      </c>
      <c r="E48" s="107" t="n"/>
    </row>
    <row r="49" ht="15" customHeight="1" s="62">
      <c r="A49" s="107" t="n"/>
      <c r="B49" s="107" t="n"/>
      <c r="C49" s="110">
        <f>IFERROR(IF(OR($A49="",$B49=""),"",INDEX(tblCalisan[Brüt Ücret (₺)],MATCH($A49,tblCalisan[Çalışan Adı],0))*IF($B49="5 Puan İndirimi",BesPuanOrani,IF($B49="İlave İstihdam",IlaveIstihdamOrani,IF($B49="Kadın/Genç",KadinGencOrani,IF($B49="Engelli",EngelliOrani,GencGirisimciOrani))))),"")</f>
        <v/>
      </c>
      <c r="D49" s="110">
        <f>IF($C49="","",$C49*AySayisi)</f>
        <v/>
      </c>
      <c r="E49" s="107" t="n"/>
    </row>
    <row r="50" ht="15" customHeight="1" s="62">
      <c r="A50" s="107" t="n"/>
      <c r="B50" s="107" t="n"/>
      <c r="C50" s="110">
        <f>IFERROR(IF(OR($A50="",$B50=""),"",INDEX(tblCalisan[Brüt Ücret (₺)],MATCH($A50,tblCalisan[Çalışan Adı],0))*IF($B50="5 Puan İndirimi",BesPuanOrani,IF($B50="İlave İstihdam",IlaveIstihdamOrani,IF($B50="Kadın/Genç",KadinGencOrani,IF($B50="Engelli",EngelliOrani,GencGirisimciOrani))))),"")</f>
        <v/>
      </c>
      <c r="D50" s="110">
        <f>IF($C50="","",$C50*AySayisi)</f>
        <v/>
      </c>
      <c r="E50" s="107" t="n"/>
    </row>
    <row r="51" ht="15" customHeight="1" s="62">
      <c r="A51" s="107" t="n"/>
      <c r="B51" s="107" t="n"/>
      <c r="C51" s="110">
        <f>IFERROR(IF(OR($A51="",$B51=""),"",INDEX(tblCalisan[Brüt Ücret (₺)],MATCH($A51,tblCalisan[Çalışan Adı],0))*IF($B51="5 Puan İndirimi",BesPuanOrani,IF($B51="İlave İstihdam",IlaveIstihdamOrani,IF($B51="Kadın/Genç",KadinGencOrani,IF($B51="Engelli",EngelliOrani,GencGirisimciOrani))))),"")</f>
        <v/>
      </c>
      <c r="D51" s="110">
        <f>IF($C51="","",$C51*AySayisi)</f>
        <v/>
      </c>
      <c r="E51" s="107" t="n"/>
    </row>
    <row r="52" ht="15" customHeight="1" s="62">
      <c r="A52" s="107" t="n"/>
      <c r="B52" s="107" t="n"/>
      <c r="C52" s="110">
        <f>IFERROR(IF(OR($A52="",$B52=""),"",INDEX(tblCalisan[Brüt Ücret (₺)],MATCH($A52,tblCalisan[Çalışan Adı],0))*IF($B52="5 Puan İndirimi",BesPuanOrani,IF($B52="İlave İstihdam",IlaveIstihdamOrani,IF($B52="Kadın/Genç",KadinGencOrani,IF($B52="Engelli",EngelliOrani,GencGirisimciOrani))))),"")</f>
        <v/>
      </c>
      <c r="D52" s="110">
        <f>IF($C52="","",$C52*AySayisi)</f>
        <v/>
      </c>
      <c r="E52" s="107" t="n"/>
    </row>
    <row r="53" ht="15" customHeight="1" s="62">
      <c r="A53" s="107" t="n"/>
      <c r="B53" s="107" t="n"/>
      <c r="C53" s="110">
        <f>IFERROR(IF(OR($A53="",$B53=""),"",INDEX(tblCalisan[Brüt Ücret (₺)],MATCH($A53,tblCalisan[Çalışan Adı],0))*IF($B53="5 Puan İndirimi",BesPuanOrani,IF($B53="İlave İstihdam",IlaveIstihdamOrani,IF($B53="Kadın/Genç",KadinGencOrani,IF($B53="Engelli",EngelliOrani,GencGirisimciOrani))))),"")</f>
        <v/>
      </c>
      <c r="D53" s="110">
        <f>IF($C53="","",$C53*AySayisi)</f>
        <v/>
      </c>
      <c r="E53" s="107" t="n"/>
    </row>
    <row r="54" ht="15" customHeight="1" s="62">
      <c r="A54" s="107" t="n"/>
      <c r="B54" s="107" t="n"/>
      <c r="C54" s="110">
        <f>IFERROR(IF(OR($A54="",$B54=""),"",INDEX(tblCalisan[Brüt Ücret (₺)],MATCH($A54,tblCalisan[Çalışan Adı],0))*IF($B54="5 Puan İndirimi",BesPuanOrani,IF($B54="İlave İstihdam",IlaveIstihdamOrani,IF($B54="Kadın/Genç",KadinGencOrani,IF($B54="Engelli",EngelliOrani,GencGirisimciOrani))))),"")</f>
        <v/>
      </c>
      <c r="D54" s="110">
        <f>IF($C54="","",$C54*AySayisi)</f>
        <v/>
      </c>
      <c r="E54" s="107" t="n"/>
    </row>
    <row r="55" ht="15" customHeight="1" s="62">
      <c r="A55" s="107" t="n"/>
      <c r="B55" s="107" t="n"/>
      <c r="C55" s="110">
        <f>IFERROR(IF(OR($A55="",$B55=""),"",INDEX(tblCalisan[Brüt Ücret (₺)],MATCH($A55,tblCalisan[Çalışan Adı],0))*IF($B55="5 Puan İndirimi",BesPuanOrani,IF($B55="İlave İstihdam",IlaveIstihdamOrani,IF($B55="Kadın/Genç",KadinGencOrani,IF($B55="Engelli",EngelliOrani,GencGirisimciOrani))))),"")</f>
        <v/>
      </c>
      <c r="D55" s="110">
        <f>IF($C55="","",$C55*AySayisi)</f>
        <v/>
      </c>
      <c r="E55" s="107" t="n"/>
    </row>
    <row r="56" ht="15" customHeight="1" s="62">
      <c r="A56" s="107" t="n"/>
      <c r="B56" s="107" t="n"/>
      <c r="C56" s="110">
        <f>IFERROR(IF(OR($A56="",$B56=""),"",INDEX(tblCalisan[Brüt Ücret (₺)],MATCH($A56,tblCalisan[Çalışan Adı],0))*IF($B56="5 Puan İndirimi",BesPuanOrani,IF($B56="İlave İstihdam",IlaveIstihdamOrani,IF($B56="Kadın/Genç",KadinGencOrani,IF($B56="Engelli",EngelliOrani,GencGirisimciOrani))))),"")</f>
        <v/>
      </c>
      <c r="D56" s="110">
        <f>IF($C56="","",$C56*AySayisi)</f>
        <v/>
      </c>
      <c r="E56" s="107" t="n"/>
    </row>
    <row r="57" ht="15" customHeight="1" s="62">
      <c r="A57" s="107" t="n"/>
      <c r="B57" s="107" t="n"/>
      <c r="C57" s="110">
        <f>IFERROR(IF(OR($A57="",$B57=""),"",INDEX(tblCalisan[Brüt Ücret (₺)],MATCH($A57,tblCalisan[Çalışan Adı],0))*IF($B57="5 Puan İndirimi",BesPuanOrani,IF($B57="İlave İstihdam",IlaveIstihdamOrani,IF($B57="Kadın/Genç",KadinGencOrani,IF($B57="Engelli",EngelliOrani,GencGirisimciOrani))))),"")</f>
        <v/>
      </c>
      <c r="D57" s="110">
        <f>IF($C57="","",$C57*AySayisi)</f>
        <v/>
      </c>
      <c r="E57" s="107" t="n"/>
    </row>
    <row r="58" ht="15" customHeight="1" s="62">
      <c r="A58" s="107" t="n"/>
      <c r="B58" s="107" t="n"/>
      <c r="C58" s="110">
        <f>IFERROR(IF(OR($A58="",$B58=""),"",INDEX(tblCalisan[Brüt Ücret (₺)],MATCH($A58,tblCalisan[Çalışan Adı],0))*IF($B58="5 Puan İndirimi",BesPuanOrani,IF($B58="İlave İstihdam",IlaveIstihdamOrani,IF($B58="Kadın/Genç",KadinGencOrani,IF($B58="Engelli",EngelliOrani,GencGirisimciOrani))))),"")</f>
        <v/>
      </c>
      <c r="D58" s="110">
        <f>IF($C58="","",$C58*AySayisi)</f>
        <v/>
      </c>
      <c r="E58" s="107" t="n"/>
    </row>
    <row r="59" ht="15" customHeight="1" s="62">
      <c r="A59" s="107" t="n"/>
      <c r="B59" s="107" t="n"/>
      <c r="C59" s="110">
        <f>IFERROR(IF(OR($A59="",$B59=""),"",INDEX(tblCalisan[Brüt Ücret (₺)],MATCH($A59,tblCalisan[Çalışan Adı],0))*IF($B59="5 Puan İndirimi",BesPuanOrani,IF($B59="İlave İstihdam",IlaveIstihdamOrani,IF($B59="Kadın/Genç",KadinGencOrani,IF($B59="Engelli",EngelliOrani,GencGirisimciOrani))))),"")</f>
        <v/>
      </c>
      <c r="D59" s="110">
        <f>IF($C59="","",$C59*AySayisi)</f>
        <v/>
      </c>
      <c r="E59" s="107" t="n"/>
    </row>
    <row r="60" ht="15" customHeight="1" s="62">
      <c r="A60" s="107" t="n"/>
      <c r="B60" s="107" t="n"/>
      <c r="C60" s="110">
        <f>IFERROR(IF(OR($A60="",$B60=""),"",INDEX(tblCalisan[Brüt Ücret (₺)],MATCH($A60,tblCalisan[Çalışan Adı],0))*IF($B60="5 Puan İndirimi",BesPuanOrani,IF($B60="İlave İstihdam",IlaveIstihdamOrani,IF($B60="Kadın/Genç",KadinGencOrani,IF($B60="Engelli",EngelliOrani,GencGirisimciOrani))))),"")</f>
        <v/>
      </c>
      <c r="D60" s="110">
        <f>IF($C60="","",$C60*AySayisi)</f>
        <v/>
      </c>
      <c r="E60" s="107" t="n"/>
    </row>
    <row r="61" ht="15" customHeight="1" s="62">
      <c r="A61" s="107" t="n"/>
      <c r="B61" s="107" t="n"/>
      <c r="C61" s="110">
        <f>IFERROR(IF(OR($A61="",$B61=""),"",INDEX(tblCalisan[Brüt Ücret (₺)],MATCH($A61,tblCalisan[Çalışan Adı],0))*IF($B61="5 Puan İndirimi",BesPuanOrani,IF($B61="İlave İstihdam",IlaveIstihdamOrani,IF($B61="Kadın/Genç",KadinGencOrani,IF($B61="Engelli",EngelliOrani,GencGirisimciOrani))))),"")</f>
        <v/>
      </c>
      <c r="D61" s="110">
        <f>IF($C61="","",$C61*AySayisi)</f>
        <v/>
      </c>
      <c r="E61" s="107" t="n"/>
    </row>
    <row r="62" ht="15" customHeight="1" s="62">
      <c r="A62" s="107" t="n"/>
      <c r="B62" s="107" t="n"/>
      <c r="C62" s="110">
        <f>IFERROR(IF(OR($A62="",$B62=""),"",INDEX(tblCalisan[Brüt Ücret (₺)],MATCH($A62,tblCalisan[Çalışan Adı],0))*IF($B62="5 Puan İndirimi",BesPuanOrani,IF($B62="İlave İstihdam",IlaveIstihdamOrani,IF($B62="Kadın/Genç",KadinGencOrani,IF($B62="Engelli",EngelliOrani,GencGirisimciOrani))))),"")</f>
        <v/>
      </c>
      <c r="D62" s="110">
        <f>IF($C62="","",$C62*AySayisi)</f>
        <v/>
      </c>
      <c r="E62" s="107" t="n"/>
    </row>
    <row r="63" ht="15" customHeight="1" s="62">
      <c r="A63" s="107" t="n"/>
      <c r="B63" s="107" t="n"/>
      <c r="C63" s="110">
        <f>IFERROR(IF(OR($A63="",$B63=""),"",INDEX(tblCalisan[Brüt Ücret (₺)],MATCH($A63,tblCalisan[Çalışan Adı],0))*IF($B63="5 Puan İndirimi",BesPuanOrani,IF($B63="İlave İstihdam",IlaveIstihdamOrani,IF($B63="Kadın/Genç",KadinGencOrani,IF($B63="Engelli",EngelliOrani,GencGirisimciOrani))))),"")</f>
        <v/>
      </c>
      <c r="D63" s="110">
        <f>IF($C63="","",$C63*AySayisi)</f>
        <v/>
      </c>
      <c r="E63" s="107" t="n"/>
    </row>
    <row r="64" ht="15" customHeight="1" s="62">
      <c r="A64" s="107" t="n"/>
      <c r="B64" s="107" t="n"/>
      <c r="C64" s="110">
        <f>IFERROR(IF(OR($A64="",$B64=""),"",INDEX(tblCalisan[Brüt Ücret (₺)],MATCH($A64,tblCalisan[Çalışan Adı],0))*IF($B64="5 Puan İndirimi",BesPuanOrani,IF($B64="İlave İstihdam",IlaveIstihdamOrani,IF($B64="Kadın/Genç",KadinGencOrani,IF($B64="Engelli",EngelliOrani,GencGirisimciOrani))))),"")</f>
        <v/>
      </c>
      <c r="D64" s="110">
        <f>IF($C64="","",$C64*AySayisi)</f>
        <v/>
      </c>
      <c r="E64" s="107" t="n"/>
    </row>
    <row r="65" ht="15" customHeight="1" s="62">
      <c r="A65" s="107" t="n"/>
      <c r="B65" s="107" t="n"/>
      <c r="C65" s="110">
        <f>IFERROR(IF(OR($A65="",$B65=""),"",INDEX(tblCalisan[Brüt Ücret (₺)],MATCH($A65,tblCalisan[Çalışan Adı],0))*IF($B65="5 Puan İndirimi",BesPuanOrani,IF($B65="İlave İstihdam",IlaveIstihdamOrani,IF($B65="Kadın/Genç",KadinGencOrani,IF($B65="Engelli",EngelliOrani,GencGirisimciOrani))))),"")</f>
        <v/>
      </c>
      <c r="D65" s="110">
        <f>IF($C65="","",$C65*AySayisi)</f>
        <v/>
      </c>
      <c r="E65" s="107" t="n"/>
    </row>
    <row r="66" ht="15" customHeight="1" s="62">
      <c r="A66" s="107" t="n"/>
      <c r="B66" s="107" t="n"/>
      <c r="C66" s="110">
        <f>IFERROR(IF(OR($A66="",$B66=""),"",INDEX(tblCalisan[Brüt Ücret (₺)],MATCH($A66,tblCalisan[Çalışan Adı],0))*IF($B66="5 Puan İndirimi",BesPuanOrani,IF($B66="İlave İstihdam",IlaveIstihdamOrani,IF($B66="Kadın/Genç",KadinGencOrani,IF($B66="Engelli",EngelliOrani,GencGirisimciOrani))))),"")</f>
        <v/>
      </c>
      <c r="D66" s="110">
        <f>IF($C66="","",$C66*AySayisi)</f>
        <v/>
      </c>
      <c r="E66" s="107" t="n"/>
    </row>
    <row r="67" ht="15" customHeight="1" s="62">
      <c r="A67" s="107" t="n"/>
      <c r="B67" s="107" t="n"/>
      <c r="C67" s="110">
        <f>IFERROR(IF(OR($A67="",$B67=""),"",INDEX(tblCalisan[Brüt Ücret (₺)],MATCH($A67,tblCalisan[Çalışan Adı],0))*IF($B67="5 Puan İndirimi",BesPuanOrani,IF($B67="İlave İstihdam",IlaveIstihdamOrani,IF($B67="Kadın/Genç",KadinGencOrani,IF($B67="Engelli",EngelliOrani,GencGirisimciOrani))))),"")</f>
        <v/>
      </c>
      <c r="D67" s="110">
        <f>IF($C67="","",$C67*AySayisi)</f>
        <v/>
      </c>
      <c r="E67" s="107" t="n"/>
    </row>
    <row r="68" ht="15" customHeight="1" s="62">
      <c r="A68" s="107" t="n"/>
      <c r="B68" s="107" t="n"/>
      <c r="C68" s="110">
        <f>IFERROR(IF(OR($A68="",$B68=""),"",INDEX(tblCalisan[Brüt Ücret (₺)],MATCH($A68,tblCalisan[Çalışan Adı],0))*IF($B68="5 Puan İndirimi",BesPuanOrani,IF($B68="İlave İstihdam",IlaveIstihdamOrani,IF($B68="Kadın/Genç",KadinGencOrani,IF($B68="Engelli",EngelliOrani,GencGirisimciOrani))))),"")</f>
        <v/>
      </c>
      <c r="D68" s="110">
        <f>IF($C68="","",$C68*AySayisi)</f>
        <v/>
      </c>
      <c r="E68" s="107" t="n"/>
    </row>
    <row r="69" ht="15" customHeight="1" s="62">
      <c r="A69" s="107" t="n"/>
      <c r="B69" s="107" t="n"/>
      <c r="C69" s="110">
        <f>IFERROR(IF(OR($A69="",$B69=""),"",INDEX(tblCalisan[Brüt Ücret (₺)],MATCH($A69,tblCalisan[Çalışan Adı],0))*IF($B69="5 Puan İndirimi",BesPuanOrani,IF($B69="İlave İstihdam",IlaveIstihdamOrani,IF($B69="Kadın/Genç",KadinGencOrani,IF($B69="Engelli",EngelliOrani,GencGirisimciOrani))))),"")</f>
        <v/>
      </c>
      <c r="D69" s="110">
        <f>IF($C69="","",$C69*AySayisi)</f>
        <v/>
      </c>
      <c r="E69" s="107" t="n"/>
    </row>
    <row r="70" ht="15" customHeight="1" s="62">
      <c r="A70" s="107" t="n"/>
      <c r="B70" s="107" t="n"/>
      <c r="C70" s="110">
        <f>IFERROR(IF(OR($A70="",$B70=""),"",INDEX(tblCalisan[Brüt Ücret (₺)],MATCH($A70,tblCalisan[Çalışan Adı],0))*IF($B70="5 Puan İndirimi",BesPuanOrani,IF($B70="İlave İstihdam",IlaveIstihdamOrani,IF($B70="Kadın/Genç",KadinGencOrani,IF($B70="Engelli",EngelliOrani,GencGirisimciOrani))))),"")</f>
        <v/>
      </c>
      <c r="D70" s="110">
        <f>IF($C70="","",$C70*AySayisi)</f>
        <v/>
      </c>
      <c r="E70" s="107" t="n"/>
    </row>
    <row r="71" ht="15" customHeight="1" s="62">
      <c r="A71" s="107" t="n"/>
      <c r="B71" s="107" t="n"/>
      <c r="C71" s="110">
        <f>IFERROR(IF(OR($A71="",$B71=""),"",INDEX(tblCalisan[Brüt Ücret (₺)],MATCH($A71,tblCalisan[Çalışan Adı],0))*IF($B71="5 Puan İndirimi",BesPuanOrani,IF($B71="İlave İstihdam",IlaveIstihdamOrani,IF($B71="Kadın/Genç",KadinGencOrani,IF($B71="Engelli",EngelliOrani,GencGirisimciOrani))))),"")</f>
        <v/>
      </c>
      <c r="D71" s="110">
        <f>IF($C71="","",$C71*AySayisi)</f>
        <v/>
      </c>
      <c r="E71" s="107" t="n"/>
    </row>
    <row r="72" ht="15" customHeight="1" s="62">
      <c r="A72" s="107" t="n"/>
      <c r="B72" s="107" t="n"/>
      <c r="C72" s="110">
        <f>IFERROR(IF(OR($A72="",$B72=""),"",INDEX(tblCalisan[Brüt Ücret (₺)],MATCH($A72,tblCalisan[Çalışan Adı],0))*IF($B72="5 Puan İndirimi",BesPuanOrani,IF($B72="İlave İstihdam",IlaveIstihdamOrani,IF($B72="Kadın/Genç",KadinGencOrani,IF($B72="Engelli",EngelliOrani,GencGirisimciOrani))))),"")</f>
        <v/>
      </c>
      <c r="D72" s="110">
        <f>IF($C72="","",$C72*AySayisi)</f>
        <v/>
      </c>
      <c r="E72" s="107" t="n"/>
    </row>
    <row r="73" ht="15" customHeight="1" s="62">
      <c r="A73" s="107" t="n"/>
      <c r="B73" s="107" t="n"/>
      <c r="C73" s="110">
        <f>IFERROR(IF(OR($A73="",$B73=""),"",INDEX(tblCalisan[Brüt Ücret (₺)],MATCH($A73,tblCalisan[Çalışan Adı],0))*IF($B73="5 Puan İndirimi",BesPuanOrani,IF($B73="İlave İstihdam",IlaveIstihdamOrani,IF($B73="Kadın/Genç",KadinGencOrani,IF($B73="Engelli",EngelliOrani,GencGirisimciOrani))))),"")</f>
        <v/>
      </c>
      <c r="D73" s="110">
        <f>IF($C73="","",$C73*AySayisi)</f>
        <v/>
      </c>
      <c r="E73" s="107" t="n"/>
    </row>
    <row r="74" ht="15" customHeight="1" s="62">
      <c r="A74" s="107" t="n"/>
      <c r="B74" s="107" t="n"/>
      <c r="C74" s="110">
        <f>IFERROR(IF(OR($A74="",$B74=""),"",INDEX(tblCalisan[Brüt Ücret (₺)],MATCH($A74,tblCalisan[Çalışan Adı],0))*IF($B74="5 Puan İndirimi",BesPuanOrani,IF($B74="İlave İstihdam",IlaveIstihdamOrani,IF($B74="Kadın/Genç",KadinGencOrani,IF($B74="Engelli",EngelliOrani,GencGirisimciOrani))))),"")</f>
        <v/>
      </c>
      <c r="D74" s="110">
        <f>IF($C74="","",$C74*AySayisi)</f>
        <v/>
      </c>
      <c r="E74" s="107" t="n"/>
    </row>
    <row r="75" ht="15" customHeight="1" s="62">
      <c r="A75" s="107" t="n"/>
      <c r="B75" s="107" t="n"/>
      <c r="C75" s="110">
        <f>IFERROR(IF(OR($A75="",$B75=""),"",INDEX(tblCalisan[Brüt Ücret (₺)],MATCH($A75,tblCalisan[Çalışan Adı],0))*IF($B75="5 Puan İndirimi",BesPuanOrani,IF($B75="İlave İstihdam",IlaveIstihdamOrani,IF($B75="Kadın/Genç",KadinGencOrani,IF($B75="Engelli",EngelliOrani,GencGirisimciOrani))))),"")</f>
        <v/>
      </c>
      <c r="D75" s="110">
        <f>IF($C75="","",$C75*AySayisi)</f>
        <v/>
      </c>
      <c r="E75" s="107" t="n"/>
    </row>
    <row r="76" ht="15" customHeight="1" s="62">
      <c r="A76" s="107" t="n"/>
      <c r="B76" s="107" t="n"/>
      <c r="C76" s="110">
        <f>IFERROR(IF(OR($A76="",$B76=""),"",INDEX(tblCalisan[Brüt Ücret (₺)],MATCH($A76,tblCalisan[Çalışan Adı],0))*IF($B76="5 Puan İndirimi",BesPuanOrani,IF($B76="İlave İstihdam",IlaveIstihdamOrani,IF($B76="Kadın/Genç",KadinGencOrani,IF($B76="Engelli",EngelliOrani,GencGirisimciOrani))))),"")</f>
        <v/>
      </c>
      <c r="D76" s="110">
        <f>IF($C76="","",$C76*AySayisi)</f>
        <v/>
      </c>
      <c r="E76" s="107" t="n"/>
    </row>
    <row r="77" ht="15" customHeight="1" s="62">
      <c r="A77" s="107" t="n"/>
      <c r="B77" s="107" t="n"/>
      <c r="C77" s="110">
        <f>IFERROR(IF(OR($A77="",$B77=""),"",INDEX(tblCalisan[Brüt Ücret (₺)],MATCH($A77,tblCalisan[Çalışan Adı],0))*IF($B77="5 Puan İndirimi",BesPuanOrani,IF($B77="İlave İstihdam",IlaveIstihdamOrani,IF($B77="Kadın/Genç",KadinGencOrani,IF($B77="Engelli",EngelliOrani,GencGirisimciOrani))))),"")</f>
        <v/>
      </c>
      <c r="D77" s="110">
        <f>IF($C77="","",$C77*AySayisi)</f>
        <v/>
      </c>
      <c r="E77" s="107" t="n"/>
    </row>
    <row r="78" ht="15" customHeight="1" s="62">
      <c r="A78" s="107" t="n"/>
      <c r="B78" s="107" t="n"/>
      <c r="C78" s="110">
        <f>IFERROR(IF(OR($A78="",$B78=""),"",INDEX(tblCalisan[Brüt Ücret (₺)],MATCH($A78,tblCalisan[Çalışan Adı],0))*IF($B78="5 Puan İndirimi",BesPuanOrani,IF($B78="İlave İstihdam",IlaveIstihdamOrani,IF($B78="Kadın/Genç",KadinGencOrani,IF($B78="Engelli",EngelliOrani,GencGirisimciOrani))))),"")</f>
        <v/>
      </c>
      <c r="D78" s="110">
        <f>IF($C78="","",$C78*AySayisi)</f>
        <v/>
      </c>
      <c r="E78" s="107" t="n"/>
    </row>
    <row r="79" ht="15" customHeight="1" s="62">
      <c r="A79" s="107" t="n"/>
      <c r="B79" s="107" t="n"/>
      <c r="C79" s="110">
        <f>IFERROR(IF(OR($A79="",$B79=""),"",INDEX(tblCalisan[Brüt Ücret (₺)],MATCH($A79,tblCalisan[Çalışan Adı],0))*IF($B79="5 Puan İndirimi",BesPuanOrani,IF($B79="İlave İstihdam",IlaveIstihdamOrani,IF($B79="Kadın/Genç",KadinGencOrani,IF($B79="Engelli",EngelliOrani,GencGirisimciOrani))))),"")</f>
        <v/>
      </c>
      <c r="D79" s="110">
        <f>IF($C79="","",$C79*AySayisi)</f>
        <v/>
      </c>
      <c r="E79" s="107" t="n"/>
    </row>
    <row r="80" ht="15" customHeight="1" s="62">
      <c r="A80" s="107" t="n"/>
      <c r="B80" s="107" t="n"/>
      <c r="C80" s="110">
        <f>IFERROR(IF(OR($A80="",$B80=""),"",INDEX(tblCalisan[Brüt Ücret (₺)],MATCH($A80,tblCalisan[Çalışan Adı],0))*IF($B80="5 Puan İndirimi",BesPuanOrani,IF($B80="İlave İstihdam",IlaveIstihdamOrani,IF($B80="Kadın/Genç",KadinGencOrani,IF($B80="Engelli",EngelliOrani,GencGirisimciOrani))))),"")</f>
        <v/>
      </c>
      <c r="D80" s="110">
        <f>IF($C80="","",$C80*AySayisi)</f>
        <v/>
      </c>
      <c r="E80" s="107" t="n"/>
    </row>
    <row r="81" ht="15" customHeight="1" s="62">
      <c r="A81" s="107" t="n"/>
      <c r="B81" s="107" t="n"/>
      <c r="C81" s="110">
        <f>IFERROR(IF(OR($A81="",$B81=""),"",INDEX(tblCalisan[Brüt Ücret (₺)],MATCH($A81,tblCalisan[Çalışan Adı],0))*IF($B81="5 Puan İndirimi",BesPuanOrani,IF($B81="İlave İstihdam",IlaveIstihdamOrani,IF($B81="Kadın/Genç",KadinGencOrani,IF($B81="Engelli",EngelliOrani,GencGirisimciOrani))))),"")</f>
        <v/>
      </c>
      <c r="D81" s="110">
        <f>IF($C81="","",$C81*AySayisi)</f>
        <v/>
      </c>
      <c r="E81" s="107" t="n"/>
    </row>
    <row r="82" ht="15" customHeight="1" s="62">
      <c r="A82" s="107" t="n"/>
      <c r="B82" s="107" t="n"/>
      <c r="C82" s="110">
        <f>IFERROR(IF(OR($A82="",$B82=""),"",INDEX(tblCalisan[Brüt Ücret (₺)],MATCH($A82,tblCalisan[Çalışan Adı],0))*IF($B82="5 Puan İndirimi",BesPuanOrani,IF($B82="İlave İstihdam",IlaveIstihdamOrani,IF($B82="Kadın/Genç",KadinGencOrani,IF($B82="Engelli",EngelliOrani,GencGirisimciOrani))))),"")</f>
        <v/>
      </c>
      <c r="D82" s="110">
        <f>IF($C82="","",$C82*AySayisi)</f>
        <v/>
      </c>
      <c r="E82" s="107" t="n"/>
    </row>
    <row r="83" ht="15" customHeight="1" s="62">
      <c r="A83" s="107" t="n"/>
      <c r="B83" s="107" t="n"/>
      <c r="C83" s="110">
        <f>IFERROR(IF(OR($A83="",$B83=""),"",INDEX(tblCalisan[Brüt Ücret (₺)],MATCH($A83,tblCalisan[Çalışan Adı],0))*IF($B83="5 Puan İndirimi",BesPuanOrani,IF($B83="İlave İstihdam",IlaveIstihdamOrani,IF($B83="Kadın/Genç",KadinGencOrani,IF($B83="Engelli",EngelliOrani,GencGirisimciOrani))))),"")</f>
        <v/>
      </c>
      <c r="D83" s="110">
        <f>IF($C83="","",$C83*AySayisi)</f>
        <v/>
      </c>
      <c r="E83" s="107" t="n"/>
    </row>
    <row r="84" ht="15" customHeight="1" s="62">
      <c r="A84" s="107" t="n"/>
      <c r="B84" s="107" t="n"/>
      <c r="C84" s="110">
        <f>IFERROR(IF(OR($A84="",$B84=""),"",INDEX(tblCalisan[Brüt Ücret (₺)],MATCH($A84,tblCalisan[Çalışan Adı],0))*IF($B84="5 Puan İndirimi",BesPuanOrani,IF($B84="İlave İstihdam",IlaveIstihdamOrani,IF($B84="Kadın/Genç",KadinGencOrani,IF($B84="Engelli",EngelliOrani,GencGirisimciOrani))))),"")</f>
        <v/>
      </c>
      <c r="D84" s="110">
        <f>IF($C84="","",$C84*AySayisi)</f>
        <v/>
      </c>
      <c r="E84" s="107" t="n"/>
    </row>
    <row r="85" ht="15" customHeight="1" s="62">
      <c r="A85" s="107" t="n"/>
      <c r="B85" s="107" t="n"/>
      <c r="C85" s="110">
        <f>IFERROR(IF(OR($A85="",$B85=""),"",INDEX(tblCalisan[Brüt Ücret (₺)],MATCH($A85,tblCalisan[Çalışan Adı],0))*IF($B85="5 Puan İndirimi",BesPuanOrani,IF($B85="İlave İstihdam",IlaveIstihdamOrani,IF($B85="Kadın/Genç",KadinGencOrani,IF($B85="Engelli",EngelliOrani,GencGirisimciOrani))))),"")</f>
        <v/>
      </c>
      <c r="D85" s="110">
        <f>IF($C85="","",$C85*AySayisi)</f>
        <v/>
      </c>
      <c r="E85" s="107" t="n"/>
    </row>
    <row r="86" ht="15" customHeight="1" s="62">
      <c r="A86" s="107" t="n"/>
      <c r="B86" s="107" t="n"/>
      <c r="C86" s="110">
        <f>IFERROR(IF(OR($A86="",$B86=""),"",INDEX(tblCalisan[Brüt Ücret (₺)],MATCH($A86,tblCalisan[Çalışan Adı],0))*IF($B86="5 Puan İndirimi",BesPuanOrani,IF($B86="İlave İstihdam",IlaveIstihdamOrani,IF($B86="Kadın/Genç",KadinGencOrani,IF($B86="Engelli",EngelliOrani,GencGirisimciOrani))))),"")</f>
        <v/>
      </c>
      <c r="D86" s="110">
        <f>IF($C86="","",$C86*AySayisi)</f>
        <v/>
      </c>
      <c r="E86" s="107" t="n"/>
    </row>
    <row r="87" ht="15" customHeight="1" s="62">
      <c r="A87" s="107" t="n"/>
      <c r="B87" s="107" t="n"/>
      <c r="C87" s="110">
        <f>IFERROR(IF(OR($A87="",$B87=""),"",INDEX(tblCalisan[Brüt Ücret (₺)],MATCH($A87,tblCalisan[Çalışan Adı],0))*IF($B87="5 Puan İndirimi",BesPuanOrani,IF($B87="İlave İstihdam",IlaveIstihdamOrani,IF($B87="Kadın/Genç",KadinGencOrani,IF($B87="Engelli",EngelliOrani,GencGirisimciOrani))))),"")</f>
        <v/>
      </c>
      <c r="D87" s="110">
        <f>IF($C87="","",$C87*AySayisi)</f>
        <v/>
      </c>
      <c r="E87" s="107" t="n"/>
    </row>
    <row r="88" ht="15" customHeight="1" s="62">
      <c r="A88" s="107" t="n"/>
      <c r="B88" s="107" t="n"/>
      <c r="C88" s="110">
        <f>IFERROR(IF(OR($A88="",$B88=""),"",INDEX(tblCalisan[Brüt Ücret (₺)],MATCH($A88,tblCalisan[Çalışan Adı],0))*IF($B88="5 Puan İndirimi",BesPuanOrani,IF($B88="İlave İstihdam",IlaveIstihdamOrani,IF($B88="Kadın/Genç",KadinGencOrani,IF($B88="Engelli",EngelliOrani,GencGirisimciOrani))))),"")</f>
        <v/>
      </c>
      <c r="D88" s="110">
        <f>IF($C88="","",$C88*AySayisi)</f>
        <v/>
      </c>
      <c r="E88" s="107" t="n"/>
    </row>
    <row r="89" ht="15" customHeight="1" s="62">
      <c r="A89" s="107" t="n"/>
      <c r="B89" s="107" t="n"/>
      <c r="C89" s="110">
        <f>IFERROR(IF(OR($A89="",$B89=""),"",INDEX(tblCalisan[Brüt Ücret (₺)],MATCH($A89,tblCalisan[Çalışan Adı],0))*IF($B89="5 Puan İndirimi",BesPuanOrani,IF($B89="İlave İstihdam",IlaveIstihdamOrani,IF($B89="Kadın/Genç",KadinGencOrani,IF($B89="Engelli",EngelliOrani,GencGirisimciOrani))))),"")</f>
        <v/>
      </c>
      <c r="D89" s="110">
        <f>IF($C89="","",$C89*AySayisi)</f>
        <v/>
      </c>
      <c r="E89" s="107" t="n"/>
    </row>
    <row r="90" ht="15" customHeight="1" s="62">
      <c r="A90" s="107" t="n"/>
      <c r="B90" s="107" t="n"/>
      <c r="C90" s="110">
        <f>IFERROR(IF(OR($A90="",$B90=""),"",INDEX(tblCalisan[Brüt Ücret (₺)],MATCH($A90,tblCalisan[Çalışan Adı],0))*IF($B90="5 Puan İndirimi",BesPuanOrani,IF($B90="İlave İstihdam",IlaveIstihdamOrani,IF($B90="Kadın/Genç",KadinGencOrani,IF($B90="Engelli",EngelliOrani,GencGirisimciOrani))))),"")</f>
        <v/>
      </c>
      <c r="D90" s="110">
        <f>IF($C90="","",$C90*AySayisi)</f>
        <v/>
      </c>
      <c r="E90" s="107" t="n"/>
    </row>
    <row r="91" ht="15" customHeight="1" s="62">
      <c r="A91" s="107" t="n"/>
      <c r="B91" s="107" t="n"/>
      <c r="C91" s="110">
        <f>IFERROR(IF(OR($A91="",$B91=""),"",INDEX(tblCalisan[Brüt Ücret (₺)],MATCH($A91,tblCalisan[Çalışan Adı],0))*IF($B91="5 Puan İndirimi",BesPuanOrani,IF($B91="İlave İstihdam",IlaveIstihdamOrani,IF($B91="Kadın/Genç",KadinGencOrani,IF($B91="Engelli",EngelliOrani,GencGirisimciOrani))))),"")</f>
        <v/>
      </c>
      <c r="D91" s="110">
        <f>IF($C91="","",$C91*AySayisi)</f>
        <v/>
      </c>
      <c r="E91" s="107" t="n"/>
    </row>
    <row r="92" ht="15" customHeight="1" s="62">
      <c r="A92" s="107" t="n"/>
      <c r="B92" s="107" t="n"/>
      <c r="C92" s="110">
        <f>IFERROR(IF(OR($A92="",$B92=""),"",INDEX(tblCalisan[Brüt Ücret (₺)],MATCH($A92,tblCalisan[Çalışan Adı],0))*IF($B92="5 Puan İndirimi",BesPuanOrani,IF($B92="İlave İstihdam",IlaveIstihdamOrani,IF($B92="Kadın/Genç",KadinGencOrani,IF($B92="Engelli",EngelliOrani,GencGirisimciOrani))))),"")</f>
        <v/>
      </c>
      <c r="D92" s="110">
        <f>IF($C92="","",$C92*AySayisi)</f>
        <v/>
      </c>
      <c r="E92" s="107" t="n"/>
    </row>
    <row r="93" ht="15" customHeight="1" s="62">
      <c r="A93" s="107" t="n"/>
      <c r="B93" s="107" t="n"/>
      <c r="C93" s="110">
        <f>IFERROR(IF(OR($A93="",$B93=""),"",INDEX(tblCalisan[Brüt Ücret (₺)],MATCH($A93,tblCalisan[Çalışan Adı],0))*IF($B93="5 Puan İndirimi",BesPuanOrani,IF($B93="İlave İstihdam",IlaveIstihdamOrani,IF($B93="Kadın/Genç",KadinGencOrani,IF($B93="Engelli",EngelliOrani,GencGirisimciOrani))))),"")</f>
        <v/>
      </c>
      <c r="D93" s="110">
        <f>IF($C93="","",$C93*AySayisi)</f>
        <v/>
      </c>
      <c r="E93" s="107" t="n"/>
    </row>
    <row r="94" ht="15" customHeight="1" s="62">
      <c r="A94" s="107" t="n"/>
      <c r="B94" s="107" t="n"/>
      <c r="C94" s="110">
        <f>IFERROR(IF(OR($A94="",$B94=""),"",INDEX(tblCalisan[Brüt Ücret (₺)],MATCH($A94,tblCalisan[Çalışan Adı],0))*IF($B94="5 Puan İndirimi",BesPuanOrani,IF($B94="İlave İstihdam",IlaveIstihdamOrani,IF($B94="Kadın/Genç",KadinGencOrani,IF($B94="Engelli",EngelliOrani,GencGirisimciOrani))))),"")</f>
        <v/>
      </c>
      <c r="D94" s="110">
        <f>IF($C94="","",$C94*AySayisi)</f>
        <v/>
      </c>
      <c r="E94" s="107" t="n"/>
    </row>
    <row r="95" ht="15" customHeight="1" s="62">
      <c r="A95" s="107" t="n"/>
      <c r="B95" s="107" t="n"/>
      <c r="C95" s="110">
        <f>IFERROR(IF(OR($A95="",$B95=""),"",INDEX(tblCalisan[Brüt Ücret (₺)],MATCH($A95,tblCalisan[Çalışan Adı],0))*IF($B95="5 Puan İndirimi",BesPuanOrani,IF($B95="İlave İstihdam",IlaveIstihdamOrani,IF($B95="Kadın/Genç",KadinGencOrani,IF($B95="Engelli",EngelliOrani,GencGirisimciOrani))))),"")</f>
        <v/>
      </c>
      <c r="D95" s="110">
        <f>IF($C95="","",$C95*AySayisi)</f>
        <v/>
      </c>
      <c r="E95" s="107" t="n"/>
    </row>
    <row r="96" ht="15" customHeight="1" s="62">
      <c r="A96" s="107" t="n"/>
      <c r="B96" s="107" t="n"/>
      <c r="C96" s="110">
        <f>IFERROR(IF(OR($A96="",$B96=""),"",INDEX(tblCalisan[Brüt Ücret (₺)],MATCH($A96,tblCalisan[Çalışan Adı],0))*IF($B96="5 Puan İndirimi",BesPuanOrani,IF($B96="İlave İstihdam",IlaveIstihdamOrani,IF($B96="Kadın/Genç",KadinGencOrani,IF($B96="Engelli",EngelliOrani,GencGirisimciOrani))))),"")</f>
        <v/>
      </c>
      <c r="D96" s="110">
        <f>IF($C96="","",$C96*AySayisi)</f>
        <v/>
      </c>
      <c r="E96" s="107" t="n"/>
    </row>
    <row r="97" ht="15" customHeight="1" s="62">
      <c r="A97" s="107" t="n"/>
      <c r="B97" s="107" t="n"/>
      <c r="C97" s="110">
        <f>IFERROR(IF(OR($A97="",$B97=""),"",INDEX(tblCalisan[Brüt Ücret (₺)],MATCH($A97,tblCalisan[Çalışan Adı],0))*IF($B97="5 Puan İndirimi",BesPuanOrani,IF($B97="İlave İstihdam",IlaveIstihdamOrani,IF($B97="Kadın/Genç",KadinGencOrani,IF($B97="Engelli",EngelliOrani,GencGirisimciOrani))))),"")</f>
        <v/>
      </c>
      <c r="D97" s="110">
        <f>IF($C97="","",$C97*AySayisi)</f>
        <v/>
      </c>
      <c r="E97" s="107" t="n"/>
    </row>
    <row r="98" ht="15" customHeight="1" s="62">
      <c r="A98" s="107" t="n"/>
      <c r="B98" s="107" t="n"/>
      <c r="C98" s="110">
        <f>IFERROR(IF(OR($A98="",$B98=""),"",INDEX(tblCalisan[Brüt Ücret (₺)],MATCH($A98,tblCalisan[Çalışan Adı],0))*IF($B98="5 Puan İndirimi",BesPuanOrani,IF($B98="İlave İstihdam",IlaveIstihdamOrani,IF($B98="Kadın/Genç",KadinGencOrani,IF($B98="Engelli",EngelliOrani,GencGirisimciOrani))))),"")</f>
        <v/>
      </c>
      <c r="D98" s="110">
        <f>IF($C98="","",$C98*AySayisi)</f>
        <v/>
      </c>
      <c r="E98" s="107" t="n"/>
    </row>
    <row r="99" ht="15" customHeight="1" s="62">
      <c r="A99" s="107" t="n"/>
      <c r="B99" s="107" t="n"/>
      <c r="C99" s="110">
        <f>IFERROR(IF(OR($A99="",$B99=""),"",INDEX(tblCalisan[Brüt Ücret (₺)],MATCH($A99,tblCalisan[Çalışan Adı],0))*IF($B99="5 Puan İndirimi",BesPuanOrani,IF($B99="İlave İstihdam",IlaveIstihdamOrani,IF($B99="Kadın/Genç",KadinGencOrani,IF($B99="Engelli",EngelliOrani,GencGirisimciOrani))))),"")</f>
        <v/>
      </c>
      <c r="D99" s="110">
        <f>IF($C99="","",$C99*AySayisi)</f>
        <v/>
      </c>
      <c r="E99" s="107" t="n"/>
    </row>
    <row r="100" ht="15" customHeight="1" s="62">
      <c r="A100" s="107" t="n"/>
      <c r="B100" s="107" t="n"/>
      <c r="C100" s="110">
        <f>IFERROR(IF(OR($A100="",$B100=""),"",INDEX(tblCalisan[Brüt Ücret (₺)],MATCH($A100,tblCalisan[Çalışan Adı],0))*IF($B100="5 Puan İndirimi",BesPuanOrani,IF($B100="İlave İstihdam",IlaveIstihdamOrani,IF($B100="Kadın/Genç",KadinGencOrani,IF($B100="Engelli",EngelliOrani,GencGirisimciOrani))))),"")</f>
        <v/>
      </c>
      <c r="D100" s="110">
        <f>IF($C100="","",$C100*AySayisi)</f>
        <v/>
      </c>
      <c r="E100" s="107" t="n"/>
    </row>
    <row r="101" ht="15" customHeight="1" s="62">
      <c r="A101" s="107" t="n"/>
      <c r="B101" s="107" t="n"/>
      <c r="C101" s="110">
        <f>IFERROR(IF(OR($A101="",$B101=""),"",INDEX(tblCalisan[Brüt Ücret (₺)],MATCH($A101,tblCalisan[Çalışan Adı],0))*IF($B101="5 Puan İndirimi",BesPuanOrani,IF($B101="İlave İstihdam",IlaveIstihdamOrani,IF($B101="Kadın/Genç",KadinGencOrani,IF($B101="Engelli",EngelliOrani,GencGirisimciOrani))))),"")</f>
        <v/>
      </c>
      <c r="D101" s="110">
        <f>IF($C101="","",$C101*AySayisi)</f>
        <v/>
      </c>
      <c r="E101" s="107" t="n"/>
    </row>
    <row r="102" ht="15" customHeight="1" s="62">
      <c r="A102" s="107" t="n"/>
      <c r="B102" s="107" t="n"/>
      <c r="C102" s="110">
        <f>IFERROR(IF(OR($A102="",$B102=""),"",INDEX(tblCalisan[Brüt Ücret (₺)],MATCH($A102,tblCalisan[Çalışan Adı],0))*IF($B102="5 Puan İndirimi",BesPuanOrani,IF($B102="İlave İstihdam",IlaveIstihdamOrani,IF($B102="Kadın/Genç",KadinGencOrani,IF($B102="Engelli",EngelliOrani,GencGirisimciOrani))))),"")</f>
        <v/>
      </c>
      <c r="D102" s="110">
        <f>IF($C102="","",$C102*AySayisi)</f>
        <v/>
      </c>
      <c r="E102" s="107" t="n"/>
    </row>
    <row r="103" ht="15" customHeight="1" s="62">
      <c r="A103" s="107" t="n"/>
      <c r="B103" s="107" t="n"/>
      <c r="C103" s="110">
        <f>IFERROR(IF(OR($A103="",$B103=""),"",INDEX(tblCalisan[Brüt Ücret (₺)],MATCH($A103,tblCalisan[Çalışan Adı],0))*IF($B103="5 Puan İndirimi",BesPuanOrani,IF($B103="İlave İstihdam",IlaveIstihdamOrani,IF($B103="Kadın/Genç",KadinGencOrani,IF($B103="Engelli",EngelliOrani,GencGirisimciOrani))))),"")</f>
        <v/>
      </c>
      <c r="D103" s="110">
        <f>IF($C103="","",$C103*AySayisi)</f>
        <v/>
      </c>
      <c r="E103" s="107" t="n"/>
    </row>
    <row r="104" ht="15" customHeight="1" s="62">
      <c r="A104" s="107" t="n"/>
      <c r="B104" s="107" t="n"/>
      <c r="C104" s="110">
        <f>IFERROR(IF(OR($A104="",$B104=""),"",INDEX(tblCalisan[Brüt Ücret (₺)],MATCH($A104,tblCalisan[Çalışan Adı],0))*IF($B104="5 Puan İndirimi",BesPuanOrani,IF($B104="İlave İstihdam",IlaveIstihdamOrani,IF($B104="Kadın/Genç",KadinGencOrani,IF($B104="Engelli",EngelliOrani,GencGirisimciOrani))))),"")</f>
        <v/>
      </c>
      <c r="D104" s="110">
        <f>IF($C104="","",$C104*AySayisi)</f>
        <v/>
      </c>
      <c r="E104" s="107" t="n"/>
    </row>
    <row r="105" ht="15" customHeight="1" s="62">
      <c r="A105" s="107" t="n"/>
      <c r="B105" s="107" t="n"/>
      <c r="C105" s="110">
        <f>IFERROR(IF(OR($A105="",$B105=""),"",INDEX(tblCalisan[Brüt Ücret (₺)],MATCH($A105,tblCalisan[Çalışan Adı],0))*IF($B105="5 Puan İndirimi",BesPuanOrani,IF($B105="İlave İstihdam",IlaveIstihdamOrani,IF($B105="Kadın/Genç",KadinGencOrani,IF($B105="Engelli",EngelliOrani,GencGirisimciOrani))))),"")</f>
        <v/>
      </c>
      <c r="D105" s="110">
        <f>IF($C105="","",$C105*AySayisi)</f>
        <v/>
      </c>
      <c r="E105" s="107" t="n"/>
    </row>
    <row r="106" ht="15" customHeight="1" s="62">
      <c r="A106" s="107" t="n"/>
      <c r="B106" s="107" t="n"/>
      <c r="C106" s="110">
        <f>IFERROR(IF(OR($A106="",$B106=""),"",INDEX(tblCalisan[Brüt Ücret (₺)],MATCH($A106,tblCalisan[Çalışan Adı],0))*IF($B106="5 Puan İndirimi",BesPuanOrani,IF($B106="İlave İstihdam",IlaveIstihdamOrani,IF($B106="Kadın/Genç",KadinGencOrani,IF($B106="Engelli",EngelliOrani,GencGirisimciOrani))))),"")</f>
        <v/>
      </c>
      <c r="D106" s="110">
        <f>IF($C106="","",$C106*AySayisi)</f>
        <v/>
      </c>
      <c r="E106" s="107" t="n"/>
    </row>
    <row r="107" ht="15" customHeight="1" s="62">
      <c r="A107" s="107" t="n"/>
      <c r="B107" s="107" t="n"/>
      <c r="C107" s="110">
        <f>IFERROR(IF(OR($A107="",$B107=""),"",INDEX(tblCalisan[Brüt Ücret (₺)],MATCH($A107,tblCalisan[Çalışan Adı],0))*IF($B107="5 Puan İndirimi",BesPuanOrani,IF($B107="İlave İstihdam",IlaveIstihdamOrani,IF($B107="Kadın/Genç",KadinGencOrani,IF($B107="Engelli",EngelliOrani,GencGirisimciOrani))))),"")</f>
        <v/>
      </c>
      <c r="D107" s="110">
        <f>IF($C107="","",$C107*AySayisi)</f>
        <v/>
      </c>
      <c r="E107" s="107" t="n"/>
    </row>
    <row r="108" ht="15" customHeight="1" s="62">
      <c r="A108" s="107" t="n"/>
      <c r="B108" s="107" t="n"/>
      <c r="C108" s="110">
        <f>IFERROR(IF(OR($A108="",$B108=""),"",INDEX(tblCalisan[Brüt Ücret (₺)],MATCH($A108,tblCalisan[Çalışan Adı],0))*IF($B108="5 Puan İndirimi",BesPuanOrani,IF($B108="İlave İstihdam",IlaveIstihdamOrani,IF($B108="Kadın/Genç",KadinGencOrani,IF($B108="Engelli",EngelliOrani,GencGirisimciOrani))))),"")</f>
        <v/>
      </c>
      <c r="D108" s="110">
        <f>IF($C108="","",$C108*AySayisi)</f>
        <v/>
      </c>
      <c r="E108" s="107" t="n"/>
    </row>
    <row r="109" ht="15" customHeight="1" s="62">
      <c r="A109" s="107" t="n"/>
      <c r="B109" s="107" t="n"/>
      <c r="C109" s="110">
        <f>IFERROR(IF(OR($A109="",$B109=""),"",INDEX(tblCalisan[Brüt Ücret (₺)],MATCH($A109,tblCalisan[Çalışan Adı],0))*IF($B109="5 Puan İndirimi",BesPuanOrani,IF($B109="İlave İstihdam",IlaveIstihdamOrani,IF($B109="Kadın/Genç",KadinGencOrani,IF($B109="Engelli",EngelliOrani,GencGirisimciOrani))))),"")</f>
        <v/>
      </c>
      <c r="D109" s="110">
        <f>IF($C109="","",$C109*AySayisi)</f>
        <v/>
      </c>
      <c r="E109" s="107" t="n"/>
    </row>
    <row r="110" ht="15" customHeight="1" s="62">
      <c r="A110" s="107" t="n"/>
      <c r="B110" s="107" t="n"/>
      <c r="C110" s="110">
        <f>IFERROR(IF(OR($A110="",$B110=""),"",INDEX(tblCalisan[Brüt Ücret (₺)],MATCH($A110,tblCalisan[Çalışan Adı],0))*IF($B110="5 Puan İndirimi",BesPuanOrani,IF($B110="İlave İstihdam",IlaveIstihdamOrani,IF($B110="Kadın/Genç",KadinGencOrani,IF($B110="Engelli",EngelliOrani,GencGirisimciOrani))))),"")</f>
        <v/>
      </c>
      <c r="D110" s="110">
        <f>IF($C110="","",$C110*AySayisi)</f>
        <v/>
      </c>
      <c r="E110" s="107" t="n"/>
    </row>
    <row r="111" ht="15" customHeight="1" s="62">
      <c r="A111" s="107" t="n"/>
      <c r="B111" s="107" t="n"/>
      <c r="C111" s="110">
        <f>IFERROR(IF(OR($A111="",$B111=""),"",INDEX(tblCalisan[Brüt Ücret (₺)],MATCH($A111,tblCalisan[Çalışan Adı],0))*IF($B111="5 Puan İndirimi",BesPuanOrani,IF($B111="İlave İstihdam",IlaveIstihdamOrani,IF($B111="Kadın/Genç",KadinGencOrani,IF($B111="Engelli",EngelliOrani,GencGirisimciOrani))))),"")</f>
        <v/>
      </c>
      <c r="D111" s="110">
        <f>IF($C111="","",$C111*AySayisi)</f>
        <v/>
      </c>
      <c r="E111" s="107" t="n"/>
    </row>
    <row r="112" ht="15" customHeight="1" s="62">
      <c r="A112" s="107" t="n"/>
      <c r="B112" s="107" t="n"/>
      <c r="C112" s="110">
        <f>IFERROR(IF(OR($A112="",$B112=""),"",INDEX(tblCalisan[Brüt Ücret (₺)],MATCH($A112,tblCalisan[Çalışan Adı],0))*IF($B112="5 Puan İndirimi",BesPuanOrani,IF($B112="İlave İstihdam",IlaveIstihdamOrani,IF($B112="Kadın/Genç",KadinGencOrani,IF($B112="Engelli",EngelliOrani,GencGirisimciOrani))))),"")</f>
        <v/>
      </c>
      <c r="D112" s="110">
        <f>IF($C112="","",$C112*AySayisi)</f>
        <v/>
      </c>
      <c r="E112" s="107" t="n"/>
    </row>
    <row r="113" ht="15" customHeight="1" s="62">
      <c r="A113" s="107" t="n"/>
      <c r="B113" s="107" t="n"/>
      <c r="C113" s="110">
        <f>IFERROR(IF(OR($A113="",$B113=""),"",INDEX(tblCalisan[Brüt Ücret (₺)],MATCH($A113,tblCalisan[Çalışan Adı],0))*IF($B113="5 Puan İndirimi",BesPuanOrani,IF($B113="İlave İstihdam",IlaveIstihdamOrani,IF($B113="Kadın/Genç",KadinGencOrani,IF($B113="Engelli",EngelliOrani,GencGirisimciOrani))))),"")</f>
        <v/>
      </c>
      <c r="D113" s="110">
        <f>IF($C113="","",$C113*AySayisi)</f>
        <v/>
      </c>
      <c r="E113" s="107" t="n"/>
    </row>
    <row r="114" ht="15" customHeight="1" s="62">
      <c r="A114" s="107" t="n"/>
      <c r="B114" s="107" t="n"/>
      <c r="C114" s="110">
        <f>IFERROR(IF(OR($A114="",$B114=""),"",INDEX(tblCalisan[Brüt Ücret (₺)],MATCH($A114,tblCalisan[Çalışan Adı],0))*IF($B114="5 Puan İndirimi",BesPuanOrani,IF($B114="İlave İstihdam",IlaveIstihdamOrani,IF($B114="Kadın/Genç",KadinGencOrani,IF($B114="Engelli",EngelliOrani,GencGirisimciOrani))))),"")</f>
        <v/>
      </c>
      <c r="D114" s="110">
        <f>IF($C114="","",$C114*AySayisi)</f>
        <v/>
      </c>
      <c r="E114" s="107" t="n"/>
    </row>
    <row r="115" ht="15" customHeight="1" s="62">
      <c r="A115" s="107" t="n"/>
      <c r="B115" s="107" t="n"/>
      <c r="C115" s="110">
        <f>IFERROR(IF(OR($A115="",$B115=""),"",INDEX(tblCalisan[Brüt Ücret (₺)],MATCH($A115,tblCalisan[Çalışan Adı],0))*IF($B115="5 Puan İndirimi",BesPuanOrani,IF($B115="İlave İstihdam",IlaveIstihdamOrani,IF($B115="Kadın/Genç",KadinGencOrani,IF($B115="Engelli",EngelliOrani,GencGirisimciOrani))))),"")</f>
        <v/>
      </c>
      <c r="D115" s="110">
        <f>IF($C115="","",$C115*AySayisi)</f>
        <v/>
      </c>
      <c r="E115" s="107" t="n"/>
    </row>
    <row r="116" ht="15" customHeight="1" s="62">
      <c r="A116" s="107" t="n"/>
      <c r="B116" s="107" t="n"/>
      <c r="C116" s="110">
        <f>IFERROR(IF(OR($A116="",$B116=""),"",INDEX(tblCalisan[Brüt Ücret (₺)],MATCH($A116,tblCalisan[Çalışan Adı],0))*IF($B116="5 Puan İndirimi",BesPuanOrani,IF($B116="İlave İstihdam",IlaveIstihdamOrani,IF($B116="Kadın/Genç",KadinGencOrani,IF($B116="Engelli",EngelliOrani,GencGirisimciOrani))))),"")</f>
        <v/>
      </c>
      <c r="D116" s="110">
        <f>IF($C116="","",$C116*AySayisi)</f>
        <v/>
      </c>
      <c r="E116" s="107" t="n"/>
    </row>
    <row r="117" ht="15" customHeight="1" s="62">
      <c r="A117" s="107" t="n"/>
      <c r="B117" s="107" t="n"/>
      <c r="C117" s="110">
        <f>IFERROR(IF(OR($A117="",$B117=""),"",INDEX(tblCalisan[Brüt Ücret (₺)],MATCH($A117,tblCalisan[Çalışan Adı],0))*IF($B117="5 Puan İndirimi",BesPuanOrani,IF($B117="İlave İstihdam",IlaveIstihdamOrani,IF($B117="Kadın/Genç",KadinGencOrani,IF($B117="Engelli",EngelliOrani,GencGirisimciOrani))))),"")</f>
        <v/>
      </c>
      <c r="D117" s="110">
        <f>IF($C117="","",$C117*AySayisi)</f>
        <v/>
      </c>
      <c r="E117" s="107" t="n"/>
    </row>
    <row r="118" ht="15" customHeight="1" s="62">
      <c r="A118" s="107" t="n"/>
      <c r="B118" s="107" t="n"/>
      <c r="C118" s="110">
        <f>IFERROR(IF(OR($A118="",$B118=""),"",INDEX(tblCalisan[Brüt Ücret (₺)],MATCH($A118,tblCalisan[Çalışan Adı],0))*IF($B118="5 Puan İndirimi",BesPuanOrani,IF($B118="İlave İstihdam",IlaveIstihdamOrani,IF($B118="Kadın/Genç",KadinGencOrani,IF($B118="Engelli",EngelliOrani,GencGirisimciOrani))))),"")</f>
        <v/>
      </c>
      <c r="D118" s="110">
        <f>IF($C118="","",$C118*AySayisi)</f>
        <v/>
      </c>
      <c r="E118" s="107" t="n"/>
    </row>
    <row r="119" ht="15" customHeight="1" s="62">
      <c r="A119" s="107" t="n"/>
      <c r="B119" s="107" t="n"/>
      <c r="C119" s="110">
        <f>IFERROR(IF(OR($A119="",$B119=""),"",INDEX(tblCalisan[Brüt Ücret (₺)],MATCH($A119,tblCalisan[Çalışan Adı],0))*IF($B119="5 Puan İndirimi",BesPuanOrani,IF($B119="İlave İstihdam",IlaveIstihdamOrani,IF($B119="Kadın/Genç",KadinGencOrani,IF($B119="Engelli",EngelliOrani,GencGirisimciOrani))))),"")</f>
        <v/>
      </c>
      <c r="D119" s="110">
        <f>IF($C119="","",$C119*AySayisi)</f>
        <v/>
      </c>
      <c r="E119" s="107" t="n"/>
    </row>
    <row r="120" ht="15" customHeight="1" s="62">
      <c r="A120" s="107" t="n"/>
      <c r="B120" s="107" t="n"/>
      <c r="C120" s="110">
        <f>IFERROR(IF(OR($A120="",$B120=""),"",INDEX(tblCalisan[Brüt Ücret (₺)],MATCH($A120,tblCalisan[Çalışan Adı],0))*IF($B120="5 Puan İndirimi",BesPuanOrani,IF($B120="İlave İstihdam",IlaveIstihdamOrani,IF($B120="Kadın/Genç",KadinGencOrani,IF($B120="Engelli",EngelliOrani,GencGirisimciOrani))))),"")</f>
        <v/>
      </c>
      <c r="D120" s="110">
        <f>IF($C120="","",$C120*AySayisi)</f>
        <v/>
      </c>
      <c r="E120" s="107" t="n"/>
    </row>
    <row r="121" ht="15" customHeight="1" s="62">
      <c r="A121" s="107" t="n"/>
      <c r="B121" s="107" t="n"/>
      <c r="C121" s="110">
        <f>IFERROR(IF(OR($A121="",$B121=""),"",INDEX(tblCalisan[Brüt Ücret (₺)],MATCH($A121,tblCalisan[Çalışan Adı],0))*IF($B121="5 Puan İndirimi",BesPuanOrani,IF($B121="İlave İstihdam",IlaveIstihdamOrani,IF($B121="Kadın/Genç",KadinGencOrani,IF($B121="Engelli",EngelliOrani,GencGirisimciOrani))))),"")</f>
        <v/>
      </c>
      <c r="D121" s="110">
        <f>IF($C121="","",$C121*AySayisi)</f>
        <v/>
      </c>
      <c r="E121" s="107" t="n"/>
    </row>
    <row r="122" ht="15" customHeight="1" s="62">
      <c r="A122" s="107" t="n"/>
      <c r="B122" s="107" t="n"/>
      <c r="C122" s="110">
        <f>IFERROR(IF(OR($A122="",$B122=""),"",INDEX(tblCalisan[Brüt Ücret (₺)],MATCH($A122,tblCalisan[Çalışan Adı],0))*IF($B122="5 Puan İndirimi",BesPuanOrani,IF($B122="İlave İstihdam",IlaveIstihdamOrani,IF($B122="Kadın/Genç",KadinGencOrani,IF($B122="Engelli",EngelliOrani,GencGirisimciOrani))))),"")</f>
        <v/>
      </c>
      <c r="D122" s="110">
        <f>IF($C122="","",$C122*AySayisi)</f>
        <v/>
      </c>
      <c r="E122" s="107" t="n"/>
    </row>
    <row r="123" ht="15" customHeight="1" s="62">
      <c r="A123" s="107" t="n"/>
      <c r="B123" s="107" t="n"/>
      <c r="C123" s="110">
        <f>IFERROR(IF(OR($A123="",$B123=""),"",INDEX(tblCalisan[Brüt Ücret (₺)],MATCH($A123,tblCalisan[Çalışan Adı],0))*IF($B123="5 Puan İndirimi",BesPuanOrani,IF($B123="İlave İstihdam",IlaveIstihdamOrani,IF($B123="Kadın/Genç",KadinGencOrani,IF($B123="Engelli",EngelliOrani,GencGirisimciOrani))))),"")</f>
        <v/>
      </c>
      <c r="D123" s="110">
        <f>IF($C123="","",$C123*AySayisi)</f>
        <v/>
      </c>
      <c r="E123" s="107" t="n"/>
    </row>
    <row r="124" ht="15" customHeight="1" s="62">
      <c r="A124" s="107" t="n"/>
      <c r="B124" s="107" t="n"/>
      <c r="C124" s="110">
        <f>IFERROR(IF(OR($A124="",$B124=""),"",INDEX(tblCalisan[Brüt Ücret (₺)],MATCH($A124,tblCalisan[Çalışan Adı],0))*IF($B124="5 Puan İndirimi",BesPuanOrani,IF($B124="İlave İstihdam",IlaveIstihdamOrani,IF($B124="Kadın/Genç",KadinGencOrani,IF($B124="Engelli",EngelliOrani,GencGirisimciOrani))))),"")</f>
        <v/>
      </c>
      <c r="D124" s="110">
        <f>IF($C124="","",$C124*AySayisi)</f>
        <v/>
      </c>
      <c r="E124" s="107" t="n"/>
    </row>
    <row r="125" ht="15" customHeight="1" s="62">
      <c r="A125" s="107" t="n"/>
      <c r="B125" s="107" t="n"/>
      <c r="C125" s="110">
        <f>IFERROR(IF(OR($A125="",$B125=""),"",INDEX(tblCalisan[Brüt Ücret (₺)],MATCH($A125,tblCalisan[Çalışan Adı],0))*IF($B125="5 Puan İndirimi",BesPuanOrani,IF($B125="İlave İstihdam",IlaveIstihdamOrani,IF($B125="Kadın/Genç",KadinGencOrani,IF($B125="Engelli",EngelliOrani,GencGirisimciOrani))))),"")</f>
        <v/>
      </c>
      <c r="D125" s="110">
        <f>IF($C125="","",$C125*AySayisi)</f>
        <v/>
      </c>
      <c r="E125" s="107" t="n"/>
    </row>
    <row r="126" ht="15" customHeight="1" s="62">
      <c r="A126" s="107" t="n"/>
      <c r="B126" s="107" t="n"/>
      <c r="C126" s="110">
        <f>IFERROR(IF(OR($A126="",$B126=""),"",INDEX(tblCalisan[Brüt Ücret (₺)],MATCH($A126,tblCalisan[Çalışan Adı],0))*IF($B126="5 Puan İndirimi",BesPuanOrani,IF($B126="İlave İstihdam",IlaveIstihdamOrani,IF($B126="Kadın/Genç",KadinGencOrani,IF($B126="Engelli",EngelliOrani,GencGirisimciOrani))))),"")</f>
        <v/>
      </c>
      <c r="D126" s="110">
        <f>IF($C126="","",$C126*AySayisi)</f>
        <v/>
      </c>
      <c r="E126" s="107" t="n"/>
    </row>
    <row r="127" ht="15" customHeight="1" s="62">
      <c r="A127" s="107" t="n"/>
      <c r="B127" s="107" t="n"/>
      <c r="C127" s="110">
        <f>IFERROR(IF(OR($A127="",$B127=""),"",INDEX(tblCalisan[Brüt Ücret (₺)],MATCH($A127,tblCalisan[Çalışan Adı],0))*IF($B127="5 Puan İndirimi",BesPuanOrani,IF($B127="İlave İstihdam",IlaveIstihdamOrani,IF($B127="Kadın/Genç",KadinGencOrani,IF($B127="Engelli",EngelliOrani,GencGirisimciOrani))))),"")</f>
        <v/>
      </c>
      <c r="D127" s="110">
        <f>IF($C127="","",$C127*AySayisi)</f>
        <v/>
      </c>
      <c r="E127" s="107" t="n"/>
    </row>
    <row r="128" ht="15" customHeight="1" s="62">
      <c r="A128" s="107" t="n"/>
      <c r="B128" s="107" t="n"/>
      <c r="C128" s="110">
        <f>IFERROR(IF(OR($A128="",$B128=""),"",INDEX(tblCalisan[Brüt Ücret (₺)],MATCH($A128,tblCalisan[Çalışan Adı],0))*IF($B128="5 Puan İndirimi",BesPuanOrani,IF($B128="İlave İstihdam",IlaveIstihdamOrani,IF($B128="Kadın/Genç",KadinGencOrani,IF($B128="Engelli",EngelliOrani,GencGirisimciOrani))))),"")</f>
        <v/>
      </c>
      <c r="D128" s="110">
        <f>IF($C128="","",$C128*AySayisi)</f>
        <v/>
      </c>
      <c r="E128" s="107" t="n"/>
    </row>
    <row r="129" ht="15" customHeight="1" s="62">
      <c r="A129" s="107" t="n"/>
      <c r="B129" s="107" t="n"/>
      <c r="C129" s="110">
        <f>IFERROR(IF(OR($A129="",$B129=""),"",INDEX(tblCalisan[Brüt Ücret (₺)],MATCH($A129,tblCalisan[Çalışan Adı],0))*IF($B129="5 Puan İndirimi",BesPuanOrani,IF($B129="İlave İstihdam",IlaveIstihdamOrani,IF($B129="Kadın/Genç",KadinGencOrani,IF($B129="Engelli",EngelliOrani,GencGirisimciOrani))))),"")</f>
        <v/>
      </c>
      <c r="D129" s="110">
        <f>IF($C129="","",$C129*AySayisi)</f>
        <v/>
      </c>
      <c r="E129" s="107" t="n"/>
    </row>
    <row r="130" ht="15" customHeight="1" s="62">
      <c r="A130" s="107" t="n"/>
      <c r="B130" s="107" t="n"/>
      <c r="C130" s="110">
        <f>IFERROR(IF(OR($A130="",$B130=""),"",INDEX(tblCalisan[Brüt Ücret (₺)],MATCH($A130,tblCalisan[Çalışan Adı],0))*IF($B130="5 Puan İndirimi",BesPuanOrani,IF($B130="İlave İstihdam",IlaveIstihdamOrani,IF($B130="Kadın/Genç",KadinGencOrani,IF($B130="Engelli",EngelliOrani,GencGirisimciOrani))))),"")</f>
        <v/>
      </c>
      <c r="D130" s="110">
        <f>IF($C130="","",$C130*AySayisi)</f>
        <v/>
      </c>
      <c r="E130" s="107" t="n"/>
    </row>
    <row r="131" ht="15" customHeight="1" s="62">
      <c r="A131" s="107" t="n"/>
      <c r="B131" s="107" t="n"/>
      <c r="C131" s="110">
        <f>IFERROR(IF(OR($A131="",$B131=""),"",INDEX(tblCalisan[Brüt Ücret (₺)],MATCH($A131,tblCalisan[Çalışan Adı],0))*IF($B131="5 Puan İndirimi",BesPuanOrani,IF($B131="İlave İstihdam",IlaveIstihdamOrani,IF($B131="Kadın/Genç",KadinGencOrani,IF($B131="Engelli",EngelliOrani,GencGirisimciOrani))))),"")</f>
        <v/>
      </c>
      <c r="D131" s="110">
        <f>IF($C131="","",$C131*AySayisi)</f>
        <v/>
      </c>
      <c r="E131" s="107" t="n"/>
    </row>
    <row r="132" ht="15" customHeight="1" s="62">
      <c r="A132" s="107" t="n"/>
      <c r="B132" s="107" t="n"/>
      <c r="C132" s="110">
        <f>IFERROR(IF(OR($A132="",$B132=""),"",INDEX(tblCalisan[Brüt Ücret (₺)],MATCH($A132,tblCalisan[Çalışan Adı],0))*IF($B132="5 Puan İndirimi",BesPuanOrani,IF($B132="İlave İstihdam",IlaveIstihdamOrani,IF($B132="Kadın/Genç",KadinGencOrani,IF($B132="Engelli",EngelliOrani,GencGirisimciOrani))))),"")</f>
        <v/>
      </c>
      <c r="D132" s="110">
        <f>IF($C132="","",$C132*AySayisi)</f>
        <v/>
      </c>
      <c r="E132" s="107" t="n"/>
    </row>
    <row r="133" ht="15" customHeight="1" s="62">
      <c r="A133" s="107" t="n"/>
      <c r="B133" s="107" t="n"/>
      <c r="C133" s="110">
        <f>IFERROR(IF(OR($A133="",$B133=""),"",INDEX(tblCalisan[Brüt Ücret (₺)],MATCH($A133,tblCalisan[Çalışan Adı],0))*IF($B133="5 Puan İndirimi",BesPuanOrani,IF($B133="İlave İstihdam",IlaveIstihdamOrani,IF($B133="Kadın/Genç",KadinGencOrani,IF($B133="Engelli",EngelliOrani,GencGirisimciOrani))))),"")</f>
        <v/>
      </c>
      <c r="D133" s="110">
        <f>IF($C133="","",$C133*AySayisi)</f>
        <v/>
      </c>
      <c r="E133" s="107" t="n"/>
    </row>
    <row r="134" ht="15" customHeight="1" s="62">
      <c r="A134" s="107" t="n"/>
      <c r="B134" s="107" t="n"/>
      <c r="C134" s="110">
        <f>IFERROR(IF(OR($A134="",$B134=""),"",INDEX(tblCalisan[Brüt Ücret (₺)],MATCH($A134,tblCalisan[Çalışan Adı],0))*IF($B134="5 Puan İndirimi",BesPuanOrani,IF($B134="İlave İstihdam",IlaveIstihdamOrani,IF($B134="Kadın/Genç",KadinGencOrani,IF($B134="Engelli",EngelliOrani,GencGirisimciOrani))))),"")</f>
        <v/>
      </c>
      <c r="D134" s="110">
        <f>IF($C134="","",$C134*AySayisi)</f>
        <v/>
      </c>
      <c r="E134" s="107" t="n"/>
    </row>
    <row r="135" ht="15" customHeight="1" s="62">
      <c r="A135" s="107" t="n"/>
      <c r="B135" s="107" t="n"/>
      <c r="C135" s="110">
        <f>IFERROR(IF(OR($A135="",$B135=""),"",INDEX(tblCalisan[Brüt Ücret (₺)],MATCH($A135,tblCalisan[Çalışan Adı],0))*IF($B135="5 Puan İndirimi",BesPuanOrani,IF($B135="İlave İstihdam",IlaveIstihdamOrani,IF($B135="Kadın/Genç",KadinGencOrani,IF($B135="Engelli",EngelliOrani,GencGirisimciOrani))))),"")</f>
        <v/>
      </c>
      <c r="D135" s="110">
        <f>IF($C135="","",$C135*AySayisi)</f>
        <v/>
      </c>
      <c r="E135" s="107" t="n"/>
    </row>
    <row r="136" ht="15" customHeight="1" s="62">
      <c r="A136" s="107" t="n"/>
      <c r="B136" s="107" t="n"/>
      <c r="C136" s="110">
        <f>IFERROR(IF(OR($A136="",$B136=""),"",INDEX(tblCalisan[Brüt Ücret (₺)],MATCH($A136,tblCalisan[Çalışan Adı],0))*IF($B136="5 Puan İndirimi",BesPuanOrani,IF($B136="İlave İstihdam",IlaveIstihdamOrani,IF($B136="Kadın/Genç",KadinGencOrani,IF($B136="Engelli",EngelliOrani,GencGirisimciOrani))))),"")</f>
        <v/>
      </c>
      <c r="D136" s="110">
        <f>IF($C136="","",$C136*AySayisi)</f>
        <v/>
      </c>
      <c r="E136" s="107" t="n"/>
    </row>
    <row r="137" ht="15" customHeight="1" s="62">
      <c r="A137" s="107" t="n"/>
      <c r="B137" s="107" t="n"/>
      <c r="C137" s="110">
        <f>IFERROR(IF(OR($A137="",$B137=""),"",INDEX(tblCalisan[Brüt Ücret (₺)],MATCH($A137,tblCalisan[Çalışan Adı],0))*IF($B137="5 Puan İndirimi",BesPuanOrani,IF($B137="İlave İstihdam",IlaveIstihdamOrani,IF($B137="Kadın/Genç",KadinGencOrani,IF($B137="Engelli",EngelliOrani,GencGirisimciOrani))))),"")</f>
        <v/>
      </c>
      <c r="D137" s="110">
        <f>IF($C137="","",$C137*AySayisi)</f>
        <v/>
      </c>
      <c r="E137" s="107" t="n"/>
    </row>
    <row r="138" ht="15" customHeight="1" s="62">
      <c r="A138" s="107" t="n"/>
      <c r="B138" s="107" t="n"/>
      <c r="C138" s="110">
        <f>IFERROR(IF(OR($A138="",$B138=""),"",INDEX(tblCalisan[Brüt Ücret (₺)],MATCH($A138,tblCalisan[Çalışan Adı],0))*IF($B138="5 Puan İndirimi",BesPuanOrani,IF($B138="İlave İstihdam",IlaveIstihdamOrani,IF($B138="Kadın/Genç",KadinGencOrani,IF($B138="Engelli",EngelliOrani,GencGirisimciOrani))))),"")</f>
        <v/>
      </c>
      <c r="D138" s="110">
        <f>IF($C138="","",$C138*AySayisi)</f>
        <v/>
      </c>
      <c r="E138" s="107" t="n"/>
    </row>
    <row r="139" ht="15" customHeight="1" s="62">
      <c r="A139" s="107" t="n"/>
      <c r="B139" s="107" t="n"/>
      <c r="C139" s="110">
        <f>IFERROR(IF(OR($A139="",$B139=""),"",INDEX(tblCalisan[Brüt Ücret (₺)],MATCH($A139,tblCalisan[Çalışan Adı],0))*IF($B139="5 Puan İndirimi",BesPuanOrani,IF($B139="İlave İstihdam",IlaveIstihdamOrani,IF($B139="Kadın/Genç",KadinGencOrani,IF($B139="Engelli",EngelliOrani,GencGirisimciOrani))))),"")</f>
        <v/>
      </c>
      <c r="D139" s="110">
        <f>IF($C139="","",$C139*AySayisi)</f>
        <v/>
      </c>
      <c r="E139" s="107" t="n"/>
    </row>
    <row r="140" ht="15" customHeight="1" s="62">
      <c r="A140" s="107" t="n"/>
      <c r="B140" s="107" t="n"/>
      <c r="C140" s="110">
        <f>IFERROR(IF(OR($A140="",$B140=""),"",INDEX(tblCalisan[Brüt Ücret (₺)],MATCH($A140,tblCalisan[Çalışan Adı],0))*IF($B140="5 Puan İndirimi",BesPuanOrani,IF($B140="İlave İstihdam",IlaveIstihdamOrani,IF($B140="Kadın/Genç",KadinGencOrani,IF($B140="Engelli",EngelliOrani,GencGirisimciOrani))))),"")</f>
        <v/>
      </c>
      <c r="D140" s="110">
        <f>IF($C140="","",$C140*AySayisi)</f>
        <v/>
      </c>
      <c r="E140" s="107" t="n"/>
    </row>
    <row r="141" ht="15" customHeight="1" s="62">
      <c r="A141" s="107" t="n"/>
      <c r="B141" s="107" t="n"/>
      <c r="C141" s="110">
        <f>IFERROR(IF(OR($A141="",$B141=""),"",INDEX(tblCalisan[Brüt Ücret (₺)],MATCH($A141,tblCalisan[Çalışan Adı],0))*IF($B141="5 Puan İndirimi",BesPuanOrani,IF($B141="İlave İstihdam",IlaveIstihdamOrani,IF($B141="Kadın/Genç",KadinGencOrani,IF($B141="Engelli",EngelliOrani,GencGirisimciOrani))))),"")</f>
        <v/>
      </c>
      <c r="D141" s="110">
        <f>IF($C141="","",$C141*AySayisi)</f>
        <v/>
      </c>
      <c r="E141" s="107" t="n"/>
    </row>
    <row r="142" ht="15" customHeight="1" s="62">
      <c r="A142" s="107" t="n"/>
      <c r="B142" s="107" t="n"/>
      <c r="C142" s="110">
        <f>IFERROR(IF(OR($A142="",$B142=""),"",INDEX(tblCalisan[Brüt Ücret (₺)],MATCH($A142,tblCalisan[Çalışan Adı],0))*IF($B142="5 Puan İndirimi",BesPuanOrani,IF($B142="İlave İstihdam",IlaveIstihdamOrani,IF($B142="Kadın/Genç",KadinGencOrani,IF($B142="Engelli",EngelliOrani,GencGirisimciOrani))))),"")</f>
        <v/>
      </c>
      <c r="D142" s="110">
        <f>IF($C142="","",$C142*AySayisi)</f>
        <v/>
      </c>
      <c r="E142" s="107" t="n"/>
    </row>
    <row r="143" ht="15" customHeight="1" s="62">
      <c r="A143" s="107" t="n"/>
      <c r="B143" s="107" t="n"/>
      <c r="C143" s="110">
        <f>IFERROR(IF(OR($A143="",$B143=""),"",INDEX(tblCalisan[Brüt Ücret (₺)],MATCH($A143,tblCalisan[Çalışan Adı],0))*IF($B143="5 Puan İndirimi",BesPuanOrani,IF($B143="İlave İstihdam",IlaveIstihdamOrani,IF($B143="Kadın/Genç",KadinGencOrani,IF($B143="Engelli",EngelliOrani,GencGirisimciOrani))))),"")</f>
        <v/>
      </c>
      <c r="D143" s="110">
        <f>IF($C143="","",$C143*AySayisi)</f>
        <v/>
      </c>
      <c r="E143" s="107" t="n"/>
    </row>
    <row r="144" ht="15" customHeight="1" s="62">
      <c r="A144" s="107" t="n"/>
      <c r="B144" s="107" t="n"/>
      <c r="C144" s="110">
        <f>IFERROR(IF(OR($A144="",$B144=""),"",INDEX(tblCalisan[Brüt Ücret (₺)],MATCH($A144,tblCalisan[Çalışan Adı],0))*IF($B144="5 Puan İndirimi",BesPuanOrani,IF($B144="İlave İstihdam",IlaveIstihdamOrani,IF($B144="Kadın/Genç",KadinGencOrani,IF($B144="Engelli",EngelliOrani,GencGirisimciOrani))))),"")</f>
        <v/>
      </c>
      <c r="D144" s="110">
        <f>IF($C144="","",$C144*AySayisi)</f>
        <v/>
      </c>
      <c r="E144" s="107" t="n"/>
    </row>
    <row r="145" ht="15" customHeight="1" s="62">
      <c r="A145" s="107" t="n"/>
      <c r="B145" s="107" t="n"/>
      <c r="C145" s="110">
        <f>IFERROR(IF(OR($A145="",$B145=""),"",INDEX(tblCalisan[Brüt Ücret (₺)],MATCH($A145,tblCalisan[Çalışan Adı],0))*IF($B145="5 Puan İndirimi",BesPuanOrani,IF($B145="İlave İstihdam",IlaveIstihdamOrani,IF($B145="Kadın/Genç",KadinGencOrani,IF($B145="Engelli",EngelliOrani,GencGirisimciOrani))))),"")</f>
        <v/>
      </c>
      <c r="D145" s="110">
        <f>IF($C145="","",$C145*AySayisi)</f>
        <v/>
      </c>
      <c r="E145" s="107" t="n"/>
    </row>
    <row r="146" ht="15" customHeight="1" s="62">
      <c r="A146" s="107" t="n"/>
      <c r="B146" s="107" t="n"/>
      <c r="C146" s="110">
        <f>IFERROR(IF(OR($A146="",$B146=""),"",INDEX(tblCalisan[Brüt Ücret (₺)],MATCH($A146,tblCalisan[Çalışan Adı],0))*IF($B146="5 Puan İndirimi",BesPuanOrani,IF($B146="İlave İstihdam",IlaveIstihdamOrani,IF($B146="Kadın/Genç",KadinGencOrani,IF($B146="Engelli",EngelliOrani,GencGirisimciOrani))))),"")</f>
        <v/>
      </c>
      <c r="D146" s="110">
        <f>IF($C146="","",$C146*AySayisi)</f>
        <v/>
      </c>
      <c r="E146" s="107" t="n"/>
    </row>
    <row r="147" ht="15" customHeight="1" s="62">
      <c r="A147" s="107" t="n"/>
      <c r="B147" s="107" t="n"/>
      <c r="C147" s="110">
        <f>IFERROR(IF(OR($A147="",$B147=""),"",INDEX(tblCalisan[Brüt Ücret (₺)],MATCH($A147,tblCalisan[Çalışan Adı],0))*IF($B147="5 Puan İndirimi",BesPuanOrani,IF($B147="İlave İstihdam",IlaveIstihdamOrani,IF($B147="Kadın/Genç",KadinGencOrani,IF($B147="Engelli",EngelliOrani,GencGirisimciOrani))))),"")</f>
        <v/>
      </c>
      <c r="D147" s="110">
        <f>IF($C147="","",$C147*AySayisi)</f>
        <v/>
      </c>
      <c r="E147" s="107" t="n"/>
    </row>
    <row r="148" ht="15" customHeight="1" s="62">
      <c r="A148" s="107" t="n"/>
      <c r="B148" s="107" t="n"/>
      <c r="C148" s="110">
        <f>IFERROR(IF(OR($A148="",$B148=""),"",INDEX(tblCalisan[Brüt Ücret (₺)],MATCH($A148,tblCalisan[Çalışan Adı],0))*IF($B148="5 Puan İndirimi",BesPuanOrani,IF($B148="İlave İstihdam",IlaveIstihdamOrani,IF($B148="Kadın/Genç",KadinGencOrani,IF($B148="Engelli",EngelliOrani,GencGirisimciOrani))))),"")</f>
        <v/>
      </c>
      <c r="D148" s="110">
        <f>IF($C148="","",$C148*AySayisi)</f>
        <v/>
      </c>
      <c r="E148" s="107" t="n"/>
    </row>
    <row r="149" ht="15" customHeight="1" s="62">
      <c r="A149" s="107" t="n"/>
      <c r="B149" s="107" t="n"/>
      <c r="C149" s="110">
        <f>IFERROR(IF(OR($A149="",$B149=""),"",INDEX(tblCalisan[Brüt Ücret (₺)],MATCH($A149,tblCalisan[Çalışan Adı],0))*IF($B149="5 Puan İndirimi",BesPuanOrani,IF($B149="İlave İstihdam",IlaveIstihdamOrani,IF($B149="Kadın/Genç",KadinGencOrani,IF($B149="Engelli",EngelliOrani,GencGirisimciOrani))))),"")</f>
        <v/>
      </c>
      <c r="D149" s="110">
        <f>IF($C149="","",$C149*AySayisi)</f>
        <v/>
      </c>
      <c r="E149" s="107" t="n"/>
    </row>
    <row r="150" ht="15" customHeight="1" s="62">
      <c r="A150" s="107" t="n"/>
      <c r="B150" s="107" t="n"/>
      <c r="C150" s="110">
        <f>IFERROR(IF(OR($A150="",$B150=""),"",INDEX(tblCalisan[Brüt Ücret (₺)],MATCH($A150,tblCalisan[Çalışan Adı],0))*IF($B150="5 Puan İndirimi",BesPuanOrani,IF($B150="İlave İstihdam",IlaveIstihdamOrani,IF($B150="Kadın/Genç",KadinGencOrani,IF($B150="Engelli",EngelliOrani,GencGirisimciOrani))))),"")</f>
        <v/>
      </c>
      <c r="D150" s="110">
        <f>IF($C150="","",$C150*AySayisi)</f>
        <v/>
      </c>
      <c r="E150" s="107" t="n"/>
    </row>
    <row r="151" ht="15" customHeight="1" s="62">
      <c r="A151" s="107" t="n"/>
      <c r="B151" s="107" t="n"/>
      <c r="C151" s="110">
        <f>IFERROR(IF(OR($A151="",$B151=""),"",INDEX(tblCalisan[Brüt Ücret (₺)],MATCH($A151,tblCalisan[Çalışan Adı],0))*IF($B151="5 Puan İndirimi",BesPuanOrani,IF($B151="İlave İstihdam",IlaveIstihdamOrani,IF($B151="Kadın/Genç",KadinGencOrani,IF($B151="Engelli",EngelliOrani,GencGirisimciOrani))))),"")</f>
        <v/>
      </c>
      <c r="D151" s="110">
        <f>IF($C151="","",$C151*AySayisi)</f>
        <v/>
      </c>
      <c r="E151" s="107" t="n"/>
    </row>
    <row r="152" ht="15" customHeight="1" s="62">
      <c r="A152" s="107" t="n"/>
      <c r="B152" s="107" t="n"/>
      <c r="C152" s="110">
        <f>IFERROR(IF(OR($A152="",$B152=""),"",INDEX(tblCalisan[Brüt Ücret (₺)],MATCH($A152,tblCalisan[Çalışan Adı],0))*IF($B152="5 Puan İndirimi",BesPuanOrani,IF($B152="İlave İstihdam",IlaveIstihdamOrani,IF($B152="Kadın/Genç",KadinGencOrani,IF($B152="Engelli",EngelliOrani,GencGirisimciOrani))))),"")</f>
        <v/>
      </c>
      <c r="D152" s="110">
        <f>IF($C152="","",$C152*AySayisi)</f>
        <v/>
      </c>
      <c r="E152" s="107" t="n"/>
    </row>
    <row r="153" ht="15" customHeight="1" s="62">
      <c r="A153" s="107" t="n"/>
      <c r="B153" s="107" t="n"/>
      <c r="C153" s="110">
        <f>IFERROR(IF(OR($A153="",$B153=""),"",INDEX(tblCalisan[Brüt Ücret (₺)],MATCH($A153,tblCalisan[Çalışan Adı],0))*IF($B153="5 Puan İndirimi",BesPuanOrani,IF($B153="İlave İstihdam",IlaveIstihdamOrani,IF($B153="Kadın/Genç",KadinGencOrani,IF($B153="Engelli",EngelliOrani,GencGirisimciOrani))))),"")</f>
        <v/>
      </c>
      <c r="D153" s="110">
        <f>IF($C153="","",$C153*AySayisi)</f>
        <v/>
      </c>
      <c r="E153" s="107" t="n"/>
    </row>
    <row r="154" ht="15" customHeight="1" s="62">
      <c r="A154" s="107" t="n"/>
      <c r="B154" s="107" t="n"/>
      <c r="C154" s="110">
        <f>IFERROR(IF(OR($A154="",$B154=""),"",INDEX(tblCalisan[Brüt Ücret (₺)],MATCH($A154,tblCalisan[Çalışan Adı],0))*IF($B154="5 Puan İndirimi",BesPuanOrani,IF($B154="İlave İstihdam",IlaveIstihdamOrani,IF($B154="Kadın/Genç",KadinGencOrani,IF($B154="Engelli",EngelliOrani,GencGirisimciOrani))))),"")</f>
        <v/>
      </c>
      <c r="D154" s="110">
        <f>IF($C154="","",$C154*AySayisi)</f>
        <v/>
      </c>
      <c r="E154" s="107" t="n"/>
    </row>
    <row r="155" ht="15" customHeight="1" s="62">
      <c r="A155" s="107" t="n"/>
      <c r="B155" s="107" t="n"/>
      <c r="C155" s="110">
        <f>IFERROR(IF(OR($A155="",$B155=""),"",INDEX(tblCalisan[Brüt Ücret (₺)],MATCH($A155,tblCalisan[Çalışan Adı],0))*IF($B155="5 Puan İndirimi",BesPuanOrani,IF($B155="İlave İstihdam",IlaveIstihdamOrani,IF($B155="Kadın/Genç",KadinGencOrani,IF($B155="Engelli",EngelliOrani,GencGirisimciOrani))))),"")</f>
        <v/>
      </c>
      <c r="D155" s="110">
        <f>IF($C155="","",$C155*AySayisi)</f>
        <v/>
      </c>
      <c r="E155" s="107" t="n"/>
    </row>
    <row r="156" ht="15" customHeight="1" s="62">
      <c r="A156" s="107" t="n"/>
      <c r="B156" s="107" t="n"/>
      <c r="C156" s="110">
        <f>IFERROR(IF(OR($A156="",$B156=""),"",INDEX(tblCalisan[Brüt Ücret (₺)],MATCH($A156,tblCalisan[Çalışan Adı],0))*IF($B156="5 Puan İndirimi",BesPuanOrani,IF($B156="İlave İstihdam",IlaveIstihdamOrani,IF($B156="Kadın/Genç",KadinGencOrani,IF($B156="Engelli",EngelliOrani,GencGirisimciOrani))))),"")</f>
        <v/>
      </c>
      <c r="D156" s="110">
        <f>IF($C156="","",$C156*AySayisi)</f>
        <v/>
      </c>
      <c r="E156" s="107" t="n"/>
    </row>
    <row r="157" ht="15" customHeight="1" s="62">
      <c r="A157" s="107" t="n"/>
      <c r="B157" s="107" t="n"/>
      <c r="C157" s="110">
        <f>IFERROR(IF(OR($A157="",$B157=""),"",INDEX(tblCalisan[Brüt Ücret (₺)],MATCH($A157,tblCalisan[Çalışan Adı],0))*IF($B157="5 Puan İndirimi",BesPuanOrani,IF($B157="İlave İstihdam",IlaveIstihdamOrani,IF($B157="Kadın/Genç",KadinGencOrani,IF($B157="Engelli",EngelliOrani,GencGirisimciOrani))))),"")</f>
        <v/>
      </c>
      <c r="D157" s="110">
        <f>IF($C157="","",$C157*AySayisi)</f>
        <v/>
      </c>
      <c r="E157" s="107" t="n"/>
    </row>
    <row r="158" ht="15" customHeight="1" s="62">
      <c r="A158" s="107" t="n"/>
      <c r="B158" s="107" t="n"/>
      <c r="C158" s="110">
        <f>IFERROR(IF(OR($A158="",$B158=""),"",INDEX(tblCalisan[Brüt Ücret (₺)],MATCH($A158,tblCalisan[Çalışan Adı],0))*IF($B158="5 Puan İndirimi",BesPuanOrani,IF($B158="İlave İstihdam",IlaveIstihdamOrani,IF($B158="Kadın/Genç",KadinGencOrani,IF($B158="Engelli",EngelliOrani,GencGirisimciOrani))))),"")</f>
        <v/>
      </c>
      <c r="D158" s="110">
        <f>IF($C158="","",$C158*AySayisi)</f>
        <v/>
      </c>
      <c r="E158" s="107" t="n"/>
    </row>
    <row r="159" ht="15" customHeight="1" s="62">
      <c r="A159" s="107" t="n"/>
      <c r="B159" s="107" t="n"/>
      <c r="C159" s="110">
        <f>IFERROR(IF(OR($A159="",$B159=""),"",INDEX(tblCalisan[Brüt Ücret (₺)],MATCH($A159,tblCalisan[Çalışan Adı],0))*IF($B159="5 Puan İndirimi",BesPuanOrani,IF($B159="İlave İstihdam",IlaveIstihdamOrani,IF($B159="Kadın/Genç",KadinGencOrani,IF($B159="Engelli",EngelliOrani,GencGirisimciOrani))))),"")</f>
        <v/>
      </c>
      <c r="D159" s="110">
        <f>IF($C159="","",$C159*AySayisi)</f>
        <v/>
      </c>
      <c r="E159" s="107" t="n"/>
    </row>
    <row r="160" ht="15" customHeight="1" s="62">
      <c r="A160" s="107" t="n"/>
      <c r="B160" s="107" t="n"/>
      <c r="C160" s="110">
        <f>IFERROR(IF(OR($A160="",$B160=""),"",INDEX(tblCalisan[Brüt Ücret (₺)],MATCH($A160,tblCalisan[Çalışan Adı],0))*IF($B160="5 Puan İndirimi",BesPuanOrani,IF($B160="İlave İstihdam",IlaveIstihdamOrani,IF($B160="Kadın/Genç",KadinGencOrani,IF($B160="Engelli",EngelliOrani,GencGirisimciOrani))))),"")</f>
        <v/>
      </c>
      <c r="D160" s="110">
        <f>IF($C160="","",$C160*AySayisi)</f>
        <v/>
      </c>
      <c r="E160" s="107" t="n"/>
    </row>
    <row r="161" ht="15" customHeight="1" s="62">
      <c r="A161" s="107" t="n"/>
      <c r="B161" s="107" t="n"/>
      <c r="C161" s="110">
        <f>IFERROR(IF(OR($A161="",$B161=""),"",INDEX(tblCalisan[Brüt Ücret (₺)],MATCH($A161,tblCalisan[Çalışan Adı],0))*IF($B161="5 Puan İndirimi",BesPuanOrani,IF($B161="İlave İstihdam",IlaveIstihdamOrani,IF($B161="Kadın/Genç",KadinGencOrani,IF($B161="Engelli",EngelliOrani,GencGirisimciOrani))))),"")</f>
        <v/>
      </c>
      <c r="D161" s="110">
        <f>IF($C161="","",$C161*AySayisi)</f>
        <v/>
      </c>
      <c r="E161" s="107" t="n"/>
    </row>
    <row r="162" ht="15" customHeight="1" s="62">
      <c r="A162" s="107" t="n"/>
      <c r="B162" s="107" t="n"/>
      <c r="C162" s="110">
        <f>IFERROR(IF(OR($A162="",$B162=""),"",INDEX(tblCalisan[Brüt Ücret (₺)],MATCH($A162,tblCalisan[Çalışan Adı],0))*IF($B162="5 Puan İndirimi",BesPuanOrani,IF($B162="İlave İstihdam",IlaveIstihdamOrani,IF($B162="Kadın/Genç",KadinGencOrani,IF($B162="Engelli",EngelliOrani,GencGirisimciOrani))))),"")</f>
        <v/>
      </c>
      <c r="D162" s="110">
        <f>IF($C162="","",$C162*AySayisi)</f>
        <v/>
      </c>
      <c r="E162" s="107" t="n"/>
    </row>
    <row r="163" ht="15" customHeight="1" s="62">
      <c r="A163" s="107" t="n"/>
      <c r="B163" s="107" t="n"/>
      <c r="C163" s="110">
        <f>IFERROR(IF(OR($A163="",$B163=""),"",INDEX(tblCalisan[Brüt Ücret (₺)],MATCH($A163,tblCalisan[Çalışan Adı],0))*IF($B163="5 Puan İndirimi",BesPuanOrani,IF($B163="İlave İstihdam",IlaveIstihdamOrani,IF($B163="Kadın/Genç",KadinGencOrani,IF($B163="Engelli",EngelliOrani,GencGirisimciOrani))))),"")</f>
        <v/>
      </c>
      <c r="D163" s="110">
        <f>IF($C163="","",$C163*AySayisi)</f>
        <v/>
      </c>
      <c r="E163" s="107" t="n"/>
    </row>
    <row r="164" ht="15" customHeight="1" s="62">
      <c r="A164" s="107" t="n"/>
      <c r="B164" s="107" t="n"/>
      <c r="C164" s="110">
        <f>IFERROR(IF(OR($A164="",$B164=""),"",INDEX(tblCalisan[Brüt Ücret (₺)],MATCH($A164,tblCalisan[Çalışan Adı],0))*IF($B164="5 Puan İndirimi",BesPuanOrani,IF($B164="İlave İstihdam",IlaveIstihdamOrani,IF($B164="Kadın/Genç",KadinGencOrani,IF($B164="Engelli",EngelliOrani,GencGirisimciOrani))))),"")</f>
        <v/>
      </c>
      <c r="D164" s="110">
        <f>IF($C164="","",$C164*AySayisi)</f>
        <v/>
      </c>
      <c r="E164" s="107" t="n"/>
    </row>
    <row r="165" ht="15" customHeight="1" s="62">
      <c r="A165" s="107" t="n"/>
      <c r="B165" s="107" t="n"/>
      <c r="C165" s="110">
        <f>IFERROR(IF(OR($A165="",$B165=""),"",INDEX(tblCalisan[Brüt Ücret (₺)],MATCH($A165,tblCalisan[Çalışan Adı],0))*IF($B165="5 Puan İndirimi",BesPuanOrani,IF($B165="İlave İstihdam",IlaveIstihdamOrani,IF($B165="Kadın/Genç",KadinGencOrani,IF($B165="Engelli",EngelliOrani,GencGirisimciOrani))))),"")</f>
        <v/>
      </c>
      <c r="D165" s="110">
        <f>IF($C165="","",$C165*AySayisi)</f>
        <v/>
      </c>
      <c r="E165" s="107" t="n"/>
    </row>
    <row r="166" ht="15" customHeight="1" s="62">
      <c r="A166" s="107" t="n"/>
      <c r="B166" s="107" t="n"/>
      <c r="C166" s="110">
        <f>IFERROR(IF(OR($A166="",$B166=""),"",INDEX(tblCalisan[Brüt Ücret (₺)],MATCH($A166,tblCalisan[Çalışan Adı],0))*IF($B166="5 Puan İndirimi",BesPuanOrani,IF($B166="İlave İstihdam",IlaveIstihdamOrani,IF($B166="Kadın/Genç",KadinGencOrani,IF($B166="Engelli",EngelliOrani,GencGirisimciOrani))))),"")</f>
        <v/>
      </c>
      <c r="D166" s="110">
        <f>IF($C166="","",$C166*AySayisi)</f>
        <v/>
      </c>
      <c r="E166" s="107" t="n"/>
    </row>
    <row r="167" ht="15" customHeight="1" s="62">
      <c r="A167" s="107" t="n"/>
      <c r="B167" s="107" t="n"/>
      <c r="C167" s="110">
        <f>IFERROR(IF(OR($A167="",$B167=""),"",INDEX(tblCalisan[Brüt Ücret (₺)],MATCH($A167,tblCalisan[Çalışan Adı],0))*IF($B167="5 Puan İndirimi",BesPuanOrani,IF($B167="İlave İstihdam",IlaveIstihdamOrani,IF($B167="Kadın/Genç",KadinGencOrani,IF($B167="Engelli",EngelliOrani,GencGirisimciOrani))))),"")</f>
        <v/>
      </c>
      <c r="D167" s="110">
        <f>IF($C167="","",$C167*AySayisi)</f>
        <v/>
      </c>
      <c r="E167" s="107" t="n"/>
    </row>
    <row r="168" ht="15" customHeight="1" s="62">
      <c r="A168" s="107" t="n"/>
      <c r="B168" s="107" t="n"/>
      <c r="C168" s="110">
        <f>IFERROR(IF(OR($A168="",$B168=""),"",INDEX(tblCalisan[Brüt Ücret (₺)],MATCH($A168,tblCalisan[Çalışan Adı],0))*IF($B168="5 Puan İndirimi",BesPuanOrani,IF($B168="İlave İstihdam",IlaveIstihdamOrani,IF($B168="Kadın/Genç",KadinGencOrani,IF($B168="Engelli",EngelliOrani,GencGirisimciOrani))))),"")</f>
        <v/>
      </c>
      <c r="D168" s="110">
        <f>IF($C168="","",$C168*AySayisi)</f>
        <v/>
      </c>
      <c r="E168" s="107" t="n"/>
    </row>
    <row r="169" ht="15" customHeight="1" s="62">
      <c r="A169" s="107" t="n"/>
      <c r="B169" s="107" t="n"/>
      <c r="C169" s="110">
        <f>IFERROR(IF(OR($A169="",$B169=""),"",INDEX(tblCalisan[Brüt Ücret (₺)],MATCH($A169,tblCalisan[Çalışan Adı],0))*IF($B169="5 Puan İndirimi",BesPuanOrani,IF($B169="İlave İstihdam",IlaveIstihdamOrani,IF($B169="Kadın/Genç",KadinGencOrani,IF($B169="Engelli",EngelliOrani,GencGirisimciOrani))))),"")</f>
        <v/>
      </c>
      <c r="D169" s="110">
        <f>IF($C169="","",$C169*AySayisi)</f>
        <v/>
      </c>
      <c r="E169" s="107" t="n"/>
    </row>
    <row r="170" ht="15" customHeight="1" s="62">
      <c r="A170" s="107" t="n"/>
      <c r="B170" s="107" t="n"/>
      <c r="C170" s="110">
        <f>IFERROR(IF(OR($A170="",$B170=""),"",INDEX(tblCalisan[Brüt Ücret (₺)],MATCH($A170,tblCalisan[Çalışan Adı],0))*IF($B170="5 Puan İndirimi",BesPuanOrani,IF($B170="İlave İstihdam",IlaveIstihdamOrani,IF($B170="Kadın/Genç",KadinGencOrani,IF($B170="Engelli",EngelliOrani,GencGirisimciOrani))))),"")</f>
        <v/>
      </c>
      <c r="D170" s="110">
        <f>IF($C170="","",$C170*AySayisi)</f>
        <v/>
      </c>
      <c r="E170" s="107" t="n"/>
    </row>
    <row r="171" ht="15" customHeight="1" s="62">
      <c r="A171" s="107" t="n"/>
      <c r="B171" s="107" t="n"/>
      <c r="C171" s="110">
        <f>IFERROR(IF(OR($A171="",$B171=""),"",INDEX(tblCalisan[Brüt Ücret (₺)],MATCH($A171,tblCalisan[Çalışan Adı],0))*IF($B171="5 Puan İndirimi",BesPuanOrani,IF($B171="İlave İstihdam",IlaveIstihdamOrani,IF($B171="Kadın/Genç",KadinGencOrani,IF($B171="Engelli",EngelliOrani,GencGirisimciOrani))))),"")</f>
        <v/>
      </c>
      <c r="D171" s="110">
        <f>IF($C171="","",$C171*AySayisi)</f>
        <v/>
      </c>
      <c r="E171" s="107" t="n"/>
    </row>
    <row r="172" ht="15" customHeight="1" s="62">
      <c r="A172" s="107" t="n"/>
      <c r="B172" s="107" t="n"/>
      <c r="C172" s="110">
        <f>IFERROR(IF(OR($A172="",$B172=""),"",INDEX(tblCalisan[Brüt Ücret (₺)],MATCH($A172,tblCalisan[Çalışan Adı],0))*IF($B172="5 Puan İndirimi",BesPuanOrani,IF($B172="İlave İstihdam",IlaveIstihdamOrani,IF($B172="Kadın/Genç",KadinGencOrani,IF($B172="Engelli",EngelliOrani,GencGirisimciOrani))))),"")</f>
        <v/>
      </c>
      <c r="D172" s="110">
        <f>IF($C172="","",$C172*AySayisi)</f>
        <v/>
      </c>
      <c r="E172" s="107" t="n"/>
    </row>
    <row r="173" ht="15" customHeight="1" s="62">
      <c r="A173" s="107" t="n"/>
      <c r="B173" s="107" t="n"/>
      <c r="C173" s="110">
        <f>IFERROR(IF(OR($A173="",$B173=""),"",INDEX(tblCalisan[Brüt Ücret (₺)],MATCH($A173,tblCalisan[Çalışan Adı],0))*IF($B173="5 Puan İndirimi",BesPuanOrani,IF($B173="İlave İstihdam",IlaveIstihdamOrani,IF($B173="Kadın/Genç",KadinGencOrani,IF($B173="Engelli",EngelliOrani,GencGirisimciOrani))))),"")</f>
        <v/>
      </c>
      <c r="D173" s="110">
        <f>IF($C173="","",$C173*AySayisi)</f>
        <v/>
      </c>
      <c r="E173" s="107" t="n"/>
    </row>
    <row r="174" ht="15" customHeight="1" s="62">
      <c r="A174" s="107" t="n"/>
      <c r="B174" s="107" t="n"/>
      <c r="C174" s="110">
        <f>IFERROR(IF(OR($A174="",$B174=""),"",INDEX(tblCalisan[Brüt Ücret (₺)],MATCH($A174,tblCalisan[Çalışan Adı],0))*IF($B174="5 Puan İndirimi",BesPuanOrani,IF($B174="İlave İstihdam",IlaveIstihdamOrani,IF($B174="Kadın/Genç",KadinGencOrani,IF($B174="Engelli",EngelliOrani,GencGirisimciOrani))))),"")</f>
        <v/>
      </c>
      <c r="D174" s="110">
        <f>IF($C174="","",$C174*AySayisi)</f>
        <v/>
      </c>
      <c r="E174" s="107" t="n"/>
    </row>
    <row r="175" ht="15" customHeight="1" s="62">
      <c r="A175" s="107" t="n"/>
      <c r="B175" s="107" t="n"/>
      <c r="C175" s="110">
        <f>IFERROR(IF(OR($A175="",$B175=""),"",INDEX(tblCalisan[Brüt Ücret (₺)],MATCH($A175,tblCalisan[Çalışan Adı],0))*IF($B175="5 Puan İndirimi",BesPuanOrani,IF($B175="İlave İstihdam",IlaveIstihdamOrani,IF($B175="Kadın/Genç",KadinGencOrani,IF($B175="Engelli",EngelliOrani,GencGirisimciOrani))))),"")</f>
        <v/>
      </c>
      <c r="D175" s="110">
        <f>IF($C175="","",$C175*AySayisi)</f>
        <v/>
      </c>
      <c r="E175" s="107" t="n"/>
    </row>
    <row r="176" ht="15" customHeight="1" s="62">
      <c r="A176" s="107" t="n"/>
      <c r="B176" s="107" t="n"/>
      <c r="C176" s="110">
        <f>IFERROR(IF(OR($A176="",$B176=""),"",INDEX(tblCalisan[Brüt Ücret (₺)],MATCH($A176,tblCalisan[Çalışan Adı],0))*IF($B176="5 Puan İndirimi",BesPuanOrani,IF($B176="İlave İstihdam",IlaveIstihdamOrani,IF($B176="Kadın/Genç",KadinGencOrani,IF($B176="Engelli",EngelliOrani,GencGirisimciOrani))))),"")</f>
        <v/>
      </c>
      <c r="D176" s="110">
        <f>IF($C176="","",$C176*AySayisi)</f>
        <v/>
      </c>
      <c r="E176" s="107" t="n"/>
    </row>
    <row r="177" ht="15" customHeight="1" s="62">
      <c r="A177" s="107" t="n"/>
      <c r="B177" s="107" t="n"/>
      <c r="C177" s="110">
        <f>IFERROR(IF(OR($A177="",$B177=""),"",INDEX(tblCalisan[Brüt Ücret (₺)],MATCH($A177,tblCalisan[Çalışan Adı],0))*IF($B177="5 Puan İndirimi",BesPuanOrani,IF($B177="İlave İstihdam",IlaveIstihdamOrani,IF($B177="Kadın/Genç",KadinGencOrani,IF($B177="Engelli",EngelliOrani,GencGirisimciOrani))))),"")</f>
        <v/>
      </c>
      <c r="D177" s="110">
        <f>IF($C177="","",$C177*AySayisi)</f>
        <v/>
      </c>
      <c r="E177" s="107" t="n"/>
    </row>
    <row r="178" ht="15" customHeight="1" s="62">
      <c r="A178" s="107" t="n"/>
      <c r="B178" s="107" t="n"/>
      <c r="C178" s="110">
        <f>IFERROR(IF(OR($A178="",$B178=""),"",INDEX(tblCalisan[Brüt Ücret (₺)],MATCH($A178,tblCalisan[Çalışan Adı],0))*IF($B178="5 Puan İndirimi",BesPuanOrani,IF($B178="İlave İstihdam",IlaveIstihdamOrani,IF($B178="Kadın/Genç",KadinGencOrani,IF($B178="Engelli",EngelliOrani,GencGirisimciOrani))))),"")</f>
        <v/>
      </c>
      <c r="D178" s="110">
        <f>IF($C178="","",$C178*AySayisi)</f>
        <v/>
      </c>
      <c r="E178" s="107" t="n"/>
    </row>
    <row r="179" ht="15" customHeight="1" s="62">
      <c r="A179" s="107" t="n"/>
      <c r="B179" s="107" t="n"/>
      <c r="C179" s="110">
        <f>IFERROR(IF(OR($A179="",$B179=""),"",INDEX(tblCalisan[Brüt Ücret (₺)],MATCH($A179,tblCalisan[Çalışan Adı],0))*IF($B179="5 Puan İndirimi",BesPuanOrani,IF($B179="İlave İstihdam",IlaveIstihdamOrani,IF($B179="Kadın/Genç",KadinGencOrani,IF($B179="Engelli",EngelliOrani,GencGirisimciOrani))))),"")</f>
        <v/>
      </c>
      <c r="D179" s="110">
        <f>IF($C179="","",$C179*AySayisi)</f>
        <v/>
      </c>
      <c r="E179" s="107" t="n"/>
    </row>
    <row r="180" ht="15" customHeight="1" s="62">
      <c r="A180" s="107" t="n"/>
      <c r="B180" s="107" t="n"/>
      <c r="C180" s="110">
        <f>IFERROR(IF(OR($A180="",$B180=""),"",INDEX(tblCalisan[Brüt Ücret (₺)],MATCH($A180,tblCalisan[Çalışan Adı],0))*IF($B180="5 Puan İndirimi",BesPuanOrani,IF($B180="İlave İstihdam",IlaveIstihdamOrani,IF($B180="Kadın/Genç",KadinGencOrani,IF($B180="Engelli",EngelliOrani,GencGirisimciOrani))))),"")</f>
        <v/>
      </c>
      <c r="D180" s="110">
        <f>IF($C180="","",$C180*AySayisi)</f>
        <v/>
      </c>
      <c r="E180" s="107" t="n"/>
    </row>
    <row r="181" ht="15" customHeight="1" s="62">
      <c r="A181" s="107" t="n"/>
      <c r="B181" s="107" t="n"/>
      <c r="C181" s="110">
        <f>IFERROR(IF(OR($A181="",$B181=""),"",INDEX(tblCalisan[Brüt Ücret (₺)],MATCH($A181,tblCalisan[Çalışan Adı],0))*IF($B181="5 Puan İndirimi",BesPuanOrani,IF($B181="İlave İstihdam",IlaveIstihdamOrani,IF($B181="Kadın/Genç",KadinGencOrani,IF($B181="Engelli",EngelliOrani,GencGirisimciOrani))))),"")</f>
        <v/>
      </c>
      <c r="D181" s="110">
        <f>IF($C181="","",$C181*AySayisi)</f>
        <v/>
      </c>
      <c r="E181" s="107" t="n"/>
    </row>
    <row r="182" ht="15" customHeight="1" s="62">
      <c r="A182" s="107" t="n"/>
      <c r="B182" s="107" t="n"/>
      <c r="C182" s="110">
        <f>IFERROR(IF(OR($A182="",$B182=""),"",INDEX(tblCalisan[Brüt Ücret (₺)],MATCH($A182,tblCalisan[Çalışan Adı],0))*IF($B182="5 Puan İndirimi",BesPuanOrani,IF($B182="İlave İstihdam",IlaveIstihdamOrani,IF($B182="Kadın/Genç",KadinGencOrani,IF($B182="Engelli",EngelliOrani,GencGirisimciOrani))))),"")</f>
        <v/>
      </c>
      <c r="D182" s="110">
        <f>IF($C182="","",$C182*AySayisi)</f>
        <v/>
      </c>
      <c r="E182" s="107" t="n"/>
    </row>
    <row r="183" ht="15" customHeight="1" s="62">
      <c r="A183" s="107" t="n"/>
      <c r="B183" s="107" t="n"/>
      <c r="C183" s="110">
        <f>IFERROR(IF(OR($A183="",$B183=""),"",INDEX(tblCalisan[Brüt Ücret (₺)],MATCH($A183,tblCalisan[Çalışan Adı],0))*IF($B183="5 Puan İndirimi",BesPuanOrani,IF($B183="İlave İstihdam",IlaveIstihdamOrani,IF($B183="Kadın/Genç",KadinGencOrani,IF($B183="Engelli",EngelliOrani,GencGirisimciOrani))))),"")</f>
        <v/>
      </c>
      <c r="D183" s="110">
        <f>IF($C183="","",$C183*AySayisi)</f>
        <v/>
      </c>
      <c r="E183" s="107" t="n"/>
    </row>
    <row r="184" ht="15" customHeight="1" s="62">
      <c r="A184" s="107" t="n"/>
      <c r="B184" s="107" t="n"/>
      <c r="C184" s="110">
        <f>IFERROR(IF(OR($A184="",$B184=""),"",INDEX(tblCalisan[Brüt Ücret (₺)],MATCH($A184,tblCalisan[Çalışan Adı],0))*IF($B184="5 Puan İndirimi",BesPuanOrani,IF($B184="İlave İstihdam",IlaveIstihdamOrani,IF($B184="Kadın/Genç",KadinGencOrani,IF($B184="Engelli",EngelliOrani,GencGirisimciOrani))))),"")</f>
        <v/>
      </c>
      <c r="D184" s="110">
        <f>IF($C184="","",$C184*AySayisi)</f>
        <v/>
      </c>
      <c r="E184" s="107" t="n"/>
    </row>
    <row r="185" ht="15" customHeight="1" s="62">
      <c r="A185" s="107" t="n"/>
      <c r="B185" s="107" t="n"/>
      <c r="C185" s="110">
        <f>IFERROR(IF(OR($A185="",$B185=""),"",INDEX(tblCalisan[Brüt Ücret (₺)],MATCH($A185,tblCalisan[Çalışan Adı],0))*IF($B185="5 Puan İndirimi",BesPuanOrani,IF($B185="İlave İstihdam",IlaveIstihdamOrani,IF($B185="Kadın/Genç",KadinGencOrani,IF($B185="Engelli",EngelliOrani,GencGirisimciOrani))))),"")</f>
        <v/>
      </c>
      <c r="D185" s="110">
        <f>IF($C185="","",$C185*AySayisi)</f>
        <v/>
      </c>
      <c r="E185" s="107" t="n"/>
    </row>
    <row r="186" ht="15" customHeight="1" s="62">
      <c r="A186" s="107" t="n"/>
      <c r="B186" s="107" t="n"/>
      <c r="C186" s="110">
        <f>IFERROR(IF(OR($A186="",$B186=""),"",INDEX(tblCalisan[Brüt Ücret (₺)],MATCH($A186,tblCalisan[Çalışan Adı],0))*IF($B186="5 Puan İndirimi",BesPuanOrani,IF($B186="İlave İstihdam",IlaveIstihdamOrani,IF($B186="Kadın/Genç",KadinGencOrani,IF($B186="Engelli",EngelliOrani,GencGirisimciOrani))))),"")</f>
        <v/>
      </c>
      <c r="D186" s="110">
        <f>IF($C186="","",$C186*AySayisi)</f>
        <v/>
      </c>
      <c r="E186" s="107" t="n"/>
    </row>
    <row r="187" ht="15" customHeight="1" s="62">
      <c r="A187" s="107" t="n"/>
      <c r="B187" s="107" t="n"/>
      <c r="C187" s="110">
        <f>IFERROR(IF(OR($A187="",$B187=""),"",INDEX(tblCalisan[Brüt Ücret (₺)],MATCH($A187,tblCalisan[Çalışan Adı],0))*IF($B187="5 Puan İndirimi",BesPuanOrani,IF($B187="İlave İstihdam",IlaveIstihdamOrani,IF($B187="Kadın/Genç",KadinGencOrani,IF($B187="Engelli",EngelliOrani,GencGirisimciOrani))))),"")</f>
        <v/>
      </c>
      <c r="D187" s="110">
        <f>IF($C187="","",$C187*AySayisi)</f>
        <v/>
      </c>
      <c r="E187" s="107" t="n"/>
    </row>
    <row r="188" ht="15" customHeight="1" s="62">
      <c r="A188" s="107" t="n"/>
      <c r="B188" s="107" t="n"/>
      <c r="C188" s="110">
        <f>IFERROR(IF(OR($A188="",$B188=""),"",INDEX(tblCalisan[Brüt Ücret (₺)],MATCH($A188,tblCalisan[Çalışan Adı],0))*IF($B188="5 Puan İndirimi",BesPuanOrani,IF($B188="İlave İstihdam",IlaveIstihdamOrani,IF($B188="Kadın/Genç",KadinGencOrani,IF($B188="Engelli",EngelliOrani,GencGirisimciOrani))))),"")</f>
        <v/>
      </c>
      <c r="D188" s="110">
        <f>IF($C188="","",$C188*AySayisi)</f>
        <v/>
      </c>
      <c r="E188" s="107" t="n"/>
    </row>
    <row r="189" ht="15" customHeight="1" s="62">
      <c r="A189" s="107" t="n"/>
      <c r="B189" s="107" t="n"/>
      <c r="C189" s="110">
        <f>IFERROR(IF(OR($A189="",$B189=""),"",INDEX(tblCalisan[Brüt Ücret (₺)],MATCH($A189,tblCalisan[Çalışan Adı],0))*IF($B189="5 Puan İndirimi",BesPuanOrani,IF($B189="İlave İstihdam",IlaveIstihdamOrani,IF($B189="Kadın/Genç",KadinGencOrani,IF($B189="Engelli",EngelliOrani,GencGirisimciOrani))))),"")</f>
        <v/>
      </c>
      <c r="D189" s="110">
        <f>IF($C189="","",$C189*AySayisi)</f>
        <v/>
      </c>
      <c r="E189" s="107" t="n"/>
    </row>
    <row r="190" ht="15" customHeight="1" s="62">
      <c r="A190" s="107" t="n"/>
      <c r="B190" s="107" t="n"/>
      <c r="C190" s="110">
        <f>IFERROR(IF(OR($A190="",$B190=""),"",INDEX(tblCalisan[Brüt Ücret (₺)],MATCH($A190,tblCalisan[Çalışan Adı],0))*IF($B190="5 Puan İndirimi",BesPuanOrani,IF($B190="İlave İstihdam",IlaveIstihdamOrani,IF($B190="Kadın/Genç",KadinGencOrani,IF($B190="Engelli",EngelliOrani,GencGirisimciOrani))))),"")</f>
        <v/>
      </c>
      <c r="D190" s="110">
        <f>IF($C190="","",$C190*AySayisi)</f>
        <v/>
      </c>
      <c r="E190" s="107" t="n"/>
    </row>
    <row r="191" ht="15" customHeight="1" s="62">
      <c r="A191" s="107" t="n"/>
      <c r="B191" s="107" t="n"/>
      <c r="C191" s="110">
        <f>IFERROR(IF(OR($A191="",$B191=""),"",INDEX(tblCalisan[Brüt Ücret (₺)],MATCH($A191,tblCalisan[Çalışan Adı],0))*IF($B191="5 Puan İndirimi",BesPuanOrani,IF($B191="İlave İstihdam",IlaveIstihdamOrani,IF($B191="Kadın/Genç",KadinGencOrani,IF($B191="Engelli",EngelliOrani,GencGirisimciOrani))))),"")</f>
        <v/>
      </c>
      <c r="D191" s="110">
        <f>IF($C191="","",$C191*AySayisi)</f>
        <v/>
      </c>
      <c r="E191" s="107" t="n"/>
    </row>
    <row r="192" ht="15" customHeight="1" s="62">
      <c r="A192" s="107" t="n"/>
      <c r="B192" s="107" t="n"/>
      <c r="C192" s="110">
        <f>IFERROR(IF(OR($A192="",$B192=""),"",INDEX(tblCalisan[Brüt Ücret (₺)],MATCH($A192,tblCalisan[Çalışan Adı],0))*IF($B192="5 Puan İndirimi",BesPuanOrani,IF($B192="İlave İstihdam",IlaveIstihdamOrani,IF($B192="Kadın/Genç",KadinGencOrani,IF($B192="Engelli",EngelliOrani,GencGirisimciOrani))))),"")</f>
        <v/>
      </c>
      <c r="D192" s="110">
        <f>IF($C192="","",$C192*AySayisi)</f>
        <v/>
      </c>
      <c r="E192" s="107" t="n"/>
    </row>
    <row r="193" ht="15" customHeight="1" s="62">
      <c r="A193" s="107" t="n"/>
      <c r="B193" s="107" t="n"/>
      <c r="C193" s="110">
        <f>IFERROR(IF(OR($A193="",$B193=""),"",INDEX(tblCalisan[Brüt Ücret (₺)],MATCH($A193,tblCalisan[Çalışan Adı],0))*IF($B193="5 Puan İndirimi",BesPuanOrani,IF($B193="İlave İstihdam",IlaveIstihdamOrani,IF($B193="Kadın/Genç",KadinGencOrani,IF($B193="Engelli",EngelliOrani,GencGirisimciOrani))))),"")</f>
        <v/>
      </c>
      <c r="D193" s="110">
        <f>IF($C193="","",$C193*AySayisi)</f>
        <v/>
      </c>
      <c r="E193" s="107" t="n"/>
    </row>
    <row r="194" ht="15" customHeight="1" s="62">
      <c r="A194" s="107" t="n"/>
      <c r="B194" s="107" t="n"/>
      <c r="C194" s="110">
        <f>IFERROR(IF(OR($A194="",$B194=""),"",INDEX(tblCalisan[Brüt Ücret (₺)],MATCH($A194,tblCalisan[Çalışan Adı],0))*IF($B194="5 Puan İndirimi",BesPuanOrani,IF($B194="İlave İstihdam",IlaveIstihdamOrani,IF($B194="Kadın/Genç",KadinGencOrani,IF($B194="Engelli",EngelliOrani,GencGirisimciOrani))))),"")</f>
        <v/>
      </c>
      <c r="D194" s="110">
        <f>IF($C194="","",$C194*AySayisi)</f>
        <v/>
      </c>
      <c r="E194" s="107" t="n"/>
    </row>
    <row r="195" ht="15" customHeight="1" s="62">
      <c r="A195" s="107" t="n"/>
      <c r="B195" s="107" t="n"/>
      <c r="C195" s="110">
        <f>IFERROR(IF(OR($A195="",$B195=""),"",INDEX(tblCalisan[Brüt Ücret (₺)],MATCH($A195,tblCalisan[Çalışan Adı],0))*IF($B195="5 Puan İndirimi",BesPuanOrani,IF($B195="İlave İstihdam",IlaveIstihdamOrani,IF($B195="Kadın/Genç",KadinGencOrani,IF($B195="Engelli",EngelliOrani,GencGirisimciOrani))))),"")</f>
        <v/>
      </c>
      <c r="D195" s="110">
        <f>IF($C195="","",$C195*AySayisi)</f>
        <v/>
      </c>
      <c r="E195" s="107" t="n"/>
    </row>
    <row r="196" ht="15" customHeight="1" s="62">
      <c r="A196" s="107" t="n"/>
      <c r="B196" s="107" t="n"/>
      <c r="C196" s="110">
        <f>IFERROR(IF(OR($A196="",$B196=""),"",INDEX(tblCalisan[Brüt Ücret (₺)],MATCH($A196,tblCalisan[Çalışan Adı],0))*IF($B196="5 Puan İndirimi",BesPuanOrani,IF($B196="İlave İstihdam",IlaveIstihdamOrani,IF($B196="Kadın/Genç",KadinGencOrani,IF($B196="Engelli",EngelliOrani,GencGirisimciOrani))))),"")</f>
        <v/>
      </c>
      <c r="D196" s="110">
        <f>IF($C196="","",$C196*AySayisi)</f>
        <v/>
      </c>
      <c r="E196" s="107" t="n"/>
    </row>
    <row r="197" ht="15" customHeight="1" s="62">
      <c r="A197" s="107" t="n"/>
      <c r="B197" s="107" t="n"/>
      <c r="C197" s="110">
        <f>IFERROR(IF(OR($A197="",$B197=""),"",INDEX(tblCalisan[Brüt Ücret (₺)],MATCH($A197,tblCalisan[Çalışan Adı],0))*IF($B197="5 Puan İndirimi",BesPuanOrani,IF($B197="İlave İstihdam",IlaveIstihdamOrani,IF($B197="Kadın/Genç",KadinGencOrani,IF($B197="Engelli",EngelliOrani,GencGirisimciOrani))))),"")</f>
        <v/>
      </c>
      <c r="D197" s="110">
        <f>IF($C197="","",$C197*AySayisi)</f>
        <v/>
      </c>
      <c r="E197" s="107" t="n"/>
    </row>
    <row r="198" ht="15" customHeight="1" s="62">
      <c r="A198" s="107" t="n"/>
      <c r="B198" s="107" t="n"/>
      <c r="C198" s="110">
        <f>IFERROR(IF(OR($A198="",$B198=""),"",INDEX(tblCalisan[Brüt Ücret (₺)],MATCH($A198,tblCalisan[Çalışan Adı],0))*IF($B198="5 Puan İndirimi",BesPuanOrani,IF($B198="İlave İstihdam",IlaveIstihdamOrani,IF($B198="Kadın/Genç",KadinGencOrani,IF($B198="Engelli",EngelliOrani,GencGirisimciOrani))))),"")</f>
        <v/>
      </c>
      <c r="D198" s="110">
        <f>IF($C198="","",$C198*AySayisi)</f>
        <v/>
      </c>
      <c r="E198" s="107" t="n"/>
    </row>
    <row r="199" ht="15" customHeight="1" s="62">
      <c r="A199" s="107" t="n"/>
      <c r="B199" s="107" t="n"/>
      <c r="C199" s="110">
        <f>IFERROR(IF(OR($A199="",$B199=""),"",INDEX(tblCalisan[Brüt Ücret (₺)],MATCH($A199,tblCalisan[Çalışan Adı],0))*IF($B199="5 Puan İndirimi",BesPuanOrani,IF($B199="İlave İstihdam",IlaveIstihdamOrani,IF($B199="Kadın/Genç",KadinGencOrani,IF($B199="Engelli",EngelliOrani,GencGirisimciOrani))))),"")</f>
        <v/>
      </c>
      <c r="D199" s="110">
        <f>IF($C199="","",$C199*AySayisi)</f>
        <v/>
      </c>
      <c r="E199" s="107" t="n"/>
    </row>
    <row r="200" ht="15" customHeight="1" s="62">
      <c r="A200" s="107" t="n"/>
      <c r="B200" s="107" t="n"/>
      <c r="C200" s="110">
        <f>IFERROR(IF(OR($A200="",$B200=""),"",INDEX(tblCalisan[Brüt Ücret (₺)],MATCH($A200,tblCalisan[Çalışan Adı],0))*IF($B200="5 Puan İndirimi",BesPuanOrani,IF($B200="İlave İstihdam",IlaveIstihdamOrani,IF($B200="Kadın/Genç",KadinGencOrani,IF($B200="Engelli",EngelliOrani,GencGirisimciOrani))))),"")</f>
        <v/>
      </c>
      <c r="D200" s="110">
        <f>IF($C200="","",$C200*AySayisi)</f>
        <v/>
      </c>
      <c r="E200" s="107" t="n"/>
    </row>
    <row r="201" ht="15" customHeight="1" s="62">
      <c r="A201" s="107" t="n"/>
      <c r="B201" s="107" t="n"/>
      <c r="C201" s="110">
        <f>IFERROR(IF(OR($A201="",$B201=""),"",INDEX(tblCalisan[Brüt Ücret (₺)],MATCH($A201,tblCalisan[Çalışan Adı],0))*IF($B201="5 Puan İndirimi",BesPuanOrani,IF($B201="İlave İstihdam",IlaveIstihdamOrani,IF($B201="Kadın/Genç",KadinGencOrani,IF($B201="Engelli",EngelliOrani,GencGirisimciOrani))))),"")</f>
        <v/>
      </c>
      <c r="D201" s="110">
        <f>IF($C201="","",$C201*AySayisi)</f>
        <v/>
      </c>
      <c r="E201" s="107" t="n"/>
    </row>
    <row r="202" ht="15" customHeight="1" s="62">
      <c r="A202" s="107" t="n"/>
      <c r="B202" s="107" t="n"/>
      <c r="C202" s="110">
        <f>IFERROR(IF(OR($A202="",$B202=""),"",INDEX(tblCalisan[Brüt Ücret (₺)],MATCH($A202,tblCalisan[Çalışan Adı],0))*IF($B202="5 Puan İndirimi",BesPuanOrani,IF($B202="İlave İstihdam",IlaveIstihdamOrani,IF($B202="Kadın/Genç",KadinGencOrani,IF($B202="Engelli",EngelliOrani,GencGirisimciOrani))))),"")</f>
        <v/>
      </c>
      <c r="D202" s="110">
        <f>IF($C202="","",$C202*AySayisi)</f>
        <v/>
      </c>
      <c r="E202" s="107" t="n"/>
    </row>
    <row r="203" ht="15" customHeight="1" s="62">
      <c r="A203" s="107" t="n"/>
      <c r="B203" s="107" t="n"/>
      <c r="C203" s="110">
        <f>IFERROR(IF(OR($A203="",$B203=""),"",INDEX(tblCalisan[Brüt Ücret (₺)],MATCH($A203,tblCalisan[Çalışan Adı],0))*IF($B203="5 Puan İndirimi",BesPuanOrani,IF($B203="İlave İstihdam",IlaveIstihdamOrani,IF($B203="Kadın/Genç",KadinGencOrani,IF($B203="Engelli",EngelliOrani,GencGirisimciOrani))))),"")</f>
        <v/>
      </c>
      <c r="D203" s="110">
        <f>IF($C203="","",$C203*AySayisi)</f>
        <v/>
      </c>
      <c r="E203" s="107" t="n"/>
    </row>
    <row r="204" ht="15" customHeight="1" s="62">
      <c r="A204" s="107" t="n"/>
      <c r="B204" s="107" t="n"/>
      <c r="C204" s="110">
        <f>IFERROR(IF(OR($A204="",$B204=""),"",INDEX(tblCalisan[Brüt Ücret (₺)],MATCH($A204,tblCalisan[Çalışan Adı],0))*IF($B204="5 Puan İndirimi",BesPuanOrani,IF($B204="İlave İstihdam",IlaveIstihdamOrani,IF($B204="Kadın/Genç",KadinGencOrani,IF($B204="Engelli",EngelliOrani,GencGirisimciOrani))))),"")</f>
        <v/>
      </c>
      <c r="D204" s="110">
        <f>IF($C204="","",$C204*AySayisi)</f>
        <v/>
      </c>
      <c r="E204" s="107" t="n"/>
    </row>
    <row r="205" ht="15" customHeight="1" s="62">
      <c r="A205" s="107" t="n"/>
      <c r="B205" s="107" t="n"/>
      <c r="C205" s="110">
        <f>IFERROR(IF(OR($A205="",$B205=""),"",INDEX(tblCalisan[Brüt Ücret (₺)],MATCH($A205,tblCalisan[Çalışan Adı],0))*IF($B205="5 Puan İndirimi",BesPuanOrani,IF($B205="İlave İstihdam",IlaveIstihdamOrani,IF($B205="Kadın/Genç",KadinGencOrani,IF($B205="Engelli",EngelliOrani,GencGirisimciOrani))))),"")</f>
        <v/>
      </c>
      <c r="D205" s="110">
        <f>IF($C205="","",$C205*AySayisi)</f>
        <v/>
      </c>
      <c r="E205" s="107" t="n"/>
    </row>
    <row r="206" ht="15" customHeight="1" s="62">
      <c r="A206" s="107" t="n"/>
      <c r="B206" s="107" t="n"/>
      <c r="C206" s="110">
        <f>IFERROR(IF(OR($A206="",$B206=""),"",INDEX(tblCalisan[Brüt Ücret (₺)],MATCH($A206,tblCalisan[Çalışan Adı],0))*IF($B206="5 Puan İndirimi",BesPuanOrani,IF($B206="İlave İstihdam",IlaveIstihdamOrani,IF($B206="Kadın/Genç",KadinGencOrani,IF($B206="Engelli",EngelliOrani,GencGirisimciOrani))))),"")</f>
        <v/>
      </c>
      <c r="D206" s="110">
        <f>IF($C206="","",$C206*AySayisi)</f>
        <v/>
      </c>
      <c r="E206" s="107" t="n"/>
    </row>
    <row r="207" ht="15" customHeight="1" s="62">
      <c r="A207" s="107" t="n"/>
      <c r="B207" s="107" t="n"/>
      <c r="C207" s="110">
        <f>IFERROR(IF(OR($A207="",$B207=""),"",INDEX(tblCalisan[Brüt Ücret (₺)],MATCH($A207,tblCalisan[Çalışan Adı],0))*IF($B207="5 Puan İndirimi",BesPuanOrani,IF($B207="İlave İstihdam",IlaveIstihdamOrani,IF($B207="Kadın/Genç",KadinGencOrani,IF($B207="Engelli",EngelliOrani,GencGirisimciOrani))))),"")</f>
        <v/>
      </c>
      <c r="D207" s="110">
        <f>IF($C207="","",$C207*AySayisi)</f>
        <v/>
      </c>
      <c r="E207" s="107" t="n"/>
    </row>
    <row r="208" ht="15" customHeight="1" s="62">
      <c r="A208" s="107" t="n"/>
      <c r="B208" s="107" t="n"/>
      <c r="C208" s="110">
        <f>IFERROR(IF(OR($A208="",$B208=""),"",INDEX(tblCalisan[Brüt Ücret (₺)],MATCH($A208,tblCalisan[Çalışan Adı],0))*IF($B208="5 Puan İndirimi",BesPuanOrani,IF($B208="İlave İstihdam",IlaveIstihdamOrani,IF($B208="Kadın/Genç",KadinGencOrani,IF($B208="Engelli",EngelliOrani,GencGirisimciOrani))))),"")</f>
        <v/>
      </c>
      <c r="D208" s="110">
        <f>IF($C208="","",$C208*AySayisi)</f>
        <v/>
      </c>
      <c r="E208" s="107" t="n"/>
    </row>
    <row r="209" ht="15" customHeight="1" s="62">
      <c r="A209" s="107" t="n"/>
      <c r="B209" s="107" t="n"/>
      <c r="C209" s="110">
        <f>IFERROR(IF(OR($A209="",$B209=""),"",INDEX(tblCalisan[Brüt Ücret (₺)],MATCH($A209,tblCalisan[Çalışan Adı],0))*IF($B209="5 Puan İndirimi",BesPuanOrani,IF($B209="İlave İstihdam",IlaveIstihdamOrani,IF($B209="Kadın/Genç",KadinGencOrani,IF($B209="Engelli",EngelliOrani,GencGirisimciOrani))))),"")</f>
        <v/>
      </c>
      <c r="D209" s="110">
        <f>IF($C209="","",$C209*AySayisi)</f>
        <v/>
      </c>
      <c r="E209" s="107" t="n"/>
    </row>
    <row r="210" ht="15" customHeight="1" s="62">
      <c r="A210" s="107" t="n"/>
      <c r="B210" s="107" t="n"/>
      <c r="C210" s="110">
        <f>IFERROR(IF(OR($A210="",$B210=""),"",INDEX(tblCalisan[Brüt Ücret (₺)],MATCH($A210,tblCalisan[Çalışan Adı],0))*IF($B210="5 Puan İndirimi",BesPuanOrani,IF($B210="İlave İstihdam",IlaveIstihdamOrani,IF($B210="Kadın/Genç",KadinGencOrani,IF($B210="Engelli",EngelliOrani,GencGirisimciOrani))))),"")</f>
        <v/>
      </c>
      <c r="D210" s="110">
        <f>IF($C210="","",$C210*AySayisi)</f>
        <v/>
      </c>
      <c r="E210" s="107" t="n"/>
    </row>
    <row r="211" ht="15" customHeight="1" s="62">
      <c r="A211" s="107" t="n"/>
      <c r="B211" s="107" t="n"/>
      <c r="C211" s="110">
        <f>IFERROR(IF(OR($A211="",$B211=""),"",INDEX(tblCalisan[Brüt Ücret (₺)],MATCH($A211,tblCalisan[Çalışan Adı],0))*IF($B211="5 Puan İndirimi",BesPuanOrani,IF($B211="İlave İstihdam",IlaveIstihdamOrani,IF($B211="Kadın/Genç",KadinGencOrani,IF($B211="Engelli",EngelliOrani,GencGirisimciOrani))))),"")</f>
        <v/>
      </c>
      <c r="D211" s="110">
        <f>IF($C211="","",$C211*AySayisi)</f>
        <v/>
      </c>
      <c r="E211" s="107" t="n"/>
    </row>
    <row r="212" ht="15" customHeight="1" s="62">
      <c r="A212" s="107" t="n"/>
      <c r="B212" s="107" t="n"/>
      <c r="C212" s="110">
        <f>IFERROR(IF(OR($A212="",$B212=""),"",INDEX(tblCalisan[Brüt Ücret (₺)],MATCH($A212,tblCalisan[Çalışan Adı],0))*IF($B212="5 Puan İndirimi",BesPuanOrani,IF($B212="İlave İstihdam",IlaveIstihdamOrani,IF($B212="Kadın/Genç",KadinGencOrani,IF($B212="Engelli",EngelliOrani,GencGirisimciOrani))))),"")</f>
        <v/>
      </c>
      <c r="D212" s="110">
        <f>IF($C212="","",$C212*AySayisi)</f>
        <v/>
      </c>
      <c r="E212" s="107" t="n"/>
    </row>
    <row r="213" ht="15" customHeight="1" s="62">
      <c r="A213" s="107" t="n"/>
      <c r="B213" s="107" t="n"/>
      <c r="C213" s="110">
        <f>IFERROR(IF(OR($A213="",$B213=""),"",INDEX(tblCalisan[Brüt Ücret (₺)],MATCH($A213,tblCalisan[Çalışan Adı],0))*IF($B213="5 Puan İndirimi",BesPuanOrani,IF($B213="İlave İstihdam",IlaveIstihdamOrani,IF($B213="Kadın/Genç",KadinGencOrani,IF($B213="Engelli",EngelliOrani,GencGirisimciOrani))))),"")</f>
        <v/>
      </c>
      <c r="D213" s="110">
        <f>IF($C213="","",$C213*AySayisi)</f>
        <v/>
      </c>
      <c r="E213" s="107" t="n"/>
    </row>
    <row r="214" ht="15" customHeight="1" s="62">
      <c r="A214" s="107" t="n"/>
      <c r="B214" s="107" t="n"/>
      <c r="C214" s="110">
        <f>IFERROR(IF(OR($A214="",$B214=""),"",INDEX(tblCalisan[Brüt Ücret (₺)],MATCH($A214,tblCalisan[Çalışan Adı],0))*IF($B214="5 Puan İndirimi",BesPuanOrani,IF($B214="İlave İstihdam",IlaveIstihdamOrani,IF($B214="Kadın/Genç",KadinGencOrani,IF($B214="Engelli",EngelliOrani,GencGirisimciOrani))))),"")</f>
        <v/>
      </c>
      <c r="D214" s="110">
        <f>IF($C214="","",$C214*AySayisi)</f>
        <v/>
      </c>
      <c r="E214" s="107" t="n"/>
    </row>
    <row r="215" ht="15" customHeight="1" s="62">
      <c r="A215" s="107" t="n"/>
      <c r="B215" s="107" t="n"/>
      <c r="C215" s="110">
        <f>IFERROR(IF(OR($A215="",$B215=""),"",INDEX(tblCalisan[Brüt Ücret (₺)],MATCH($A215,tblCalisan[Çalışan Adı],0))*IF($B215="5 Puan İndirimi",BesPuanOrani,IF($B215="İlave İstihdam",IlaveIstihdamOrani,IF($B215="Kadın/Genç",KadinGencOrani,IF($B215="Engelli",EngelliOrani,GencGirisimciOrani))))),"")</f>
        <v/>
      </c>
      <c r="D215" s="110">
        <f>IF($C215="","",$C215*AySayisi)</f>
        <v/>
      </c>
      <c r="E215" s="107" t="n"/>
    </row>
    <row r="216" ht="15" customHeight="1" s="62">
      <c r="A216" s="107" t="n"/>
      <c r="B216" s="107" t="n"/>
      <c r="C216" s="110">
        <f>IFERROR(IF(OR($A216="",$B216=""),"",INDEX(tblCalisan[Brüt Ücret (₺)],MATCH($A216,tblCalisan[Çalışan Adı],0))*IF($B216="5 Puan İndirimi",BesPuanOrani,IF($B216="İlave İstihdam",IlaveIstihdamOrani,IF($B216="Kadın/Genç",KadinGencOrani,IF($B216="Engelli",EngelliOrani,GencGirisimciOrani))))),"")</f>
        <v/>
      </c>
      <c r="D216" s="110">
        <f>IF($C216="","",$C216*AySayisi)</f>
        <v/>
      </c>
      <c r="E216" s="107" t="n"/>
    </row>
    <row r="217" ht="15" customHeight="1" s="62">
      <c r="A217" s="107" t="n"/>
      <c r="B217" s="107" t="n"/>
      <c r="C217" s="110">
        <f>IFERROR(IF(OR($A217="",$B217=""),"",INDEX(tblCalisan[Brüt Ücret (₺)],MATCH($A217,tblCalisan[Çalışan Adı],0))*IF($B217="5 Puan İndirimi",BesPuanOrani,IF($B217="İlave İstihdam",IlaveIstihdamOrani,IF($B217="Kadın/Genç",KadinGencOrani,IF($B217="Engelli",EngelliOrani,GencGirisimciOrani))))),"")</f>
        <v/>
      </c>
      <c r="D217" s="110">
        <f>IF($C217="","",$C217*AySayisi)</f>
        <v/>
      </c>
      <c r="E217" s="107" t="n"/>
    </row>
    <row r="218" ht="15" customHeight="1" s="62">
      <c r="A218" s="107" t="n"/>
      <c r="B218" s="107" t="n"/>
      <c r="C218" s="110">
        <f>IFERROR(IF(OR($A218="",$B218=""),"",INDEX(tblCalisan[Brüt Ücret (₺)],MATCH($A218,tblCalisan[Çalışan Adı],0))*IF($B218="5 Puan İndirimi",BesPuanOrani,IF($B218="İlave İstihdam",IlaveIstihdamOrani,IF($B218="Kadın/Genç",KadinGencOrani,IF($B218="Engelli",EngelliOrani,GencGirisimciOrani))))),"")</f>
        <v/>
      </c>
      <c r="D218" s="110">
        <f>IF($C218="","",$C218*AySayisi)</f>
        <v/>
      </c>
      <c r="E218" s="107" t="n"/>
    </row>
    <row r="219" ht="15" customHeight="1" s="62">
      <c r="A219" s="107" t="n"/>
      <c r="B219" s="107" t="n"/>
      <c r="C219" s="110">
        <f>IFERROR(IF(OR($A219="",$B219=""),"",INDEX(tblCalisan[Brüt Ücret (₺)],MATCH($A219,tblCalisan[Çalışan Adı],0))*IF($B219="5 Puan İndirimi",BesPuanOrani,IF($B219="İlave İstihdam",IlaveIstihdamOrani,IF($B219="Kadın/Genç",KadinGencOrani,IF($B219="Engelli",EngelliOrani,GencGirisimciOrani))))),"")</f>
        <v/>
      </c>
      <c r="D219" s="110">
        <f>IF($C219="","",$C219*AySayisi)</f>
        <v/>
      </c>
      <c r="E219" s="107" t="n"/>
    </row>
    <row r="220" ht="15" customHeight="1" s="62">
      <c r="A220" s="107" t="n"/>
      <c r="B220" s="107" t="n"/>
      <c r="C220" s="110">
        <f>IFERROR(IF(OR($A220="",$B220=""),"",INDEX(tblCalisan[Brüt Ücret (₺)],MATCH($A220,tblCalisan[Çalışan Adı],0))*IF($B220="5 Puan İndirimi",BesPuanOrani,IF($B220="İlave İstihdam",IlaveIstihdamOrani,IF($B220="Kadın/Genç",KadinGencOrani,IF($B220="Engelli",EngelliOrani,GencGirisimciOrani))))),"")</f>
        <v/>
      </c>
      <c r="D220" s="110">
        <f>IF($C220="","",$C220*AySayisi)</f>
        <v/>
      </c>
      <c r="E220" s="107" t="n"/>
    </row>
    <row r="221" ht="15" customHeight="1" s="62">
      <c r="A221" s="107" t="n"/>
      <c r="B221" s="107" t="n"/>
      <c r="C221" s="110">
        <f>IFERROR(IF(OR($A221="",$B221=""),"",INDEX(tblCalisan[Brüt Ücret (₺)],MATCH($A221,tblCalisan[Çalışan Adı],0))*IF($B221="5 Puan İndirimi",BesPuanOrani,IF($B221="İlave İstihdam",IlaveIstihdamOrani,IF($B221="Kadın/Genç",KadinGencOrani,IF($B221="Engelli",EngelliOrani,GencGirisimciOrani))))),"")</f>
        <v/>
      </c>
      <c r="D221" s="110">
        <f>IF($C221="","",$C221*AySayisi)</f>
        <v/>
      </c>
      <c r="E221" s="107" t="n"/>
    </row>
    <row r="222" ht="15" customHeight="1" s="62">
      <c r="A222" s="107" t="n"/>
      <c r="B222" s="107" t="n"/>
      <c r="C222" s="110">
        <f>IFERROR(IF(OR($A222="",$B222=""),"",INDEX(tblCalisan[Brüt Ücret (₺)],MATCH($A222,tblCalisan[Çalışan Adı],0))*IF($B222="5 Puan İndirimi",BesPuanOrani,IF($B222="İlave İstihdam",IlaveIstihdamOrani,IF($B222="Kadın/Genç",KadinGencOrani,IF($B222="Engelli",EngelliOrani,GencGirisimciOrani))))),"")</f>
        <v/>
      </c>
      <c r="D222" s="110">
        <f>IF($C222="","",$C222*AySayisi)</f>
        <v/>
      </c>
      <c r="E222" s="107" t="n"/>
    </row>
    <row r="223" ht="15" customHeight="1" s="62">
      <c r="A223" s="107" t="n"/>
      <c r="B223" s="107" t="n"/>
      <c r="C223" s="110">
        <f>IFERROR(IF(OR($A223="",$B223=""),"",INDEX(tblCalisan[Brüt Ücret (₺)],MATCH($A223,tblCalisan[Çalışan Adı],0))*IF($B223="5 Puan İndirimi",BesPuanOrani,IF($B223="İlave İstihdam",IlaveIstihdamOrani,IF($B223="Kadın/Genç",KadinGencOrani,IF($B223="Engelli",EngelliOrani,GencGirisimciOrani))))),"")</f>
        <v/>
      </c>
      <c r="D223" s="110">
        <f>IF($C223="","",$C223*AySayisi)</f>
        <v/>
      </c>
      <c r="E223" s="107" t="n"/>
    </row>
    <row r="224" ht="15" customHeight="1" s="62">
      <c r="A224" s="107" t="n"/>
      <c r="B224" s="107" t="n"/>
      <c r="C224" s="110">
        <f>IFERROR(IF(OR($A224="",$B224=""),"",INDEX(tblCalisan[Brüt Ücret (₺)],MATCH($A224,tblCalisan[Çalışan Adı],0))*IF($B224="5 Puan İndirimi",BesPuanOrani,IF($B224="İlave İstihdam",IlaveIstihdamOrani,IF($B224="Kadın/Genç",KadinGencOrani,IF($B224="Engelli",EngelliOrani,GencGirisimciOrani))))),"")</f>
        <v/>
      </c>
      <c r="D224" s="110">
        <f>IF($C224="","",$C224*AySayisi)</f>
        <v/>
      </c>
      <c r="E224" s="107" t="n"/>
    </row>
    <row r="225" ht="15" customHeight="1" s="62">
      <c r="A225" s="107" t="n"/>
      <c r="B225" s="107" t="n"/>
      <c r="C225" s="110">
        <f>IFERROR(IF(OR($A225="",$B225=""),"",INDEX(tblCalisan[Brüt Ücret (₺)],MATCH($A225,tblCalisan[Çalışan Adı],0))*IF($B225="5 Puan İndirimi",BesPuanOrani,IF($B225="İlave İstihdam",IlaveIstihdamOrani,IF($B225="Kadın/Genç",KadinGencOrani,IF($B225="Engelli",EngelliOrani,GencGirisimciOrani))))),"")</f>
        <v/>
      </c>
      <c r="D225" s="110">
        <f>IF($C225="","",$C225*AySayisi)</f>
        <v/>
      </c>
      <c r="E225" s="107" t="n"/>
    </row>
    <row r="226" ht="15" customHeight="1" s="62">
      <c r="A226" s="107" t="n"/>
      <c r="B226" s="107" t="n"/>
      <c r="C226" s="110">
        <f>IFERROR(IF(OR($A226="",$B226=""),"",INDEX(tblCalisan[Brüt Ücret (₺)],MATCH($A226,tblCalisan[Çalışan Adı],0))*IF($B226="5 Puan İndirimi",BesPuanOrani,IF($B226="İlave İstihdam",IlaveIstihdamOrani,IF($B226="Kadın/Genç",KadinGencOrani,IF($B226="Engelli",EngelliOrani,GencGirisimciOrani))))),"")</f>
        <v/>
      </c>
      <c r="D226" s="110">
        <f>IF($C226="","",$C226*AySayisi)</f>
        <v/>
      </c>
      <c r="E226" s="107" t="n"/>
    </row>
    <row r="227" ht="15" customHeight="1" s="62">
      <c r="A227" s="107" t="n"/>
      <c r="B227" s="107" t="n"/>
      <c r="C227" s="110">
        <f>IFERROR(IF(OR($A227="",$B227=""),"",INDEX(tblCalisan[Brüt Ücret (₺)],MATCH($A227,tblCalisan[Çalışan Adı],0))*IF($B227="5 Puan İndirimi",BesPuanOrani,IF($B227="İlave İstihdam",IlaveIstihdamOrani,IF($B227="Kadın/Genç",KadinGencOrani,IF($B227="Engelli",EngelliOrani,GencGirisimciOrani))))),"")</f>
        <v/>
      </c>
      <c r="D227" s="110">
        <f>IF($C227="","",$C227*AySayisi)</f>
        <v/>
      </c>
      <c r="E227" s="107" t="n"/>
    </row>
    <row r="228" ht="15" customHeight="1" s="62">
      <c r="A228" s="107" t="n"/>
      <c r="B228" s="107" t="n"/>
      <c r="C228" s="110">
        <f>IFERROR(IF(OR($A228="",$B228=""),"",INDEX(tblCalisan[Brüt Ücret (₺)],MATCH($A228,tblCalisan[Çalışan Adı],0))*IF($B228="5 Puan İndirimi",BesPuanOrani,IF($B228="İlave İstihdam",IlaveIstihdamOrani,IF($B228="Kadın/Genç",KadinGencOrani,IF($B228="Engelli",EngelliOrani,GencGirisimciOrani))))),"")</f>
        <v/>
      </c>
      <c r="D228" s="110">
        <f>IF($C228="","",$C228*AySayisi)</f>
        <v/>
      </c>
      <c r="E228" s="107" t="n"/>
    </row>
    <row r="229" ht="15" customHeight="1" s="62">
      <c r="A229" s="107" t="n"/>
      <c r="B229" s="107" t="n"/>
      <c r="C229" s="110">
        <f>IFERROR(IF(OR($A229="",$B229=""),"",INDEX(tblCalisan[Brüt Ücret (₺)],MATCH($A229,tblCalisan[Çalışan Adı],0))*IF($B229="5 Puan İndirimi",BesPuanOrani,IF($B229="İlave İstihdam",IlaveIstihdamOrani,IF($B229="Kadın/Genç",KadinGencOrani,IF($B229="Engelli",EngelliOrani,GencGirisimciOrani))))),"")</f>
        <v/>
      </c>
      <c r="D229" s="110">
        <f>IF($C229="","",$C229*AySayisi)</f>
        <v/>
      </c>
      <c r="E229" s="107" t="n"/>
    </row>
    <row r="230" ht="15" customHeight="1" s="62">
      <c r="A230" s="107" t="n"/>
      <c r="B230" s="107" t="n"/>
      <c r="C230" s="110">
        <f>IFERROR(IF(OR($A230="",$B230=""),"",INDEX(tblCalisan[Brüt Ücret (₺)],MATCH($A230,tblCalisan[Çalışan Adı],0))*IF($B230="5 Puan İndirimi",BesPuanOrani,IF($B230="İlave İstihdam",IlaveIstihdamOrani,IF($B230="Kadın/Genç",KadinGencOrani,IF($B230="Engelli",EngelliOrani,GencGirisimciOrani))))),"")</f>
        <v/>
      </c>
      <c r="D230" s="110">
        <f>IF($C230="","",$C230*AySayisi)</f>
        <v/>
      </c>
      <c r="E230" s="107" t="n"/>
    </row>
    <row r="231" ht="15" customHeight="1" s="62">
      <c r="A231" s="107" t="n"/>
      <c r="B231" s="107" t="n"/>
      <c r="C231" s="110">
        <f>IFERROR(IF(OR($A231="",$B231=""),"",INDEX(tblCalisan[Brüt Ücret (₺)],MATCH($A231,tblCalisan[Çalışan Adı],0))*IF($B231="5 Puan İndirimi",BesPuanOrani,IF($B231="İlave İstihdam",IlaveIstihdamOrani,IF($B231="Kadın/Genç",KadinGencOrani,IF($B231="Engelli",EngelliOrani,GencGirisimciOrani))))),"")</f>
        <v/>
      </c>
      <c r="D231" s="110">
        <f>IF($C231="","",$C231*AySayisi)</f>
        <v/>
      </c>
      <c r="E231" s="107" t="n"/>
    </row>
    <row r="232" ht="15" customHeight="1" s="62">
      <c r="A232" s="107" t="n"/>
      <c r="B232" s="107" t="n"/>
      <c r="C232" s="110">
        <f>IFERROR(IF(OR($A232="",$B232=""),"",INDEX(tblCalisan[Brüt Ücret (₺)],MATCH($A232,tblCalisan[Çalışan Adı],0))*IF($B232="5 Puan İndirimi",BesPuanOrani,IF($B232="İlave İstihdam",IlaveIstihdamOrani,IF($B232="Kadın/Genç",KadinGencOrani,IF($B232="Engelli",EngelliOrani,GencGirisimciOrani))))),"")</f>
        <v/>
      </c>
      <c r="D232" s="110">
        <f>IF($C232="","",$C232*AySayisi)</f>
        <v/>
      </c>
      <c r="E232" s="107" t="n"/>
    </row>
    <row r="233" ht="15" customHeight="1" s="62">
      <c r="A233" s="107" t="n"/>
      <c r="B233" s="107" t="n"/>
      <c r="C233" s="110">
        <f>IFERROR(IF(OR($A233="",$B233=""),"",INDEX(tblCalisan[Brüt Ücret (₺)],MATCH($A233,tblCalisan[Çalışan Adı],0))*IF($B233="5 Puan İndirimi",BesPuanOrani,IF($B233="İlave İstihdam",IlaveIstihdamOrani,IF($B233="Kadın/Genç",KadinGencOrani,IF($B233="Engelli",EngelliOrani,GencGirisimciOrani))))),"")</f>
        <v/>
      </c>
      <c r="D233" s="110">
        <f>IF($C233="","",$C233*AySayisi)</f>
        <v/>
      </c>
      <c r="E233" s="107" t="n"/>
    </row>
    <row r="234" ht="15" customHeight="1" s="62">
      <c r="A234" s="107" t="n"/>
      <c r="B234" s="107" t="n"/>
      <c r="C234" s="110">
        <f>IFERROR(IF(OR($A234="",$B234=""),"",INDEX(tblCalisan[Brüt Ücret (₺)],MATCH($A234,tblCalisan[Çalışan Adı],0))*IF($B234="5 Puan İndirimi",BesPuanOrani,IF($B234="İlave İstihdam",IlaveIstihdamOrani,IF($B234="Kadın/Genç",KadinGencOrani,IF($B234="Engelli",EngelliOrani,GencGirisimciOrani))))),"")</f>
        <v/>
      </c>
      <c r="D234" s="110">
        <f>IF($C234="","",$C234*AySayisi)</f>
        <v/>
      </c>
      <c r="E234" s="107" t="n"/>
    </row>
    <row r="235" ht="15" customHeight="1" s="62">
      <c r="A235" s="107" t="n"/>
      <c r="B235" s="107" t="n"/>
      <c r="C235" s="110">
        <f>IFERROR(IF(OR($A235="",$B235=""),"",INDEX(tblCalisan[Brüt Ücret (₺)],MATCH($A235,tblCalisan[Çalışan Adı],0))*IF($B235="5 Puan İndirimi",BesPuanOrani,IF($B235="İlave İstihdam",IlaveIstihdamOrani,IF($B235="Kadın/Genç",KadinGencOrani,IF($B235="Engelli",EngelliOrani,GencGirisimciOrani))))),"")</f>
        <v/>
      </c>
      <c r="D235" s="110">
        <f>IF($C235="","",$C235*AySayisi)</f>
        <v/>
      </c>
      <c r="E235" s="107" t="n"/>
    </row>
    <row r="236" ht="15" customHeight="1" s="62">
      <c r="A236" s="107" t="n"/>
      <c r="B236" s="107" t="n"/>
      <c r="C236" s="110">
        <f>IFERROR(IF(OR($A236="",$B236=""),"",INDEX(tblCalisan[Brüt Ücret (₺)],MATCH($A236,tblCalisan[Çalışan Adı],0))*IF($B236="5 Puan İndirimi",BesPuanOrani,IF($B236="İlave İstihdam",IlaveIstihdamOrani,IF($B236="Kadın/Genç",KadinGencOrani,IF($B236="Engelli",EngelliOrani,GencGirisimciOrani))))),"")</f>
        <v/>
      </c>
      <c r="D236" s="110">
        <f>IF($C236="","",$C236*AySayisi)</f>
        <v/>
      </c>
      <c r="E236" s="107" t="n"/>
    </row>
    <row r="237" ht="15" customHeight="1" s="62">
      <c r="A237" s="107" t="n"/>
      <c r="B237" s="107" t="n"/>
      <c r="C237" s="110">
        <f>IFERROR(IF(OR($A237="",$B237=""),"",INDEX(tblCalisan[Brüt Ücret (₺)],MATCH($A237,tblCalisan[Çalışan Adı],0))*IF($B237="5 Puan İndirimi",BesPuanOrani,IF($B237="İlave İstihdam",IlaveIstihdamOrani,IF($B237="Kadın/Genç",KadinGencOrani,IF($B237="Engelli",EngelliOrani,GencGirisimciOrani))))),"")</f>
        <v/>
      </c>
      <c r="D237" s="110">
        <f>IF($C237="","",$C237*AySayisi)</f>
        <v/>
      </c>
      <c r="E237" s="107" t="n"/>
    </row>
    <row r="238" ht="15" customHeight="1" s="62">
      <c r="A238" s="107" t="n"/>
      <c r="B238" s="107" t="n"/>
      <c r="C238" s="110">
        <f>IFERROR(IF(OR($A238="",$B238=""),"",INDEX(tblCalisan[Brüt Ücret (₺)],MATCH($A238,tblCalisan[Çalışan Adı],0))*IF($B238="5 Puan İndirimi",BesPuanOrani,IF($B238="İlave İstihdam",IlaveIstihdamOrani,IF($B238="Kadın/Genç",KadinGencOrani,IF($B238="Engelli",EngelliOrani,GencGirisimciOrani))))),"")</f>
        <v/>
      </c>
      <c r="D238" s="110">
        <f>IF($C238="","",$C238*AySayisi)</f>
        <v/>
      </c>
      <c r="E238" s="107" t="n"/>
    </row>
    <row r="239" ht="15" customHeight="1" s="62">
      <c r="A239" s="107" t="n"/>
      <c r="B239" s="107" t="n"/>
      <c r="C239" s="110">
        <f>IFERROR(IF(OR($A239="",$B239=""),"",INDEX(tblCalisan[Brüt Ücret (₺)],MATCH($A239,tblCalisan[Çalışan Adı],0))*IF($B239="5 Puan İndirimi",BesPuanOrani,IF($B239="İlave İstihdam",IlaveIstihdamOrani,IF($B239="Kadın/Genç",KadinGencOrani,IF($B239="Engelli",EngelliOrani,GencGirisimciOrani))))),"")</f>
        <v/>
      </c>
      <c r="D239" s="110">
        <f>IF($C239="","",$C239*AySayisi)</f>
        <v/>
      </c>
      <c r="E239" s="107" t="n"/>
    </row>
    <row r="240" ht="15" customHeight="1" s="62">
      <c r="A240" s="107" t="n"/>
      <c r="B240" s="107" t="n"/>
      <c r="C240" s="110">
        <f>IFERROR(IF(OR($A240="",$B240=""),"",INDEX(tblCalisan[Brüt Ücret (₺)],MATCH($A240,tblCalisan[Çalışan Adı],0))*IF($B240="5 Puan İndirimi",BesPuanOrani,IF($B240="İlave İstihdam",IlaveIstihdamOrani,IF($B240="Kadın/Genç",KadinGencOrani,IF($B240="Engelli",EngelliOrani,GencGirisimciOrani))))),"")</f>
        <v/>
      </c>
      <c r="D240" s="110">
        <f>IF($C240="","",$C240*AySayisi)</f>
        <v/>
      </c>
      <c r="E240" s="107" t="n"/>
    </row>
    <row r="241" ht="15" customHeight="1" s="62">
      <c r="A241" s="107" t="n"/>
      <c r="B241" s="107" t="n"/>
      <c r="C241" s="110">
        <f>IFERROR(IF(OR($A241="",$B241=""),"",INDEX(tblCalisan[Brüt Ücret (₺)],MATCH($A241,tblCalisan[Çalışan Adı],0))*IF($B241="5 Puan İndirimi",BesPuanOrani,IF($B241="İlave İstihdam",IlaveIstihdamOrani,IF($B241="Kadın/Genç",KadinGencOrani,IF($B241="Engelli",EngelliOrani,GencGirisimciOrani))))),"")</f>
        <v/>
      </c>
      <c r="D241" s="110">
        <f>IF($C241="","",$C241*AySayisi)</f>
        <v/>
      </c>
      <c r="E241" s="107" t="n"/>
    </row>
    <row r="242" ht="15" customHeight="1" s="62">
      <c r="A242" s="107" t="n"/>
      <c r="B242" s="107" t="n"/>
      <c r="C242" s="110">
        <f>IFERROR(IF(OR($A242="",$B242=""),"",INDEX(tblCalisan[Brüt Ücret (₺)],MATCH($A242,tblCalisan[Çalışan Adı],0))*IF($B242="5 Puan İndirimi",BesPuanOrani,IF($B242="İlave İstihdam",IlaveIstihdamOrani,IF($B242="Kadın/Genç",KadinGencOrani,IF($B242="Engelli",EngelliOrani,GencGirisimciOrani))))),"")</f>
        <v/>
      </c>
      <c r="D242" s="110">
        <f>IF($C242="","",$C242*AySayisi)</f>
        <v/>
      </c>
      <c r="E242" s="107" t="n"/>
    </row>
    <row r="243" ht="15" customHeight="1" s="62">
      <c r="A243" s="107" t="n"/>
      <c r="B243" s="107" t="n"/>
      <c r="C243" s="110">
        <f>IFERROR(IF(OR($A243="",$B243=""),"",INDEX(tblCalisan[Brüt Ücret (₺)],MATCH($A243,tblCalisan[Çalışan Adı],0))*IF($B243="5 Puan İndirimi",BesPuanOrani,IF($B243="İlave İstihdam",IlaveIstihdamOrani,IF($B243="Kadın/Genç",KadinGencOrani,IF($B243="Engelli",EngelliOrani,GencGirisimciOrani))))),"")</f>
        <v/>
      </c>
      <c r="D243" s="110">
        <f>IF($C243="","",$C243*AySayisi)</f>
        <v/>
      </c>
      <c r="E243" s="107" t="n"/>
    </row>
    <row r="244" ht="15" customHeight="1" s="62">
      <c r="A244" s="107" t="n"/>
      <c r="B244" s="107" t="n"/>
      <c r="C244" s="110">
        <f>IFERROR(IF(OR($A244="",$B244=""),"",INDEX(tblCalisan[Brüt Ücret (₺)],MATCH($A244,tblCalisan[Çalışan Adı],0))*IF($B244="5 Puan İndirimi",BesPuanOrani,IF($B244="İlave İstihdam",IlaveIstihdamOrani,IF($B244="Kadın/Genç",KadinGencOrani,IF($B244="Engelli",EngelliOrani,GencGirisimciOrani))))),"")</f>
        <v/>
      </c>
      <c r="D244" s="110">
        <f>IF($C244="","",$C244*AySayisi)</f>
        <v/>
      </c>
      <c r="E244" s="107" t="n"/>
    </row>
    <row r="245" ht="15" customHeight="1" s="62">
      <c r="A245" s="107" t="n"/>
      <c r="B245" s="107" t="n"/>
      <c r="C245" s="110">
        <f>IFERROR(IF(OR($A245="",$B245=""),"",INDEX(tblCalisan[Brüt Ücret (₺)],MATCH($A245,tblCalisan[Çalışan Adı],0))*IF($B245="5 Puan İndirimi",BesPuanOrani,IF($B245="İlave İstihdam",IlaveIstihdamOrani,IF($B245="Kadın/Genç",KadinGencOrani,IF($B245="Engelli",EngelliOrani,GencGirisimciOrani))))),"")</f>
        <v/>
      </c>
      <c r="D245" s="110">
        <f>IF($C245="","",$C245*AySayisi)</f>
        <v/>
      </c>
      <c r="E245" s="107" t="n"/>
    </row>
    <row r="246" ht="15" customHeight="1" s="62">
      <c r="A246" s="107" t="n"/>
      <c r="B246" s="107" t="n"/>
      <c r="C246" s="110">
        <f>IFERROR(IF(OR($A246="",$B246=""),"",INDEX(tblCalisan[Brüt Ücret (₺)],MATCH($A246,tblCalisan[Çalışan Adı],0))*IF($B246="5 Puan İndirimi",BesPuanOrani,IF($B246="İlave İstihdam",IlaveIstihdamOrani,IF($B246="Kadın/Genç",KadinGencOrani,IF($B246="Engelli",EngelliOrani,GencGirisimciOrani))))),"")</f>
        <v/>
      </c>
      <c r="D246" s="110">
        <f>IF($C246="","",$C246*AySayisi)</f>
        <v/>
      </c>
      <c r="E246" s="107" t="n"/>
    </row>
    <row r="247" ht="15" customHeight="1" s="62">
      <c r="A247" s="107" t="n"/>
      <c r="B247" s="107" t="n"/>
      <c r="C247" s="110">
        <f>IFERROR(IF(OR($A247="",$B247=""),"",INDEX(tblCalisan[Brüt Ücret (₺)],MATCH($A247,tblCalisan[Çalışan Adı],0))*IF($B247="5 Puan İndirimi",BesPuanOrani,IF($B247="İlave İstihdam",IlaveIstihdamOrani,IF($B247="Kadın/Genç",KadinGencOrani,IF($B247="Engelli",EngelliOrani,GencGirisimciOrani))))),"")</f>
        <v/>
      </c>
      <c r="D247" s="110">
        <f>IF($C247="","",$C247*AySayisi)</f>
        <v/>
      </c>
      <c r="E247" s="107" t="n"/>
    </row>
    <row r="248" ht="15" customHeight="1" s="62">
      <c r="A248" s="107" t="n"/>
      <c r="B248" s="107" t="n"/>
      <c r="C248" s="110">
        <f>IFERROR(IF(OR($A248="",$B248=""),"",INDEX(tblCalisan[Brüt Ücret (₺)],MATCH($A248,tblCalisan[Çalışan Adı],0))*IF($B248="5 Puan İndirimi",BesPuanOrani,IF($B248="İlave İstihdam",IlaveIstihdamOrani,IF($B248="Kadın/Genç",KadinGencOrani,IF($B248="Engelli",EngelliOrani,GencGirisimciOrani))))),"")</f>
        <v/>
      </c>
      <c r="D248" s="110">
        <f>IF($C248="","",$C248*AySayisi)</f>
        <v/>
      </c>
      <c r="E248" s="107" t="n"/>
    </row>
    <row r="249" ht="15" customHeight="1" s="62">
      <c r="A249" s="107" t="n"/>
      <c r="B249" s="107" t="n"/>
      <c r="C249" s="110">
        <f>IFERROR(IF(OR($A249="",$B249=""),"",INDEX(tblCalisan[Brüt Ücret (₺)],MATCH($A249,tblCalisan[Çalışan Adı],0))*IF($B249="5 Puan İndirimi",BesPuanOrani,IF($B249="İlave İstihdam",IlaveIstihdamOrani,IF($B249="Kadın/Genç",KadinGencOrani,IF($B249="Engelli",EngelliOrani,GencGirisimciOrani))))),"")</f>
        <v/>
      </c>
      <c r="D249" s="110">
        <f>IF($C249="","",$C249*AySayisi)</f>
        <v/>
      </c>
      <c r="E249" s="107" t="n"/>
    </row>
    <row r="250" ht="15" customHeight="1" s="62">
      <c r="A250" s="107" t="n"/>
      <c r="B250" s="107" t="n"/>
      <c r="C250" s="110">
        <f>IFERROR(IF(OR($A250="",$B250=""),"",INDEX(tblCalisan[Brüt Ücret (₺)],MATCH($A250,tblCalisan[Çalışan Adı],0))*IF($B250="5 Puan İndirimi",BesPuanOrani,IF($B250="İlave İstihdam",IlaveIstihdamOrani,IF($B250="Kadın/Genç",KadinGencOrani,IF($B250="Engelli",EngelliOrani,GencGirisimciOrani))))),"")</f>
        <v/>
      </c>
      <c r="D250" s="110">
        <f>IF($C250="","",$C250*AySayisi)</f>
        <v/>
      </c>
      <c r="E250" s="107" t="n"/>
    </row>
    <row r="251" ht="15" customHeight="1" s="62">
      <c r="A251" s="107" t="n"/>
      <c r="B251" s="107" t="n"/>
      <c r="C251" s="110">
        <f>IFERROR(IF(OR($A251="",$B251=""),"",INDEX(tblCalisan[Brüt Ücret (₺)],MATCH($A251,tblCalisan[Çalışan Adı],0))*IF($B251="5 Puan İndirimi",BesPuanOrani,IF($B251="İlave İstihdam",IlaveIstihdamOrani,IF($B251="Kadın/Genç",KadinGencOrani,IF($B251="Engelli",EngelliOrani,GencGirisimciOrani))))),"")</f>
        <v/>
      </c>
      <c r="D251" s="110">
        <f>IF($C251="","",$C251*AySayisi)</f>
        <v/>
      </c>
      <c r="E251" s="107" t="n"/>
    </row>
    <row r="252" ht="15" customHeight="1" s="62">
      <c r="A252" s="107" t="n"/>
      <c r="B252" s="107" t="n"/>
      <c r="C252" s="110">
        <f>IFERROR(IF(OR($A252="",$B252=""),"",INDEX(tblCalisan[Brüt Ücret (₺)],MATCH($A252,tblCalisan[Çalışan Adı],0))*IF($B252="5 Puan İndirimi",BesPuanOrani,IF($B252="İlave İstihdam",IlaveIstihdamOrani,IF($B252="Kadın/Genç",KadinGencOrani,IF($B252="Engelli",EngelliOrani,GencGirisimciOrani))))),"")</f>
        <v/>
      </c>
      <c r="D252" s="110">
        <f>IF($C252="","",$C252*AySayisi)</f>
        <v/>
      </c>
      <c r="E252" s="107" t="n"/>
    </row>
    <row r="253" ht="15" customHeight="1" s="62">
      <c r="A253" s="107" t="n"/>
      <c r="B253" s="107" t="n"/>
      <c r="C253" s="110">
        <f>IFERROR(IF(OR($A253="",$B253=""),"",INDEX(tblCalisan[Brüt Ücret (₺)],MATCH($A253,tblCalisan[Çalışan Adı],0))*IF($B253="5 Puan İndirimi",BesPuanOrani,IF($B253="İlave İstihdam",IlaveIstihdamOrani,IF($B253="Kadın/Genç",KadinGencOrani,IF($B253="Engelli",EngelliOrani,GencGirisimciOrani))))),"")</f>
        <v/>
      </c>
      <c r="D253" s="110">
        <f>IF($C253="","",$C253*AySayisi)</f>
        <v/>
      </c>
      <c r="E253" s="107" t="n"/>
    </row>
    <row r="254" ht="15" customHeight="1" s="62">
      <c r="A254" s="107" t="n"/>
      <c r="B254" s="107" t="n"/>
      <c r="C254" s="110">
        <f>IFERROR(IF(OR($A254="",$B254=""),"",INDEX(tblCalisan[Brüt Ücret (₺)],MATCH($A254,tblCalisan[Çalışan Adı],0))*IF($B254="5 Puan İndirimi",BesPuanOrani,IF($B254="İlave İstihdam",IlaveIstihdamOrani,IF($B254="Kadın/Genç",KadinGencOrani,IF($B254="Engelli",EngelliOrani,GencGirisimciOrani))))),"")</f>
        <v/>
      </c>
      <c r="D254" s="110">
        <f>IF($C254="","",$C254*AySayisi)</f>
        <v/>
      </c>
      <c r="E254" s="107" t="n"/>
    </row>
    <row r="255" ht="15" customHeight="1" s="62">
      <c r="A255" s="107" t="n"/>
      <c r="B255" s="107" t="n"/>
      <c r="C255" s="110">
        <f>IFERROR(IF(OR($A255="",$B255=""),"",INDEX(tblCalisan[Brüt Ücret (₺)],MATCH($A255,tblCalisan[Çalışan Adı],0))*IF($B255="5 Puan İndirimi",BesPuanOrani,IF($B255="İlave İstihdam",IlaveIstihdamOrani,IF($B255="Kadın/Genç",KadinGencOrani,IF($B255="Engelli",EngelliOrani,GencGirisimciOrani))))),"")</f>
        <v/>
      </c>
      <c r="D255" s="110">
        <f>IF($C255="","",$C255*AySayisi)</f>
        <v/>
      </c>
      <c r="E255" s="107" t="n"/>
    </row>
    <row r="256" ht="15" customHeight="1" s="62">
      <c r="A256" s="107" t="n"/>
      <c r="B256" s="107" t="n"/>
      <c r="C256" s="110">
        <f>IFERROR(IF(OR($A256="",$B256=""),"",INDEX(tblCalisan[Brüt Ücret (₺)],MATCH($A256,tblCalisan[Çalışan Adı],0))*IF($B256="5 Puan İndirimi",BesPuanOrani,IF($B256="İlave İstihdam",IlaveIstihdamOrani,IF($B256="Kadın/Genç",KadinGencOrani,IF($B256="Engelli",EngelliOrani,GencGirisimciOrani))))),"")</f>
        <v/>
      </c>
      <c r="D256" s="110">
        <f>IF($C256="","",$C256*AySayisi)</f>
        <v/>
      </c>
      <c r="E256" s="107" t="n"/>
    </row>
    <row r="257" ht="15" customHeight="1" s="62">
      <c r="A257" s="107" t="n"/>
      <c r="B257" s="107" t="n"/>
      <c r="C257" s="110">
        <f>IFERROR(IF(OR($A257="",$B257=""),"",INDEX(tblCalisan[Brüt Ücret (₺)],MATCH($A257,tblCalisan[Çalışan Adı],0))*IF($B257="5 Puan İndirimi",BesPuanOrani,IF($B257="İlave İstihdam",IlaveIstihdamOrani,IF($B257="Kadın/Genç",KadinGencOrani,IF($B257="Engelli",EngelliOrani,GencGirisimciOrani))))),"")</f>
        <v/>
      </c>
      <c r="D257" s="110">
        <f>IF($C257="","",$C257*AySayisi)</f>
        <v/>
      </c>
      <c r="E257" s="107" t="n"/>
    </row>
    <row r="258" ht="15" customHeight="1" s="62">
      <c r="A258" s="107" t="n"/>
      <c r="B258" s="107" t="n"/>
      <c r="C258" s="110">
        <f>IFERROR(IF(OR($A258="",$B258=""),"",INDEX(tblCalisan[Brüt Ücret (₺)],MATCH($A258,tblCalisan[Çalışan Adı],0))*IF($B258="5 Puan İndirimi",BesPuanOrani,IF($B258="İlave İstihdam",IlaveIstihdamOrani,IF($B258="Kadın/Genç",KadinGencOrani,IF($B258="Engelli",EngelliOrani,GencGirisimciOrani))))),"")</f>
        <v/>
      </c>
      <c r="D258" s="110">
        <f>IF($C258="","",$C258*AySayisi)</f>
        <v/>
      </c>
      <c r="E258" s="107" t="n"/>
    </row>
    <row r="259" ht="15" customHeight="1" s="62">
      <c r="A259" s="107" t="n"/>
      <c r="B259" s="107" t="n"/>
      <c r="C259" s="110">
        <f>IFERROR(IF(OR($A259="",$B259=""),"",INDEX(tblCalisan[Brüt Ücret (₺)],MATCH($A259,tblCalisan[Çalışan Adı],0))*IF($B259="5 Puan İndirimi",BesPuanOrani,IF($B259="İlave İstihdam",IlaveIstihdamOrani,IF($B259="Kadın/Genç",KadinGencOrani,IF($B259="Engelli",EngelliOrani,GencGirisimciOrani))))),"")</f>
        <v/>
      </c>
      <c r="D259" s="110">
        <f>IF($C259="","",$C259*AySayisi)</f>
        <v/>
      </c>
      <c r="E259" s="107" t="n"/>
    </row>
    <row r="260" ht="15" customHeight="1" s="62">
      <c r="A260" s="107" t="n"/>
      <c r="B260" s="107" t="n"/>
      <c r="C260" s="110">
        <f>IFERROR(IF(OR($A260="",$B260=""),"",INDEX(tblCalisan[Brüt Ücret (₺)],MATCH($A260,tblCalisan[Çalışan Adı],0))*IF($B260="5 Puan İndirimi",BesPuanOrani,IF($B260="İlave İstihdam",IlaveIstihdamOrani,IF($B260="Kadın/Genç",KadinGencOrani,IF($B260="Engelli",EngelliOrani,GencGirisimciOrani))))),"")</f>
        <v/>
      </c>
      <c r="D260" s="110">
        <f>IF($C260="","",$C260*AySayisi)</f>
        <v/>
      </c>
      <c r="E260" s="107" t="n"/>
    </row>
    <row r="261" ht="15" customHeight="1" s="62">
      <c r="A261" s="107" t="n"/>
      <c r="B261" s="107" t="n"/>
      <c r="C261" s="110">
        <f>IFERROR(IF(OR($A261="",$B261=""),"",INDEX(tblCalisan[Brüt Ücret (₺)],MATCH($A261,tblCalisan[Çalışan Adı],0))*IF($B261="5 Puan İndirimi",BesPuanOrani,IF($B261="İlave İstihdam",IlaveIstihdamOrani,IF($B261="Kadın/Genç",KadinGencOrani,IF($B261="Engelli",EngelliOrani,GencGirisimciOrani))))),"")</f>
        <v/>
      </c>
      <c r="D261" s="110">
        <f>IF($C261="","",$C261*AySayisi)</f>
        <v/>
      </c>
      <c r="E261" s="107" t="n"/>
    </row>
    <row r="262" ht="15" customHeight="1" s="62">
      <c r="A262" s="107" t="n"/>
      <c r="B262" s="107" t="n"/>
      <c r="C262" s="110">
        <f>IFERROR(IF(OR($A262="",$B262=""),"",INDEX(tblCalisan[Brüt Ücret (₺)],MATCH($A262,tblCalisan[Çalışan Adı],0))*IF($B262="5 Puan İndirimi",BesPuanOrani,IF($B262="İlave İstihdam",IlaveIstihdamOrani,IF($B262="Kadın/Genç",KadinGencOrani,IF($B262="Engelli",EngelliOrani,GencGirisimciOrani))))),"")</f>
        <v/>
      </c>
      <c r="D262" s="110">
        <f>IF($C262="","",$C262*AySayisi)</f>
        <v/>
      </c>
      <c r="E262" s="107" t="n"/>
    </row>
    <row r="263" ht="15" customHeight="1" s="62">
      <c r="A263" s="107" t="n"/>
      <c r="B263" s="107" t="n"/>
      <c r="C263" s="110">
        <f>IFERROR(IF(OR($A263="",$B263=""),"",INDEX(tblCalisan[Brüt Ücret (₺)],MATCH($A263,tblCalisan[Çalışan Adı],0))*IF($B263="5 Puan İndirimi",BesPuanOrani,IF($B263="İlave İstihdam",IlaveIstihdamOrani,IF($B263="Kadın/Genç",KadinGencOrani,IF($B263="Engelli",EngelliOrani,GencGirisimciOrani))))),"")</f>
        <v/>
      </c>
      <c r="D263" s="110">
        <f>IF($C263="","",$C263*AySayisi)</f>
        <v/>
      </c>
      <c r="E263" s="107" t="n"/>
    </row>
    <row r="264" ht="15" customHeight="1" s="62">
      <c r="A264" s="107" t="n"/>
      <c r="B264" s="107" t="n"/>
      <c r="C264" s="110">
        <f>IFERROR(IF(OR($A264="",$B264=""),"",INDEX(tblCalisan[Brüt Ücret (₺)],MATCH($A264,tblCalisan[Çalışan Adı],0))*IF($B264="5 Puan İndirimi",BesPuanOrani,IF($B264="İlave İstihdam",IlaveIstihdamOrani,IF($B264="Kadın/Genç",KadinGencOrani,IF($B264="Engelli",EngelliOrani,GencGirisimciOrani))))),"")</f>
        <v/>
      </c>
      <c r="D264" s="110">
        <f>IF($C264="","",$C264*AySayisi)</f>
        <v/>
      </c>
      <c r="E264" s="107" t="n"/>
    </row>
    <row r="265" ht="15" customHeight="1" s="62">
      <c r="A265" s="107" t="n"/>
      <c r="B265" s="107" t="n"/>
      <c r="C265" s="110">
        <f>IFERROR(IF(OR($A265="",$B265=""),"",INDEX(tblCalisan[Brüt Ücret (₺)],MATCH($A265,tblCalisan[Çalışan Adı],0))*IF($B265="5 Puan İndirimi",BesPuanOrani,IF($B265="İlave İstihdam",IlaveIstihdamOrani,IF($B265="Kadın/Genç",KadinGencOrani,IF($B265="Engelli",EngelliOrani,GencGirisimciOrani))))),"")</f>
        <v/>
      </c>
      <c r="D265" s="110">
        <f>IF($C265="","",$C265*AySayisi)</f>
        <v/>
      </c>
      <c r="E265" s="107" t="n"/>
    </row>
    <row r="266" ht="15" customHeight="1" s="62">
      <c r="A266" s="107" t="n"/>
      <c r="B266" s="107" t="n"/>
      <c r="C266" s="110">
        <f>IFERROR(IF(OR($A266="",$B266=""),"",INDEX(tblCalisan[Brüt Ücret (₺)],MATCH($A266,tblCalisan[Çalışan Adı],0))*IF($B266="5 Puan İndirimi",BesPuanOrani,IF($B266="İlave İstihdam",IlaveIstihdamOrani,IF($B266="Kadın/Genç",KadinGencOrani,IF($B266="Engelli",EngelliOrani,GencGirisimciOrani))))),"")</f>
        <v/>
      </c>
      <c r="D266" s="110">
        <f>IF($C266="","",$C266*AySayisi)</f>
        <v/>
      </c>
      <c r="E266" s="107" t="n"/>
    </row>
    <row r="267" ht="15" customHeight="1" s="62">
      <c r="A267" s="107" t="n"/>
      <c r="B267" s="107" t="n"/>
      <c r="C267" s="110">
        <f>IFERROR(IF(OR($A267="",$B267=""),"",INDEX(tblCalisan[Brüt Ücret (₺)],MATCH($A267,tblCalisan[Çalışan Adı],0))*IF($B267="5 Puan İndirimi",BesPuanOrani,IF($B267="İlave İstihdam",IlaveIstihdamOrani,IF($B267="Kadın/Genç",KadinGencOrani,IF($B267="Engelli",EngelliOrani,GencGirisimciOrani))))),"")</f>
        <v/>
      </c>
      <c r="D267" s="110">
        <f>IF($C267="","",$C267*AySayisi)</f>
        <v/>
      </c>
      <c r="E267" s="107" t="n"/>
    </row>
    <row r="268" ht="15" customHeight="1" s="62">
      <c r="A268" s="107" t="n"/>
      <c r="B268" s="107" t="n"/>
      <c r="C268" s="110">
        <f>IFERROR(IF(OR($A268="",$B268=""),"",INDEX(tblCalisan[Brüt Ücret (₺)],MATCH($A268,tblCalisan[Çalışan Adı],0))*IF($B268="5 Puan İndirimi",BesPuanOrani,IF($B268="İlave İstihdam",IlaveIstihdamOrani,IF($B268="Kadın/Genç",KadinGencOrani,IF($B268="Engelli",EngelliOrani,GencGirisimciOrani))))),"")</f>
        <v/>
      </c>
      <c r="D268" s="110">
        <f>IF($C268="","",$C268*AySayisi)</f>
        <v/>
      </c>
      <c r="E268" s="107" t="n"/>
    </row>
    <row r="269" ht="15" customHeight="1" s="62">
      <c r="A269" s="107" t="n"/>
      <c r="B269" s="107" t="n"/>
      <c r="C269" s="110">
        <f>IFERROR(IF(OR($A269="",$B269=""),"",INDEX(tblCalisan[Brüt Ücret (₺)],MATCH($A269,tblCalisan[Çalışan Adı],0))*IF($B269="5 Puan İndirimi",BesPuanOrani,IF($B269="İlave İstihdam",IlaveIstihdamOrani,IF($B269="Kadın/Genç",KadinGencOrani,IF($B269="Engelli",EngelliOrani,GencGirisimciOrani))))),"")</f>
        <v/>
      </c>
      <c r="D269" s="110">
        <f>IF($C269="","",$C269*AySayisi)</f>
        <v/>
      </c>
      <c r="E269" s="107" t="n"/>
    </row>
    <row r="270" ht="15" customHeight="1" s="62">
      <c r="A270" s="107" t="n"/>
      <c r="B270" s="107" t="n"/>
      <c r="C270" s="110">
        <f>IFERROR(IF(OR($A270="",$B270=""),"",INDEX(tblCalisan[Brüt Ücret (₺)],MATCH($A270,tblCalisan[Çalışan Adı],0))*IF($B270="5 Puan İndirimi",BesPuanOrani,IF($B270="İlave İstihdam",IlaveIstihdamOrani,IF($B270="Kadın/Genç",KadinGencOrani,IF($B270="Engelli",EngelliOrani,GencGirisimciOrani))))),"")</f>
        <v/>
      </c>
      <c r="D270" s="110">
        <f>IF($C270="","",$C270*AySayisi)</f>
        <v/>
      </c>
      <c r="E270" s="107" t="n"/>
    </row>
    <row r="271" ht="15" customHeight="1" s="62">
      <c r="A271" s="107" t="n"/>
      <c r="B271" s="107" t="n"/>
      <c r="C271" s="110">
        <f>IFERROR(IF(OR($A271="",$B271=""),"",INDEX(tblCalisan[Brüt Ücret (₺)],MATCH($A271,tblCalisan[Çalışan Adı],0))*IF($B271="5 Puan İndirimi",BesPuanOrani,IF($B271="İlave İstihdam",IlaveIstihdamOrani,IF($B271="Kadın/Genç",KadinGencOrani,IF($B271="Engelli",EngelliOrani,GencGirisimciOrani))))),"")</f>
        <v/>
      </c>
      <c r="D271" s="110">
        <f>IF($C271="","",$C271*AySayisi)</f>
        <v/>
      </c>
      <c r="E271" s="107" t="n"/>
    </row>
    <row r="272" ht="15" customHeight="1" s="62">
      <c r="A272" s="107" t="n"/>
      <c r="B272" s="107" t="n"/>
      <c r="C272" s="110">
        <f>IFERROR(IF(OR($A272="",$B272=""),"",INDEX(tblCalisan[Brüt Ücret (₺)],MATCH($A272,tblCalisan[Çalışan Adı],0))*IF($B272="5 Puan İndirimi",BesPuanOrani,IF($B272="İlave İstihdam",IlaveIstihdamOrani,IF($B272="Kadın/Genç",KadinGencOrani,IF($B272="Engelli",EngelliOrani,GencGirisimciOrani))))),"")</f>
        <v/>
      </c>
      <c r="D272" s="110">
        <f>IF($C272="","",$C272*AySayisi)</f>
        <v/>
      </c>
      <c r="E272" s="107" t="n"/>
    </row>
    <row r="273" ht="15" customHeight="1" s="62">
      <c r="A273" s="107" t="n"/>
      <c r="B273" s="107" t="n"/>
      <c r="C273" s="110">
        <f>IFERROR(IF(OR($A273="",$B273=""),"",INDEX(tblCalisan[Brüt Ücret (₺)],MATCH($A273,tblCalisan[Çalışan Adı],0))*IF($B273="5 Puan İndirimi",BesPuanOrani,IF($B273="İlave İstihdam",IlaveIstihdamOrani,IF($B273="Kadın/Genç",KadinGencOrani,IF($B273="Engelli",EngelliOrani,GencGirisimciOrani))))),"")</f>
        <v/>
      </c>
      <c r="D273" s="110">
        <f>IF($C273="","",$C273*AySayisi)</f>
        <v/>
      </c>
      <c r="E273" s="107" t="n"/>
    </row>
    <row r="274" ht="15" customHeight="1" s="62">
      <c r="A274" s="107" t="n"/>
      <c r="B274" s="107" t="n"/>
      <c r="C274" s="110">
        <f>IFERROR(IF(OR($A274="",$B274=""),"",INDEX(tblCalisan[Brüt Ücret (₺)],MATCH($A274,tblCalisan[Çalışan Adı],0))*IF($B274="5 Puan İndirimi",BesPuanOrani,IF($B274="İlave İstihdam",IlaveIstihdamOrani,IF($B274="Kadın/Genç",KadinGencOrani,IF($B274="Engelli",EngelliOrani,GencGirisimciOrani))))),"")</f>
        <v/>
      </c>
      <c r="D274" s="110">
        <f>IF($C274="","",$C274*AySayisi)</f>
        <v/>
      </c>
      <c r="E274" s="107" t="n"/>
    </row>
    <row r="275" ht="15" customHeight="1" s="62">
      <c r="A275" s="107" t="n"/>
      <c r="B275" s="107" t="n"/>
      <c r="C275" s="110">
        <f>IFERROR(IF(OR($A275="",$B275=""),"",INDEX(tblCalisan[Brüt Ücret (₺)],MATCH($A275,tblCalisan[Çalışan Adı],0))*IF($B275="5 Puan İndirimi",BesPuanOrani,IF($B275="İlave İstihdam",IlaveIstihdamOrani,IF($B275="Kadın/Genç",KadinGencOrani,IF($B275="Engelli",EngelliOrani,GencGirisimciOrani))))),"")</f>
        <v/>
      </c>
      <c r="D275" s="110">
        <f>IF($C275="","",$C275*AySayisi)</f>
        <v/>
      </c>
      <c r="E275" s="107" t="n"/>
    </row>
    <row r="276" ht="15" customHeight="1" s="62">
      <c r="A276" s="107" t="n"/>
      <c r="B276" s="107" t="n"/>
      <c r="C276" s="110">
        <f>IFERROR(IF(OR($A276="",$B276=""),"",INDEX(tblCalisan[Brüt Ücret (₺)],MATCH($A276,tblCalisan[Çalışan Adı],0))*IF($B276="5 Puan İndirimi",BesPuanOrani,IF($B276="İlave İstihdam",IlaveIstihdamOrani,IF($B276="Kadın/Genç",KadinGencOrani,IF($B276="Engelli",EngelliOrani,GencGirisimciOrani))))),"")</f>
        <v/>
      </c>
      <c r="D276" s="110">
        <f>IF($C276="","",$C276*AySayisi)</f>
        <v/>
      </c>
      <c r="E276" s="107" t="n"/>
    </row>
    <row r="277" ht="15" customHeight="1" s="62">
      <c r="A277" s="107" t="n"/>
      <c r="B277" s="107" t="n"/>
      <c r="C277" s="110">
        <f>IFERROR(IF(OR($A277="",$B277=""),"",INDEX(tblCalisan[Brüt Ücret (₺)],MATCH($A277,tblCalisan[Çalışan Adı],0))*IF($B277="5 Puan İndirimi",BesPuanOrani,IF($B277="İlave İstihdam",IlaveIstihdamOrani,IF($B277="Kadın/Genç",KadinGencOrani,IF($B277="Engelli",EngelliOrani,GencGirisimciOrani))))),"")</f>
        <v/>
      </c>
      <c r="D277" s="110">
        <f>IF($C277="","",$C277*AySayisi)</f>
        <v/>
      </c>
      <c r="E277" s="107" t="n"/>
    </row>
    <row r="278" ht="15" customHeight="1" s="62">
      <c r="A278" s="107" t="n"/>
      <c r="B278" s="107" t="n"/>
      <c r="C278" s="110">
        <f>IFERROR(IF(OR($A278="",$B278=""),"",INDEX(tblCalisan[Brüt Ücret (₺)],MATCH($A278,tblCalisan[Çalışan Adı],0))*IF($B278="5 Puan İndirimi",BesPuanOrani,IF($B278="İlave İstihdam",IlaveIstihdamOrani,IF($B278="Kadın/Genç",KadinGencOrani,IF($B278="Engelli",EngelliOrani,GencGirisimciOrani))))),"")</f>
        <v/>
      </c>
      <c r="D278" s="110">
        <f>IF($C278="","",$C278*AySayisi)</f>
        <v/>
      </c>
      <c r="E278" s="107" t="n"/>
    </row>
    <row r="279" ht="15" customHeight="1" s="62">
      <c r="A279" s="107" t="n"/>
      <c r="B279" s="107" t="n"/>
      <c r="C279" s="110">
        <f>IFERROR(IF(OR($A279="",$B279=""),"",INDEX(tblCalisan[Brüt Ücret (₺)],MATCH($A279,tblCalisan[Çalışan Adı],0))*IF($B279="5 Puan İndirimi",BesPuanOrani,IF($B279="İlave İstihdam",IlaveIstihdamOrani,IF($B279="Kadın/Genç",KadinGencOrani,IF($B279="Engelli",EngelliOrani,GencGirisimciOrani))))),"")</f>
        <v/>
      </c>
      <c r="D279" s="110">
        <f>IF($C279="","",$C279*AySayisi)</f>
        <v/>
      </c>
      <c r="E279" s="107" t="n"/>
    </row>
    <row r="280" ht="15" customHeight="1" s="62">
      <c r="A280" s="107" t="n"/>
      <c r="B280" s="107" t="n"/>
      <c r="C280" s="110">
        <f>IFERROR(IF(OR($A280="",$B280=""),"",INDEX(tblCalisan[Brüt Ücret (₺)],MATCH($A280,tblCalisan[Çalışan Adı],0))*IF($B280="5 Puan İndirimi",BesPuanOrani,IF($B280="İlave İstihdam",IlaveIstihdamOrani,IF($B280="Kadın/Genç",KadinGencOrani,IF($B280="Engelli",EngelliOrani,GencGirisimciOrani))))),"")</f>
        <v/>
      </c>
      <c r="D280" s="110">
        <f>IF($C280="","",$C280*AySayisi)</f>
        <v/>
      </c>
      <c r="E280" s="107" t="n"/>
    </row>
    <row r="281" ht="15" customHeight="1" s="62">
      <c r="A281" s="107" t="n"/>
      <c r="B281" s="107" t="n"/>
      <c r="C281" s="110">
        <f>IFERROR(IF(OR($A281="",$B281=""),"",INDEX(tblCalisan[Brüt Ücret (₺)],MATCH($A281,tblCalisan[Çalışan Adı],0))*IF($B281="5 Puan İndirimi",BesPuanOrani,IF($B281="İlave İstihdam",IlaveIstihdamOrani,IF($B281="Kadın/Genç",KadinGencOrani,IF($B281="Engelli",EngelliOrani,GencGirisimciOrani))))),"")</f>
        <v/>
      </c>
      <c r="D281" s="110">
        <f>IF($C281="","",$C281*AySayisi)</f>
        <v/>
      </c>
      <c r="E281" s="107" t="n"/>
    </row>
    <row r="282" ht="15" customHeight="1" s="62">
      <c r="A282" s="107" t="n"/>
      <c r="B282" s="107" t="n"/>
      <c r="C282" s="110">
        <f>IFERROR(IF(OR($A282="",$B282=""),"",INDEX(tblCalisan[Brüt Ücret (₺)],MATCH($A282,tblCalisan[Çalışan Adı],0))*IF($B282="5 Puan İndirimi",BesPuanOrani,IF($B282="İlave İstihdam",IlaveIstihdamOrani,IF($B282="Kadın/Genç",KadinGencOrani,IF($B282="Engelli",EngelliOrani,GencGirisimciOrani))))),"")</f>
        <v/>
      </c>
      <c r="D282" s="110">
        <f>IF($C282="","",$C282*AySayisi)</f>
        <v/>
      </c>
      <c r="E282" s="107" t="n"/>
    </row>
    <row r="283" ht="15" customHeight="1" s="62">
      <c r="A283" s="107" t="n"/>
      <c r="B283" s="107" t="n"/>
      <c r="C283" s="110">
        <f>IFERROR(IF(OR($A283="",$B283=""),"",INDEX(tblCalisan[Brüt Ücret (₺)],MATCH($A283,tblCalisan[Çalışan Adı],0))*IF($B283="5 Puan İndirimi",BesPuanOrani,IF($B283="İlave İstihdam",IlaveIstihdamOrani,IF($B283="Kadın/Genç",KadinGencOrani,IF($B283="Engelli",EngelliOrani,GencGirisimciOrani))))),"")</f>
        <v/>
      </c>
      <c r="D283" s="110">
        <f>IF($C283="","",$C283*AySayisi)</f>
        <v/>
      </c>
      <c r="E283" s="107" t="n"/>
    </row>
    <row r="284" ht="15" customHeight="1" s="62">
      <c r="A284" s="107" t="n"/>
      <c r="B284" s="107" t="n"/>
      <c r="C284" s="110">
        <f>IFERROR(IF(OR($A284="",$B284=""),"",INDEX(tblCalisan[Brüt Ücret (₺)],MATCH($A284,tblCalisan[Çalışan Adı],0))*IF($B284="5 Puan İndirimi",BesPuanOrani,IF($B284="İlave İstihdam",IlaveIstihdamOrani,IF($B284="Kadın/Genç",KadinGencOrani,IF($B284="Engelli",EngelliOrani,GencGirisimciOrani))))),"")</f>
        <v/>
      </c>
      <c r="D284" s="110">
        <f>IF($C284="","",$C284*AySayisi)</f>
        <v/>
      </c>
      <c r="E284" s="107" t="n"/>
    </row>
    <row r="285" ht="15" customHeight="1" s="62">
      <c r="A285" s="107" t="n"/>
      <c r="B285" s="107" t="n"/>
      <c r="C285" s="110">
        <f>IFERROR(IF(OR($A285="",$B285=""),"",INDEX(tblCalisan[Brüt Ücret (₺)],MATCH($A285,tblCalisan[Çalışan Adı],0))*IF($B285="5 Puan İndirimi",BesPuanOrani,IF($B285="İlave İstihdam",IlaveIstihdamOrani,IF($B285="Kadın/Genç",KadinGencOrani,IF($B285="Engelli",EngelliOrani,GencGirisimciOrani))))),"")</f>
        <v/>
      </c>
      <c r="D285" s="110">
        <f>IF($C285="","",$C285*AySayisi)</f>
        <v/>
      </c>
      <c r="E285" s="107" t="n"/>
    </row>
    <row r="286" ht="15" customHeight="1" s="62">
      <c r="A286" s="107" t="n"/>
      <c r="B286" s="107" t="n"/>
      <c r="C286" s="110">
        <f>IFERROR(IF(OR($A286="",$B286=""),"",INDEX(tblCalisan[Brüt Ücret (₺)],MATCH($A286,tblCalisan[Çalışan Adı],0))*IF($B286="5 Puan İndirimi",BesPuanOrani,IF($B286="İlave İstihdam",IlaveIstihdamOrani,IF($B286="Kadın/Genç",KadinGencOrani,IF($B286="Engelli",EngelliOrani,GencGirisimciOrani))))),"")</f>
        <v/>
      </c>
      <c r="D286" s="110">
        <f>IF($C286="","",$C286*AySayisi)</f>
        <v/>
      </c>
      <c r="E286" s="107" t="n"/>
    </row>
    <row r="287" ht="15" customHeight="1" s="62">
      <c r="A287" s="107" t="n"/>
      <c r="B287" s="107" t="n"/>
      <c r="C287" s="110">
        <f>IFERROR(IF(OR($A287="",$B287=""),"",INDEX(tblCalisan[Brüt Ücret (₺)],MATCH($A287,tblCalisan[Çalışan Adı],0))*IF($B287="5 Puan İndirimi",BesPuanOrani,IF($B287="İlave İstihdam",IlaveIstihdamOrani,IF($B287="Kadın/Genç",KadinGencOrani,IF($B287="Engelli",EngelliOrani,GencGirisimciOrani))))),"")</f>
        <v/>
      </c>
      <c r="D287" s="110">
        <f>IF($C287="","",$C287*AySayisi)</f>
        <v/>
      </c>
      <c r="E287" s="107" t="n"/>
    </row>
    <row r="288" ht="15" customHeight="1" s="62">
      <c r="A288" s="107" t="n"/>
      <c r="B288" s="107" t="n"/>
      <c r="C288" s="110">
        <f>IFERROR(IF(OR($A288="",$B288=""),"",INDEX(tblCalisan[Brüt Ücret (₺)],MATCH($A288,tblCalisan[Çalışan Adı],0))*IF($B288="5 Puan İndirimi",BesPuanOrani,IF($B288="İlave İstihdam",IlaveIstihdamOrani,IF($B288="Kadın/Genç",KadinGencOrani,IF($B288="Engelli",EngelliOrani,GencGirisimciOrani))))),"")</f>
        <v/>
      </c>
      <c r="D288" s="110">
        <f>IF($C288="","",$C288*AySayisi)</f>
        <v/>
      </c>
      <c r="E288" s="107" t="n"/>
    </row>
    <row r="289" ht="15" customHeight="1" s="62">
      <c r="A289" s="107" t="n"/>
      <c r="B289" s="107" t="n"/>
      <c r="C289" s="110">
        <f>IFERROR(IF(OR($A289="",$B289=""),"",INDEX(tblCalisan[Brüt Ücret (₺)],MATCH($A289,tblCalisan[Çalışan Adı],0))*IF($B289="5 Puan İndirimi",BesPuanOrani,IF($B289="İlave İstihdam",IlaveIstihdamOrani,IF($B289="Kadın/Genç",KadinGencOrani,IF($B289="Engelli",EngelliOrani,GencGirisimciOrani))))),"")</f>
        <v/>
      </c>
      <c r="D289" s="110">
        <f>IF($C289="","",$C289*AySayisi)</f>
        <v/>
      </c>
      <c r="E289" s="107" t="n"/>
    </row>
    <row r="290" ht="15" customHeight="1" s="62">
      <c r="A290" s="107" t="n"/>
      <c r="B290" s="107" t="n"/>
      <c r="C290" s="110">
        <f>IFERROR(IF(OR($A290="",$B290=""),"",INDEX(tblCalisan[Brüt Ücret (₺)],MATCH($A290,tblCalisan[Çalışan Adı],0))*IF($B290="5 Puan İndirimi",BesPuanOrani,IF($B290="İlave İstihdam",IlaveIstihdamOrani,IF($B290="Kadın/Genç",KadinGencOrani,IF($B290="Engelli",EngelliOrani,GencGirisimciOrani))))),"")</f>
        <v/>
      </c>
      <c r="D290" s="110">
        <f>IF($C290="","",$C290*AySayisi)</f>
        <v/>
      </c>
      <c r="E290" s="107" t="n"/>
    </row>
    <row r="291" ht="15" customHeight="1" s="62">
      <c r="A291" s="107" t="n"/>
      <c r="B291" s="107" t="n"/>
      <c r="C291" s="110">
        <f>IFERROR(IF(OR($A291="",$B291=""),"",INDEX(tblCalisan[Brüt Ücret (₺)],MATCH($A291,tblCalisan[Çalışan Adı],0))*IF($B291="5 Puan İndirimi",BesPuanOrani,IF($B291="İlave İstihdam",IlaveIstihdamOrani,IF($B291="Kadın/Genç",KadinGencOrani,IF($B291="Engelli",EngelliOrani,GencGirisimciOrani))))),"")</f>
        <v/>
      </c>
      <c r="D291" s="110">
        <f>IF($C291="","",$C291*AySayisi)</f>
        <v/>
      </c>
      <c r="E291" s="107" t="n"/>
    </row>
    <row r="292" ht="15" customHeight="1" s="62">
      <c r="A292" s="107" t="n"/>
      <c r="B292" s="107" t="n"/>
      <c r="C292" s="110">
        <f>IFERROR(IF(OR($A292="",$B292=""),"",INDEX(tblCalisan[Brüt Ücret (₺)],MATCH($A292,tblCalisan[Çalışan Adı],0))*IF($B292="5 Puan İndirimi",BesPuanOrani,IF($B292="İlave İstihdam",IlaveIstihdamOrani,IF($B292="Kadın/Genç",KadinGencOrani,IF($B292="Engelli",EngelliOrani,GencGirisimciOrani))))),"")</f>
        <v/>
      </c>
      <c r="D292" s="110">
        <f>IF($C292="","",$C292*AySayisi)</f>
        <v/>
      </c>
      <c r="E292" s="107" t="n"/>
    </row>
    <row r="293" ht="15" customHeight="1" s="62">
      <c r="A293" s="107" t="n"/>
      <c r="B293" s="107" t="n"/>
      <c r="C293" s="110">
        <f>IFERROR(IF(OR($A293="",$B293=""),"",INDEX(tblCalisan[Brüt Ücret (₺)],MATCH($A293,tblCalisan[Çalışan Adı],0))*IF($B293="5 Puan İndirimi",BesPuanOrani,IF($B293="İlave İstihdam",IlaveIstihdamOrani,IF($B293="Kadın/Genç",KadinGencOrani,IF($B293="Engelli",EngelliOrani,GencGirisimciOrani))))),"")</f>
        <v/>
      </c>
      <c r="D293" s="110">
        <f>IF($C293="","",$C293*AySayisi)</f>
        <v/>
      </c>
      <c r="E293" s="107" t="n"/>
    </row>
    <row r="294" ht="15" customHeight="1" s="62">
      <c r="A294" s="107" t="n"/>
      <c r="B294" s="107" t="n"/>
      <c r="C294" s="110">
        <f>IFERROR(IF(OR($A294="",$B294=""),"",INDEX(tblCalisan[Brüt Ücret (₺)],MATCH($A294,tblCalisan[Çalışan Adı],0))*IF($B294="5 Puan İndirimi",BesPuanOrani,IF($B294="İlave İstihdam",IlaveIstihdamOrani,IF($B294="Kadın/Genç",KadinGencOrani,IF($B294="Engelli",EngelliOrani,GencGirisimciOrani))))),"")</f>
        <v/>
      </c>
      <c r="D294" s="110">
        <f>IF($C294="","",$C294*AySayisi)</f>
        <v/>
      </c>
      <c r="E294" s="107" t="n"/>
    </row>
    <row r="295" ht="15" customHeight="1" s="62">
      <c r="A295" s="107" t="n"/>
      <c r="B295" s="107" t="n"/>
      <c r="C295" s="110">
        <f>IFERROR(IF(OR($A295="",$B295=""),"",INDEX(tblCalisan[Brüt Ücret (₺)],MATCH($A295,tblCalisan[Çalışan Adı],0))*IF($B295="5 Puan İndirimi",BesPuanOrani,IF($B295="İlave İstihdam",IlaveIstihdamOrani,IF($B295="Kadın/Genç",KadinGencOrani,IF($B295="Engelli",EngelliOrani,GencGirisimciOrani))))),"")</f>
        <v/>
      </c>
      <c r="D295" s="110">
        <f>IF($C295="","",$C295*AySayisi)</f>
        <v/>
      </c>
      <c r="E295" s="107" t="n"/>
    </row>
    <row r="296" ht="15" customHeight="1" s="62">
      <c r="A296" s="107" t="n"/>
      <c r="B296" s="107" t="n"/>
      <c r="C296" s="110">
        <f>IFERROR(IF(OR($A296="",$B296=""),"",INDEX(tblCalisan[Brüt Ücret (₺)],MATCH($A296,tblCalisan[Çalışan Adı],0))*IF($B296="5 Puan İndirimi",BesPuanOrani,IF($B296="İlave İstihdam",IlaveIstihdamOrani,IF($B296="Kadın/Genç",KadinGencOrani,IF($B296="Engelli",EngelliOrani,GencGirisimciOrani))))),"")</f>
        <v/>
      </c>
      <c r="D296" s="110">
        <f>IF($C296="","",$C296*AySayisi)</f>
        <v/>
      </c>
      <c r="E296" s="107" t="n"/>
    </row>
    <row r="297" ht="15" customHeight="1" s="62">
      <c r="A297" s="107" t="n"/>
      <c r="B297" s="107" t="n"/>
      <c r="C297" s="110">
        <f>IFERROR(IF(OR($A297="",$B297=""),"",INDEX(tblCalisan[Brüt Ücret (₺)],MATCH($A297,tblCalisan[Çalışan Adı],0))*IF($B297="5 Puan İndirimi",BesPuanOrani,IF($B297="İlave İstihdam",IlaveIstihdamOrani,IF($B297="Kadın/Genç",KadinGencOrani,IF($B297="Engelli",EngelliOrani,GencGirisimciOrani))))),"")</f>
        <v/>
      </c>
      <c r="D297" s="110">
        <f>IF($C297="","",$C297*AySayisi)</f>
        <v/>
      </c>
      <c r="E297" s="107" t="n"/>
    </row>
    <row r="298" ht="15" customHeight="1" s="62">
      <c r="A298" s="107" t="n"/>
      <c r="B298" s="107" t="n"/>
      <c r="C298" s="110">
        <f>IFERROR(IF(OR($A298="",$B298=""),"",INDEX(tblCalisan[Brüt Ücret (₺)],MATCH($A298,tblCalisan[Çalışan Adı],0))*IF($B298="5 Puan İndirimi",BesPuanOrani,IF($B298="İlave İstihdam",IlaveIstihdamOrani,IF($B298="Kadın/Genç",KadinGencOrani,IF($B298="Engelli",EngelliOrani,GencGirisimciOrani))))),"")</f>
        <v/>
      </c>
      <c r="D298" s="110">
        <f>IF($C298="","",$C298*AySayisi)</f>
        <v/>
      </c>
      <c r="E298" s="107" t="n"/>
    </row>
    <row r="299" ht="15" customHeight="1" s="62">
      <c r="A299" s="107" t="n"/>
      <c r="B299" s="107" t="n"/>
      <c r="C299" s="110">
        <f>IFERROR(IF(OR($A299="",$B299=""),"",INDEX(tblCalisan[Brüt Ücret (₺)],MATCH($A299,tblCalisan[Çalışan Adı],0))*IF($B299="5 Puan İndirimi",BesPuanOrani,IF($B299="İlave İstihdam",IlaveIstihdamOrani,IF($B299="Kadın/Genç",KadinGencOrani,IF($B299="Engelli",EngelliOrani,GencGirisimciOrani))))),"")</f>
        <v/>
      </c>
      <c r="D299" s="110">
        <f>IF($C299="","",$C299*AySayisi)</f>
        <v/>
      </c>
      <c r="E299" s="107" t="n"/>
    </row>
    <row r="300" ht="15" customHeight="1" s="62">
      <c r="A300" s="107" t="n"/>
      <c r="B300" s="107" t="n"/>
      <c r="C300" s="110">
        <f>IFERROR(IF(OR($A300="",$B300=""),"",INDEX(tblCalisan[Brüt Ücret (₺)],MATCH($A300,tblCalisan[Çalışan Adı],0))*IF($B300="5 Puan İndirimi",BesPuanOrani,IF($B300="İlave İstihdam",IlaveIstihdamOrani,IF($B300="Kadın/Genç",KadinGencOrani,IF($B300="Engelli",EngelliOrani,GencGirisimciOrani))))),"")</f>
        <v/>
      </c>
      <c r="D300" s="110">
        <f>IF($C300="","",$C300*AySayisi)</f>
        <v/>
      </c>
      <c r="E300" s="107" t="n"/>
    </row>
    <row r="301" ht="15" customHeight="1" s="62">
      <c r="A301" s="107" t="n"/>
      <c r="B301" s="107" t="n"/>
      <c r="C301" s="110">
        <f>IFERROR(IF(OR($A301="",$B301=""),"",INDEX(tblCalisan[Brüt Ücret (₺)],MATCH($A301,tblCalisan[Çalışan Adı],0))*IF($B301="5 Puan İndirimi",BesPuanOrani,IF($B301="İlave İstihdam",IlaveIstihdamOrani,IF($B301="Kadın/Genç",KadinGencOrani,IF($B301="Engelli",EngelliOrani,GencGirisimciOrani))))),"")</f>
        <v/>
      </c>
      <c r="D301" s="110">
        <f>IF($C301="","",$C301*AySayisi)</f>
        <v/>
      </c>
      <c r="E301" s="107" t="n"/>
    </row>
    <row r="302" ht="15" customHeight="1" s="62">
      <c r="A302" s="107" t="n"/>
      <c r="B302" s="107" t="n"/>
      <c r="C302" s="110">
        <f>IFERROR(IF(OR($A302="",$B302=""),"",INDEX(tblCalisan[Brüt Ücret (₺)],MATCH($A302,tblCalisan[Çalışan Adı],0))*IF($B302="5 Puan İndirimi",BesPuanOrani,IF($B302="İlave İstihdam",IlaveIstihdamOrani,IF($B302="Kadın/Genç",KadinGencOrani,IF($B302="Engelli",EngelliOrani,GencGirisimciOrani))))),"")</f>
        <v/>
      </c>
      <c r="D302" s="110">
        <f>IF($C302="","",$C302*AySayisi)</f>
        <v/>
      </c>
      <c r="E302" s="107" t="n"/>
    </row>
    <row r="303" ht="15" customHeight="1" s="62">
      <c r="A303" s="107" t="n"/>
      <c r="B303" s="107" t="n"/>
      <c r="C303" s="110">
        <f>IFERROR(IF(OR($A303="",$B303=""),"",INDEX(tblCalisan[Brüt Ücret (₺)],MATCH($A303,tblCalisan[Çalışan Adı],0))*IF($B303="5 Puan İndirimi",BesPuanOrani,IF($B303="İlave İstihdam",IlaveIstihdamOrani,IF($B303="Kadın/Genç",KadinGencOrani,IF($B303="Engelli",EngelliOrani,GencGirisimciOrani))))),"")</f>
        <v/>
      </c>
      <c r="D303" s="110">
        <f>IF($C303="","",$C303*AySayisi)</f>
        <v/>
      </c>
      <c r="E303" s="107" t="n"/>
    </row>
    <row r="304" ht="15" customHeight="1" s="62">
      <c r="A304" s="107" t="n"/>
      <c r="B304" s="107" t="n"/>
      <c r="C304" s="110">
        <f>IFERROR(IF(OR($A304="",$B304=""),"",INDEX(tblCalisan[Brüt Ücret (₺)],MATCH($A304,tblCalisan[Çalışan Adı],0))*IF($B304="5 Puan İndirimi",BesPuanOrani,IF($B304="İlave İstihdam",IlaveIstihdamOrani,IF($B304="Kadın/Genç",KadinGencOrani,IF($B304="Engelli",EngelliOrani,GencGirisimciOrani))))),"")</f>
        <v/>
      </c>
      <c r="D304" s="110">
        <f>IF($C304="","",$C304*AySayisi)</f>
        <v/>
      </c>
      <c r="E304" s="107" t="n"/>
    </row>
    <row r="305" ht="15" customHeight="1" s="62">
      <c r="A305" s="107" t="n"/>
      <c r="B305" s="107" t="n"/>
      <c r="C305" s="110">
        <f>IFERROR(IF(OR($A305="",$B305=""),"",INDEX(tblCalisan[Brüt Ücret (₺)],MATCH($A305,tblCalisan[Çalışan Adı],0))*IF($B305="5 Puan İndirimi",BesPuanOrani,IF($B305="İlave İstihdam",IlaveIstihdamOrani,IF($B305="Kadın/Genç",KadinGencOrani,IF($B305="Engelli",EngelliOrani,GencGirisimciOrani))))),"")</f>
        <v/>
      </c>
      <c r="D305" s="110">
        <f>IF($C305="","",$C305*AySayisi)</f>
        <v/>
      </c>
      <c r="E305" s="107" t="n"/>
    </row>
    <row r="306" ht="15" customHeight="1" s="62">
      <c r="A306" s="107" t="n"/>
      <c r="B306" s="107" t="n"/>
      <c r="C306" s="110">
        <f>IFERROR(IF(OR($A306="",$B306=""),"",INDEX(tblCalisan[Brüt Ücret (₺)],MATCH($A306,tblCalisan[Çalışan Adı],0))*IF($B306="5 Puan İndirimi",BesPuanOrani,IF($B306="İlave İstihdam",IlaveIstihdamOrani,IF($B306="Kadın/Genç",KadinGencOrani,IF($B306="Engelli",EngelliOrani,GencGirisimciOrani))))),"")</f>
        <v/>
      </c>
      <c r="D306" s="110">
        <f>IF($C306="","",$C306*AySayisi)</f>
        <v/>
      </c>
      <c r="E306" s="107" t="n"/>
    </row>
    <row r="307" ht="15" customHeight="1" s="62">
      <c r="A307" s="107" t="n"/>
      <c r="B307" s="107" t="n"/>
      <c r="C307" s="110">
        <f>IFERROR(IF(OR($A307="",$B307=""),"",INDEX(tblCalisan[Brüt Ücret (₺)],MATCH($A307,tblCalisan[Çalışan Adı],0))*IF($B307="5 Puan İndirimi",BesPuanOrani,IF($B307="İlave İstihdam",IlaveIstihdamOrani,IF($B307="Kadın/Genç",KadinGencOrani,IF($B307="Engelli",EngelliOrani,GencGirisimciOrani))))),"")</f>
        <v/>
      </c>
      <c r="D307" s="110">
        <f>IF($C307="","",$C307*AySayisi)</f>
        <v/>
      </c>
      <c r="E307" s="107" t="n"/>
    </row>
    <row r="308" ht="15" customHeight="1" s="62">
      <c r="A308" s="107" t="n"/>
      <c r="B308" s="107" t="n"/>
      <c r="C308" s="110">
        <f>IFERROR(IF(OR($A308="",$B308=""),"",INDEX(tblCalisan[Brüt Ücret (₺)],MATCH($A308,tblCalisan[Çalışan Adı],0))*IF($B308="5 Puan İndirimi",BesPuanOrani,IF($B308="İlave İstihdam",IlaveIstihdamOrani,IF($B308="Kadın/Genç",KadinGencOrani,IF($B308="Engelli",EngelliOrani,GencGirisimciOrani))))),"")</f>
        <v/>
      </c>
      <c r="D308" s="110">
        <f>IF($C308="","",$C308*AySayisi)</f>
        <v/>
      </c>
      <c r="E308" s="107" t="n"/>
    </row>
    <row r="309" ht="15" customHeight="1" s="62">
      <c r="A309" s="107" t="n"/>
      <c r="B309" s="107" t="n"/>
      <c r="C309" s="110">
        <f>IFERROR(IF(OR($A309="",$B309=""),"",INDEX(tblCalisan[Brüt Ücret (₺)],MATCH($A309,tblCalisan[Çalışan Adı],0))*IF($B309="5 Puan İndirimi",BesPuanOrani,IF($B309="İlave İstihdam",IlaveIstihdamOrani,IF($B309="Kadın/Genç",KadinGencOrani,IF($B309="Engelli",EngelliOrani,GencGirisimciOrani))))),"")</f>
        <v/>
      </c>
      <c r="D309" s="110">
        <f>IF($C309="","",$C309*AySayisi)</f>
        <v/>
      </c>
      <c r="E309" s="107" t="n"/>
    </row>
    <row r="310" ht="15" customHeight="1" s="62">
      <c r="A310" s="107" t="n"/>
      <c r="B310" s="107" t="n"/>
      <c r="C310" s="110">
        <f>IFERROR(IF(OR($A310="",$B310=""),"",INDEX(tblCalisan[Brüt Ücret (₺)],MATCH($A310,tblCalisan[Çalışan Adı],0))*IF($B310="5 Puan İndirimi",BesPuanOrani,IF($B310="İlave İstihdam",IlaveIstihdamOrani,IF($B310="Kadın/Genç",KadinGencOrani,IF($B310="Engelli",EngelliOrani,GencGirisimciOrani))))),"")</f>
        <v/>
      </c>
      <c r="D310" s="110">
        <f>IF($C310="","",$C310*AySayisi)</f>
        <v/>
      </c>
      <c r="E310" s="107" t="n"/>
    </row>
    <row r="311" ht="15" customHeight="1" s="62">
      <c r="A311" s="107" t="n"/>
      <c r="B311" s="107" t="n"/>
      <c r="C311" s="110">
        <f>IFERROR(IF(OR($A311="",$B311=""),"",INDEX(tblCalisan[Brüt Ücret (₺)],MATCH($A311,tblCalisan[Çalışan Adı],0))*IF($B311="5 Puan İndirimi",BesPuanOrani,IF($B311="İlave İstihdam",IlaveIstihdamOrani,IF($B311="Kadın/Genç",KadinGencOrani,IF($B311="Engelli",EngelliOrani,GencGirisimciOrani))))),"")</f>
        <v/>
      </c>
      <c r="D311" s="110">
        <f>IF($C311="","",$C311*AySayisi)</f>
        <v/>
      </c>
      <c r="E311" s="107" t="n"/>
    </row>
    <row r="312" ht="15" customHeight="1" s="62">
      <c r="A312" s="107" t="n"/>
      <c r="B312" s="107" t="n"/>
      <c r="C312" s="110">
        <f>IFERROR(IF(OR($A312="",$B312=""),"",INDEX(tblCalisan[Brüt Ücret (₺)],MATCH($A312,tblCalisan[Çalışan Adı],0))*IF($B312="5 Puan İndirimi",BesPuanOrani,IF($B312="İlave İstihdam",IlaveIstihdamOrani,IF($B312="Kadın/Genç",KadinGencOrani,IF($B312="Engelli",EngelliOrani,GencGirisimciOrani))))),"")</f>
        <v/>
      </c>
      <c r="D312" s="110">
        <f>IF($C312="","",$C312*AySayisi)</f>
        <v/>
      </c>
      <c r="E312" s="107" t="n"/>
    </row>
    <row r="313" ht="15" customHeight="1" s="62">
      <c r="A313" s="107" t="n"/>
      <c r="B313" s="107" t="n"/>
      <c r="C313" s="110">
        <f>IFERROR(IF(OR($A313="",$B313=""),"",INDEX(tblCalisan[Brüt Ücret (₺)],MATCH($A313,tblCalisan[Çalışan Adı],0))*IF($B313="5 Puan İndirimi",BesPuanOrani,IF($B313="İlave İstihdam",IlaveIstihdamOrani,IF($B313="Kadın/Genç",KadinGencOrani,IF($B313="Engelli",EngelliOrani,GencGirisimciOrani))))),"")</f>
        <v/>
      </c>
      <c r="D313" s="110">
        <f>IF($C313="","",$C313*AySayisi)</f>
        <v/>
      </c>
      <c r="E313" s="107" t="n"/>
    </row>
    <row r="314" ht="15" customHeight="1" s="62">
      <c r="A314" s="107" t="n"/>
      <c r="B314" s="107" t="n"/>
      <c r="C314" s="110">
        <f>IFERROR(IF(OR($A314="",$B314=""),"",INDEX(tblCalisan[Brüt Ücret (₺)],MATCH($A314,tblCalisan[Çalışan Adı],0))*IF($B314="5 Puan İndirimi",BesPuanOrani,IF($B314="İlave İstihdam",IlaveIstihdamOrani,IF($B314="Kadın/Genç",KadinGencOrani,IF($B314="Engelli",EngelliOrani,GencGirisimciOrani))))),"")</f>
        <v/>
      </c>
      <c r="D314" s="110">
        <f>IF($C314="","",$C314*AySayisi)</f>
        <v/>
      </c>
      <c r="E314" s="107" t="n"/>
    </row>
    <row r="315" ht="15" customHeight="1" s="62">
      <c r="A315" s="107" t="n"/>
      <c r="B315" s="107" t="n"/>
      <c r="C315" s="110">
        <f>IFERROR(IF(OR($A315="",$B315=""),"",INDEX(tblCalisan[Brüt Ücret (₺)],MATCH($A315,tblCalisan[Çalışan Adı],0))*IF($B315="5 Puan İndirimi",BesPuanOrani,IF($B315="İlave İstihdam",IlaveIstihdamOrani,IF($B315="Kadın/Genç",KadinGencOrani,IF($B315="Engelli",EngelliOrani,GencGirisimciOrani))))),"")</f>
        <v/>
      </c>
      <c r="D315" s="110">
        <f>IF($C315="","",$C315*AySayisi)</f>
        <v/>
      </c>
      <c r="E315" s="107" t="n"/>
    </row>
    <row r="316" ht="15" customHeight="1" s="62">
      <c r="A316" s="107" t="n"/>
      <c r="B316" s="107" t="n"/>
      <c r="C316" s="110">
        <f>IFERROR(IF(OR($A316="",$B316=""),"",INDEX(tblCalisan[Brüt Ücret (₺)],MATCH($A316,tblCalisan[Çalışan Adı],0))*IF($B316="5 Puan İndirimi",BesPuanOrani,IF($B316="İlave İstihdam",IlaveIstihdamOrani,IF($B316="Kadın/Genç",KadinGencOrani,IF($B316="Engelli",EngelliOrani,GencGirisimciOrani))))),"")</f>
        <v/>
      </c>
      <c r="D316" s="110">
        <f>IF($C316="","",$C316*AySayisi)</f>
        <v/>
      </c>
      <c r="E316" s="107" t="n"/>
    </row>
    <row r="317" ht="15" customHeight="1" s="62">
      <c r="A317" s="107" t="n"/>
      <c r="B317" s="107" t="n"/>
      <c r="C317" s="110">
        <f>IFERROR(IF(OR($A317="",$B317=""),"",INDEX(tblCalisan[Brüt Ücret (₺)],MATCH($A317,tblCalisan[Çalışan Adı],0))*IF($B317="5 Puan İndirimi",BesPuanOrani,IF($B317="İlave İstihdam",IlaveIstihdamOrani,IF($B317="Kadın/Genç",KadinGencOrani,IF($B317="Engelli",EngelliOrani,GencGirisimciOrani))))),"")</f>
        <v/>
      </c>
      <c r="D317" s="110">
        <f>IF($C317="","",$C317*AySayisi)</f>
        <v/>
      </c>
      <c r="E317" s="107" t="n"/>
    </row>
    <row r="318" ht="15" customHeight="1" s="62">
      <c r="A318" s="107" t="n"/>
      <c r="B318" s="107" t="n"/>
      <c r="C318" s="110">
        <f>IFERROR(IF(OR($A318="",$B318=""),"",INDEX(tblCalisan[Brüt Ücret (₺)],MATCH($A318,tblCalisan[Çalışan Adı],0))*IF($B318="5 Puan İndirimi",BesPuanOrani,IF($B318="İlave İstihdam",IlaveIstihdamOrani,IF($B318="Kadın/Genç",KadinGencOrani,IF($B318="Engelli",EngelliOrani,GencGirisimciOrani))))),"")</f>
        <v/>
      </c>
      <c r="D318" s="110">
        <f>IF($C318="","",$C318*AySayisi)</f>
        <v/>
      </c>
      <c r="E318" s="107" t="n"/>
    </row>
    <row r="319" ht="15" customHeight="1" s="62">
      <c r="A319" s="107" t="n"/>
      <c r="B319" s="107" t="n"/>
      <c r="C319" s="110">
        <f>IFERROR(IF(OR($A319="",$B319=""),"",INDEX(tblCalisan[Brüt Ücret (₺)],MATCH($A319,tblCalisan[Çalışan Adı],0))*IF($B319="5 Puan İndirimi",BesPuanOrani,IF($B319="İlave İstihdam",IlaveIstihdamOrani,IF($B319="Kadın/Genç",KadinGencOrani,IF($B319="Engelli",EngelliOrani,GencGirisimciOrani))))),"")</f>
        <v/>
      </c>
      <c r="D319" s="110">
        <f>IF($C319="","",$C319*AySayisi)</f>
        <v/>
      </c>
      <c r="E319" s="107" t="n"/>
    </row>
    <row r="320" ht="15" customHeight="1" s="62">
      <c r="A320" s="107" t="n"/>
      <c r="B320" s="107" t="n"/>
      <c r="C320" s="110">
        <f>IFERROR(IF(OR($A320="",$B320=""),"",INDEX(tblCalisan[Brüt Ücret (₺)],MATCH($A320,tblCalisan[Çalışan Adı],0))*IF($B320="5 Puan İndirimi",BesPuanOrani,IF($B320="İlave İstihdam",IlaveIstihdamOrani,IF($B320="Kadın/Genç",KadinGencOrani,IF($B320="Engelli",EngelliOrani,GencGirisimciOrani))))),"")</f>
        <v/>
      </c>
      <c r="D320" s="110">
        <f>IF($C320="","",$C320*AySayisi)</f>
        <v/>
      </c>
      <c r="E320" s="107" t="n"/>
    </row>
    <row r="321" ht="15" customHeight="1" s="62">
      <c r="A321" s="107" t="n"/>
      <c r="B321" s="107" t="n"/>
      <c r="C321" s="110">
        <f>IFERROR(IF(OR($A321="",$B321=""),"",INDEX(tblCalisan[Brüt Ücret (₺)],MATCH($A321,tblCalisan[Çalışan Adı],0))*IF($B321="5 Puan İndirimi",BesPuanOrani,IF($B321="İlave İstihdam",IlaveIstihdamOrani,IF($B321="Kadın/Genç",KadinGencOrani,IF($B321="Engelli",EngelliOrani,GencGirisimciOrani))))),"")</f>
        <v/>
      </c>
      <c r="D321" s="110">
        <f>IF($C321="","",$C321*AySayisi)</f>
        <v/>
      </c>
      <c r="E321" s="107" t="n"/>
    </row>
    <row r="322" ht="15" customHeight="1" s="62">
      <c r="A322" s="107" t="n"/>
      <c r="B322" s="107" t="n"/>
      <c r="C322" s="110">
        <f>IFERROR(IF(OR($A322="",$B322=""),"",INDEX(tblCalisan[Brüt Ücret (₺)],MATCH($A322,tblCalisan[Çalışan Adı],0))*IF($B322="5 Puan İndirimi",BesPuanOrani,IF($B322="İlave İstihdam",IlaveIstihdamOrani,IF($B322="Kadın/Genç",KadinGencOrani,IF($B322="Engelli",EngelliOrani,GencGirisimciOrani))))),"")</f>
        <v/>
      </c>
      <c r="D322" s="110">
        <f>IF($C322="","",$C322*AySayisi)</f>
        <v/>
      </c>
      <c r="E322" s="107" t="n"/>
    </row>
    <row r="323" ht="15" customHeight="1" s="62">
      <c r="A323" s="107" t="n"/>
      <c r="B323" s="107" t="n"/>
      <c r="C323" s="110">
        <f>IFERROR(IF(OR($A323="",$B323=""),"",INDEX(tblCalisan[Brüt Ücret (₺)],MATCH($A323,tblCalisan[Çalışan Adı],0))*IF($B323="5 Puan İndirimi",BesPuanOrani,IF($B323="İlave İstihdam",IlaveIstihdamOrani,IF($B323="Kadın/Genç",KadinGencOrani,IF($B323="Engelli",EngelliOrani,GencGirisimciOrani))))),"")</f>
        <v/>
      </c>
      <c r="D323" s="110">
        <f>IF($C323="","",$C323*AySayisi)</f>
        <v/>
      </c>
      <c r="E323" s="107" t="n"/>
    </row>
    <row r="324" ht="15" customHeight="1" s="62">
      <c r="A324" s="107" t="n"/>
      <c r="B324" s="107" t="n"/>
      <c r="C324" s="110">
        <f>IFERROR(IF(OR($A324="",$B324=""),"",INDEX(tblCalisan[Brüt Ücret (₺)],MATCH($A324,tblCalisan[Çalışan Adı],0))*IF($B324="5 Puan İndirimi",BesPuanOrani,IF($B324="İlave İstihdam",IlaveIstihdamOrani,IF($B324="Kadın/Genç",KadinGencOrani,IF($B324="Engelli",EngelliOrani,GencGirisimciOrani))))),"")</f>
        <v/>
      </c>
      <c r="D324" s="110">
        <f>IF($C324="","",$C324*AySayisi)</f>
        <v/>
      </c>
      <c r="E324" s="107" t="n"/>
    </row>
    <row r="325" ht="15" customHeight="1" s="62">
      <c r="A325" s="107" t="n"/>
      <c r="B325" s="107" t="n"/>
      <c r="C325" s="110">
        <f>IFERROR(IF(OR($A325="",$B325=""),"",INDEX(tblCalisan[Brüt Ücret (₺)],MATCH($A325,tblCalisan[Çalışan Adı],0))*IF($B325="5 Puan İndirimi",BesPuanOrani,IF($B325="İlave İstihdam",IlaveIstihdamOrani,IF($B325="Kadın/Genç",KadinGencOrani,IF($B325="Engelli",EngelliOrani,GencGirisimciOrani))))),"")</f>
        <v/>
      </c>
      <c r="D325" s="110">
        <f>IF($C325="","",$C325*AySayisi)</f>
        <v/>
      </c>
      <c r="E325" s="107" t="n"/>
    </row>
    <row r="326" ht="15" customHeight="1" s="62">
      <c r="A326" s="107" t="n"/>
      <c r="B326" s="107" t="n"/>
      <c r="C326" s="110">
        <f>IFERROR(IF(OR($A326="",$B326=""),"",INDEX(tblCalisan[Brüt Ücret (₺)],MATCH($A326,tblCalisan[Çalışan Adı],0))*IF($B326="5 Puan İndirimi",BesPuanOrani,IF($B326="İlave İstihdam",IlaveIstihdamOrani,IF($B326="Kadın/Genç",KadinGencOrani,IF($B326="Engelli",EngelliOrani,GencGirisimciOrani))))),"")</f>
        <v/>
      </c>
      <c r="D326" s="110">
        <f>IF($C326="","",$C326*AySayisi)</f>
        <v/>
      </c>
      <c r="E326" s="107" t="n"/>
    </row>
    <row r="327" ht="15" customHeight="1" s="62">
      <c r="A327" s="107" t="n"/>
      <c r="B327" s="107" t="n"/>
      <c r="C327" s="110">
        <f>IFERROR(IF(OR($A327="",$B327=""),"",INDEX(tblCalisan[Brüt Ücret (₺)],MATCH($A327,tblCalisan[Çalışan Adı],0))*IF($B327="5 Puan İndirimi",BesPuanOrani,IF($B327="İlave İstihdam",IlaveIstihdamOrani,IF($B327="Kadın/Genç",KadinGencOrani,IF($B327="Engelli",EngelliOrani,GencGirisimciOrani))))),"")</f>
        <v/>
      </c>
      <c r="D327" s="110">
        <f>IF($C327="","",$C327*AySayisi)</f>
        <v/>
      </c>
      <c r="E327" s="107" t="n"/>
    </row>
    <row r="328" ht="15" customHeight="1" s="62">
      <c r="A328" s="107" t="n"/>
      <c r="B328" s="107" t="n"/>
      <c r="C328" s="110">
        <f>IFERROR(IF(OR($A328="",$B328=""),"",INDEX(tblCalisan[Brüt Ücret (₺)],MATCH($A328,tblCalisan[Çalışan Adı],0))*IF($B328="5 Puan İndirimi",BesPuanOrani,IF($B328="İlave İstihdam",IlaveIstihdamOrani,IF($B328="Kadın/Genç",KadinGencOrani,IF($B328="Engelli",EngelliOrani,GencGirisimciOrani))))),"")</f>
        <v/>
      </c>
      <c r="D328" s="110">
        <f>IF($C328="","",$C328*AySayisi)</f>
        <v/>
      </c>
      <c r="E328" s="107" t="n"/>
    </row>
    <row r="329" ht="15" customHeight="1" s="62">
      <c r="A329" s="107" t="n"/>
      <c r="B329" s="107" t="n"/>
      <c r="C329" s="110">
        <f>IFERROR(IF(OR($A329="",$B329=""),"",INDEX(tblCalisan[Brüt Ücret (₺)],MATCH($A329,tblCalisan[Çalışan Adı],0))*IF($B329="5 Puan İndirimi",BesPuanOrani,IF($B329="İlave İstihdam",IlaveIstihdamOrani,IF($B329="Kadın/Genç",KadinGencOrani,IF($B329="Engelli",EngelliOrani,GencGirisimciOrani))))),"")</f>
        <v/>
      </c>
      <c r="D329" s="110">
        <f>IF($C329="","",$C329*AySayisi)</f>
        <v/>
      </c>
      <c r="E329" s="107" t="n"/>
    </row>
    <row r="330" ht="15" customHeight="1" s="62">
      <c r="A330" s="107" t="n"/>
      <c r="B330" s="107" t="n"/>
      <c r="C330" s="110">
        <f>IFERROR(IF(OR($A330="",$B330=""),"",INDEX(tblCalisan[Brüt Ücret (₺)],MATCH($A330,tblCalisan[Çalışan Adı],0))*IF($B330="5 Puan İndirimi",BesPuanOrani,IF($B330="İlave İstihdam",IlaveIstihdamOrani,IF($B330="Kadın/Genç",KadinGencOrani,IF($B330="Engelli",EngelliOrani,GencGirisimciOrani))))),"")</f>
        <v/>
      </c>
      <c r="D330" s="110">
        <f>IF($C330="","",$C330*AySayisi)</f>
        <v/>
      </c>
      <c r="E330" s="107" t="n"/>
    </row>
    <row r="331" ht="15" customHeight="1" s="62">
      <c r="A331" s="107" t="n"/>
      <c r="B331" s="107" t="n"/>
      <c r="C331" s="110">
        <f>IFERROR(IF(OR($A331="",$B331=""),"",INDEX(tblCalisan[Brüt Ücret (₺)],MATCH($A331,tblCalisan[Çalışan Adı],0))*IF($B331="5 Puan İndirimi",BesPuanOrani,IF($B331="İlave İstihdam",IlaveIstihdamOrani,IF($B331="Kadın/Genç",KadinGencOrani,IF($B331="Engelli",EngelliOrani,GencGirisimciOrani))))),"")</f>
        <v/>
      </c>
      <c r="D331" s="110">
        <f>IF($C331="","",$C331*AySayisi)</f>
        <v/>
      </c>
      <c r="E331" s="107" t="n"/>
    </row>
    <row r="332" ht="15" customHeight="1" s="62">
      <c r="A332" s="107" t="n"/>
      <c r="B332" s="107" t="n"/>
      <c r="C332" s="110">
        <f>IFERROR(IF(OR($A332="",$B332=""),"",INDEX(tblCalisan[Brüt Ücret (₺)],MATCH($A332,tblCalisan[Çalışan Adı],0))*IF($B332="5 Puan İndirimi",BesPuanOrani,IF($B332="İlave İstihdam",IlaveIstihdamOrani,IF($B332="Kadın/Genç",KadinGencOrani,IF($B332="Engelli",EngelliOrani,GencGirisimciOrani))))),"")</f>
        <v/>
      </c>
      <c r="D332" s="110">
        <f>IF($C332="","",$C332*AySayisi)</f>
        <v/>
      </c>
      <c r="E332" s="107" t="n"/>
    </row>
    <row r="333" ht="15" customHeight="1" s="62">
      <c r="A333" s="107" t="n"/>
      <c r="B333" s="107" t="n"/>
      <c r="C333" s="110">
        <f>IFERROR(IF(OR($A333="",$B333=""),"",INDEX(tblCalisan[Brüt Ücret (₺)],MATCH($A333,tblCalisan[Çalışan Adı],0))*IF($B333="5 Puan İndirimi",BesPuanOrani,IF($B333="İlave İstihdam",IlaveIstihdamOrani,IF($B333="Kadın/Genç",KadinGencOrani,IF($B333="Engelli",EngelliOrani,GencGirisimciOrani))))),"")</f>
        <v/>
      </c>
      <c r="D333" s="110">
        <f>IF($C333="","",$C333*AySayisi)</f>
        <v/>
      </c>
      <c r="E333" s="107" t="n"/>
    </row>
    <row r="334" ht="15" customHeight="1" s="62">
      <c r="A334" s="107" t="n"/>
      <c r="B334" s="107" t="n"/>
      <c r="C334" s="110">
        <f>IFERROR(IF(OR($A334="",$B334=""),"",INDEX(tblCalisan[Brüt Ücret (₺)],MATCH($A334,tblCalisan[Çalışan Adı],0))*IF($B334="5 Puan İndirimi",BesPuanOrani,IF($B334="İlave İstihdam",IlaveIstihdamOrani,IF($B334="Kadın/Genç",KadinGencOrani,IF($B334="Engelli",EngelliOrani,GencGirisimciOrani))))),"")</f>
        <v/>
      </c>
      <c r="D334" s="110">
        <f>IF($C334="","",$C334*AySayisi)</f>
        <v/>
      </c>
      <c r="E334" s="107" t="n"/>
    </row>
    <row r="335" ht="15" customHeight="1" s="62">
      <c r="A335" s="107" t="n"/>
      <c r="B335" s="107" t="n"/>
      <c r="C335" s="110">
        <f>IFERROR(IF(OR($A335="",$B335=""),"",INDEX(tblCalisan[Brüt Ücret (₺)],MATCH($A335,tblCalisan[Çalışan Adı],0))*IF($B335="5 Puan İndirimi",BesPuanOrani,IF($B335="İlave İstihdam",IlaveIstihdamOrani,IF($B335="Kadın/Genç",KadinGencOrani,IF($B335="Engelli",EngelliOrani,GencGirisimciOrani))))),"")</f>
        <v/>
      </c>
      <c r="D335" s="110">
        <f>IF($C335="","",$C335*AySayisi)</f>
        <v/>
      </c>
      <c r="E335" s="107" t="n"/>
    </row>
    <row r="336" ht="15" customHeight="1" s="62">
      <c r="A336" s="107" t="n"/>
      <c r="B336" s="107" t="n"/>
      <c r="C336" s="110">
        <f>IFERROR(IF(OR($A336="",$B336=""),"",INDEX(tblCalisan[Brüt Ücret (₺)],MATCH($A336,tblCalisan[Çalışan Adı],0))*IF($B336="5 Puan İndirimi",BesPuanOrani,IF($B336="İlave İstihdam",IlaveIstihdamOrani,IF($B336="Kadın/Genç",KadinGencOrani,IF($B336="Engelli",EngelliOrani,GencGirisimciOrani))))),"")</f>
        <v/>
      </c>
      <c r="D336" s="110">
        <f>IF($C336="","",$C336*AySayisi)</f>
        <v/>
      </c>
      <c r="E336" s="107" t="n"/>
    </row>
    <row r="337" ht="15" customHeight="1" s="62">
      <c r="A337" s="107" t="n"/>
      <c r="B337" s="107" t="n"/>
      <c r="C337" s="110">
        <f>IFERROR(IF(OR($A337="",$B337=""),"",INDEX(tblCalisan[Brüt Ücret (₺)],MATCH($A337,tblCalisan[Çalışan Adı],0))*IF($B337="5 Puan İndirimi",BesPuanOrani,IF($B337="İlave İstihdam",IlaveIstihdamOrani,IF($B337="Kadın/Genç",KadinGencOrani,IF($B337="Engelli",EngelliOrani,GencGirisimciOrani))))),"")</f>
        <v/>
      </c>
      <c r="D337" s="110">
        <f>IF($C337="","",$C337*AySayisi)</f>
        <v/>
      </c>
      <c r="E337" s="107" t="n"/>
    </row>
    <row r="338" ht="15" customHeight="1" s="62">
      <c r="A338" s="107" t="n"/>
      <c r="B338" s="107" t="n"/>
      <c r="C338" s="110">
        <f>IFERROR(IF(OR($A338="",$B338=""),"",INDEX(tblCalisan[Brüt Ücret (₺)],MATCH($A338,tblCalisan[Çalışan Adı],0))*IF($B338="5 Puan İndirimi",BesPuanOrani,IF($B338="İlave İstihdam",IlaveIstihdamOrani,IF($B338="Kadın/Genç",KadinGencOrani,IF($B338="Engelli",EngelliOrani,GencGirisimciOrani))))),"")</f>
        <v/>
      </c>
      <c r="D338" s="110">
        <f>IF($C338="","",$C338*AySayisi)</f>
        <v/>
      </c>
      <c r="E338" s="107" t="n"/>
    </row>
    <row r="339" ht="15" customHeight="1" s="62">
      <c r="A339" s="107" t="n"/>
      <c r="B339" s="107" t="n"/>
      <c r="C339" s="110">
        <f>IFERROR(IF(OR($A339="",$B339=""),"",INDEX(tblCalisan[Brüt Ücret (₺)],MATCH($A339,tblCalisan[Çalışan Adı],0))*IF($B339="5 Puan İndirimi",BesPuanOrani,IF($B339="İlave İstihdam",IlaveIstihdamOrani,IF($B339="Kadın/Genç",KadinGencOrani,IF($B339="Engelli",EngelliOrani,GencGirisimciOrani))))),"")</f>
        <v/>
      </c>
      <c r="D339" s="110">
        <f>IF($C339="","",$C339*AySayisi)</f>
        <v/>
      </c>
      <c r="E339" s="107" t="n"/>
    </row>
    <row r="340" ht="15" customHeight="1" s="62">
      <c r="A340" s="107" t="n"/>
      <c r="B340" s="107" t="n"/>
      <c r="C340" s="110">
        <f>IFERROR(IF(OR($A340="",$B340=""),"",INDEX(tblCalisan[Brüt Ücret (₺)],MATCH($A340,tblCalisan[Çalışan Adı],0))*IF($B340="5 Puan İndirimi",BesPuanOrani,IF($B340="İlave İstihdam",IlaveIstihdamOrani,IF($B340="Kadın/Genç",KadinGencOrani,IF($B340="Engelli",EngelliOrani,GencGirisimciOrani))))),"")</f>
        <v/>
      </c>
      <c r="D340" s="110">
        <f>IF($C340="","",$C340*AySayisi)</f>
        <v/>
      </c>
      <c r="E340" s="107" t="n"/>
    </row>
    <row r="341" ht="15" customHeight="1" s="62">
      <c r="A341" s="107" t="n"/>
      <c r="B341" s="107" t="n"/>
      <c r="C341" s="110">
        <f>IFERROR(IF(OR($A341="",$B341=""),"",INDEX(tblCalisan[Brüt Ücret (₺)],MATCH($A341,tblCalisan[Çalışan Adı],0))*IF($B341="5 Puan İndirimi",BesPuanOrani,IF($B341="İlave İstihdam",IlaveIstihdamOrani,IF($B341="Kadın/Genç",KadinGencOrani,IF($B341="Engelli",EngelliOrani,GencGirisimciOrani))))),"")</f>
        <v/>
      </c>
      <c r="D341" s="110">
        <f>IF($C341="","",$C341*AySayisi)</f>
        <v/>
      </c>
      <c r="E341" s="107" t="n"/>
    </row>
    <row r="342" ht="15" customHeight="1" s="62">
      <c r="A342" s="107" t="n"/>
      <c r="B342" s="107" t="n"/>
      <c r="C342" s="110">
        <f>IFERROR(IF(OR($A342="",$B342=""),"",INDEX(tblCalisan[Brüt Ücret (₺)],MATCH($A342,tblCalisan[Çalışan Adı],0))*IF($B342="5 Puan İndirimi",BesPuanOrani,IF($B342="İlave İstihdam",IlaveIstihdamOrani,IF($B342="Kadın/Genç",KadinGencOrani,IF($B342="Engelli",EngelliOrani,GencGirisimciOrani))))),"")</f>
        <v/>
      </c>
      <c r="D342" s="110">
        <f>IF($C342="","",$C342*AySayisi)</f>
        <v/>
      </c>
      <c r="E342" s="107" t="n"/>
    </row>
    <row r="343" ht="15" customHeight="1" s="62">
      <c r="A343" s="107" t="n"/>
      <c r="B343" s="107" t="n"/>
      <c r="C343" s="110">
        <f>IFERROR(IF(OR($A343="",$B343=""),"",INDEX(tblCalisan[Brüt Ücret (₺)],MATCH($A343,tblCalisan[Çalışan Adı],0))*IF($B343="5 Puan İndirimi",BesPuanOrani,IF($B343="İlave İstihdam",IlaveIstihdamOrani,IF($B343="Kadın/Genç",KadinGencOrani,IF($B343="Engelli",EngelliOrani,GencGirisimciOrani))))),"")</f>
        <v/>
      </c>
      <c r="D343" s="110">
        <f>IF($C343="","",$C343*AySayisi)</f>
        <v/>
      </c>
      <c r="E343" s="107" t="n"/>
    </row>
    <row r="344" ht="15" customHeight="1" s="62">
      <c r="A344" s="107" t="n"/>
      <c r="B344" s="107" t="n"/>
      <c r="C344" s="110">
        <f>IFERROR(IF(OR($A344="",$B344=""),"",INDEX(tblCalisan[Brüt Ücret (₺)],MATCH($A344,tblCalisan[Çalışan Adı],0))*IF($B344="5 Puan İndirimi",BesPuanOrani,IF($B344="İlave İstihdam",IlaveIstihdamOrani,IF($B344="Kadın/Genç",KadinGencOrani,IF($B344="Engelli",EngelliOrani,GencGirisimciOrani))))),"")</f>
        <v/>
      </c>
      <c r="D344" s="110">
        <f>IF($C344="","",$C344*AySayisi)</f>
        <v/>
      </c>
      <c r="E344" s="107" t="n"/>
    </row>
    <row r="345" ht="15" customHeight="1" s="62">
      <c r="A345" s="107" t="n"/>
      <c r="B345" s="107" t="n"/>
      <c r="C345" s="110">
        <f>IFERROR(IF(OR($A345="",$B345=""),"",INDEX(tblCalisan[Brüt Ücret (₺)],MATCH($A345,tblCalisan[Çalışan Adı],0))*IF($B345="5 Puan İndirimi",BesPuanOrani,IF($B345="İlave İstihdam",IlaveIstihdamOrani,IF($B345="Kadın/Genç",KadinGencOrani,IF($B345="Engelli",EngelliOrani,GencGirisimciOrani))))),"")</f>
        <v/>
      </c>
      <c r="D345" s="110">
        <f>IF($C345="","",$C345*AySayisi)</f>
        <v/>
      </c>
      <c r="E345" s="107" t="n"/>
    </row>
    <row r="346" ht="15" customHeight="1" s="62">
      <c r="A346" s="107" t="n"/>
      <c r="B346" s="107" t="n"/>
      <c r="C346" s="110">
        <f>IFERROR(IF(OR($A346="",$B346=""),"",INDEX(tblCalisan[Brüt Ücret (₺)],MATCH($A346,tblCalisan[Çalışan Adı],0))*IF($B346="5 Puan İndirimi",BesPuanOrani,IF($B346="İlave İstihdam",IlaveIstihdamOrani,IF($B346="Kadın/Genç",KadinGencOrani,IF($B346="Engelli",EngelliOrani,GencGirisimciOrani))))),"")</f>
        <v/>
      </c>
      <c r="D346" s="110">
        <f>IF($C346="","",$C346*AySayisi)</f>
        <v/>
      </c>
      <c r="E346" s="107" t="n"/>
    </row>
    <row r="347" ht="15" customHeight="1" s="62">
      <c r="A347" s="107" t="n"/>
      <c r="B347" s="107" t="n"/>
      <c r="C347" s="110">
        <f>IFERROR(IF(OR($A347="",$B347=""),"",INDEX(tblCalisan[Brüt Ücret (₺)],MATCH($A347,tblCalisan[Çalışan Adı],0))*IF($B347="5 Puan İndirimi",BesPuanOrani,IF($B347="İlave İstihdam",IlaveIstihdamOrani,IF($B347="Kadın/Genç",KadinGencOrani,IF($B347="Engelli",EngelliOrani,GencGirisimciOrani))))),"")</f>
        <v/>
      </c>
      <c r="D347" s="110">
        <f>IF($C347="","",$C347*AySayisi)</f>
        <v/>
      </c>
      <c r="E347" s="107" t="n"/>
    </row>
    <row r="348" ht="15" customHeight="1" s="62">
      <c r="A348" s="107" t="n"/>
      <c r="B348" s="107" t="n"/>
      <c r="C348" s="110">
        <f>IFERROR(IF(OR($A348="",$B348=""),"",INDEX(tblCalisan[Brüt Ücret (₺)],MATCH($A348,tblCalisan[Çalışan Adı],0))*IF($B348="5 Puan İndirimi",BesPuanOrani,IF($B348="İlave İstihdam",IlaveIstihdamOrani,IF($B348="Kadın/Genç",KadinGencOrani,IF($B348="Engelli",EngelliOrani,GencGirisimciOrani))))),"")</f>
        <v/>
      </c>
      <c r="D348" s="110">
        <f>IF($C348="","",$C348*AySayisi)</f>
        <v/>
      </c>
      <c r="E348" s="107" t="n"/>
    </row>
    <row r="349" ht="15" customHeight="1" s="62">
      <c r="A349" s="107" t="n"/>
      <c r="B349" s="107" t="n"/>
      <c r="C349" s="110">
        <f>IFERROR(IF(OR($A349="",$B349=""),"",INDEX(tblCalisan[Brüt Ücret (₺)],MATCH($A349,tblCalisan[Çalışan Adı],0))*IF($B349="5 Puan İndirimi",BesPuanOrani,IF($B349="İlave İstihdam",IlaveIstihdamOrani,IF($B349="Kadın/Genç",KadinGencOrani,IF($B349="Engelli",EngelliOrani,GencGirisimciOrani))))),"")</f>
        <v/>
      </c>
      <c r="D349" s="110">
        <f>IF($C349="","",$C349*AySayisi)</f>
        <v/>
      </c>
      <c r="E349" s="107" t="n"/>
    </row>
    <row r="350" ht="15" customHeight="1" s="62">
      <c r="A350" s="107" t="n"/>
      <c r="B350" s="107" t="n"/>
      <c r="C350" s="110">
        <f>IFERROR(IF(OR($A350="",$B350=""),"",INDEX(tblCalisan[Brüt Ücret (₺)],MATCH($A350,tblCalisan[Çalışan Adı],0))*IF($B350="5 Puan İndirimi",BesPuanOrani,IF($B350="İlave İstihdam",IlaveIstihdamOrani,IF($B350="Kadın/Genç",KadinGencOrani,IF($B350="Engelli",EngelliOrani,GencGirisimciOrani))))),"")</f>
        <v/>
      </c>
      <c r="D350" s="110">
        <f>IF($C350="","",$C350*AySayisi)</f>
        <v/>
      </c>
      <c r="E350" s="107" t="n"/>
    </row>
    <row r="351" ht="15" customHeight="1" s="62">
      <c r="A351" s="107" t="n"/>
      <c r="B351" s="107" t="n"/>
      <c r="C351" s="110">
        <f>IFERROR(IF(OR($A351="",$B351=""),"",INDEX(tblCalisan[Brüt Ücret (₺)],MATCH($A351,tblCalisan[Çalışan Adı],0))*IF($B351="5 Puan İndirimi",BesPuanOrani,IF($B351="İlave İstihdam",IlaveIstihdamOrani,IF($B351="Kadın/Genç",KadinGencOrani,IF($B351="Engelli",EngelliOrani,GencGirisimciOrani))))),"")</f>
        <v/>
      </c>
      <c r="D351" s="110">
        <f>IF($C351="","",$C351*AySayisi)</f>
        <v/>
      </c>
      <c r="E351" s="107" t="n"/>
    </row>
    <row r="352" ht="15" customHeight="1" s="62">
      <c r="A352" s="107" t="n"/>
      <c r="B352" s="107" t="n"/>
      <c r="C352" s="110">
        <f>IFERROR(IF(OR($A352="",$B352=""),"",INDEX(tblCalisan[Brüt Ücret (₺)],MATCH($A352,tblCalisan[Çalışan Adı],0))*IF($B352="5 Puan İndirimi",BesPuanOrani,IF($B352="İlave İstihdam",IlaveIstihdamOrani,IF($B352="Kadın/Genç",KadinGencOrani,IF($B352="Engelli",EngelliOrani,GencGirisimciOrani))))),"")</f>
        <v/>
      </c>
      <c r="D352" s="110">
        <f>IF($C352="","",$C352*AySayisi)</f>
        <v/>
      </c>
      <c r="E352" s="107" t="n"/>
    </row>
    <row r="353" ht="15" customHeight="1" s="62">
      <c r="A353" s="107" t="n"/>
      <c r="B353" s="107" t="n"/>
      <c r="C353" s="110">
        <f>IFERROR(IF(OR($A353="",$B353=""),"",INDEX(tblCalisan[Brüt Ücret (₺)],MATCH($A353,tblCalisan[Çalışan Adı],0))*IF($B353="5 Puan İndirimi",BesPuanOrani,IF($B353="İlave İstihdam",IlaveIstihdamOrani,IF($B353="Kadın/Genç",KadinGencOrani,IF($B353="Engelli",EngelliOrani,GencGirisimciOrani))))),"")</f>
        <v/>
      </c>
      <c r="D353" s="110">
        <f>IF($C353="","",$C353*AySayisi)</f>
        <v/>
      </c>
      <c r="E353" s="107" t="n"/>
    </row>
    <row r="354" ht="15" customHeight="1" s="62">
      <c r="A354" s="107" t="n"/>
      <c r="B354" s="107" t="n"/>
      <c r="C354" s="110">
        <f>IFERROR(IF(OR($A354="",$B354=""),"",INDEX(tblCalisan[Brüt Ücret (₺)],MATCH($A354,tblCalisan[Çalışan Adı],0))*IF($B354="5 Puan İndirimi",BesPuanOrani,IF($B354="İlave İstihdam",IlaveIstihdamOrani,IF($B354="Kadın/Genç",KadinGencOrani,IF($B354="Engelli",EngelliOrani,GencGirisimciOrani))))),"")</f>
        <v/>
      </c>
      <c r="D354" s="110">
        <f>IF($C354="","",$C354*AySayisi)</f>
        <v/>
      </c>
      <c r="E354" s="107" t="n"/>
    </row>
    <row r="355" ht="15" customHeight="1" s="62">
      <c r="A355" s="107" t="n"/>
      <c r="B355" s="107" t="n"/>
      <c r="C355" s="110">
        <f>IFERROR(IF(OR($A355="",$B355=""),"",INDEX(tblCalisan[Brüt Ücret (₺)],MATCH($A355,tblCalisan[Çalışan Adı],0))*IF($B355="5 Puan İndirimi",BesPuanOrani,IF($B355="İlave İstihdam",IlaveIstihdamOrani,IF($B355="Kadın/Genç",KadinGencOrani,IF($B355="Engelli",EngelliOrani,GencGirisimciOrani))))),"")</f>
        <v/>
      </c>
      <c r="D355" s="110">
        <f>IF($C355="","",$C355*AySayisi)</f>
        <v/>
      </c>
      <c r="E355" s="107" t="n"/>
    </row>
    <row r="356" ht="15" customHeight="1" s="62">
      <c r="A356" s="107" t="n"/>
      <c r="B356" s="107" t="n"/>
      <c r="C356" s="110">
        <f>IFERROR(IF(OR($A356="",$B356=""),"",INDEX(tblCalisan[Brüt Ücret (₺)],MATCH($A356,tblCalisan[Çalışan Adı],0))*IF($B356="5 Puan İndirimi",BesPuanOrani,IF($B356="İlave İstihdam",IlaveIstihdamOrani,IF($B356="Kadın/Genç",KadinGencOrani,IF($B356="Engelli",EngelliOrani,GencGirisimciOrani))))),"")</f>
        <v/>
      </c>
      <c r="D356" s="110">
        <f>IF($C356="","",$C356*AySayisi)</f>
        <v/>
      </c>
      <c r="E356" s="107" t="n"/>
    </row>
    <row r="357" ht="15" customHeight="1" s="62">
      <c r="A357" s="107" t="n"/>
      <c r="B357" s="107" t="n"/>
      <c r="C357" s="110">
        <f>IFERROR(IF(OR($A357="",$B357=""),"",INDEX(tblCalisan[Brüt Ücret (₺)],MATCH($A357,tblCalisan[Çalışan Adı],0))*IF($B357="5 Puan İndirimi",BesPuanOrani,IF($B357="İlave İstihdam",IlaveIstihdamOrani,IF($B357="Kadın/Genç",KadinGencOrani,IF($B357="Engelli",EngelliOrani,GencGirisimciOrani))))),"")</f>
        <v/>
      </c>
      <c r="D357" s="110">
        <f>IF($C357="","",$C357*AySayisi)</f>
        <v/>
      </c>
      <c r="E357" s="107" t="n"/>
    </row>
    <row r="358" ht="15" customHeight="1" s="62">
      <c r="A358" s="107" t="n"/>
      <c r="B358" s="107" t="n"/>
      <c r="C358" s="110">
        <f>IFERROR(IF(OR($A358="",$B358=""),"",INDEX(tblCalisan[Brüt Ücret (₺)],MATCH($A358,tblCalisan[Çalışan Adı],0))*IF($B358="5 Puan İndirimi",BesPuanOrani,IF($B358="İlave İstihdam",IlaveIstihdamOrani,IF($B358="Kadın/Genç",KadinGencOrani,IF($B358="Engelli",EngelliOrani,GencGirisimciOrani))))),"")</f>
        <v/>
      </c>
      <c r="D358" s="110">
        <f>IF($C358="","",$C358*AySayisi)</f>
        <v/>
      </c>
      <c r="E358" s="107" t="n"/>
    </row>
    <row r="359" ht="15" customHeight="1" s="62">
      <c r="A359" s="107" t="n"/>
      <c r="B359" s="107" t="n"/>
      <c r="C359" s="110">
        <f>IFERROR(IF(OR($A359="",$B359=""),"",INDEX(tblCalisan[Brüt Ücret (₺)],MATCH($A359,tblCalisan[Çalışan Adı],0))*IF($B359="5 Puan İndirimi",BesPuanOrani,IF($B359="İlave İstihdam",IlaveIstihdamOrani,IF($B359="Kadın/Genç",KadinGencOrani,IF($B359="Engelli",EngelliOrani,GencGirisimciOrani))))),"")</f>
        <v/>
      </c>
      <c r="D359" s="110">
        <f>IF($C359="","",$C359*AySayisi)</f>
        <v/>
      </c>
      <c r="E359" s="107" t="n"/>
    </row>
    <row r="360" ht="15" customHeight="1" s="62">
      <c r="A360" s="107" t="n"/>
      <c r="B360" s="107" t="n"/>
      <c r="C360" s="110">
        <f>IFERROR(IF(OR($A360="",$B360=""),"",INDEX(tblCalisan[Brüt Ücret (₺)],MATCH($A360,tblCalisan[Çalışan Adı],0))*IF($B360="5 Puan İndirimi",BesPuanOrani,IF($B360="İlave İstihdam",IlaveIstihdamOrani,IF($B360="Kadın/Genç",KadinGencOrani,IF($B360="Engelli",EngelliOrani,GencGirisimciOrani))))),"")</f>
        <v/>
      </c>
      <c r="D360" s="110">
        <f>IF($C360="","",$C360*AySayisi)</f>
        <v/>
      </c>
      <c r="E360" s="107" t="n"/>
    </row>
    <row r="361" ht="15" customHeight="1" s="62">
      <c r="A361" s="107" t="n"/>
      <c r="B361" s="107" t="n"/>
      <c r="C361" s="110">
        <f>IFERROR(IF(OR($A361="",$B361=""),"",INDEX(tblCalisan[Brüt Ücret (₺)],MATCH($A361,tblCalisan[Çalışan Adı],0))*IF($B361="5 Puan İndirimi",BesPuanOrani,IF($B361="İlave İstihdam",IlaveIstihdamOrani,IF($B361="Kadın/Genç",KadinGencOrani,IF($B361="Engelli",EngelliOrani,GencGirisimciOrani))))),"")</f>
        <v/>
      </c>
      <c r="D361" s="110">
        <f>IF($C361="","",$C361*AySayisi)</f>
        <v/>
      </c>
      <c r="E361" s="107" t="n"/>
    </row>
    <row r="362" ht="15" customHeight="1" s="62">
      <c r="A362" s="107" t="n"/>
      <c r="B362" s="107" t="n"/>
      <c r="C362" s="110">
        <f>IFERROR(IF(OR($A362="",$B362=""),"",INDEX(tblCalisan[Brüt Ücret (₺)],MATCH($A362,tblCalisan[Çalışan Adı],0))*IF($B362="5 Puan İndirimi",BesPuanOrani,IF($B362="İlave İstihdam",IlaveIstihdamOrani,IF($B362="Kadın/Genç",KadinGencOrani,IF($B362="Engelli",EngelliOrani,GencGirisimciOrani))))),"")</f>
        <v/>
      </c>
      <c r="D362" s="110">
        <f>IF($C362="","",$C362*AySayisi)</f>
        <v/>
      </c>
      <c r="E362" s="107" t="n"/>
    </row>
    <row r="363" ht="15" customHeight="1" s="62">
      <c r="A363" s="107" t="n"/>
      <c r="B363" s="107" t="n"/>
      <c r="C363" s="110">
        <f>IFERROR(IF(OR($A363="",$B363=""),"",INDEX(tblCalisan[Brüt Ücret (₺)],MATCH($A363,tblCalisan[Çalışan Adı],0))*IF($B363="5 Puan İndirimi",BesPuanOrani,IF($B363="İlave İstihdam",IlaveIstihdamOrani,IF($B363="Kadın/Genç",KadinGencOrani,IF($B363="Engelli",EngelliOrani,GencGirisimciOrani))))),"")</f>
        <v/>
      </c>
      <c r="D363" s="110">
        <f>IF($C363="","",$C363*AySayisi)</f>
        <v/>
      </c>
      <c r="E363" s="107" t="n"/>
    </row>
    <row r="364" ht="15" customHeight="1" s="62">
      <c r="A364" s="107" t="n"/>
      <c r="B364" s="107" t="n"/>
      <c r="C364" s="110">
        <f>IFERROR(IF(OR($A364="",$B364=""),"",INDEX(tblCalisan[Brüt Ücret (₺)],MATCH($A364,tblCalisan[Çalışan Adı],0))*IF($B364="5 Puan İndirimi",BesPuanOrani,IF($B364="İlave İstihdam",IlaveIstihdamOrani,IF($B364="Kadın/Genç",KadinGencOrani,IF($B364="Engelli",EngelliOrani,GencGirisimciOrani))))),"")</f>
        <v/>
      </c>
      <c r="D364" s="110">
        <f>IF($C364="","",$C364*AySayisi)</f>
        <v/>
      </c>
      <c r="E364" s="107" t="n"/>
    </row>
    <row r="365" ht="15" customHeight="1" s="62">
      <c r="A365" s="107" t="n"/>
      <c r="B365" s="107" t="n"/>
      <c r="C365" s="110">
        <f>IFERROR(IF(OR($A365="",$B365=""),"",INDEX(tblCalisan[Brüt Ücret (₺)],MATCH($A365,tblCalisan[Çalışan Adı],0))*IF($B365="5 Puan İndirimi",BesPuanOrani,IF($B365="İlave İstihdam",IlaveIstihdamOrani,IF($B365="Kadın/Genç",KadinGencOrani,IF($B365="Engelli",EngelliOrani,GencGirisimciOrani))))),"")</f>
        <v/>
      </c>
      <c r="D365" s="110">
        <f>IF($C365="","",$C365*AySayisi)</f>
        <v/>
      </c>
      <c r="E365" s="107" t="n"/>
    </row>
    <row r="366" ht="15" customHeight="1" s="62">
      <c r="A366" s="107" t="n"/>
      <c r="B366" s="107" t="n"/>
      <c r="C366" s="110">
        <f>IFERROR(IF(OR($A366="",$B366=""),"",INDEX(tblCalisan[Brüt Ücret (₺)],MATCH($A366,tblCalisan[Çalışan Adı],0))*IF($B366="5 Puan İndirimi",BesPuanOrani,IF($B366="İlave İstihdam",IlaveIstihdamOrani,IF($B366="Kadın/Genç",KadinGencOrani,IF($B366="Engelli",EngelliOrani,GencGirisimciOrani))))),"")</f>
        <v/>
      </c>
      <c r="D366" s="110">
        <f>IF($C366="","",$C366*AySayisi)</f>
        <v/>
      </c>
      <c r="E366" s="107" t="n"/>
    </row>
    <row r="367" ht="15" customHeight="1" s="62">
      <c r="A367" s="107" t="n"/>
      <c r="B367" s="107" t="n"/>
      <c r="C367" s="110">
        <f>IFERROR(IF(OR($A367="",$B367=""),"",INDEX(tblCalisan[Brüt Ücret (₺)],MATCH($A367,tblCalisan[Çalışan Adı],0))*IF($B367="5 Puan İndirimi",BesPuanOrani,IF($B367="İlave İstihdam",IlaveIstihdamOrani,IF($B367="Kadın/Genç",KadinGencOrani,IF($B367="Engelli",EngelliOrani,GencGirisimciOrani))))),"")</f>
        <v/>
      </c>
      <c r="D367" s="110">
        <f>IF($C367="","",$C367*AySayisi)</f>
        <v/>
      </c>
      <c r="E367" s="107" t="n"/>
    </row>
    <row r="368" ht="15" customHeight="1" s="62">
      <c r="A368" s="107" t="n"/>
      <c r="B368" s="107" t="n"/>
      <c r="C368" s="110">
        <f>IFERROR(IF(OR($A368="",$B368=""),"",INDEX(tblCalisan[Brüt Ücret (₺)],MATCH($A368,tblCalisan[Çalışan Adı],0))*IF($B368="5 Puan İndirimi",BesPuanOrani,IF($B368="İlave İstihdam",IlaveIstihdamOrani,IF($B368="Kadın/Genç",KadinGencOrani,IF($B368="Engelli",EngelliOrani,GencGirisimciOrani))))),"")</f>
        <v/>
      </c>
      <c r="D368" s="110">
        <f>IF($C368="","",$C368*AySayisi)</f>
        <v/>
      </c>
      <c r="E368" s="107" t="n"/>
    </row>
    <row r="369" ht="15" customHeight="1" s="62">
      <c r="A369" s="107" t="n"/>
      <c r="B369" s="107" t="n"/>
      <c r="C369" s="110">
        <f>IFERROR(IF(OR($A369="",$B369=""),"",INDEX(tblCalisan[Brüt Ücret (₺)],MATCH($A369,tblCalisan[Çalışan Adı],0))*IF($B369="5 Puan İndirimi",BesPuanOrani,IF($B369="İlave İstihdam",IlaveIstihdamOrani,IF($B369="Kadın/Genç",KadinGencOrani,IF($B369="Engelli",EngelliOrani,GencGirisimciOrani))))),"")</f>
        <v/>
      </c>
      <c r="D369" s="110">
        <f>IF($C369="","",$C369*AySayisi)</f>
        <v/>
      </c>
      <c r="E369" s="107" t="n"/>
    </row>
    <row r="370" ht="15" customHeight="1" s="62">
      <c r="A370" s="107" t="n"/>
      <c r="B370" s="107" t="n"/>
      <c r="C370" s="110">
        <f>IFERROR(IF(OR($A370="",$B370=""),"",INDEX(tblCalisan[Brüt Ücret (₺)],MATCH($A370,tblCalisan[Çalışan Adı],0))*IF($B370="5 Puan İndirimi",BesPuanOrani,IF($B370="İlave İstihdam",IlaveIstihdamOrani,IF($B370="Kadın/Genç",KadinGencOrani,IF($B370="Engelli",EngelliOrani,GencGirisimciOrani))))),"")</f>
        <v/>
      </c>
      <c r="D370" s="110">
        <f>IF($C370="","",$C370*AySayisi)</f>
        <v/>
      </c>
      <c r="E370" s="107" t="n"/>
    </row>
    <row r="371" ht="15" customHeight="1" s="62">
      <c r="A371" s="107" t="n"/>
      <c r="B371" s="107" t="n"/>
      <c r="C371" s="110">
        <f>IFERROR(IF(OR($A371="",$B371=""),"",INDEX(tblCalisan[Brüt Ücret (₺)],MATCH($A371,tblCalisan[Çalışan Adı],0))*IF($B371="5 Puan İndirimi",BesPuanOrani,IF($B371="İlave İstihdam",IlaveIstihdamOrani,IF($B371="Kadın/Genç",KadinGencOrani,IF($B371="Engelli",EngelliOrani,GencGirisimciOrani))))),"")</f>
        <v/>
      </c>
      <c r="D371" s="110">
        <f>IF($C371="","",$C371*AySayisi)</f>
        <v/>
      </c>
      <c r="E371" s="107" t="n"/>
    </row>
    <row r="372" ht="15" customHeight="1" s="62">
      <c r="A372" s="107" t="n"/>
      <c r="B372" s="107" t="n"/>
      <c r="C372" s="110">
        <f>IFERROR(IF(OR($A372="",$B372=""),"",INDEX(tblCalisan[Brüt Ücret (₺)],MATCH($A372,tblCalisan[Çalışan Adı],0))*IF($B372="5 Puan İndirimi",BesPuanOrani,IF($B372="İlave İstihdam",IlaveIstihdamOrani,IF($B372="Kadın/Genç",KadinGencOrani,IF($B372="Engelli",EngelliOrani,GencGirisimciOrani))))),"")</f>
        <v/>
      </c>
      <c r="D372" s="110">
        <f>IF($C372="","",$C372*AySayisi)</f>
        <v/>
      </c>
      <c r="E372" s="107" t="n"/>
    </row>
    <row r="373" ht="15" customHeight="1" s="62">
      <c r="A373" s="107" t="n"/>
      <c r="B373" s="107" t="n"/>
      <c r="C373" s="110">
        <f>IFERROR(IF(OR($A373="",$B373=""),"",INDEX(tblCalisan[Brüt Ücret (₺)],MATCH($A373,tblCalisan[Çalışan Adı],0))*IF($B373="5 Puan İndirimi",BesPuanOrani,IF($B373="İlave İstihdam",IlaveIstihdamOrani,IF($B373="Kadın/Genç",KadinGencOrani,IF($B373="Engelli",EngelliOrani,GencGirisimciOrani))))),"")</f>
        <v/>
      </c>
      <c r="D373" s="110">
        <f>IF($C373="","",$C373*AySayisi)</f>
        <v/>
      </c>
      <c r="E373" s="107" t="n"/>
    </row>
    <row r="374" ht="15" customHeight="1" s="62">
      <c r="A374" s="107" t="n"/>
      <c r="B374" s="107" t="n"/>
      <c r="C374" s="110">
        <f>IFERROR(IF(OR($A374="",$B374=""),"",INDEX(tblCalisan[Brüt Ücret (₺)],MATCH($A374,tblCalisan[Çalışan Adı],0))*IF($B374="5 Puan İndirimi",BesPuanOrani,IF($B374="İlave İstihdam",IlaveIstihdamOrani,IF($B374="Kadın/Genç",KadinGencOrani,IF($B374="Engelli",EngelliOrani,GencGirisimciOrani))))),"")</f>
        <v/>
      </c>
      <c r="D374" s="110">
        <f>IF($C374="","",$C374*AySayisi)</f>
        <v/>
      </c>
      <c r="E374" s="107" t="n"/>
    </row>
    <row r="375" ht="15" customHeight="1" s="62">
      <c r="A375" s="107" t="n"/>
      <c r="B375" s="107" t="n"/>
      <c r="C375" s="110">
        <f>IFERROR(IF(OR($A375="",$B375=""),"",INDEX(tblCalisan[Brüt Ücret (₺)],MATCH($A375,tblCalisan[Çalışan Adı],0))*IF($B375="5 Puan İndirimi",BesPuanOrani,IF($B375="İlave İstihdam",IlaveIstihdamOrani,IF($B375="Kadın/Genç",KadinGencOrani,IF($B375="Engelli",EngelliOrani,GencGirisimciOrani))))),"")</f>
        <v/>
      </c>
      <c r="D375" s="110">
        <f>IF($C375="","",$C375*AySayisi)</f>
        <v/>
      </c>
      <c r="E375" s="107" t="n"/>
    </row>
    <row r="376" ht="15" customHeight="1" s="62">
      <c r="A376" s="107" t="n"/>
      <c r="B376" s="107" t="n"/>
      <c r="C376" s="110">
        <f>IFERROR(IF(OR($A376="",$B376=""),"",INDEX(tblCalisan[Brüt Ücret (₺)],MATCH($A376,tblCalisan[Çalışan Adı],0))*IF($B376="5 Puan İndirimi",BesPuanOrani,IF($B376="İlave İstihdam",IlaveIstihdamOrani,IF($B376="Kadın/Genç",KadinGencOrani,IF($B376="Engelli",EngelliOrani,GencGirisimciOrani))))),"")</f>
        <v/>
      </c>
      <c r="D376" s="110">
        <f>IF($C376="","",$C376*AySayisi)</f>
        <v/>
      </c>
      <c r="E376" s="107" t="n"/>
    </row>
    <row r="377" ht="15" customHeight="1" s="62">
      <c r="A377" s="107" t="n"/>
      <c r="B377" s="107" t="n"/>
      <c r="C377" s="110">
        <f>IFERROR(IF(OR($A377="",$B377=""),"",INDEX(tblCalisan[Brüt Ücret (₺)],MATCH($A377,tblCalisan[Çalışan Adı],0))*IF($B377="5 Puan İndirimi",BesPuanOrani,IF($B377="İlave İstihdam",IlaveIstihdamOrani,IF($B377="Kadın/Genç",KadinGencOrani,IF($B377="Engelli",EngelliOrani,GencGirisimciOrani))))),"")</f>
        <v/>
      </c>
      <c r="D377" s="110">
        <f>IF($C377="","",$C377*AySayisi)</f>
        <v/>
      </c>
      <c r="E377" s="107" t="n"/>
    </row>
    <row r="378" ht="15" customHeight="1" s="62">
      <c r="A378" s="107" t="n"/>
      <c r="B378" s="107" t="n"/>
      <c r="C378" s="110">
        <f>IFERROR(IF(OR($A378="",$B378=""),"",INDEX(tblCalisan[Brüt Ücret (₺)],MATCH($A378,tblCalisan[Çalışan Adı],0))*IF($B378="5 Puan İndirimi",BesPuanOrani,IF($B378="İlave İstihdam",IlaveIstihdamOrani,IF($B378="Kadın/Genç",KadinGencOrani,IF($B378="Engelli",EngelliOrani,GencGirisimciOrani))))),"")</f>
        <v/>
      </c>
      <c r="D378" s="110">
        <f>IF($C378="","",$C378*AySayisi)</f>
        <v/>
      </c>
      <c r="E378" s="107" t="n"/>
    </row>
    <row r="379" ht="15" customHeight="1" s="62">
      <c r="A379" s="107" t="n"/>
      <c r="B379" s="107" t="n"/>
      <c r="C379" s="110">
        <f>IFERROR(IF(OR($A379="",$B379=""),"",INDEX(tblCalisan[Brüt Ücret (₺)],MATCH($A379,tblCalisan[Çalışan Adı],0))*IF($B379="5 Puan İndirimi",BesPuanOrani,IF($B379="İlave İstihdam",IlaveIstihdamOrani,IF($B379="Kadın/Genç",KadinGencOrani,IF($B379="Engelli",EngelliOrani,GencGirisimciOrani))))),"")</f>
        <v/>
      </c>
      <c r="D379" s="110">
        <f>IF($C379="","",$C379*AySayisi)</f>
        <v/>
      </c>
      <c r="E379" s="107" t="n"/>
    </row>
    <row r="380" ht="15" customHeight="1" s="62">
      <c r="A380" s="107" t="n"/>
      <c r="B380" s="107" t="n"/>
      <c r="C380" s="110">
        <f>IFERROR(IF(OR($A380="",$B380=""),"",INDEX(tblCalisan[Brüt Ücret (₺)],MATCH($A380,tblCalisan[Çalışan Adı],0))*IF($B380="5 Puan İndirimi",BesPuanOrani,IF($B380="İlave İstihdam",IlaveIstihdamOrani,IF($B380="Kadın/Genç",KadinGencOrani,IF($B380="Engelli",EngelliOrani,GencGirisimciOrani))))),"")</f>
        <v/>
      </c>
      <c r="D380" s="110">
        <f>IF($C380="","",$C380*AySayisi)</f>
        <v/>
      </c>
      <c r="E380" s="107" t="n"/>
    </row>
    <row r="381" ht="15" customHeight="1" s="62">
      <c r="A381" s="107" t="n"/>
      <c r="B381" s="107" t="n"/>
      <c r="C381" s="110">
        <f>IFERROR(IF(OR($A381="",$B381=""),"",INDEX(tblCalisan[Brüt Ücret (₺)],MATCH($A381,tblCalisan[Çalışan Adı],0))*IF($B381="5 Puan İndirimi",BesPuanOrani,IF($B381="İlave İstihdam",IlaveIstihdamOrani,IF($B381="Kadın/Genç",KadinGencOrani,IF($B381="Engelli",EngelliOrani,GencGirisimciOrani))))),"")</f>
        <v/>
      </c>
      <c r="D381" s="110">
        <f>IF($C381="","",$C381*AySayisi)</f>
        <v/>
      </c>
      <c r="E381" s="107" t="n"/>
    </row>
    <row r="382" ht="15" customHeight="1" s="62">
      <c r="A382" s="107" t="n"/>
      <c r="B382" s="107" t="n"/>
      <c r="C382" s="110">
        <f>IFERROR(IF(OR($A382="",$B382=""),"",INDEX(tblCalisan[Brüt Ücret (₺)],MATCH($A382,tblCalisan[Çalışan Adı],0))*IF($B382="5 Puan İndirimi",BesPuanOrani,IF($B382="İlave İstihdam",IlaveIstihdamOrani,IF($B382="Kadın/Genç",KadinGencOrani,IF($B382="Engelli",EngelliOrani,GencGirisimciOrani))))),"")</f>
        <v/>
      </c>
      <c r="D382" s="110">
        <f>IF($C382="","",$C382*AySayisi)</f>
        <v/>
      </c>
      <c r="E382" s="107" t="n"/>
    </row>
    <row r="383" ht="15" customHeight="1" s="62">
      <c r="A383" s="107" t="n"/>
      <c r="B383" s="107" t="n"/>
      <c r="C383" s="110">
        <f>IFERROR(IF(OR($A383="",$B383=""),"",INDEX(tblCalisan[Brüt Ücret (₺)],MATCH($A383,tblCalisan[Çalışan Adı],0))*IF($B383="5 Puan İndirimi",BesPuanOrani,IF($B383="İlave İstihdam",IlaveIstihdamOrani,IF($B383="Kadın/Genç",KadinGencOrani,IF($B383="Engelli",EngelliOrani,GencGirisimciOrani))))),"")</f>
        <v/>
      </c>
      <c r="D383" s="110">
        <f>IF($C383="","",$C383*AySayisi)</f>
        <v/>
      </c>
      <c r="E383" s="107" t="n"/>
    </row>
    <row r="384" ht="15" customHeight="1" s="62">
      <c r="A384" s="107" t="n"/>
      <c r="B384" s="107" t="n"/>
      <c r="C384" s="110">
        <f>IFERROR(IF(OR($A384="",$B384=""),"",INDEX(tblCalisan[Brüt Ücret (₺)],MATCH($A384,tblCalisan[Çalışan Adı],0))*IF($B384="5 Puan İndirimi",BesPuanOrani,IF($B384="İlave İstihdam",IlaveIstihdamOrani,IF($B384="Kadın/Genç",KadinGencOrani,IF($B384="Engelli",EngelliOrani,GencGirisimciOrani))))),"")</f>
        <v/>
      </c>
      <c r="D384" s="110">
        <f>IF($C384="","",$C384*AySayisi)</f>
        <v/>
      </c>
      <c r="E384" s="107" t="n"/>
    </row>
    <row r="385" ht="15" customHeight="1" s="62">
      <c r="A385" s="107" t="n"/>
      <c r="B385" s="107" t="n"/>
      <c r="C385" s="110">
        <f>IFERROR(IF(OR($A385="",$B385=""),"",INDEX(tblCalisan[Brüt Ücret (₺)],MATCH($A385,tblCalisan[Çalışan Adı],0))*IF($B385="5 Puan İndirimi",BesPuanOrani,IF($B385="İlave İstihdam",IlaveIstihdamOrani,IF($B385="Kadın/Genç",KadinGencOrani,IF($B385="Engelli",EngelliOrani,GencGirisimciOrani))))),"")</f>
        <v/>
      </c>
      <c r="D385" s="110">
        <f>IF($C385="","",$C385*AySayisi)</f>
        <v/>
      </c>
      <c r="E385" s="107" t="n"/>
    </row>
    <row r="386" ht="15" customHeight="1" s="62">
      <c r="A386" s="107" t="n"/>
      <c r="B386" s="107" t="n"/>
      <c r="C386" s="110">
        <f>IFERROR(IF(OR($A386="",$B386=""),"",INDEX(tblCalisan[Brüt Ücret (₺)],MATCH($A386,tblCalisan[Çalışan Adı],0))*IF($B386="5 Puan İndirimi",BesPuanOrani,IF($B386="İlave İstihdam",IlaveIstihdamOrani,IF($B386="Kadın/Genç",KadinGencOrani,IF($B386="Engelli",EngelliOrani,GencGirisimciOrani))))),"")</f>
        <v/>
      </c>
      <c r="D386" s="110">
        <f>IF($C386="","",$C386*AySayisi)</f>
        <v/>
      </c>
      <c r="E386" s="107" t="n"/>
    </row>
    <row r="387" ht="15" customHeight="1" s="62">
      <c r="A387" s="107" t="n"/>
      <c r="B387" s="107" t="n"/>
      <c r="C387" s="110">
        <f>IFERROR(IF(OR($A387="",$B387=""),"",INDEX(tblCalisan[Brüt Ücret (₺)],MATCH($A387,tblCalisan[Çalışan Adı],0))*IF($B387="5 Puan İndirimi",BesPuanOrani,IF($B387="İlave İstihdam",IlaveIstihdamOrani,IF($B387="Kadın/Genç",KadinGencOrani,IF($B387="Engelli",EngelliOrani,GencGirisimciOrani))))),"")</f>
        <v/>
      </c>
      <c r="D387" s="110">
        <f>IF($C387="","",$C387*AySayisi)</f>
        <v/>
      </c>
      <c r="E387" s="107" t="n"/>
    </row>
    <row r="388" ht="15" customHeight="1" s="62">
      <c r="A388" s="107" t="n"/>
      <c r="B388" s="107" t="n"/>
      <c r="C388" s="110">
        <f>IFERROR(IF(OR($A388="",$B388=""),"",INDEX(tblCalisan[Brüt Ücret (₺)],MATCH($A388,tblCalisan[Çalışan Adı],0))*IF($B388="5 Puan İndirimi",BesPuanOrani,IF($B388="İlave İstihdam",IlaveIstihdamOrani,IF($B388="Kadın/Genç",KadinGencOrani,IF($B388="Engelli",EngelliOrani,GencGirisimciOrani))))),"")</f>
        <v/>
      </c>
      <c r="D388" s="110">
        <f>IF($C388="","",$C388*AySayisi)</f>
        <v/>
      </c>
      <c r="E388" s="107" t="n"/>
    </row>
    <row r="389" ht="15" customHeight="1" s="62">
      <c r="A389" s="107" t="n"/>
      <c r="B389" s="107" t="n"/>
      <c r="C389" s="110">
        <f>IFERROR(IF(OR($A389="",$B389=""),"",INDEX(tblCalisan[Brüt Ücret (₺)],MATCH($A389,tblCalisan[Çalışan Adı],0))*IF($B389="5 Puan İndirimi",BesPuanOrani,IF($B389="İlave İstihdam",IlaveIstihdamOrani,IF($B389="Kadın/Genç",KadinGencOrani,IF($B389="Engelli",EngelliOrani,GencGirisimciOrani))))),"")</f>
        <v/>
      </c>
      <c r="D389" s="110">
        <f>IF($C389="","",$C389*AySayisi)</f>
        <v/>
      </c>
      <c r="E389" s="107" t="n"/>
    </row>
    <row r="390" ht="15" customHeight="1" s="62">
      <c r="A390" s="107" t="n"/>
      <c r="B390" s="107" t="n"/>
      <c r="C390" s="110">
        <f>IFERROR(IF(OR($A390="",$B390=""),"",INDEX(tblCalisan[Brüt Ücret (₺)],MATCH($A390,tblCalisan[Çalışan Adı],0))*IF($B390="5 Puan İndirimi",BesPuanOrani,IF($B390="İlave İstihdam",IlaveIstihdamOrani,IF($B390="Kadın/Genç",KadinGencOrani,IF($B390="Engelli",EngelliOrani,GencGirisimciOrani))))),"")</f>
        <v/>
      </c>
      <c r="D390" s="110">
        <f>IF($C390="","",$C390*AySayisi)</f>
        <v/>
      </c>
      <c r="E390" s="107" t="n"/>
    </row>
    <row r="391" ht="15" customHeight="1" s="62">
      <c r="A391" s="107" t="n"/>
      <c r="B391" s="107" t="n"/>
      <c r="C391" s="110">
        <f>IFERROR(IF(OR($A391="",$B391=""),"",INDEX(tblCalisan[Brüt Ücret (₺)],MATCH($A391,tblCalisan[Çalışan Adı],0))*IF($B391="5 Puan İndirimi",BesPuanOrani,IF($B391="İlave İstihdam",IlaveIstihdamOrani,IF($B391="Kadın/Genç",KadinGencOrani,IF($B391="Engelli",EngelliOrani,GencGirisimciOrani))))),"")</f>
        <v/>
      </c>
      <c r="D391" s="110">
        <f>IF($C391="","",$C391*AySayisi)</f>
        <v/>
      </c>
      <c r="E391" s="107" t="n"/>
    </row>
    <row r="392" ht="15" customHeight="1" s="62">
      <c r="A392" s="107" t="n"/>
      <c r="B392" s="107" t="n"/>
      <c r="C392" s="110">
        <f>IFERROR(IF(OR($A392="",$B392=""),"",INDEX(tblCalisan[Brüt Ücret (₺)],MATCH($A392,tblCalisan[Çalışan Adı],0))*IF($B392="5 Puan İndirimi",BesPuanOrani,IF($B392="İlave İstihdam",IlaveIstihdamOrani,IF($B392="Kadın/Genç",KadinGencOrani,IF($B392="Engelli",EngelliOrani,GencGirisimciOrani))))),"")</f>
        <v/>
      </c>
      <c r="D392" s="110">
        <f>IF($C392="","",$C392*AySayisi)</f>
        <v/>
      </c>
      <c r="E392" s="107" t="n"/>
    </row>
    <row r="393" ht="15" customHeight="1" s="62">
      <c r="A393" s="107" t="n"/>
      <c r="B393" s="107" t="n"/>
      <c r="C393" s="110">
        <f>IFERROR(IF(OR($A393="",$B393=""),"",INDEX(tblCalisan[Brüt Ücret (₺)],MATCH($A393,tblCalisan[Çalışan Adı],0))*IF($B393="5 Puan İndirimi",BesPuanOrani,IF($B393="İlave İstihdam",IlaveIstihdamOrani,IF($B393="Kadın/Genç",KadinGencOrani,IF($B393="Engelli",EngelliOrani,GencGirisimciOrani))))),"")</f>
        <v/>
      </c>
      <c r="D393" s="110">
        <f>IF($C393="","",$C393*AySayisi)</f>
        <v/>
      </c>
      <c r="E393" s="107" t="n"/>
    </row>
    <row r="394" ht="15" customHeight="1" s="62">
      <c r="A394" s="107" t="n"/>
      <c r="B394" s="107" t="n"/>
      <c r="C394" s="110">
        <f>IFERROR(IF(OR($A394="",$B394=""),"",INDEX(tblCalisan[Brüt Ücret (₺)],MATCH($A394,tblCalisan[Çalışan Adı],0))*IF($B394="5 Puan İndirimi",BesPuanOrani,IF($B394="İlave İstihdam",IlaveIstihdamOrani,IF($B394="Kadın/Genç",KadinGencOrani,IF($B394="Engelli",EngelliOrani,GencGirisimciOrani))))),"")</f>
        <v/>
      </c>
      <c r="D394" s="110">
        <f>IF($C394="","",$C394*AySayisi)</f>
        <v/>
      </c>
      <c r="E394" s="107" t="n"/>
    </row>
    <row r="395" ht="15" customHeight="1" s="62">
      <c r="A395" s="107" t="n"/>
      <c r="B395" s="107" t="n"/>
      <c r="C395" s="110">
        <f>IFERROR(IF(OR($A395="",$B395=""),"",INDEX(tblCalisan[Brüt Ücret (₺)],MATCH($A395,tblCalisan[Çalışan Adı],0))*IF($B395="5 Puan İndirimi",BesPuanOrani,IF($B395="İlave İstihdam",IlaveIstihdamOrani,IF($B395="Kadın/Genç",KadinGencOrani,IF($B395="Engelli",EngelliOrani,GencGirisimciOrani))))),"")</f>
        <v/>
      </c>
      <c r="D395" s="110">
        <f>IF($C395="","",$C395*AySayisi)</f>
        <v/>
      </c>
      <c r="E395" s="107" t="n"/>
    </row>
    <row r="396" ht="15" customHeight="1" s="62">
      <c r="A396" s="107" t="n"/>
      <c r="B396" s="107" t="n"/>
      <c r="C396" s="110">
        <f>IFERROR(IF(OR($A396="",$B396=""),"",INDEX(tblCalisan[Brüt Ücret (₺)],MATCH($A396,tblCalisan[Çalışan Adı],0))*IF($B396="5 Puan İndirimi",BesPuanOrani,IF($B396="İlave İstihdam",IlaveIstihdamOrani,IF($B396="Kadın/Genç",KadinGencOrani,IF($B396="Engelli",EngelliOrani,GencGirisimciOrani))))),"")</f>
        <v/>
      </c>
      <c r="D396" s="110">
        <f>IF($C396="","",$C396*AySayisi)</f>
        <v/>
      </c>
      <c r="E396" s="107" t="n"/>
    </row>
    <row r="397" ht="15" customHeight="1" s="62">
      <c r="A397" s="107" t="n"/>
      <c r="B397" s="107" t="n"/>
      <c r="C397" s="110">
        <f>IFERROR(IF(OR($A397="",$B397=""),"",INDEX(tblCalisan[Brüt Ücret (₺)],MATCH($A397,tblCalisan[Çalışan Adı],0))*IF($B397="5 Puan İndirimi",BesPuanOrani,IF($B397="İlave İstihdam",IlaveIstihdamOrani,IF($B397="Kadın/Genç",KadinGencOrani,IF($B397="Engelli",EngelliOrani,GencGirisimciOrani))))),"")</f>
        <v/>
      </c>
      <c r="D397" s="110">
        <f>IF($C397="","",$C397*AySayisi)</f>
        <v/>
      </c>
      <c r="E397" s="107" t="n"/>
    </row>
    <row r="398" ht="15" customHeight="1" s="62">
      <c r="A398" s="107" t="n"/>
      <c r="B398" s="107" t="n"/>
      <c r="C398" s="110">
        <f>IFERROR(IF(OR($A398="",$B398=""),"",INDEX(tblCalisan[Brüt Ücret (₺)],MATCH($A398,tblCalisan[Çalışan Adı],0))*IF($B398="5 Puan İndirimi",BesPuanOrani,IF($B398="İlave İstihdam",IlaveIstihdamOrani,IF($B398="Kadın/Genç",KadinGencOrani,IF($B398="Engelli",EngelliOrani,GencGirisimciOrani))))),"")</f>
        <v/>
      </c>
      <c r="D398" s="110">
        <f>IF($C398="","",$C398*AySayisi)</f>
        <v/>
      </c>
      <c r="E398" s="107" t="n"/>
    </row>
    <row r="399" ht="15" customHeight="1" s="62">
      <c r="A399" s="107" t="n"/>
      <c r="B399" s="107" t="n"/>
      <c r="C399" s="110">
        <f>IFERROR(IF(OR($A399="",$B399=""),"",INDEX(tblCalisan[Brüt Ücret (₺)],MATCH($A399,tblCalisan[Çalışan Adı],0))*IF($B399="5 Puan İndirimi",BesPuanOrani,IF($B399="İlave İstihdam",IlaveIstihdamOrani,IF($B399="Kadın/Genç",KadinGencOrani,IF($B399="Engelli",EngelliOrani,GencGirisimciOrani))))),"")</f>
        <v/>
      </c>
      <c r="D399" s="110">
        <f>IF($C399="","",$C399*AySayisi)</f>
        <v/>
      </c>
      <c r="E399" s="107" t="n"/>
    </row>
    <row r="400" ht="15" customHeight="1" s="62">
      <c r="A400" s="107" t="n"/>
      <c r="B400" s="107" t="n"/>
      <c r="C400" s="110">
        <f>IFERROR(IF(OR($A400="",$B400=""),"",INDEX(tblCalisan[Brüt Ücret (₺)],MATCH($A400,tblCalisan[Çalışan Adı],0))*IF($B400="5 Puan İndirimi",BesPuanOrani,IF($B400="İlave İstihdam",IlaveIstihdamOrani,IF($B400="Kadın/Genç",KadinGencOrani,IF($B400="Engelli",EngelliOrani,GencGirisimciOrani))))),"")</f>
        <v/>
      </c>
      <c r="D400" s="110">
        <f>IF($C400="","",$C400*AySayisi)</f>
        <v/>
      </c>
      <c r="E400" s="107" t="n"/>
    </row>
    <row r="401" ht="15" customHeight="1" s="62">
      <c r="A401" s="107" t="n"/>
      <c r="B401" s="107" t="n"/>
      <c r="C401" s="110">
        <f>IFERROR(IF(OR($A401="",$B401=""),"",INDEX(tblCalisan[Brüt Ücret (₺)],MATCH($A401,tblCalisan[Çalışan Adı],0))*IF($B401="5 Puan İndirimi",BesPuanOrani,IF($B401="İlave İstihdam",IlaveIstihdamOrani,IF($B401="Kadın/Genç",KadinGencOrani,IF($B401="Engelli",EngelliOrani,GencGirisimciOrani))))),"")</f>
        <v/>
      </c>
      <c r="D401" s="110">
        <f>IF($C401="","",$C401*AySayisi)</f>
        <v/>
      </c>
      <c r="E401" s="107" t="n"/>
    </row>
    <row r="402" ht="15" customHeight="1" s="62">
      <c r="A402" s="107" t="n"/>
      <c r="B402" s="107" t="n"/>
      <c r="C402" s="110">
        <f>IFERROR(IF(OR($A402="",$B402=""),"",INDEX(tblCalisan[Brüt Ücret (₺)],MATCH($A402,tblCalisan[Çalışan Adı],0))*IF($B402="5 Puan İndirimi",BesPuanOrani,IF($B402="İlave İstihdam",IlaveIstihdamOrani,IF($B402="Kadın/Genç",KadinGencOrani,IF($B402="Engelli",EngelliOrani,GencGirisimciOrani))))),"")</f>
        <v/>
      </c>
      <c r="D402" s="110">
        <f>IF($C402="","",$C402*AySayisi)</f>
        <v/>
      </c>
      <c r="E402" s="107" t="n"/>
    </row>
    <row r="403" ht="15" customHeight="1" s="62">
      <c r="A403" s="107" t="n"/>
      <c r="B403" s="107" t="n"/>
      <c r="C403" s="110">
        <f>IFERROR(IF(OR($A403="",$B403=""),"",INDEX(tblCalisan[Brüt Ücret (₺)],MATCH($A403,tblCalisan[Çalışan Adı],0))*IF($B403="5 Puan İndirimi",BesPuanOrani,IF($B403="İlave İstihdam",IlaveIstihdamOrani,IF($B403="Kadın/Genç",KadinGencOrani,IF($B403="Engelli",EngelliOrani,GencGirisimciOrani))))),"")</f>
        <v/>
      </c>
      <c r="D403" s="110">
        <f>IF($C403="","",$C403*AySayisi)</f>
        <v/>
      </c>
      <c r="E403" s="107" t="n"/>
    </row>
    <row r="404" ht="15" customHeight="1" s="62">
      <c r="A404" s="107" t="n"/>
      <c r="B404" s="107" t="n"/>
      <c r="C404" s="110">
        <f>IFERROR(IF(OR($A404="",$B404=""),"",INDEX(tblCalisan[Brüt Ücret (₺)],MATCH($A404,tblCalisan[Çalışan Adı],0))*IF($B404="5 Puan İndirimi",BesPuanOrani,IF($B404="İlave İstihdam",IlaveIstihdamOrani,IF($B404="Kadın/Genç",KadinGencOrani,IF($B404="Engelli",EngelliOrani,GencGirisimciOrani))))),"")</f>
        <v/>
      </c>
      <c r="D404" s="110">
        <f>IF($C404="","",$C404*AySayisi)</f>
        <v/>
      </c>
      <c r="E404" s="107" t="n"/>
    </row>
    <row r="405" ht="15" customHeight="1" s="62">
      <c r="A405" s="107" t="n"/>
      <c r="B405" s="107" t="n"/>
      <c r="C405" s="110">
        <f>IFERROR(IF(OR($A405="",$B405=""),"",INDEX(tblCalisan[Brüt Ücret (₺)],MATCH($A405,tblCalisan[Çalışan Adı],0))*IF($B405="5 Puan İndirimi",BesPuanOrani,IF($B405="İlave İstihdam",IlaveIstihdamOrani,IF($B405="Kadın/Genç",KadinGencOrani,IF($B405="Engelli",EngelliOrani,GencGirisimciOrani))))),"")</f>
        <v/>
      </c>
      <c r="D405" s="110">
        <f>IF($C405="","",$C405*AySayisi)</f>
        <v/>
      </c>
      <c r="E405" s="107" t="n"/>
    </row>
    <row r="406" ht="15" customHeight="1" s="62">
      <c r="A406" s="107" t="n"/>
      <c r="B406" s="107" t="n"/>
      <c r="C406" s="110">
        <f>IFERROR(IF(OR($A406="",$B406=""),"",INDEX(tblCalisan[Brüt Ücret (₺)],MATCH($A406,tblCalisan[Çalışan Adı],0))*IF($B406="5 Puan İndirimi",BesPuanOrani,IF($B406="İlave İstihdam",IlaveIstihdamOrani,IF($B406="Kadın/Genç",KadinGencOrani,IF($B406="Engelli",EngelliOrani,GencGirisimciOrani))))),"")</f>
        <v/>
      </c>
      <c r="D406" s="110">
        <f>IF($C406="","",$C406*AySayisi)</f>
        <v/>
      </c>
      <c r="E406" s="107" t="n"/>
    </row>
    <row r="407" ht="15" customHeight="1" s="62">
      <c r="A407" s="107" t="n"/>
      <c r="B407" s="107" t="n"/>
      <c r="C407" s="110">
        <f>IFERROR(IF(OR($A407="",$B407=""),"",INDEX(tblCalisan[Brüt Ücret (₺)],MATCH($A407,tblCalisan[Çalışan Adı],0))*IF($B407="5 Puan İndirimi",BesPuanOrani,IF($B407="İlave İstihdam",IlaveIstihdamOrani,IF($B407="Kadın/Genç",KadinGencOrani,IF($B407="Engelli",EngelliOrani,GencGirisimciOrani))))),"")</f>
        <v/>
      </c>
      <c r="D407" s="110">
        <f>IF($C407="","",$C407*AySayisi)</f>
        <v/>
      </c>
      <c r="E407" s="107" t="n"/>
    </row>
    <row r="408" ht="15" customHeight="1" s="62">
      <c r="A408" s="107" t="n"/>
      <c r="B408" s="107" t="n"/>
      <c r="C408" s="110">
        <f>IFERROR(IF(OR($A408="",$B408=""),"",INDEX(tblCalisan[Brüt Ücret (₺)],MATCH($A408,tblCalisan[Çalışan Adı],0))*IF($B408="5 Puan İndirimi",BesPuanOrani,IF($B408="İlave İstihdam",IlaveIstihdamOrani,IF($B408="Kadın/Genç",KadinGencOrani,IF($B408="Engelli",EngelliOrani,GencGirisimciOrani))))),"")</f>
        <v/>
      </c>
      <c r="D408" s="110">
        <f>IF($C408="","",$C408*AySayisi)</f>
        <v/>
      </c>
      <c r="E408" s="107" t="n"/>
    </row>
    <row r="409" ht="15" customHeight="1" s="62">
      <c r="A409" s="107" t="n"/>
      <c r="B409" s="107" t="n"/>
      <c r="C409" s="110">
        <f>IFERROR(IF(OR($A409="",$B409=""),"",INDEX(tblCalisan[Brüt Ücret (₺)],MATCH($A409,tblCalisan[Çalışan Adı],0))*IF($B409="5 Puan İndirimi",BesPuanOrani,IF($B409="İlave İstihdam",IlaveIstihdamOrani,IF($B409="Kadın/Genç",KadinGencOrani,IF($B409="Engelli",EngelliOrani,GencGirisimciOrani))))),"")</f>
        <v/>
      </c>
      <c r="D409" s="110">
        <f>IF($C409="","",$C409*AySayisi)</f>
        <v/>
      </c>
      <c r="E409" s="107" t="n"/>
    </row>
    <row r="410" ht="15" customHeight="1" s="62">
      <c r="A410" s="107" t="n"/>
      <c r="B410" s="107" t="n"/>
      <c r="C410" s="110">
        <f>IFERROR(IF(OR($A410="",$B410=""),"",INDEX(tblCalisan[Brüt Ücret (₺)],MATCH($A410,tblCalisan[Çalışan Adı],0))*IF($B410="5 Puan İndirimi",BesPuanOrani,IF($B410="İlave İstihdam",IlaveIstihdamOrani,IF($B410="Kadın/Genç",KadinGencOrani,IF($B410="Engelli",EngelliOrani,GencGirisimciOrani))))),"")</f>
        <v/>
      </c>
      <c r="D410" s="110">
        <f>IF($C410="","",$C410*AySayisi)</f>
        <v/>
      </c>
      <c r="E410" s="107" t="n"/>
    </row>
    <row r="411" ht="15" customHeight="1" s="62">
      <c r="A411" s="107" t="n"/>
      <c r="B411" s="107" t="n"/>
      <c r="C411" s="110">
        <f>IFERROR(IF(OR($A411="",$B411=""),"",INDEX(tblCalisan[Brüt Ücret (₺)],MATCH($A411,tblCalisan[Çalışan Adı],0))*IF($B411="5 Puan İndirimi",BesPuanOrani,IF($B411="İlave İstihdam",IlaveIstihdamOrani,IF($B411="Kadın/Genç",KadinGencOrani,IF($B411="Engelli",EngelliOrani,GencGirisimciOrani))))),"")</f>
        <v/>
      </c>
      <c r="D411" s="110">
        <f>IF($C411="","",$C411*AySayisi)</f>
        <v/>
      </c>
      <c r="E411" s="107" t="n"/>
    </row>
    <row r="412" ht="15" customHeight="1" s="62">
      <c r="A412" s="107" t="n"/>
      <c r="B412" s="107" t="n"/>
      <c r="C412" s="110">
        <f>IFERROR(IF(OR($A412="",$B412=""),"",INDEX(tblCalisan[Brüt Ücret (₺)],MATCH($A412,tblCalisan[Çalışan Adı],0))*IF($B412="5 Puan İndirimi",BesPuanOrani,IF($B412="İlave İstihdam",IlaveIstihdamOrani,IF($B412="Kadın/Genç",KadinGencOrani,IF($B412="Engelli",EngelliOrani,GencGirisimciOrani))))),"")</f>
        <v/>
      </c>
      <c r="D412" s="110">
        <f>IF($C412="","",$C412*AySayisi)</f>
        <v/>
      </c>
      <c r="E412" s="107" t="n"/>
    </row>
    <row r="413" ht="15" customHeight="1" s="62">
      <c r="A413" s="107" t="n"/>
      <c r="B413" s="107" t="n"/>
      <c r="C413" s="110">
        <f>IFERROR(IF(OR($A413="",$B413=""),"",INDEX(tblCalisan[Brüt Ücret (₺)],MATCH($A413,tblCalisan[Çalışan Adı],0))*IF($B413="5 Puan İndirimi",BesPuanOrani,IF($B413="İlave İstihdam",IlaveIstihdamOrani,IF($B413="Kadın/Genç",KadinGencOrani,IF($B413="Engelli",EngelliOrani,GencGirisimciOrani))))),"")</f>
        <v/>
      </c>
      <c r="D413" s="110">
        <f>IF($C413="","",$C413*AySayisi)</f>
        <v/>
      </c>
      <c r="E413" s="107" t="n"/>
    </row>
    <row r="414" ht="15" customHeight="1" s="62">
      <c r="A414" s="107" t="n"/>
      <c r="B414" s="107" t="n"/>
      <c r="C414" s="110">
        <f>IFERROR(IF(OR($A414="",$B414=""),"",INDEX(tblCalisan[Brüt Ücret (₺)],MATCH($A414,tblCalisan[Çalışan Adı],0))*IF($B414="5 Puan İndirimi",BesPuanOrani,IF($B414="İlave İstihdam",IlaveIstihdamOrani,IF($B414="Kadın/Genç",KadinGencOrani,IF($B414="Engelli",EngelliOrani,GencGirisimciOrani))))),"")</f>
        <v/>
      </c>
      <c r="D414" s="110">
        <f>IF($C414="","",$C414*AySayisi)</f>
        <v/>
      </c>
      <c r="E414" s="107" t="n"/>
    </row>
    <row r="415" ht="15" customHeight="1" s="62">
      <c r="A415" s="107" t="n"/>
      <c r="B415" s="107" t="n"/>
      <c r="C415" s="110">
        <f>IFERROR(IF(OR($A415="",$B415=""),"",INDEX(tblCalisan[Brüt Ücret (₺)],MATCH($A415,tblCalisan[Çalışan Adı],0))*IF($B415="5 Puan İndirimi",BesPuanOrani,IF($B415="İlave İstihdam",IlaveIstihdamOrani,IF($B415="Kadın/Genç",KadinGencOrani,IF($B415="Engelli",EngelliOrani,GencGirisimciOrani))))),"")</f>
        <v/>
      </c>
      <c r="D415" s="110">
        <f>IF($C415="","",$C415*AySayisi)</f>
        <v/>
      </c>
      <c r="E415" s="107" t="n"/>
    </row>
    <row r="416" ht="15" customHeight="1" s="62">
      <c r="A416" s="107" t="n"/>
      <c r="B416" s="107" t="n"/>
      <c r="C416" s="110">
        <f>IFERROR(IF(OR($A416="",$B416=""),"",INDEX(tblCalisan[Brüt Ücret (₺)],MATCH($A416,tblCalisan[Çalışan Adı],0))*IF($B416="5 Puan İndirimi",BesPuanOrani,IF($B416="İlave İstihdam",IlaveIstihdamOrani,IF($B416="Kadın/Genç",KadinGencOrani,IF($B416="Engelli",EngelliOrani,GencGirisimciOrani))))),"")</f>
        <v/>
      </c>
      <c r="D416" s="110">
        <f>IF($C416="","",$C416*AySayisi)</f>
        <v/>
      </c>
      <c r="E416" s="107" t="n"/>
    </row>
    <row r="417" ht="15" customHeight="1" s="62">
      <c r="A417" s="107" t="n"/>
      <c r="B417" s="107" t="n"/>
      <c r="C417" s="110">
        <f>IFERROR(IF(OR($A417="",$B417=""),"",INDEX(tblCalisan[Brüt Ücret (₺)],MATCH($A417,tblCalisan[Çalışan Adı],0))*IF($B417="5 Puan İndirimi",BesPuanOrani,IF($B417="İlave İstihdam",IlaveIstihdamOrani,IF($B417="Kadın/Genç",KadinGencOrani,IF($B417="Engelli",EngelliOrani,GencGirisimciOrani))))),"")</f>
        <v/>
      </c>
      <c r="D417" s="110">
        <f>IF($C417="","",$C417*AySayisi)</f>
        <v/>
      </c>
      <c r="E417" s="107" t="n"/>
    </row>
    <row r="418" ht="15" customHeight="1" s="62">
      <c r="A418" s="107" t="n"/>
      <c r="B418" s="107" t="n"/>
      <c r="C418" s="110">
        <f>IFERROR(IF(OR($A418="",$B418=""),"",INDEX(tblCalisan[Brüt Ücret (₺)],MATCH($A418,tblCalisan[Çalışan Adı],0))*IF($B418="5 Puan İndirimi",BesPuanOrani,IF($B418="İlave İstihdam",IlaveIstihdamOrani,IF($B418="Kadın/Genç",KadinGencOrani,IF($B418="Engelli",EngelliOrani,GencGirisimciOrani))))),"")</f>
        <v/>
      </c>
      <c r="D418" s="110">
        <f>IF($C418="","",$C418*AySayisi)</f>
        <v/>
      </c>
      <c r="E418" s="107" t="n"/>
    </row>
    <row r="419" ht="15" customHeight="1" s="62">
      <c r="A419" s="107" t="n"/>
      <c r="B419" s="107" t="n"/>
      <c r="C419" s="110">
        <f>IFERROR(IF(OR($A419="",$B419=""),"",INDEX(tblCalisan[Brüt Ücret (₺)],MATCH($A419,tblCalisan[Çalışan Adı],0))*IF($B419="5 Puan İndirimi",BesPuanOrani,IF($B419="İlave İstihdam",IlaveIstihdamOrani,IF($B419="Kadın/Genç",KadinGencOrani,IF($B419="Engelli",EngelliOrani,GencGirisimciOrani))))),"")</f>
        <v/>
      </c>
      <c r="D419" s="110">
        <f>IF($C419="","",$C419*AySayisi)</f>
        <v/>
      </c>
      <c r="E419" s="107" t="n"/>
    </row>
    <row r="420" ht="15" customHeight="1" s="62">
      <c r="A420" s="107" t="n"/>
      <c r="B420" s="107" t="n"/>
      <c r="C420" s="110">
        <f>IFERROR(IF(OR($A420="",$B420=""),"",INDEX(tblCalisan[Brüt Ücret (₺)],MATCH($A420,tblCalisan[Çalışan Adı],0))*IF($B420="5 Puan İndirimi",BesPuanOrani,IF($B420="İlave İstihdam",IlaveIstihdamOrani,IF($B420="Kadın/Genç",KadinGencOrani,IF($B420="Engelli",EngelliOrani,GencGirisimciOrani))))),"")</f>
        <v/>
      </c>
      <c r="D420" s="110">
        <f>IF($C420="","",$C420*AySayisi)</f>
        <v/>
      </c>
      <c r="E420" s="107" t="n"/>
    </row>
    <row r="421" ht="15" customHeight="1" s="62">
      <c r="A421" s="107" t="n"/>
      <c r="B421" s="107" t="n"/>
      <c r="C421" s="110">
        <f>IFERROR(IF(OR($A421="",$B421=""),"",INDEX(tblCalisan[Brüt Ücret (₺)],MATCH($A421,tblCalisan[Çalışan Adı],0))*IF($B421="5 Puan İndirimi",BesPuanOrani,IF($B421="İlave İstihdam",IlaveIstihdamOrani,IF($B421="Kadın/Genç",KadinGencOrani,IF($B421="Engelli",EngelliOrani,GencGirisimciOrani))))),"")</f>
        <v/>
      </c>
      <c r="D421" s="110">
        <f>IF($C421="","",$C421*AySayisi)</f>
        <v/>
      </c>
      <c r="E421" s="107" t="n"/>
    </row>
    <row r="422" ht="15" customHeight="1" s="62">
      <c r="A422" s="107" t="n"/>
      <c r="B422" s="107" t="n"/>
      <c r="C422" s="110">
        <f>IFERROR(IF(OR($A422="",$B422=""),"",INDEX(tblCalisan[Brüt Ücret (₺)],MATCH($A422,tblCalisan[Çalışan Adı],0))*IF($B422="5 Puan İndirimi",BesPuanOrani,IF($B422="İlave İstihdam",IlaveIstihdamOrani,IF($B422="Kadın/Genç",KadinGencOrani,IF($B422="Engelli",EngelliOrani,GencGirisimciOrani))))),"")</f>
        <v/>
      </c>
      <c r="D422" s="110">
        <f>IF($C422="","",$C422*AySayisi)</f>
        <v/>
      </c>
      <c r="E422" s="107" t="n"/>
    </row>
    <row r="423" ht="15" customHeight="1" s="62">
      <c r="A423" s="107" t="n"/>
      <c r="B423" s="107" t="n"/>
      <c r="C423" s="110">
        <f>IFERROR(IF(OR($A423="",$B423=""),"",INDEX(tblCalisan[Brüt Ücret (₺)],MATCH($A423,tblCalisan[Çalışan Adı],0))*IF($B423="5 Puan İndirimi",BesPuanOrani,IF($B423="İlave İstihdam",IlaveIstihdamOrani,IF($B423="Kadın/Genç",KadinGencOrani,IF($B423="Engelli",EngelliOrani,GencGirisimciOrani))))),"")</f>
        <v/>
      </c>
      <c r="D423" s="110">
        <f>IF($C423="","",$C423*AySayisi)</f>
        <v/>
      </c>
      <c r="E423" s="107" t="n"/>
    </row>
    <row r="424" ht="15" customHeight="1" s="62">
      <c r="A424" s="107" t="n"/>
      <c r="B424" s="107" t="n"/>
      <c r="C424" s="110">
        <f>IFERROR(IF(OR($A424="",$B424=""),"",INDEX(tblCalisan[Brüt Ücret (₺)],MATCH($A424,tblCalisan[Çalışan Adı],0))*IF($B424="5 Puan İndirimi",BesPuanOrani,IF($B424="İlave İstihdam",IlaveIstihdamOrani,IF($B424="Kadın/Genç",KadinGencOrani,IF($B424="Engelli",EngelliOrani,GencGirisimciOrani))))),"")</f>
        <v/>
      </c>
      <c r="D424" s="110">
        <f>IF($C424="","",$C424*AySayisi)</f>
        <v/>
      </c>
      <c r="E424" s="107" t="n"/>
    </row>
    <row r="425" ht="15" customHeight="1" s="62">
      <c r="A425" s="107" t="n"/>
      <c r="B425" s="107" t="n"/>
      <c r="C425" s="110">
        <f>IFERROR(IF(OR($A425="",$B425=""),"",INDEX(tblCalisan[Brüt Ücret (₺)],MATCH($A425,tblCalisan[Çalışan Adı],0))*IF($B425="5 Puan İndirimi",BesPuanOrani,IF($B425="İlave İstihdam",IlaveIstihdamOrani,IF($B425="Kadın/Genç",KadinGencOrani,IF($B425="Engelli",EngelliOrani,GencGirisimciOrani))))),"")</f>
        <v/>
      </c>
      <c r="D425" s="110">
        <f>IF($C425="","",$C425*AySayisi)</f>
        <v/>
      </c>
      <c r="E425" s="107" t="n"/>
    </row>
    <row r="426" ht="15" customHeight="1" s="62">
      <c r="A426" s="107" t="n"/>
      <c r="B426" s="107" t="n"/>
      <c r="C426" s="110">
        <f>IFERROR(IF(OR($A426="",$B426=""),"",INDEX(tblCalisan[Brüt Ücret (₺)],MATCH($A426,tblCalisan[Çalışan Adı],0))*IF($B426="5 Puan İndirimi",BesPuanOrani,IF($B426="İlave İstihdam",IlaveIstihdamOrani,IF($B426="Kadın/Genç",KadinGencOrani,IF($B426="Engelli",EngelliOrani,GencGirisimciOrani))))),"")</f>
        <v/>
      </c>
      <c r="D426" s="110">
        <f>IF($C426="","",$C426*AySayisi)</f>
        <v/>
      </c>
      <c r="E426" s="107" t="n"/>
    </row>
    <row r="427" ht="15" customHeight="1" s="62">
      <c r="A427" s="107" t="n"/>
      <c r="B427" s="107" t="n"/>
      <c r="C427" s="110">
        <f>IFERROR(IF(OR($A427="",$B427=""),"",INDEX(tblCalisan[Brüt Ücret (₺)],MATCH($A427,tblCalisan[Çalışan Adı],0))*IF($B427="5 Puan İndirimi",BesPuanOrani,IF($B427="İlave İstihdam",IlaveIstihdamOrani,IF($B427="Kadın/Genç",KadinGencOrani,IF($B427="Engelli",EngelliOrani,GencGirisimciOrani))))),"")</f>
        <v/>
      </c>
      <c r="D427" s="110">
        <f>IF($C427="","",$C427*AySayisi)</f>
        <v/>
      </c>
      <c r="E427" s="107" t="n"/>
    </row>
    <row r="428" ht="15" customHeight="1" s="62">
      <c r="A428" s="107" t="n"/>
      <c r="B428" s="107" t="n"/>
      <c r="C428" s="110">
        <f>IFERROR(IF(OR($A428="",$B428=""),"",INDEX(tblCalisan[Brüt Ücret (₺)],MATCH($A428,tblCalisan[Çalışan Adı],0))*IF($B428="5 Puan İndirimi",BesPuanOrani,IF($B428="İlave İstihdam",IlaveIstihdamOrani,IF($B428="Kadın/Genç",KadinGencOrani,IF($B428="Engelli",EngelliOrani,GencGirisimciOrani))))),"")</f>
        <v/>
      </c>
      <c r="D428" s="110">
        <f>IF($C428="","",$C428*AySayisi)</f>
        <v/>
      </c>
      <c r="E428" s="107" t="n"/>
    </row>
    <row r="429" ht="15" customHeight="1" s="62">
      <c r="A429" s="107" t="n"/>
      <c r="B429" s="107" t="n"/>
      <c r="C429" s="110">
        <f>IFERROR(IF(OR($A429="",$B429=""),"",INDEX(tblCalisan[Brüt Ücret (₺)],MATCH($A429,tblCalisan[Çalışan Adı],0))*IF($B429="5 Puan İndirimi",BesPuanOrani,IF($B429="İlave İstihdam",IlaveIstihdamOrani,IF($B429="Kadın/Genç",KadinGencOrani,IF($B429="Engelli",EngelliOrani,GencGirisimciOrani))))),"")</f>
        <v/>
      </c>
      <c r="D429" s="110">
        <f>IF($C429="","",$C429*AySayisi)</f>
        <v/>
      </c>
      <c r="E429" s="107" t="n"/>
    </row>
    <row r="430" ht="15" customHeight="1" s="62">
      <c r="A430" s="107" t="n"/>
      <c r="B430" s="107" t="n"/>
      <c r="C430" s="110">
        <f>IFERROR(IF(OR($A430="",$B430=""),"",INDEX(tblCalisan[Brüt Ücret (₺)],MATCH($A430,tblCalisan[Çalışan Adı],0))*IF($B430="5 Puan İndirimi",BesPuanOrani,IF($B430="İlave İstihdam",IlaveIstihdamOrani,IF($B430="Kadın/Genç",KadinGencOrani,IF($B430="Engelli",EngelliOrani,GencGirisimciOrani))))),"")</f>
        <v/>
      </c>
      <c r="D430" s="110">
        <f>IF($C430="","",$C430*AySayisi)</f>
        <v/>
      </c>
      <c r="E430" s="107" t="n"/>
    </row>
    <row r="431" ht="15" customHeight="1" s="62">
      <c r="A431" s="107" t="n"/>
      <c r="B431" s="107" t="n"/>
      <c r="C431" s="110">
        <f>IFERROR(IF(OR($A431="",$B431=""),"",INDEX(tblCalisan[Brüt Ücret (₺)],MATCH($A431,tblCalisan[Çalışan Adı],0))*IF($B431="5 Puan İndirimi",BesPuanOrani,IF($B431="İlave İstihdam",IlaveIstihdamOrani,IF($B431="Kadın/Genç",KadinGencOrani,IF($B431="Engelli",EngelliOrani,GencGirisimciOrani))))),"")</f>
        <v/>
      </c>
      <c r="D431" s="110">
        <f>IF($C431="","",$C431*AySayisi)</f>
        <v/>
      </c>
      <c r="E431" s="107" t="n"/>
    </row>
    <row r="432" ht="15" customHeight="1" s="62">
      <c r="A432" s="107" t="n"/>
      <c r="B432" s="107" t="n"/>
      <c r="C432" s="110">
        <f>IFERROR(IF(OR($A432="",$B432=""),"",INDEX(tblCalisan[Brüt Ücret (₺)],MATCH($A432,tblCalisan[Çalışan Adı],0))*IF($B432="5 Puan İndirimi",BesPuanOrani,IF($B432="İlave İstihdam",IlaveIstihdamOrani,IF($B432="Kadın/Genç",KadinGencOrani,IF($B432="Engelli",EngelliOrani,GencGirisimciOrani))))),"")</f>
        <v/>
      </c>
      <c r="D432" s="110">
        <f>IF($C432="","",$C432*AySayisi)</f>
        <v/>
      </c>
      <c r="E432" s="107" t="n"/>
    </row>
    <row r="433" ht="15" customHeight="1" s="62">
      <c r="A433" s="107" t="n"/>
      <c r="B433" s="107" t="n"/>
      <c r="C433" s="110">
        <f>IFERROR(IF(OR($A433="",$B433=""),"",INDEX(tblCalisan[Brüt Ücret (₺)],MATCH($A433,tblCalisan[Çalışan Adı],0))*IF($B433="5 Puan İndirimi",BesPuanOrani,IF($B433="İlave İstihdam",IlaveIstihdamOrani,IF($B433="Kadın/Genç",KadinGencOrani,IF($B433="Engelli",EngelliOrani,GencGirisimciOrani))))),"")</f>
        <v/>
      </c>
      <c r="D433" s="110">
        <f>IF($C433="","",$C433*AySayisi)</f>
        <v/>
      </c>
      <c r="E433" s="107" t="n"/>
    </row>
    <row r="434" ht="15" customHeight="1" s="62">
      <c r="A434" s="107" t="n"/>
      <c r="B434" s="107" t="n"/>
      <c r="C434" s="110">
        <f>IFERROR(IF(OR($A434="",$B434=""),"",INDEX(tblCalisan[Brüt Ücret (₺)],MATCH($A434,tblCalisan[Çalışan Adı],0))*IF($B434="5 Puan İndirimi",BesPuanOrani,IF($B434="İlave İstihdam",IlaveIstihdamOrani,IF($B434="Kadın/Genç",KadinGencOrani,IF($B434="Engelli",EngelliOrani,GencGirisimciOrani))))),"")</f>
        <v/>
      </c>
      <c r="D434" s="110">
        <f>IF($C434="","",$C434*AySayisi)</f>
        <v/>
      </c>
      <c r="E434" s="107" t="n"/>
    </row>
    <row r="435" ht="15" customHeight="1" s="62">
      <c r="A435" s="107" t="n"/>
      <c r="B435" s="107" t="n"/>
      <c r="C435" s="110">
        <f>IFERROR(IF(OR($A435="",$B435=""),"",INDEX(tblCalisan[Brüt Ücret (₺)],MATCH($A435,tblCalisan[Çalışan Adı],0))*IF($B435="5 Puan İndirimi",BesPuanOrani,IF($B435="İlave İstihdam",IlaveIstihdamOrani,IF($B435="Kadın/Genç",KadinGencOrani,IF($B435="Engelli",EngelliOrani,GencGirisimciOrani))))),"")</f>
        <v/>
      </c>
      <c r="D435" s="110">
        <f>IF($C435="","",$C435*AySayisi)</f>
        <v/>
      </c>
      <c r="E435" s="107" t="n"/>
    </row>
    <row r="436" ht="15" customHeight="1" s="62">
      <c r="A436" s="107" t="n"/>
      <c r="B436" s="107" t="n"/>
      <c r="C436" s="110">
        <f>IFERROR(IF(OR($A436="",$B436=""),"",INDEX(tblCalisan[Brüt Ücret (₺)],MATCH($A436,tblCalisan[Çalışan Adı],0))*IF($B436="5 Puan İndirimi",BesPuanOrani,IF($B436="İlave İstihdam",IlaveIstihdamOrani,IF($B436="Kadın/Genç",KadinGencOrani,IF($B436="Engelli",EngelliOrani,GencGirisimciOrani))))),"")</f>
        <v/>
      </c>
      <c r="D436" s="110">
        <f>IF($C436="","",$C436*AySayisi)</f>
        <v/>
      </c>
      <c r="E436" s="107" t="n"/>
    </row>
    <row r="437" ht="15" customHeight="1" s="62">
      <c r="A437" s="107" t="n"/>
      <c r="B437" s="107" t="n"/>
      <c r="C437" s="110">
        <f>IFERROR(IF(OR($A437="",$B437=""),"",INDEX(tblCalisan[Brüt Ücret (₺)],MATCH($A437,tblCalisan[Çalışan Adı],0))*IF($B437="5 Puan İndirimi",BesPuanOrani,IF($B437="İlave İstihdam",IlaveIstihdamOrani,IF($B437="Kadın/Genç",KadinGencOrani,IF($B437="Engelli",EngelliOrani,GencGirisimciOrani))))),"")</f>
        <v/>
      </c>
      <c r="D437" s="110">
        <f>IF($C437="","",$C437*AySayisi)</f>
        <v/>
      </c>
      <c r="E437" s="107" t="n"/>
    </row>
    <row r="438" ht="15" customHeight="1" s="62">
      <c r="A438" s="107" t="n"/>
      <c r="B438" s="107" t="n"/>
      <c r="C438" s="110">
        <f>IFERROR(IF(OR($A438="",$B438=""),"",INDEX(tblCalisan[Brüt Ücret (₺)],MATCH($A438,tblCalisan[Çalışan Adı],0))*IF($B438="5 Puan İndirimi",BesPuanOrani,IF($B438="İlave İstihdam",IlaveIstihdamOrani,IF($B438="Kadın/Genç",KadinGencOrani,IF($B438="Engelli",EngelliOrani,GencGirisimciOrani))))),"")</f>
        <v/>
      </c>
      <c r="D438" s="110">
        <f>IF($C438="","",$C438*AySayisi)</f>
        <v/>
      </c>
      <c r="E438" s="107" t="n"/>
    </row>
    <row r="439" ht="15" customHeight="1" s="62">
      <c r="A439" s="107" t="n"/>
      <c r="B439" s="107" t="n"/>
      <c r="C439" s="110">
        <f>IFERROR(IF(OR($A439="",$B439=""),"",INDEX(tblCalisan[Brüt Ücret (₺)],MATCH($A439,tblCalisan[Çalışan Adı],0))*IF($B439="5 Puan İndirimi",BesPuanOrani,IF($B439="İlave İstihdam",IlaveIstihdamOrani,IF($B439="Kadın/Genç",KadinGencOrani,IF($B439="Engelli",EngelliOrani,GencGirisimciOrani))))),"")</f>
        <v/>
      </c>
      <c r="D439" s="110">
        <f>IF($C439="","",$C439*AySayisi)</f>
        <v/>
      </c>
      <c r="E439" s="107" t="n"/>
    </row>
    <row r="440" ht="15" customHeight="1" s="62">
      <c r="A440" s="107" t="n"/>
      <c r="B440" s="107" t="n"/>
      <c r="C440" s="110">
        <f>IFERROR(IF(OR($A440="",$B440=""),"",INDEX(tblCalisan[Brüt Ücret (₺)],MATCH($A440,tblCalisan[Çalışan Adı],0))*IF($B440="5 Puan İndirimi",BesPuanOrani,IF($B440="İlave İstihdam",IlaveIstihdamOrani,IF($B440="Kadın/Genç",KadinGencOrani,IF($B440="Engelli",EngelliOrani,GencGirisimciOrani))))),"")</f>
        <v/>
      </c>
      <c r="D440" s="110">
        <f>IF($C440="","",$C440*AySayisi)</f>
        <v/>
      </c>
      <c r="E440" s="107" t="n"/>
    </row>
    <row r="441" ht="15" customHeight="1" s="62">
      <c r="A441" s="107" t="n"/>
      <c r="B441" s="107" t="n"/>
      <c r="C441" s="110">
        <f>IFERROR(IF(OR($A441="",$B441=""),"",INDEX(tblCalisan[Brüt Ücret (₺)],MATCH($A441,tblCalisan[Çalışan Adı],0))*IF($B441="5 Puan İndirimi",BesPuanOrani,IF($B441="İlave İstihdam",IlaveIstihdamOrani,IF($B441="Kadın/Genç",KadinGencOrani,IF($B441="Engelli",EngelliOrani,GencGirisimciOrani))))),"")</f>
        <v/>
      </c>
      <c r="D441" s="110">
        <f>IF($C441="","",$C441*AySayisi)</f>
        <v/>
      </c>
      <c r="E441" s="107" t="n"/>
    </row>
    <row r="442" ht="15" customHeight="1" s="62">
      <c r="A442" s="107" t="n"/>
      <c r="B442" s="107" t="n"/>
      <c r="C442" s="110">
        <f>IFERROR(IF(OR($A442="",$B442=""),"",INDEX(tblCalisan[Brüt Ücret (₺)],MATCH($A442,tblCalisan[Çalışan Adı],0))*IF($B442="5 Puan İndirimi",BesPuanOrani,IF($B442="İlave İstihdam",IlaveIstihdamOrani,IF($B442="Kadın/Genç",KadinGencOrani,IF($B442="Engelli",EngelliOrani,GencGirisimciOrani))))),"")</f>
        <v/>
      </c>
      <c r="D442" s="110">
        <f>IF($C442="","",$C442*AySayisi)</f>
        <v/>
      </c>
      <c r="E442" s="107" t="n"/>
    </row>
    <row r="443" ht="15" customHeight="1" s="62">
      <c r="A443" s="107" t="n"/>
      <c r="B443" s="107" t="n"/>
      <c r="C443" s="110">
        <f>IFERROR(IF(OR($A443="",$B443=""),"",INDEX(tblCalisan[Brüt Ücret (₺)],MATCH($A443,tblCalisan[Çalışan Adı],0))*IF($B443="5 Puan İndirimi",BesPuanOrani,IF($B443="İlave İstihdam",IlaveIstihdamOrani,IF($B443="Kadın/Genç",KadinGencOrani,IF($B443="Engelli",EngelliOrani,GencGirisimciOrani))))),"")</f>
        <v/>
      </c>
      <c r="D443" s="110">
        <f>IF($C443="","",$C443*AySayisi)</f>
        <v/>
      </c>
      <c r="E443" s="107" t="n"/>
    </row>
    <row r="444" ht="15" customHeight="1" s="62">
      <c r="A444" s="107" t="n"/>
      <c r="B444" s="107" t="n"/>
      <c r="C444" s="110">
        <f>IFERROR(IF(OR($A444="",$B444=""),"",INDEX(tblCalisan[Brüt Ücret (₺)],MATCH($A444,tblCalisan[Çalışan Adı],0))*IF($B444="5 Puan İndirimi",BesPuanOrani,IF($B444="İlave İstihdam",IlaveIstihdamOrani,IF($B444="Kadın/Genç",KadinGencOrani,IF($B444="Engelli",EngelliOrani,GencGirisimciOrani))))),"")</f>
        <v/>
      </c>
      <c r="D444" s="110">
        <f>IF($C444="","",$C444*AySayisi)</f>
        <v/>
      </c>
      <c r="E444" s="107" t="n"/>
    </row>
    <row r="445" ht="15" customHeight="1" s="62">
      <c r="A445" s="107" t="n"/>
      <c r="B445" s="107" t="n"/>
      <c r="C445" s="110">
        <f>IFERROR(IF(OR($A445="",$B445=""),"",INDEX(tblCalisan[Brüt Ücret (₺)],MATCH($A445,tblCalisan[Çalışan Adı],0))*IF($B445="5 Puan İndirimi",BesPuanOrani,IF($B445="İlave İstihdam",IlaveIstihdamOrani,IF($B445="Kadın/Genç",KadinGencOrani,IF($B445="Engelli",EngelliOrani,GencGirisimciOrani))))),"")</f>
        <v/>
      </c>
      <c r="D445" s="110">
        <f>IF($C445="","",$C445*AySayisi)</f>
        <v/>
      </c>
      <c r="E445" s="107" t="n"/>
    </row>
    <row r="446" ht="15" customHeight="1" s="62">
      <c r="A446" s="107" t="n"/>
      <c r="B446" s="107" t="n"/>
      <c r="C446" s="110">
        <f>IFERROR(IF(OR($A446="",$B446=""),"",INDEX(tblCalisan[Brüt Ücret (₺)],MATCH($A446,tblCalisan[Çalışan Adı],0))*IF($B446="5 Puan İndirimi",BesPuanOrani,IF($B446="İlave İstihdam",IlaveIstihdamOrani,IF($B446="Kadın/Genç",KadinGencOrani,IF($B446="Engelli",EngelliOrani,GencGirisimciOrani))))),"")</f>
        <v/>
      </c>
      <c r="D446" s="110">
        <f>IF($C446="","",$C446*AySayisi)</f>
        <v/>
      </c>
      <c r="E446" s="107" t="n"/>
    </row>
    <row r="447" ht="15" customHeight="1" s="62">
      <c r="A447" s="107" t="n"/>
      <c r="B447" s="107" t="n"/>
      <c r="C447" s="110">
        <f>IFERROR(IF(OR($A447="",$B447=""),"",INDEX(tblCalisan[Brüt Ücret (₺)],MATCH($A447,tblCalisan[Çalışan Adı],0))*IF($B447="5 Puan İndirimi",BesPuanOrani,IF($B447="İlave İstihdam",IlaveIstihdamOrani,IF($B447="Kadın/Genç",KadinGencOrani,IF($B447="Engelli",EngelliOrani,GencGirisimciOrani))))),"")</f>
        <v/>
      </c>
      <c r="D447" s="110">
        <f>IF($C447="","",$C447*AySayisi)</f>
        <v/>
      </c>
      <c r="E447" s="107" t="n"/>
    </row>
    <row r="448" ht="15" customHeight="1" s="62">
      <c r="A448" s="107" t="n"/>
      <c r="B448" s="107" t="n"/>
      <c r="C448" s="110">
        <f>IFERROR(IF(OR($A448="",$B448=""),"",INDEX(tblCalisan[Brüt Ücret (₺)],MATCH($A448,tblCalisan[Çalışan Adı],0))*IF($B448="5 Puan İndirimi",BesPuanOrani,IF($B448="İlave İstihdam",IlaveIstihdamOrani,IF($B448="Kadın/Genç",KadinGencOrani,IF($B448="Engelli",EngelliOrani,GencGirisimciOrani))))),"")</f>
        <v/>
      </c>
      <c r="D448" s="110">
        <f>IF($C448="","",$C448*AySayisi)</f>
        <v/>
      </c>
      <c r="E448" s="107" t="n"/>
    </row>
    <row r="449" ht="15" customHeight="1" s="62">
      <c r="A449" s="107" t="n"/>
      <c r="B449" s="107" t="n"/>
      <c r="C449" s="110">
        <f>IFERROR(IF(OR($A449="",$B449=""),"",INDEX(tblCalisan[Brüt Ücret (₺)],MATCH($A449,tblCalisan[Çalışan Adı],0))*IF($B449="5 Puan İndirimi",BesPuanOrani,IF($B449="İlave İstihdam",IlaveIstihdamOrani,IF($B449="Kadın/Genç",KadinGencOrani,IF($B449="Engelli",EngelliOrani,GencGirisimciOrani))))),"")</f>
        <v/>
      </c>
      <c r="D449" s="110">
        <f>IF($C449="","",$C449*AySayisi)</f>
        <v/>
      </c>
      <c r="E449" s="107" t="n"/>
    </row>
    <row r="450" ht="15" customHeight="1" s="62">
      <c r="A450" s="107" t="n"/>
      <c r="B450" s="107" t="n"/>
      <c r="C450" s="110">
        <f>IFERROR(IF(OR($A450="",$B450=""),"",INDEX(tblCalisan[Brüt Ücret (₺)],MATCH($A450,tblCalisan[Çalışan Adı],0))*IF($B450="5 Puan İndirimi",BesPuanOrani,IF($B450="İlave İstihdam",IlaveIstihdamOrani,IF($B450="Kadın/Genç",KadinGencOrani,IF($B450="Engelli",EngelliOrani,GencGirisimciOrani))))),"")</f>
        <v/>
      </c>
      <c r="D450" s="110">
        <f>IF($C450="","",$C450*AySayisi)</f>
        <v/>
      </c>
      <c r="E450" s="107" t="n"/>
    </row>
    <row r="451" ht="15" customHeight="1" s="62">
      <c r="A451" s="107" t="n"/>
      <c r="B451" s="107" t="n"/>
      <c r="C451" s="110">
        <f>IFERROR(IF(OR($A451="",$B451=""),"",INDEX(tblCalisan[Brüt Ücret (₺)],MATCH($A451,tblCalisan[Çalışan Adı],0))*IF($B451="5 Puan İndirimi",BesPuanOrani,IF($B451="İlave İstihdam",IlaveIstihdamOrani,IF($B451="Kadın/Genç",KadinGencOrani,IF($B451="Engelli",EngelliOrani,GencGirisimciOrani))))),"")</f>
        <v/>
      </c>
      <c r="D451" s="110">
        <f>IF($C451="","",$C451*AySayisi)</f>
        <v/>
      </c>
      <c r="E451" s="107" t="n"/>
    </row>
    <row r="452" ht="15" customHeight="1" s="62">
      <c r="A452" s="107" t="n"/>
      <c r="B452" s="107" t="n"/>
      <c r="C452" s="110">
        <f>IFERROR(IF(OR($A452="",$B452=""),"",INDEX(tblCalisan[Brüt Ücret (₺)],MATCH($A452,tblCalisan[Çalışan Adı],0))*IF($B452="5 Puan İndirimi",BesPuanOrani,IF($B452="İlave İstihdam",IlaveIstihdamOrani,IF($B452="Kadın/Genç",KadinGencOrani,IF($B452="Engelli",EngelliOrani,GencGirisimciOrani))))),"")</f>
        <v/>
      </c>
      <c r="D452" s="110">
        <f>IF($C452="","",$C452*AySayisi)</f>
        <v/>
      </c>
      <c r="E452" s="107" t="n"/>
    </row>
    <row r="453" ht="15" customHeight="1" s="62">
      <c r="A453" s="107" t="n"/>
      <c r="B453" s="107" t="n"/>
      <c r="C453" s="110">
        <f>IFERROR(IF(OR($A453="",$B453=""),"",INDEX(tblCalisan[Brüt Ücret (₺)],MATCH($A453,tblCalisan[Çalışan Adı],0))*IF($B453="5 Puan İndirimi",BesPuanOrani,IF($B453="İlave İstihdam",IlaveIstihdamOrani,IF($B453="Kadın/Genç",KadinGencOrani,IF($B453="Engelli",EngelliOrani,GencGirisimciOrani))))),"")</f>
        <v/>
      </c>
      <c r="D453" s="110">
        <f>IF($C453="","",$C453*AySayisi)</f>
        <v/>
      </c>
      <c r="E453" s="107" t="n"/>
    </row>
    <row r="454" ht="15" customHeight="1" s="62">
      <c r="A454" s="107" t="n"/>
      <c r="B454" s="107" t="n"/>
      <c r="C454" s="110">
        <f>IFERROR(IF(OR($A454="",$B454=""),"",INDEX(tblCalisan[Brüt Ücret (₺)],MATCH($A454,tblCalisan[Çalışan Adı],0))*IF($B454="5 Puan İndirimi",BesPuanOrani,IF($B454="İlave İstihdam",IlaveIstihdamOrani,IF($B454="Kadın/Genç",KadinGencOrani,IF($B454="Engelli",EngelliOrani,GencGirisimciOrani))))),"")</f>
        <v/>
      </c>
      <c r="D454" s="110">
        <f>IF($C454="","",$C454*AySayisi)</f>
        <v/>
      </c>
      <c r="E454" s="107" t="n"/>
    </row>
    <row r="455" ht="15" customHeight="1" s="62">
      <c r="A455" s="107" t="n"/>
      <c r="B455" s="107" t="n"/>
      <c r="C455" s="110">
        <f>IFERROR(IF(OR($A455="",$B455=""),"",INDEX(tblCalisan[Brüt Ücret (₺)],MATCH($A455,tblCalisan[Çalışan Adı],0))*IF($B455="5 Puan İndirimi",BesPuanOrani,IF($B455="İlave İstihdam",IlaveIstihdamOrani,IF($B455="Kadın/Genç",KadinGencOrani,IF($B455="Engelli",EngelliOrani,GencGirisimciOrani))))),"")</f>
        <v/>
      </c>
      <c r="D455" s="110">
        <f>IF($C455="","",$C455*AySayisi)</f>
        <v/>
      </c>
      <c r="E455" s="107" t="n"/>
    </row>
    <row r="456" ht="15" customHeight="1" s="62">
      <c r="A456" s="107" t="n"/>
      <c r="B456" s="107" t="n"/>
      <c r="C456" s="110">
        <f>IFERROR(IF(OR($A456="",$B456=""),"",INDEX(tblCalisan[Brüt Ücret (₺)],MATCH($A456,tblCalisan[Çalışan Adı],0))*IF($B456="5 Puan İndirimi",BesPuanOrani,IF($B456="İlave İstihdam",IlaveIstihdamOrani,IF($B456="Kadın/Genç",KadinGencOrani,IF($B456="Engelli",EngelliOrani,GencGirisimciOrani))))),"")</f>
        <v/>
      </c>
      <c r="D456" s="110">
        <f>IF($C456="","",$C456*AySayisi)</f>
        <v/>
      </c>
      <c r="E456" s="107" t="n"/>
    </row>
    <row r="457" ht="15" customHeight="1" s="62">
      <c r="A457" s="107" t="n"/>
      <c r="B457" s="107" t="n"/>
      <c r="C457" s="110">
        <f>IFERROR(IF(OR($A457="",$B457=""),"",INDEX(tblCalisan[Brüt Ücret (₺)],MATCH($A457,tblCalisan[Çalışan Adı],0))*IF($B457="5 Puan İndirimi",BesPuanOrani,IF($B457="İlave İstihdam",IlaveIstihdamOrani,IF($B457="Kadın/Genç",KadinGencOrani,IF($B457="Engelli",EngelliOrani,GencGirisimciOrani))))),"")</f>
        <v/>
      </c>
      <c r="D457" s="110">
        <f>IF($C457="","",$C457*AySayisi)</f>
        <v/>
      </c>
      <c r="E457" s="107" t="n"/>
    </row>
    <row r="458" ht="15" customHeight="1" s="62">
      <c r="A458" s="107" t="n"/>
      <c r="B458" s="107" t="n"/>
      <c r="C458" s="110">
        <f>IFERROR(IF(OR($A458="",$B458=""),"",INDEX(tblCalisan[Brüt Ücret (₺)],MATCH($A458,tblCalisan[Çalışan Adı],0))*IF($B458="5 Puan İndirimi",BesPuanOrani,IF($B458="İlave İstihdam",IlaveIstihdamOrani,IF($B458="Kadın/Genç",KadinGencOrani,IF($B458="Engelli",EngelliOrani,GencGirisimciOrani))))),"")</f>
        <v/>
      </c>
      <c r="D458" s="110">
        <f>IF($C458="","",$C458*AySayisi)</f>
        <v/>
      </c>
      <c r="E458" s="107" t="n"/>
    </row>
    <row r="459" ht="15" customHeight="1" s="62">
      <c r="A459" s="107" t="n"/>
      <c r="B459" s="107" t="n"/>
      <c r="C459" s="110">
        <f>IFERROR(IF(OR($A459="",$B459=""),"",INDEX(tblCalisan[Brüt Ücret (₺)],MATCH($A459,tblCalisan[Çalışan Adı],0))*IF($B459="5 Puan İndirimi",BesPuanOrani,IF($B459="İlave İstihdam",IlaveIstihdamOrani,IF($B459="Kadın/Genç",KadinGencOrani,IF($B459="Engelli",EngelliOrani,GencGirisimciOrani))))),"")</f>
        <v/>
      </c>
      <c r="D459" s="110">
        <f>IF($C459="","",$C459*AySayisi)</f>
        <v/>
      </c>
      <c r="E459" s="107" t="n"/>
    </row>
    <row r="460" ht="15" customHeight="1" s="62">
      <c r="A460" s="107" t="n"/>
      <c r="B460" s="107" t="n"/>
      <c r="C460" s="110">
        <f>IFERROR(IF(OR($A460="",$B460=""),"",INDEX(tblCalisan[Brüt Ücret (₺)],MATCH($A460,tblCalisan[Çalışan Adı],0))*IF($B460="5 Puan İndirimi",BesPuanOrani,IF($B460="İlave İstihdam",IlaveIstihdamOrani,IF($B460="Kadın/Genç",KadinGencOrani,IF($B460="Engelli",EngelliOrani,GencGirisimciOrani))))),"")</f>
        <v/>
      </c>
      <c r="D460" s="110">
        <f>IF($C460="","",$C460*AySayisi)</f>
        <v/>
      </c>
      <c r="E460" s="107" t="n"/>
    </row>
    <row r="461" ht="15" customHeight="1" s="62">
      <c r="A461" s="107" t="n"/>
      <c r="B461" s="107" t="n"/>
      <c r="C461" s="110">
        <f>IFERROR(IF(OR($A461="",$B461=""),"",INDEX(tblCalisan[Brüt Ücret (₺)],MATCH($A461,tblCalisan[Çalışan Adı],0))*IF($B461="5 Puan İndirimi",BesPuanOrani,IF($B461="İlave İstihdam",IlaveIstihdamOrani,IF($B461="Kadın/Genç",KadinGencOrani,IF($B461="Engelli",EngelliOrani,GencGirisimciOrani))))),"")</f>
        <v/>
      </c>
      <c r="D461" s="110">
        <f>IF($C461="","",$C461*AySayisi)</f>
        <v/>
      </c>
      <c r="E461" s="107" t="n"/>
    </row>
    <row r="462" ht="15" customHeight="1" s="62">
      <c r="A462" s="107" t="n"/>
      <c r="B462" s="107" t="n"/>
      <c r="C462" s="110">
        <f>IFERROR(IF(OR($A462="",$B462=""),"",INDEX(tblCalisan[Brüt Ücret (₺)],MATCH($A462,tblCalisan[Çalışan Adı],0))*IF($B462="5 Puan İndirimi",BesPuanOrani,IF($B462="İlave İstihdam",IlaveIstihdamOrani,IF($B462="Kadın/Genç",KadinGencOrani,IF($B462="Engelli",EngelliOrani,GencGirisimciOrani))))),"")</f>
        <v/>
      </c>
      <c r="D462" s="110">
        <f>IF($C462="","",$C462*AySayisi)</f>
        <v/>
      </c>
      <c r="E462" s="107" t="n"/>
    </row>
    <row r="463" ht="15" customHeight="1" s="62">
      <c r="A463" s="107" t="n"/>
      <c r="B463" s="107" t="n"/>
      <c r="C463" s="110">
        <f>IFERROR(IF(OR($A463="",$B463=""),"",INDEX(tblCalisan[Brüt Ücret (₺)],MATCH($A463,tblCalisan[Çalışan Adı],0))*IF($B463="5 Puan İndirimi",BesPuanOrani,IF($B463="İlave İstihdam",IlaveIstihdamOrani,IF($B463="Kadın/Genç",KadinGencOrani,IF($B463="Engelli",EngelliOrani,GencGirisimciOrani))))),"")</f>
        <v/>
      </c>
      <c r="D463" s="110">
        <f>IF($C463="","",$C463*AySayisi)</f>
        <v/>
      </c>
      <c r="E463" s="107" t="n"/>
    </row>
    <row r="464" ht="15" customHeight="1" s="62">
      <c r="A464" s="107" t="n"/>
      <c r="B464" s="107" t="n"/>
      <c r="C464" s="110">
        <f>IFERROR(IF(OR($A464="",$B464=""),"",INDEX(tblCalisan[Brüt Ücret (₺)],MATCH($A464,tblCalisan[Çalışan Adı],0))*IF($B464="5 Puan İndirimi",BesPuanOrani,IF($B464="İlave İstihdam",IlaveIstihdamOrani,IF($B464="Kadın/Genç",KadinGencOrani,IF($B464="Engelli",EngelliOrani,GencGirisimciOrani))))),"")</f>
        <v/>
      </c>
      <c r="D464" s="110">
        <f>IF($C464="","",$C464*AySayisi)</f>
        <v/>
      </c>
      <c r="E464" s="107" t="n"/>
    </row>
    <row r="465" ht="15" customHeight="1" s="62">
      <c r="A465" s="107" t="n"/>
      <c r="B465" s="107" t="n"/>
      <c r="C465" s="110">
        <f>IFERROR(IF(OR($A465="",$B465=""),"",INDEX(tblCalisan[Brüt Ücret (₺)],MATCH($A465,tblCalisan[Çalışan Adı],0))*IF($B465="5 Puan İndirimi",BesPuanOrani,IF($B465="İlave İstihdam",IlaveIstihdamOrani,IF($B465="Kadın/Genç",KadinGencOrani,IF($B465="Engelli",EngelliOrani,GencGirisimciOrani))))),"")</f>
        <v/>
      </c>
      <c r="D465" s="110">
        <f>IF($C465="","",$C465*AySayisi)</f>
        <v/>
      </c>
      <c r="E465" s="107" t="n"/>
    </row>
    <row r="466" ht="15" customHeight="1" s="62">
      <c r="A466" s="107" t="n"/>
      <c r="B466" s="107" t="n"/>
      <c r="C466" s="110">
        <f>IFERROR(IF(OR($A466="",$B466=""),"",INDEX(tblCalisan[Brüt Ücret (₺)],MATCH($A466,tblCalisan[Çalışan Adı],0))*IF($B466="5 Puan İndirimi",BesPuanOrani,IF($B466="İlave İstihdam",IlaveIstihdamOrani,IF($B466="Kadın/Genç",KadinGencOrani,IF($B466="Engelli",EngelliOrani,GencGirisimciOrani))))),"")</f>
        <v/>
      </c>
      <c r="D466" s="110">
        <f>IF($C466="","",$C466*AySayisi)</f>
        <v/>
      </c>
      <c r="E466" s="107" t="n"/>
    </row>
    <row r="467" ht="15" customHeight="1" s="62">
      <c r="A467" s="107" t="n"/>
      <c r="B467" s="107" t="n"/>
      <c r="C467" s="110">
        <f>IFERROR(IF(OR($A467="",$B467=""),"",INDEX(tblCalisan[Brüt Ücret (₺)],MATCH($A467,tblCalisan[Çalışan Adı],0))*IF($B467="5 Puan İndirimi",BesPuanOrani,IF($B467="İlave İstihdam",IlaveIstihdamOrani,IF($B467="Kadın/Genç",KadinGencOrani,IF($B467="Engelli",EngelliOrani,GencGirisimciOrani))))),"")</f>
        <v/>
      </c>
      <c r="D467" s="110">
        <f>IF($C467="","",$C467*AySayisi)</f>
        <v/>
      </c>
      <c r="E467" s="107" t="n"/>
    </row>
    <row r="468" ht="15" customHeight="1" s="62">
      <c r="A468" s="107" t="n"/>
      <c r="B468" s="107" t="n"/>
      <c r="C468" s="110">
        <f>IFERROR(IF(OR($A468="",$B468=""),"",INDEX(tblCalisan[Brüt Ücret (₺)],MATCH($A468,tblCalisan[Çalışan Adı],0))*IF($B468="5 Puan İndirimi",BesPuanOrani,IF($B468="İlave İstihdam",IlaveIstihdamOrani,IF($B468="Kadın/Genç",KadinGencOrani,IF($B468="Engelli",EngelliOrani,GencGirisimciOrani))))),"")</f>
        <v/>
      </c>
      <c r="D468" s="110">
        <f>IF($C468="","",$C468*AySayisi)</f>
        <v/>
      </c>
      <c r="E468" s="107" t="n"/>
    </row>
    <row r="469" ht="15" customHeight="1" s="62">
      <c r="A469" s="107" t="n"/>
      <c r="B469" s="107" t="n"/>
      <c r="C469" s="110">
        <f>IFERROR(IF(OR($A469="",$B469=""),"",INDEX(tblCalisan[Brüt Ücret (₺)],MATCH($A469,tblCalisan[Çalışan Adı],0))*IF($B469="5 Puan İndirimi",BesPuanOrani,IF($B469="İlave İstihdam",IlaveIstihdamOrani,IF($B469="Kadın/Genç",KadinGencOrani,IF($B469="Engelli",EngelliOrani,GencGirisimciOrani))))),"")</f>
        <v/>
      </c>
      <c r="D469" s="110">
        <f>IF($C469="","",$C469*AySayisi)</f>
        <v/>
      </c>
      <c r="E469" s="107" t="n"/>
    </row>
    <row r="470" ht="15" customHeight="1" s="62">
      <c r="A470" s="107" t="n"/>
      <c r="B470" s="107" t="n"/>
      <c r="C470" s="110">
        <f>IFERROR(IF(OR($A470="",$B470=""),"",INDEX(tblCalisan[Brüt Ücret (₺)],MATCH($A470,tblCalisan[Çalışan Adı],0))*IF($B470="5 Puan İndirimi",BesPuanOrani,IF($B470="İlave İstihdam",IlaveIstihdamOrani,IF($B470="Kadın/Genç",KadinGencOrani,IF($B470="Engelli",EngelliOrani,GencGirisimciOrani))))),"")</f>
        <v/>
      </c>
      <c r="D470" s="110">
        <f>IF($C470="","",$C470*AySayisi)</f>
        <v/>
      </c>
      <c r="E470" s="107" t="n"/>
    </row>
    <row r="471" ht="15" customHeight="1" s="62">
      <c r="A471" s="107" t="n"/>
      <c r="B471" s="107" t="n"/>
      <c r="C471" s="110">
        <f>IFERROR(IF(OR($A471="",$B471=""),"",INDEX(tblCalisan[Brüt Ücret (₺)],MATCH($A471,tblCalisan[Çalışan Adı],0))*IF($B471="5 Puan İndirimi",BesPuanOrani,IF($B471="İlave İstihdam",IlaveIstihdamOrani,IF($B471="Kadın/Genç",KadinGencOrani,IF($B471="Engelli",EngelliOrani,GencGirisimciOrani))))),"")</f>
        <v/>
      </c>
      <c r="D471" s="110">
        <f>IF($C471="","",$C471*AySayisi)</f>
        <v/>
      </c>
      <c r="E471" s="107" t="n"/>
    </row>
    <row r="472" ht="15" customHeight="1" s="62">
      <c r="A472" s="107" t="n"/>
      <c r="B472" s="107" t="n"/>
      <c r="C472" s="110">
        <f>IFERROR(IF(OR($A472="",$B472=""),"",INDEX(tblCalisan[Brüt Ücret (₺)],MATCH($A472,tblCalisan[Çalışan Adı],0))*IF($B472="5 Puan İndirimi",BesPuanOrani,IF($B472="İlave İstihdam",IlaveIstihdamOrani,IF($B472="Kadın/Genç",KadinGencOrani,IF($B472="Engelli",EngelliOrani,GencGirisimciOrani))))),"")</f>
        <v/>
      </c>
      <c r="D472" s="110">
        <f>IF($C472="","",$C472*AySayisi)</f>
        <v/>
      </c>
      <c r="E472" s="107" t="n"/>
    </row>
    <row r="473" ht="15" customHeight="1" s="62">
      <c r="A473" s="107" t="n"/>
      <c r="B473" s="107" t="n"/>
      <c r="C473" s="110">
        <f>IFERROR(IF(OR($A473="",$B473=""),"",INDEX(tblCalisan[Brüt Ücret (₺)],MATCH($A473,tblCalisan[Çalışan Adı],0))*IF($B473="5 Puan İndirimi",BesPuanOrani,IF($B473="İlave İstihdam",IlaveIstihdamOrani,IF($B473="Kadın/Genç",KadinGencOrani,IF($B473="Engelli",EngelliOrani,GencGirisimciOrani))))),"")</f>
        <v/>
      </c>
      <c r="D473" s="110">
        <f>IF($C473="","",$C473*AySayisi)</f>
        <v/>
      </c>
      <c r="E473" s="107" t="n"/>
    </row>
    <row r="474" ht="15" customHeight="1" s="62">
      <c r="A474" s="107" t="n"/>
      <c r="B474" s="107" t="n"/>
      <c r="C474" s="110">
        <f>IFERROR(IF(OR($A474="",$B474=""),"",INDEX(tblCalisan[Brüt Ücret (₺)],MATCH($A474,tblCalisan[Çalışan Adı],0))*IF($B474="5 Puan İndirimi",BesPuanOrani,IF($B474="İlave İstihdam",IlaveIstihdamOrani,IF($B474="Kadın/Genç",KadinGencOrani,IF($B474="Engelli",EngelliOrani,GencGirisimciOrani))))),"")</f>
        <v/>
      </c>
      <c r="D474" s="110">
        <f>IF($C474="","",$C474*AySayisi)</f>
        <v/>
      </c>
      <c r="E474" s="107" t="n"/>
    </row>
    <row r="475" ht="15" customHeight="1" s="62">
      <c r="A475" s="107" t="n"/>
      <c r="B475" s="107" t="n"/>
      <c r="C475" s="110">
        <f>IFERROR(IF(OR($A475="",$B475=""),"",INDEX(tblCalisan[Brüt Ücret (₺)],MATCH($A475,tblCalisan[Çalışan Adı],0))*IF($B475="5 Puan İndirimi",BesPuanOrani,IF($B475="İlave İstihdam",IlaveIstihdamOrani,IF($B475="Kadın/Genç",KadinGencOrani,IF($B475="Engelli",EngelliOrani,GencGirisimciOrani))))),"")</f>
        <v/>
      </c>
      <c r="D475" s="110">
        <f>IF($C475="","",$C475*AySayisi)</f>
        <v/>
      </c>
      <c r="E475" s="107" t="n"/>
    </row>
    <row r="476" ht="15" customHeight="1" s="62">
      <c r="A476" s="107" t="n"/>
      <c r="B476" s="107" t="n"/>
      <c r="C476" s="110">
        <f>IFERROR(IF(OR($A476="",$B476=""),"",INDEX(tblCalisan[Brüt Ücret (₺)],MATCH($A476,tblCalisan[Çalışan Adı],0))*IF($B476="5 Puan İndirimi",BesPuanOrani,IF($B476="İlave İstihdam",IlaveIstihdamOrani,IF($B476="Kadın/Genç",KadinGencOrani,IF($B476="Engelli",EngelliOrani,GencGirisimciOrani))))),"")</f>
        <v/>
      </c>
      <c r="D476" s="110">
        <f>IF($C476="","",$C476*AySayisi)</f>
        <v/>
      </c>
      <c r="E476" s="107" t="n"/>
    </row>
    <row r="477" ht="15" customHeight="1" s="62">
      <c r="A477" s="107" t="n"/>
      <c r="B477" s="107" t="n"/>
      <c r="C477" s="110">
        <f>IFERROR(IF(OR($A477="",$B477=""),"",INDEX(tblCalisan[Brüt Ücret (₺)],MATCH($A477,tblCalisan[Çalışan Adı],0))*IF($B477="5 Puan İndirimi",BesPuanOrani,IF($B477="İlave İstihdam",IlaveIstihdamOrani,IF($B477="Kadın/Genç",KadinGencOrani,IF($B477="Engelli",EngelliOrani,GencGirisimciOrani))))),"")</f>
        <v/>
      </c>
      <c r="D477" s="110">
        <f>IF($C477="","",$C477*AySayisi)</f>
        <v/>
      </c>
      <c r="E477" s="107" t="n"/>
    </row>
    <row r="478" ht="15" customHeight="1" s="62">
      <c r="A478" s="107" t="n"/>
      <c r="B478" s="107" t="n"/>
      <c r="C478" s="110">
        <f>IFERROR(IF(OR($A478="",$B478=""),"",INDEX(tblCalisan[Brüt Ücret (₺)],MATCH($A478,tblCalisan[Çalışan Adı],0))*IF($B478="5 Puan İndirimi",BesPuanOrani,IF($B478="İlave İstihdam",IlaveIstihdamOrani,IF($B478="Kadın/Genç",KadinGencOrani,IF($B478="Engelli",EngelliOrani,GencGirisimciOrani))))),"")</f>
        <v/>
      </c>
      <c r="D478" s="110">
        <f>IF($C478="","",$C478*AySayisi)</f>
        <v/>
      </c>
      <c r="E478" s="107" t="n"/>
    </row>
    <row r="479" ht="15" customHeight="1" s="62">
      <c r="A479" s="107" t="n"/>
      <c r="B479" s="107" t="n"/>
      <c r="C479" s="110">
        <f>IFERROR(IF(OR($A479="",$B479=""),"",INDEX(tblCalisan[Brüt Ücret (₺)],MATCH($A479,tblCalisan[Çalışan Adı],0))*IF($B479="5 Puan İndirimi",BesPuanOrani,IF($B479="İlave İstihdam",IlaveIstihdamOrani,IF($B479="Kadın/Genç",KadinGencOrani,IF($B479="Engelli",EngelliOrani,GencGirisimciOrani))))),"")</f>
        <v/>
      </c>
      <c r="D479" s="110">
        <f>IF($C479="","",$C479*AySayisi)</f>
        <v/>
      </c>
      <c r="E479" s="107" t="n"/>
    </row>
    <row r="480" ht="15" customHeight="1" s="62">
      <c r="A480" s="107" t="n"/>
      <c r="B480" s="107" t="n"/>
      <c r="C480" s="110">
        <f>IFERROR(IF(OR($A480="",$B480=""),"",INDEX(tblCalisan[Brüt Ücret (₺)],MATCH($A480,tblCalisan[Çalışan Adı],0))*IF($B480="5 Puan İndirimi",BesPuanOrani,IF($B480="İlave İstihdam",IlaveIstihdamOrani,IF($B480="Kadın/Genç",KadinGencOrani,IF($B480="Engelli",EngelliOrani,GencGirisimciOrani))))),"")</f>
        <v/>
      </c>
      <c r="D480" s="110">
        <f>IF($C480="","",$C480*AySayisi)</f>
        <v/>
      </c>
      <c r="E480" s="107" t="n"/>
    </row>
    <row r="481" ht="15" customHeight="1" s="62">
      <c r="A481" s="107" t="n"/>
      <c r="B481" s="107" t="n"/>
      <c r="C481" s="110">
        <f>IFERROR(IF(OR($A481="",$B481=""),"",INDEX(tblCalisan[Brüt Ücret (₺)],MATCH($A481,tblCalisan[Çalışan Adı],0))*IF($B481="5 Puan İndirimi",BesPuanOrani,IF($B481="İlave İstihdam",IlaveIstihdamOrani,IF($B481="Kadın/Genç",KadinGencOrani,IF($B481="Engelli",EngelliOrani,GencGirisimciOrani))))),"")</f>
        <v/>
      </c>
      <c r="D481" s="110">
        <f>IF($C481="","",$C481*AySayisi)</f>
        <v/>
      </c>
      <c r="E481" s="107" t="n"/>
    </row>
    <row r="482" ht="15" customHeight="1" s="62">
      <c r="A482" s="107" t="n"/>
      <c r="B482" s="107" t="n"/>
      <c r="C482" s="110">
        <f>IFERROR(IF(OR($A482="",$B482=""),"",INDEX(tblCalisan[Brüt Ücret (₺)],MATCH($A482,tblCalisan[Çalışan Adı],0))*IF($B482="5 Puan İndirimi",BesPuanOrani,IF($B482="İlave İstihdam",IlaveIstihdamOrani,IF($B482="Kadın/Genç",KadinGencOrani,IF($B482="Engelli",EngelliOrani,GencGirisimciOrani))))),"")</f>
        <v/>
      </c>
      <c r="D482" s="110">
        <f>IF($C482="","",$C482*AySayisi)</f>
        <v/>
      </c>
      <c r="E482" s="107" t="n"/>
    </row>
    <row r="483" ht="15" customHeight="1" s="62">
      <c r="A483" s="107" t="n"/>
      <c r="B483" s="107" t="n"/>
      <c r="C483" s="110">
        <f>IFERROR(IF(OR($A483="",$B483=""),"",INDEX(tblCalisan[Brüt Ücret (₺)],MATCH($A483,tblCalisan[Çalışan Adı],0))*IF($B483="5 Puan İndirimi",BesPuanOrani,IF($B483="İlave İstihdam",IlaveIstihdamOrani,IF($B483="Kadın/Genç",KadinGencOrani,IF($B483="Engelli",EngelliOrani,GencGirisimciOrani))))),"")</f>
        <v/>
      </c>
      <c r="D483" s="110">
        <f>IF($C483="","",$C483*AySayisi)</f>
        <v/>
      </c>
      <c r="E483" s="107" t="n"/>
    </row>
    <row r="484" ht="15" customHeight="1" s="62">
      <c r="A484" s="107" t="n"/>
      <c r="B484" s="107" t="n"/>
      <c r="C484" s="110">
        <f>IFERROR(IF(OR($A484="",$B484=""),"",INDEX(tblCalisan[Brüt Ücret (₺)],MATCH($A484,tblCalisan[Çalışan Adı],0))*IF($B484="5 Puan İndirimi",BesPuanOrani,IF($B484="İlave İstihdam",IlaveIstihdamOrani,IF($B484="Kadın/Genç",KadinGencOrani,IF($B484="Engelli",EngelliOrani,GencGirisimciOrani))))),"")</f>
        <v/>
      </c>
      <c r="D484" s="110">
        <f>IF($C484="","",$C484*AySayisi)</f>
        <v/>
      </c>
      <c r="E484" s="107" t="n"/>
    </row>
    <row r="485" ht="15" customHeight="1" s="62">
      <c r="A485" s="107" t="n"/>
      <c r="B485" s="107" t="n"/>
      <c r="C485" s="110">
        <f>IFERROR(IF(OR($A485="",$B485=""),"",INDEX(tblCalisan[Brüt Ücret (₺)],MATCH($A485,tblCalisan[Çalışan Adı],0))*IF($B485="5 Puan İndirimi",BesPuanOrani,IF($B485="İlave İstihdam",IlaveIstihdamOrani,IF($B485="Kadın/Genç",KadinGencOrani,IF($B485="Engelli",EngelliOrani,GencGirisimciOrani))))),"")</f>
        <v/>
      </c>
      <c r="D485" s="110">
        <f>IF($C485="","",$C485*AySayisi)</f>
        <v/>
      </c>
      <c r="E485" s="107" t="n"/>
    </row>
    <row r="486" ht="15" customHeight="1" s="62">
      <c r="A486" s="107" t="n"/>
      <c r="B486" s="107" t="n"/>
      <c r="C486" s="110">
        <f>IFERROR(IF(OR($A486="",$B486=""),"",INDEX(tblCalisan[Brüt Ücret (₺)],MATCH($A486,tblCalisan[Çalışan Adı],0))*IF($B486="5 Puan İndirimi",BesPuanOrani,IF($B486="İlave İstihdam",IlaveIstihdamOrani,IF($B486="Kadın/Genç",KadinGencOrani,IF($B486="Engelli",EngelliOrani,GencGirisimciOrani))))),"")</f>
        <v/>
      </c>
      <c r="D486" s="110">
        <f>IF($C486="","",$C486*AySayisi)</f>
        <v/>
      </c>
      <c r="E486" s="107" t="n"/>
    </row>
    <row r="487" ht="15" customHeight="1" s="62">
      <c r="A487" s="107" t="n"/>
      <c r="B487" s="107" t="n"/>
      <c r="C487" s="110">
        <f>IFERROR(IF(OR($A487="",$B487=""),"",INDEX(tblCalisan[Brüt Ücret (₺)],MATCH($A487,tblCalisan[Çalışan Adı],0))*IF($B487="5 Puan İndirimi",BesPuanOrani,IF($B487="İlave İstihdam",IlaveIstihdamOrani,IF($B487="Kadın/Genç",KadinGencOrani,IF($B487="Engelli",EngelliOrani,GencGirisimciOrani))))),"")</f>
        <v/>
      </c>
      <c r="D487" s="110">
        <f>IF($C487="","",$C487*AySayisi)</f>
        <v/>
      </c>
      <c r="E487" s="107" t="n"/>
    </row>
    <row r="488" ht="15" customHeight="1" s="62">
      <c r="A488" s="107" t="n"/>
      <c r="B488" s="107" t="n"/>
      <c r="C488" s="110">
        <f>IFERROR(IF(OR($A488="",$B488=""),"",INDEX(tblCalisan[Brüt Ücret (₺)],MATCH($A488,tblCalisan[Çalışan Adı],0))*IF($B488="5 Puan İndirimi",BesPuanOrani,IF($B488="İlave İstihdam",IlaveIstihdamOrani,IF($B488="Kadın/Genç",KadinGencOrani,IF($B488="Engelli",EngelliOrani,GencGirisimciOrani))))),"")</f>
        <v/>
      </c>
      <c r="D488" s="110">
        <f>IF($C488="","",$C488*AySayisi)</f>
        <v/>
      </c>
      <c r="E488" s="107" t="n"/>
    </row>
    <row r="489" ht="15" customHeight="1" s="62">
      <c r="A489" s="107" t="n"/>
      <c r="B489" s="107" t="n"/>
      <c r="C489" s="110">
        <f>IFERROR(IF(OR($A489="",$B489=""),"",INDEX(tblCalisan[Brüt Ücret (₺)],MATCH($A489,tblCalisan[Çalışan Adı],0))*IF($B489="5 Puan İndirimi",BesPuanOrani,IF($B489="İlave İstihdam",IlaveIstihdamOrani,IF($B489="Kadın/Genç",KadinGencOrani,IF($B489="Engelli",EngelliOrani,GencGirisimciOrani))))),"")</f>
        <v/>
      </c>
      <c r="D489" s="110">
        <f>IF($C489="","",$C489*AySayisi)</f>
        <v/>
      </c>
      <c r="E489" s="107" t="n"/>
    </row>
    <row r="490" ht="15" customHeight="1" s="62">
      <c r="A490" s="107" t="n"/>
      <c r="B490" s="107" t="n"/>
      <c r="C490" s="110">
        <f>IFERROR(IF(OR($A490="",$B490=""),"",INDEX(tblCalisan[Brüt Ücret (₺)],MATCH($A490,tblCalisan[Çalışan Adı],0))*IF($B490="5 Puan İndirimi",BesPuanOrani,IF($B490="İlave İstihdam",IlaveIstihdamOrani,IF($B490="Kadın/Genç",KadinGencOrani,IF($B490="Engelli",EngelliOrani,GencGirisimciOrani))))),"")</f>
        <v/>
      </c>
      <c r="D490" s="110">
        <f>IF($C490="","",$C490*AySayisi)</f>
        <v/>
      </c>
      <c r="E490" s="107" t="n"/>
    </row>
    <row r="491" ht="15" customHeight="1" s="62">
      <c r="A491" s="107" t="n"/>
      <c r="B491" s="107" t="n"/>
      <c r="C491" s="110">
        <f>IFERROR(IF(OR($A491="",$B491=""),"",INDEX(tblCalisan[Brüt Ücret (₺)],MATCH($A491,tblCalisan[Çalışan Adı],0))*IF($B491="5 Puan İndirimi",BesPuanOrani,IF($B491="İlave İstihdam",IlaveIstihdamOrani,IF($B491="Kadın/Genç",KadinGencOrani,IF($B491="Engelli",EngelliOrani,GencGirisimciOrani))))),"")</f>
        <v/>
      </c>
      <c r="D491" s="110">
        <f>IF($C491="","",$C491*AySayisi)</f>
        <v/>
      </c>
      <c r="E491" s="107" t="n"/>
    </row>
    <row r="492" ht="15" customHeight="1" s="62">
      <c r="A492" s="107" t="n"/>
      <c r="B492" s="107" t="n"/>
      <c r="C492" s="110">
        <f>IFERROR(IF(OR($A492="",$B492=""),"",INDEX(tblCalisan[Brüt Ücret (₺)],MATCH($A492,tblCalisan[Çalışan Adı],0))*IF($B492="5 Puan İndirimi",BesPuanOrani,IF($B492="İlave İstihdam",IlaveIstihdamOrani,IF($B492="Kadın/Genç",KadinGencOrani,IF($B492="Engelli",EngelliOrani,GencGirisimciOrani))))),"")</f>
        <v/>
      </c>
      <c r="D492" s="110">
        <f>IF($C492="","",$C492*AySayisi)</f>
        <v/>
      </c>
      <c r="E492" s="107" t="n"/>
    </row>
    <row r="493" ht="15" customHeight="1" s="62">
      <c r="A493" s="107" t="n"/>
      <c r="B493" s="107" t="n"/>
      <c r="C493" s="110">
        <f>IFERROR(IF(OR($A493="",$B493=""),"",INDEX(tblCalisan[Brüt Ücret (₺)],MATCH($A493,tblCalisan[Çalışan Adı],0))*IF($B493="5 Puan İndirimi",BesPuanOrani,IF($B493="İlave İstihdam",IlaveIstihdamOrani,IF($B493="Kadın/Genç",KadinGencOrani,IF($B493="Engelli",EngelliOrani,GencGirisimciOrani))))),"")</f>
        <v/>
      </c>
      <c r="D493" s="110">
        <f>IF($C493="","",$C493*AySayisi)</f>
        <v/>
      </c>
      <c r="E493" s="107" t="n"/>
    </row>
    <row r="494" ht="15" customHeight="1" s="62">
      <c r="A494" s="107" t="n"/>
      <c r="B494" s="107" t="n"/>
      <c r="C494" s="110">
        <f>IFERROR(IF(OR($A494="",$B494=""),"",INDEX(tblCalisan[Brüt Ücret (₺)],MATCH($A494,tblCalisan[Çalışan Adı],0))*IF($B494="5 Puan İndirimi",BesPuanOrani,IF($B494="İlave İstihdam",IlaveIstihdamOrani,IF($B494="Kadın/Genç",KadinGencOrani,IF($B494="Engelli",EngelliOrani,GencGirisimciOrani))))),"")</f>
        <v/>
      </c>
      <c r="D494" s="110">
        <f>IF($C494="","",$C494*AySayisi)</f>
        <v/>
      </c>
      <c r="E494" s="107" t="n"/>
    </row>
    <row r="495" ht="15" customHeight="1" s="62">
      <c r="A495" s="107" t="n"/>
      <c r="B495" s="107" t="n"/>
      <c r="C495" s="110">
        <f>IFERROR(IF(OR($A495="",$B495=""),"",INDEX(tblCalisan[Brüt Ücret (₺)],MATCH($A495,tblCalisan[Çalışan Adı],0))*IF($B495="5 Puan İndirimi",BesPuanOrani,IF($B495="İlave İstihdam",IlaveIstihdamOrani,IF($B495="Kadın/Genç",KadinGencOrani,IF($B495="Engelli",EngelliOrani,GencGirisimciOrani))))),"")</f>
        <v/>
      </c>
      <c r="D495" s="110">
        <f>IF($C495="","",$C495*AySayisi)</f>
        <v/>
      </c>
      <c r="E495" s="107" t="n"/>
    </row>
    <row r="496" ht="15" customHeight="1" s="62">
      <c r="A496" s="107" t="n"/>
      <c r="B496" s="107" t="n"/>
      <c r="C496" s="110">
        <f>IFERROR(IF(OR($A496="",$B496=""),"",INDEX(tblCalisan[Brüt Ücret (₺)],MATCH($A496,tblCalisan[Çalışan Adı],0))*IF($B496="5 Puan İndirimi",BesPuanOrani,IF($B496="İlave İstihdam",IlaveIstihdamOrani,IF($B496="Kadın/Genç",KadinGencOrani,IF($B496="Engelli",EngelliOrani,GencGirisimciOrani))))),"")</f>
        <v/>
      </c>
      <c r="D496" s="110">
        <f>IF($C496="","",$C496*AySayisi)</f>
        <v/>
      </c>
      <c r="E496" s="107" t="n"/>
    </row>
    <row r="497" ht="15" customHeight="1" s="62">
      <c r="A497" s="107" t="n"/>
      <c r="B497" s="107" t="n"/>
      <c r="C497" s="110">
        <f>IFERROR(IF(OR($A497="",$B497=""),"",INDEX(tblCalisan[Brüt Ücret (₺)],MATCH($A497,tblCalisan[Çalışan Adı],0))*IF($B497="5 Puan İndirimi",BesPuanOrani,IF($B497="İlave İstihdam",IlaveIstihdamOrani,IF($B497="Kadın/Genç",KadinGencOrani,IF($B497="Engelli",EngelliOrani,GencGirisimciOrani))))),"")</f>
        <v/>
      </c>
      <c r="D497" s="110">
        <f>IF($C497="","",$C497*AySayisi)</f>
        <v/>
      </c>
      <c r="E497" s="107" t="n"/>
    </row>
    <row r="498" ht="15" customHeight="1" s="62">
      <c r="A498" s="107" t="n"/>
      <c r="B498" s="107" t="n"/>
      <c r="C498" s="110">
        <f>IFERROR(IF(OR($A498="",$B498=""),"",INDEX(tblCalisan[Brüt Ücret (₺)],MATCH($A498,tblCalisan[Çalışan Adı],0))*IF($B498="5 Puan İndirimi",BesPuanOrani,IF($B498="İlave İstihdam",IlaveIstihdamOrani,IF($B498="Kadın/Genç",KadinGencOrani,IF($B498="Engelli",EngelliOrani,GencGirisimciOrani))))),"")</f>
        <v/>
      </c>
      <c r="D498" s="110">
        <f>IF($C498="","",$C498*AySayisi)</f>
        <v/>
      </c>
      <c r="E498" s="107" t="n"/>
    </row>
    <row r="499" ht="15" customHeight="1" s="62">
      <c r="A499" s="107" t="n"/>
      <c r="B499" s="107" t="n"/>
      <c r="C499" s="110">
        <f>IFERROR(IF(OR($A499="",$B499=""),"",INDEX(tblCalisan[Brüt Ücret (₺)],MATCH($A499,tblCalisan[Çalışan Adı],0))*IF($B499="5 Puan İndirimi",BesPuanOrani,IF($B499="İlave İstihdam",IlaveIstihdamOrani,IF($B499="Kadın/Genç",KadinGencOrani,IF($B499="Engelli",EngelliOrani,GencGirisimciOrani))))),"")</f>
        <v/>
      </c>
      <c r="D499" s="110">
        <f>IF($C499="","",$C499*AySayisi)</f>
        <v/>
      </c>
      <c r="E499" s="107" t="n"/>
    </row>
    <row r="500" ht="15" customHeight="1" s="62">
      <c r="A500" s="107" t="n"/>
      <c r="B500" s="107" t="n"/>
      <c r="C500" s="110">
        <f>IFERROR(IF(OR($A500="",$B500=""),"",INDEX(tblCalisan[Brüt Ücret (₺)],MATCH($A500,tblCalisan[Çalışan Adı],0))*IF($B500="5 Puan İndirimi",BesPuanOrani,IF($B500="İlave İstihdam",IlaveIstihdamOrani,IF($B500="Kadın/Genç",KadinGencOrani,IF($B500="Engelli",EngelliOrani,GencGirisimciOrani))))),"")</f>
        <v/>
      </c>
      <c r="D500" s="110">
        <f>IF($C500="","",$C500*AySayisi)</f>
        <v/>
      </c>
      <c r="E500" s="107" t="n"/>
    </row>
    <row r="501" ht="15" customHeight="1" s="62">
      <c r="A501" s="107" t="n"/>
      <c r="B501" s="107" t="n"/>
      <c r="C501" s="110">
        <f>IFERROR(IF(OR($A501="",$B501=""),"",INDEX(tblCalisan[Brüt Ücret (₺)],MATCH($A501,tblCalisan[Çalışan Adı],0))*IF($B501="5 Puan İndirimi",BesPuanOrani,IF($B501="İlave İstihdam",IlaveIstihdamOrani,IF($B501="Kadın/Genç",KadinGencOrani,IF($B501="Engelli",EngelliOrani,GencGirisimciOrani))))),"")</f>
        <v/>
      </c>
      <c r="D501" s="110">
        <f>IF($C501="","",$C501*AySayisi)</f>
        <v/>
      </c>
      <c r="E501" s="107" t="n"/>
    </row>
    <row r="502" ht="15" customHeight="1" s="62">
      <c r="A502" s="107" t="n"/>
      <c r="B502" s="107" t="n"/>
      <c r="C502" s="110">
        <f>IFERROR(IF(OR($A502="",$B502=""),"",INDEX(tblCalisan[Brüt Ücret (₺)],MATCH($A502,tblCalisan[Çalışan Adı],0))*IF($B502="5 Puan İndirimi",BesPuanOrani,IF($B502="İlave İstihdam",IlaveIstihdamOrani,IF($B502="Kadın/Genç",KadinGencOrani,IF($B502="Engelli",EngelliOrani,GencGirisimciOrani))))),"")</f>
        <v/>
      </c>
      <c r="D502" s="110">
        <f>IF($C502="","",$C502*AySayisi)</f>
        <v/>
      </c>
      <c r="E502" s="107" t="n"/>
    </row>
    <row r="503" ht="15" customHeight="1" s="62">
      <c r="A503" s="107" t="n"/>
      <c r="B503" s="107" t="n"/>
      <c r="C503" s="110">
        <f>IFERROR(IF(OR($A503="",$B503=""),"",INDEX(tblCalisan[Brüt Ücret (₺)],MATCH($A503,tblCalisan[Çalışan Adı],0))*IF($B503="5 Puan İndirimi",BesPuanOrani,IF($B503="İlave İstihdam",IlaveIstihdamOrani,IF($B503="Kadın/Genç",KadinGencOrani,IF($B503="Engelli",EngelliOrani,GencGirisimciOrani))))),"")</f>
        <v/>
      </c>
      <c r="D503" s="110">
        <f>IF($C503="","",$C503*AySayisi)</f>
        <v/>
      </c>
      <c r="E503" s="107" t="n"/>
    </row>
    <row r="504" ht="15" customHeight="1" s="62">
      <c r="A504" s="107" t="n"/>
      <c r="B504" s="107" t="n"/>
      <c r="C504" s="110">
        <f>IFERROR(IF(OR($A504="",$B504=""),"",INDEX(tblCalisan[Brüt Ücret (₺)],MATCH($A504,tblCalisan[Çalışan Adı],0))*IF($B504="5 Puan İndirimi",BesPuanOrani,IF($B504="İlave İstihdam",IlaveIstihdamOrani,IF($B504="Kadın/Genç",KadinGencOrani,IF($B504="Engelli",EngelliOrani,GencGirisimciOrani))))),"")</f>
        <v/>
      </c>
      <c r="D504" s="110">
        <f>IF($C504="","",$C504*AySayisi)</f>
        <v/>
      </c>
      <c r="E504" s="107" t="n"/>
    </row>
    <row r="505" ht="15" customHeight="1" s="62">
      <c r="A505" s="107" t="n"/>
      <c r="B505" s="107" t="n"/>
      <c r="C505" s="110">
        <f>IFERROR(IF(OR($A505="",$B505=""),"",INDEX(tblCalisan[Brüt Ücret (₺)],MATCH($A505,tblCalisan[Çalışan Adı],0))*IF($B505="5 Puan İndirimi",BesPuanOrani,IF($B505="İlave İstihdam",IlaveIstihdamOrani,IF($B505="Kadın/Genç",KadinGencOrani,IF($B505="Engelli",EngelliOrani,GencGirisimciOrani))))),"")</f>
        <v/>
      </c>
      <c r="D505" s="110">
        <f>IF($C505="","",$C505*AySayisi)</f>
        <v/>
      </c>
      <c r="E505" s="107" t="n"/>
    </row>
    <row r="506" ht="15" customHeight="1" s="62">
      <c r="A506" s="107" t="n"/>
      <c r="B506" s="107" t="n"/>
      <c r="C506" s="110">
        <f>IFERROR(IF(OR($A506="",$B506=""),"",INDEX(tblCalisan[Brüt Ücret (₺)],MATCH($A506,tblCalisan[Çalışan Adı],0))*IF($B506="5 Puan İndirimi",BesPuanOrani,IF($B506="İlave İstihdam",IlaveIstihdamOrani,IF($B506="Kadın/Genç",KadinGencOrani,IF($B506="Engelli",EngelliOrani,GencGirisimciOrani))))),"")</f>
        <v/>
      </c>
      <c r="D506" s="110">
        <f>IF($C506="","",$C506*AySayisi)</f>
        <v/>
      </c>
      <c r="E506" s="107" t="n"/>
    </row>
    <row r="507" ht="15" customHeight="1" s="62">
      <c r="A507" s="107" t="n"/>
      <c r="B507" s="107" t="n"/>
      <c r="C507" s="110">
        <f>IFERROR(IF(OR($A507="",$B507=""),"",INDEX(tblCalisan[Brüt Ücret (₺)],MATCH($A507,tblCalisan[Çalışan Adı],0))*IF($B507="5 Puan İndirimi",BesPuanOrani,IF($B507="İlave İstihdam",IlaveIstihdamOrani,IF($B507="Kadın/Genç",KadinGencOrani,IF($B507="Engelli",EngelliOrani,GencGirisimciOrani))))),"")</f>
        <v/>
      </c>
      <c r="D507" s="110">
        <f>IF($C507="","",$C507*AySayisi)</f>
        <v/>
      </c>
      <c r="E507" s="107" t="n"/>
    </row>
    <row r="508" ht="15" customHeight="1" s="62">
      <c r="A508" s="107" t="n"/>
      <c r="B508" s="107" t="n"/>
      <c r="C508" s="110">
        <f>IFERROR(IF(OR($A508="",$B508=""),"",INDEX(tblCalisan[Brüt Ücret (₺)],MATCH($A508,tblCalisan[Çalışan Adı],0))*IF($B508="5 Puan İndirimi",BesPuanOrani,IF($B508="İlave İstihdam",IlaveIstihdamOrani,IF($B508="Kadın/Genç",KadinGencOrani,IF($B508="Engelli",EngelliOrani,GencGirisimciOrani))))),"")</f>
        <v/>
      </c>
      <c r="D508" s="110">
        <f>IF($C508="","",$C508*AySayisi)</f>
        <v/>
      </c>
      <c r="E508" s="107" t="n"/>
    </row>
    <row r="509" ht="15" customHeight="1" s="62">
      <c r="A509" s="107" t="n"/>
      <c r="B509" s="107" t="n"/>
      <c r="C509" s="110">
        <f>IFERROR(IF(OR($A509="",$B509=""),"",INDEX(tblCalisan[Brüt Ücret (₺)],MATCH($A509,tblCalisan[Çalışan Adı],0))*IF($B509="5 Puan İndirimi",BesPuanOrani,IF($B509="İlave İstihdam",IlaveIstihdamOrani,IF($B509="Kadın/Genç",KadinGencOrani,IF($B509="Engelli",EngelliOrani,GencGirisimciOrani))))),"")</f>
        <v/>
      </c>
      <c r="D509" s="110">
        <f>IF($C509="","",$C509*AySayisi)</f>
        <v/>
      </c>
      <c r="E509" s="107" t="n"/>
    </row>
    <row r="510" ht="15" customHeight="1" s="62">
      <c r="A510" s="107" t="n"/>
      <c r="B510" s="107" t="n"/>
      <c r="C510" s="110">
        <f>IFERROR(IF(OR($A510="",$B510=""),"",INDEX(tblCalisan[Brüt Ücret (₺)],MATCH($A510,tblCalisan[Çalışan Adı],0))*IF($B510="5 Puan İndirimi",BesPuanOrani,IF($B510="İlave İstihdam",IlaveIstihdamOrani,IF($B510="Kadın/Genç",KadinGencOrani,IF($B510="Engelli",EngelliOrani,GencGirisimciOrani))))),"")</f>
        <v/>
      </c>
      <c r="D510" s="110">
        <f>IF($C510="","",$C510*AySayisi)</f>
        <v/>
      </c>
      <c r="E510" s="107" t="n"/>
    </row>
    <row r="511" ht="15" customHeight="1" s="62">
      <c r="A511" s="107" t="n"/>
      <c r="B511" s="107" t="n"/>
      <c r="C511" s="110">
        <f>IFERROR(IF(OR($A511="",$B511=""),"",INDEX(tblCalisan[Brüt Ücret (₺)],MATCH($A511,tblCalisan[Çalışan Adı],0))*IF($B511="5 Puan İndirimi",BesPuanOrani,IF($B511="İlave İstihdam",IlaveIstihdamOrani,IF($B511="Kadın/Genç",KadinGencOrani,IF($B511="Engelli",EngelliOrani,GencGirisimciOrani))))),"")</f>
        <v/>
      </c>
      <c r="D511" s="110">
        <f>IF($C511="","",$C511*AySayisi)</f>
        <v/>
      </c>
      <c r="E511" s="107" t="n"/>
    </row>
    <row r="512" ht="15" customHeight="1" s="62">
      <c r="A512" s="107" t="n"/>
      <c r="B512" s="107" t="n"/>
      <c r="C512" s="110">
        <f>IFERROR(IF(OR($A512="",$B512=""),"",INDEX(tblCalisan[Brüt Ücret (₺)],MATCH($A512,tblCalisan[Çalışan Adı],0))*IF($B512="5 Puan İndirimi",BesPuanOrani,IF($B512="İlave İstihdam",IlaveIstihdamOrani,IF($B512="Kadın/Genç",KadinGencOrani,IF($B512="Engelli",EngelliOrani,GencGirisimciOrani))))),"")</f>
        <v/>
      </c>
      <c r="D512" s="110">
        <f>IF($C512="","",$C512*AySayisi)</f>
        <v/>
      </c>
      <c r="E512" s="107" t="n"/>
    </row>
    <row r="513" ht="15" customHeight="1" s="62">
      <c r="A513" s="107" t="n"/>
      <c r="B513" s="107" t="n"/>
      <c r="C513" s="110">
        <f>IFERROR(IF(OR($A513="",$B513=""),"",INDEX(tblCalisan[Brüt Ücret (₺)],MATCH($A513,tblCalisan[Çalışan Adı],0))*IF($B513="5 Puan İndirimi",BesPuanOrani,IF($B513="İlave İstihdam",IlaveIstihdamOrani,IF($B513="Kadın/Genç",KadinGencOrani,IF($B513="Engelli",EngelliOrani,GencGirisimciOrani))))),"")</f>
        <v/>
      </c>
      <c r="D513" s="110">
        <f>IF($C513="","",$C513*AySayisi)</f>
        <v/>
      </c>
      <c r="E513" s="107" t="n"/>
    </row>
    <row r="514" ht="15" customHeight="1" s="62">
      <c r="A514" s="107" t="n"/>
      <c r="B514" s="107" t="n"/>
      <c r="C514" s="110">
        <f>IFERROR(IF(OR($A514="",$B514=""),"",INDEX(tblCalisan[Brüt Ücret (₺)],MATCH($A514,tblCalisan[Çalışan Adı],0))*IF($B514="5 Puan İndirimi",BesPuanOrani,IF($B514="İlave İstihdam",IlaveIstihdamOrani,IF($B514="Kadın/Genç",KadinGencOrani,IF($B514="Engelli",EngelliOrani,GencGirisimciOrani))))),"")</f>
        <v/>
      </c>
      <c r="D514" s="110">
        <f>IF($C514="","",$C514*AySayisi)</f>
        <v/>
      </c>
      <c r="E514" s="107" t="n"/>
    </row>
    <row r="515" ht="15" customHeight="1" s="62">
      <c r="A515" s="107" t="n"/>
      <c r="B515" s="107" t="n"/>
      <c r="C515" s="110">
        <f>IFERROR(IF(OR($A515="",$B515=""),"",INDEX(tblCalisan[Brüt Ücret (₺)],MATCH($A515,tblCalisan[Çalışan Adı],0))*IF($B515="5 Puan İndirimi",BesPuanOrani,IF($B515="İlave İstihdam",IlaveIstihdamOrani,IF($B515="Kadın/Genç",KadinGencOrani,IF($B515="Engelli",EngelliOrani,GencGirisimciOrani))))),"")</f>
        <v/>
      </c>
      <c r="D515" s="110">
        <f>IF($C515="","",$C515*AySayisi)</f>
        <v/>
      </c>
      <c r="E515" s="107" t="n"/>
    </row>
    <row r="516" ht="15" customHeight="1" s="62">
      <c r="A516" s="107" t="n"/>
      <c r="B516" s="107" t="n"/>
      <c r="C516" s="110">
        <f>IFERROR(IF(OR($A516="",$B516=""),"",INDEX(tblCalisan[Brüt Ücret (₺)],MATCH($A516,tblCalisan[Çalışan Adı],0))*IF($B516="5 Puan İndirimi",BesPuanOrani,IF($B516="İlave İstihdam",IlaveIstihdamOrani,IF($B516="Kadın/Genç",KadinGencOrani,IF($B516="Engelli",EngelliOrani,GencGirisimciOrani))))),"")</f>
        <v/>
      </c>
      <c r="D516" s="110">
        <f>IF($C516="","",$C516*AySayisi)</f>
        <v/>
      </c>
      <c r="E516" s="107" t="n"/>
    </row>
    <row r="517" ht="15" customHeight="1" s="62">
      <c r="A517" s="107" t="n"/>
      <c r="B517" s="107" t="n"/>
      <c r="C517" s="110">
        <f>IFERROR(IF(OR($A517="",$B517=""),"",INDEX(tblCalisan[Brüt Ücret (₺)],MATCH($A517,tblCalisan[Çalışan Adı],0))*IF($B517="5 Puan İndirimi",BesPuanOrani,IF($B517="İlave İstihdam",IlaveIstihdamOrani,IF($B517="Kadın/Genç",KadinGencOrani,IF($B517="Engelli",EngelliOrani,GencGirisimciOrani))))),"")</f>
        <v/>
      </c>
      <c r="D517" s="110">
        <f>IF($C517="","",$C517*AySayisi)</f>
        <v/>
      </c>
      <c r="E517" s="107" t="n"/>
    </row>
    <row r="518" ht="15" customHeight="1" s="62">
      <c r="A518" s="107" t="n"/>
      <c r="B518" s="107" t="n"/>
      <c r="C518" s="110">
        <f>IFERROR(IF(OR($A518="",$B518=""),"",INDEX(tblCalisan[Brüt Ücret (₺)],MATCH($A518,tblCalisan[Çalışan Adı],0))*IF($B518="5 Puan İndirimi",BesPuanOrani,IF($B518="İlave İstihdam",IlaveIstihdamOrani,IF($B518="Kadın/Genç",KadinGencOrani,IF($B518="Engelli",EngelliOrani,GencGirisimciOrani))))),"")</f>
        <v/>
      </c>
      <c r="D518" s="110">
        <f>IF($C518="","",$C518*AySayisi)</f>
        <v/>
      </c>
      <c r="E518" s="107" t="n"/>
    </row>
    <row r="519" ht="15" customHeight="1" s="62">
      <c r="A519" s="107" t="n"/>
      <c r="B519" s="107" t="n"/>
      <c r="C519" s="110">
        <f>IFERROR(IF(OR($A519="",$B519=""),"",INDEX(tblCalisan[Brüt Ücret (₺)],MATCH($A519,tblCalisan[Çalışan Adı],0))*IF($B519="5 Puan İndirimi",BesPuanOrani,IF($B519="İlave İstihdam",IlaveIstihdamOrani,IF($B519="Kadın/Genç",KadinGencOrani,IF($B519="Engelli",EngelliOrani,GencGirisimciOrani))))),"")</f>
        <v/>
      </c>
      <c r="D519" s="110">
        <f>IF($C519="","",$C519*AySayisi)</f>
        <v/>
      </c>
      <c r="E519" s="107" t="n"/>
    </row>
    <row r="520" ht="15" customHeight="1" s="62">
      <c r="A520" s="107" t="n"/>
      <c r="B520" s="107" t="n"/>
      <c r="C520" s="110">
        <f>IFERROR(IF(OR($A520="",$B520=""),"",INDEX(tblCalisan[Brüt Ücret (₺)],MATCH($A520,tblCalisan[Çalışan Adı],0))*IF($B520="5 Puan İndirimi",BesPuanOrani,IF($B520="İlave İstihdam",IlaveIstihdamOrani,IF($B520="Kadın/Genç",KadinGencOrani,IF($B520="Engelli",EngelliOrani,GencGirisimciOrani))))),"")</f>
        <v/>
      </c>
      <c r="D520" s="110">
        <f>IF($C520="","",$C520*AySayisi)</f>
        <v/>
      </c>
      <c r="E520" s="107" t="n"/>
    </row>
    <row r="521" ht="15" customHeight="1" s="62">
      <c r="A521" s="107" t="n"/>
      <c r="B521" s="107" t="n"/>
      <c r="C521" s="110">
        <f>IFERROR(IF(OR($A521="",$B521=""),"",INDEX(tblCalisan[Brüt Ücret (₺)],MATCH($A521,tblCalisan[Çalışan Adı],0))*IF($B521="5 Puan İndirimi",BesPuanOrani,IF($B521="İlave İstihdam",IlaveIstihdamOrani,IF($B521="Kadın/Genç",KadinGencOrani,IF($B521="Engelli",EngelliOrani,GencGirisimciOrani))))),"")</f>
        <v/>
      </c>
      <c r="D521" s="110">
        <f>IF($C521="","",$C521*AySayisi)</f>
        <v/>
      </c>
      <c r="E521" s="107" t="n"/>
    </row>
    <row r="522" ht="15" customHeight="1" s="62">
      <c r="A522" s="107" t="n"/>
      <c r="B522" s="107" t="n"/>
      <c r="C522" s="110">
        <f>IFERROR(IF(OR($A522="",$B522=""),"",INDEX(tblCalisan[Brüt Ücret (₺)],MATCH($A522,tblCalisan[Çalışan Adı],0))*IF($B522="5 Puan İndirimi",BesPuanOrani,IF($B522="İlave İstihdam",IlaveIstihdamOrani,IF($B522="Kadın/Genç",KadinGencOrani,IF($B522="Engelli",EngelliOrani,GencGirisimciOrani))))),"")</f>
        <v/>
      </c>
      <c r="D522" s="110">
        <f>IF($C522="","",$C522*AySayisi)</f>
        <v/>
      </c>
      <c r="E522" s="107" t="n"/>
    </row>
    <row r="523" ht="15" customHeight="1" s="62">
      <c r="A523" s="107" t="n"/>
      <c r="B523" s="107" t="n"/>
      <c r="C523" s="110">
        <f>IFERROR(IF(OR($A523="",$B523=""),"",INDEX(tblCalisan[Brüt Ücret (₺)],MATCH($A523,tblCalisan[Çalışan Adı],0))*IF($B523="5 Puan İndirimi",BesPuanOrani,IF($B523="İlave İstihdam",IlaveIstihdamOrani,IF($B523="Kadın/Genç",KadinGencOrani,IF($B523="Engelli",EngelliOrani,GencGirisimciOrani))))),"")</f>
        <v/>
      </c>
      <c r="D523" s="110">
        <f>IF($C523="","",$C523*AySayisi)</f>
        <v/>
      </c>
      <c r="E523" s="107" t="n"/>
    </row>
    <row r="524" ht="15" customHeight="1" s="62">
      <c r="A524" s="107" t="n"/>
      <c r="B524" s="107" t="n"/>
      <c r="C524" s="110">
        <f>IFERROR(IF(OR($A524="",$B524=""),"",INDEX(tblCalisan[Brüt Ücret (₺)],MATCH($A524,tblCalisan[Çalışan Adı],0))*IF($B524="5 Puan İndirimi",BesPuanOrani,IF($B524="İlave İstihdam",IlaveIstihdamOrani,IF($B524="Kadın/Genç",KadinGencOrani,IF($B524="Engelli",EngelliOrani,GencGirisimciOrani))))),"")</f>
        <v/>
      </c>
      <c r="D524" s="110">
        <f>IF($C524="","",$C524*AySayisi)</f>
        <v/>
      </c>
      <c r="E524" s="107" t="n"/>
    </row>
    <row r="525" ht="15" customHeight="1" s="62">
      <c r="A525" s="107" t="n"/>
      <c r="B525" s="107" t="n"/>
      <c r="C525" s="110">
        <f>IFERROR(IF(OR($A525="",$B525=""),"",INDEX(tblCalisan[Brüt Ücret (₺)],MATCH($A525,tblCalisan[Çalışan Adı],0))*IF($B525="5 Puan İndirimi",BesPuanOrani,IF($B525="İlave İstihdam",IlaveIstihdamOrani,IF($B525="Kadın/Genç",KadinGencOrani,IF($B525="Engelli",EngelliOrani,GencGirisimciOrani))))),"")</f>
        <v/>
      </c>
      <c r="D525" s="110">
        <f>IF($C525="","",$C525*AySayisi)</f>
        <v/>
      </c>
      <c r="E525" s="107" t="n"/>
    </row>
    <row r="526" ht="15" customHeight="1" s="62">
      <c r="A526" s="107" t="n"/>
      <c r="B526" s="107" t="n"/>
      <c r="C526" s="110">
        <f>IFERROR(IF(OR($A526="",$B526=""),"",INDEX(tblCalisan[Brüt Ücret (₺)],MATCH($A526,tblCalisan[Çalışan Adı],0))*IF($B526="5 Puan İndirimi",BesPuanOrani,IF($B526="İlave İstihdam",IlaveIstihdamOrani,IF($B526="Kadın/Genç",KadinGencOrani,IF($B526="Engelli",EngelliOrani,GencGirisimciOrani))))),"")</f>
        <v/>
      </c>
      <c r="D526" s="110">
        <f>IF($C526="","",$C526*AySayisi)</f>
        <v/>
      </c>
      <c r="E526" s="107" t="n"/>
    </row>
    <row r="527" ht="15" customHeight="1" s="62">
      <c r="A527" s="107" t="n"/>
      <c r="B527" s="107" t="n"/>
      <c r="C527" s="110">
        <f>IFERROR(IF(OR($A527="",$B527=""),"",INDEX(tblCalisan[Brüt Ücret (₺)],MATCH($A527,tblCalisan[Çalışan Adı],0))*IF($B527="5 Puan İndirimi",BesPuanOrani,IF($B527="İlave İstihdam",IlaveIstihdamOrani,IF($B527="Kadın/Genç",KadinGencOrani,IF($B527="Engelli",EngelliOrani,GencGirisimciOrani))))),"")</f>
        <v/>
      </c>
      <c r="D527" s="110">
        <f>IF($C527="","",$C527*AySayisi)</f>
        <v/>
      </c>
      <c r="E527" s="107" t="n"/>
    </row>
    <row r="528" ht="15" customHeight="1" s="62">
      <c r="A528" s="107" t="n"/>
      <c r="B528" s="107" t="n"/>
      <c r="C528" s="110">
        <f>IFERROR(IF(OR($A528="",$B528=""),"",INDEX(tblCalisan[Brüt Ücret (₺)],MATCH($A528,tblCalisan[Çalışan Adı],0))*IF($B528="5 Puan İndirimi",BesPuanOrani,IF($B528="İlave İstihdam",IlaveIstihdamOrani,IF($B528="Kadın/Genç",KadinGencOrani,IF($B528="Engelli",EngelliOrani,GencGirisimciOrani))))),"")</f>
        <v/>
      </c>
      <c r="D528" s="110">
        <f>IF($C528="","",$C528*AySayisi)</f>
        <v/>
      </c>
      <c r="E528" s="107" t="n"/>
    </row>
    <row r="529" ht="15" customHeight="1" s="62">
      <c r="A529" s="107" t="n"/>
      <c r="B529" s="107" t="n"/>
      <c r="C529" s="110">
        <f>IFERROR(IF(OR($A529="",$B529=""),"",INDEX(tblCalisan[Brüt Ücret (₺)],MATCH($A529,tblCalisan[Çalışan Adı],0))*IF($B529="5 Puan İndirimi",BesPuanOrani,IF($B529="İlave İstihdam",IlaveIstihdamOrani,IF($B529="Kadın/Genç",KadinGencOrani,IF($B529="Engelli",EngelliOrani,GencGirisimciOrani))))),"")</f>
        <v/>
      </c>
      <c r="D529" s="110">
        <f>IF($C529="","",$C529*AySayisi)</f>
        <v/>
      </c>
      <c r="E529" s="107" t="n"/>
    </row>
    <row r="530" ht="15" customHeight="1" s="62">
      <c r="A530" s="107" t="n"/>
      <c r="B530" s="107" t="n"/>
      <c r="C530" s="110">
        <f>IFERROR(IF(OR($A530="",$B530=""),"",INDEX(tblCalisan[Brüt Ücret (₺)],MATCH($A530,tblCalisan[Çalışan Adı],0))*IF($B530="5 Puan İndirimi",BesPuanOrani,IF($B530="İlave İstihdam",IlaveIstihdamOrani,IF($B530="Kadın/Genç",KadinGencOrani,IF($B530="Engelli",EngelliOrani,GencGirisimciOrani))))),"")</f>
        <v/>
      </c>
      <c r="D530" s="110">
        <f>IF($C530="","",$C530*AySayisi)</f>
        <v/>
      </c>
      <c r="E530" s="107" t="n"/>
    </row>
    <row r="531" ht="15" customHeight="1" s="62">
      <c r="A531" s="107" t="n"/>
      <c r="B531" s="107" t="n"/>
      <c r="C531" s="110">
        <f>IFERROR(IF(OR($A531="",$B531=""),"",INDEX(tblCalisan[Brüt Ücret (₺)],MATCH($A531,tblCalisan[Çalışan Adı],0))*IF($B531="5 Puan İndirimi",BesPuanOrani,IF($B531="İlave İstihdam",IlaveIstihdamOrani,IF($B531="Kadın/Genç",KadinGencOrani,IF($B531="Engelli",EngelliOrani,GencGirisimciOrani))))),"")</f>
        <v/>
      </c>
      <c r="D531" s="110">
        <f>IF($C531="","",$C531*AySayisi)</f>
        <v/>
      </c>
      <c r="E531" s="107" t="n"/>
    </row>
    <row r="532" ht="15" customHeight="1" s="62">
      <c r="A532" s="107" t="n"/>
      <c r="B532" s="107" t="n"/>
      <c r="C532" s="110">
        <f>IFERROR(IF(OR($A532="",$B532=""),"",INDEX(tblCalisan[Brüt Ücret (₺)],MATCH($A532,tblCalisan[Çalışan Adı],0))*IF($B532="5 Puan İndirimi",BesPuanOrani,IF($B532="İlave İstihdam",IlaveIstihdamOrani,IF($B532="Kadın/Genç",KadinGencOrani,IF($B532="Engelli",EngelliOrani,GencGirisimciOrani))))),"")</f>
        <v/>
      </c>
      <c r="D532" s="110">
        <f>IF($C532="","",$C532*AySayisi)</f>
        <v/>
      </c>
      <c r="E532" s="107" t="n"/>
    </row>
    <row r="533" ht="15" customHeight="1" s="62">
      <c r="A533" s="107" t="n"/>
      <c r="B533" s="107" t="n"/>
      <c r="C533" s="110">
        <f>IFERROR(IF(OR($A533="",$B533=""),"",INDEX(tblCalisan[Brüt Ücret (₺)],MATCH($A533,tblCalisan[Çalışan Adı],0))*IF($B533="5 Puan İndirimi",BesPuanOrani,IF($B533="İlave İstihdam",IlaveIstihdamOrani,IF($B533="Kadın/Genç",KadinGencOrani,IF($B533="Engelli",EngelliOrani,GencGirisimciOrani))))),"")</f>
        <v/>
      </c>
      <c r="D533" s="110">
        <f>IF($C533="","",$C533*AySayisi)</f>
        <v/>
      </c>
      <c r="E533" s="107" t="n"/>
    </row>
    <row r="534" ht="15" customHeight="1" s="62">
      <c r="A534" s="107" t="n"/>
      <c r="B534" s="107" t="n"/>
      <c r="C534" s="110">
        <f>IFERROR(IF(OR($A534="",$B534=""),"",INDEX(tblCalisan[Brüt Ücret (₺)],MATCH($A534,tblCalisan[Çalışan Adı],0))*IF($B534="5 Puan İndirimi",BesPuanOrani,IF($B534="İlave İstihdam",IlaveIstihdamOrani,IF($B534="Kadın/Genç",KadinGencOrani,IF($B534="Engelli",EngelliOrani,GencGirisimciOrani))))),"")</f>
        <v/>
      </c>
      <c r="D534" s="110">
        <f>IF($C534="","",$C534*AySayisi)</f>
        <v/>
      </c>
      <c r="E534" s="107" t="n"/>
    </row>
    <row r="535" ht="15" customHeight="1" s="62">
      <c r="A535" s="107" t="n"/>
      <c r="B535" s="107" t="n"/>
      <c r="C535" s="110">
        <f>IFERROR(IF(OR($A535="",$B535=""),"",INDEX(tblCalisan[Brüt Ücret (₺)],MATCH($A535,tblCalisan[Çalışan Adı],0))*IF($B535="5 Puan İndirimi",BesPuanOrani,IF($B535="İlave İstihdam",IlaveIstihdamOrani,IF($B535="Kadın/Genç",KadinGencOrani,IF($B535="Engelli",EngelliOrani,GencGirisimciOrani))))),"")</f>
        <v/>
      </c>
      <c r="D535" s="110">
        <f>IF($C535="","",$C535*AySayisi)</f>
        <v/>
      </c>
      <c r="E535" s="107" t="n"/>
    </row>
    <row r="536" ht="15" customHeight="1" s="62">
      <c r="A536" s="107" t="n"/>
      <c r="B536" s="107" t="n"/>
      <c r="C536" s="110">
        <f>IFERROR(IF(OR($A536="",$B536=""),"",INDEX(tblCalisan[Brüt Ücret (₺)],MATCH($A536,tblCalisan[Çalışan Adı],0))*IF($B536="5 Puan İndirimi",BesPuanOrani,IF($B536="İlave İstihdam",IlaveIstihdamOrani,IF($B536="Kadın/Genç",KadinGencOrani,IF($B536="Engelli",EngelliOrani,GencGirisimciOrani))))),"")</f>
        <v/>
      </c>
      <c r="D536" s="110">
        <f>IF($C536="","",$C536*AySayisi)</f>
        <v/>
      </c>
      <c r="E536" s="107" t="n"/>
    </row>
    <row r="537" ht="15" customHeight="1" s="62">
      <c r="A537" s="107" t="n"/>
      <c r="B537" s="107" t="n"/>
      <c r="C537" s="110">
        <f>IFERROR(IF(OR($A537="",$B537=""),"",INDEX(tblCalisan[Brüt Ücret (₺)],MATCH($A537,tblCalisan[Çalışan Adı],0))*IF($B537="5 Puan İndirimi",BesPuanOrani,IF($B537="İlave İstihdam",IlaveIstihdamOrani,IF($B537="Kadın/Genç",KadinGencOrani,IF($B537="Engelli",EngelliOrani,GencGirisimciOrani))))),"")</f>
        <v/>
      </c>
      <c r="D537" s="110">
        <f>IF($C537="","",$C537*AySayisi)</f>
        <v/>
      </c>
      <c r="E537" s="107" t="n"/>
    </row>
    <row r="538" ht="15" customHeight="1" s="62">
      <c r="A538" s="107" t="n"/>
      <c r="B538" s="107" t="n"/>
      <c r="C538" s="110">
        <f>IFERROR(IF(OR($A538="",$B538=""),"",INDEX(tblCalisan[Brüt Ücret (₺)],MATCH($A538,tblCalisan[Çalışan Adı],0))*IF($B538="5 Puan İndirimi",BesPuanOrani,IF($B538="İlave İstihdam",IlaveIstihdamOrani,IF($B538="Kadın/Genç",KadinGencOrani,IF($B538="Engelli",EngelliOrani,GencGirisimciOrani))))),"")</f>
        <v/>
      </c>
      <c r="D538" s="110">
        <f>IF($C538="","",$C538*AySayisi)</f>
        <v/>
      </c>
      <c r="E538" s="107" t="n"/>
    </row>
    <row r="539" ht="15" customHeight="1" s="62">
      <c r="A539" s="107" t="n"/>
      <c r="B539" s="107" t="n"/>
      <c r="C539" s="110">
        <f>IFERROR(IF(OR($A539="",$B539=""),"",INDEX(tblCalisan[Brüt Ücret (₺)],MATCH($A539,tblCalisan[Çalışan Adı],0))*IF($B539="5 Puan İndirimi",BesPuanOrani,IF($B539="İlave İstihdam",IlaveIstihdamOrani,IF($B539="Kadın/Genç",KadinGencOrani,IF($B539="Engelli",EngelliOrani,GencGirisimciOrani))))),"")</f>
        <v/>
      </c>
      <c r="D539" s="110">
        <f>IF($C539="","",$C539*AySayisi)</f>
        <v/>
      </c>
      <c r="E539" s="107" t="n"/>
    </row>
    <row r="540" ht="15" customHeight="1" s="62">
      <c r="A540" s="107" t="n"/>
      <c r="B540" s="107" t="n"/>
      <c r="C540" s="110">
        <f>IFERROR(IF(OR($A540="",$B540=""),"",INDEX(tblCalisan[Brüt Ücret (₺)],MATCH($A540,tblCalisan[Çalışan Adı],0))*IF($B540="5 Puan İndirimi",BesPuanOrani,IF($B540="İlave İstihdam",IlaveIstihdamOrani,IF($B540="Kadın/Genç",KadinGencOrani,IF($B540="Engelli",EngelliOrani,GencGirisimciOrani))))),"")</f>
        <v/>
      </c>
      <c r="D540" s="110">
        <f>IF($C540="","",$C540*AySayisi)</f>
        <v/>
      </c>
      <c r="E540" s="107" t="n"/>
    </row>
    <row r="541" ht="15" customHeight="1" s="62">
      <c r="A541" s="107" t="n"/>
      <c r="B541" s="107" t="n"/>
      <c r="C541" s="110">
        <f>IFERROR(IF(OR($A541="",$B541=""),"",INDEX(tblCalisan[Brüt Ücret (₺)],MATCH($A541,tblCalisan[Çalışan Adı],0))*IF($B541="5 Puan İndirimi",BesPuanOrani,IF($B541="İlave İstihdam",IlaveIstihdamOrani,IF($B541="Kadın/Genç",KadinGencOrani,IF($B541="Engelli",EngelliOrani,GencGirisimciOrani))))),"")</f>
        <v/>
      </c>
      <c r="D541" s="110">
        <f>IF($C541="","",$C541*AySayisi)</f>
        <v/>
      </c>
      <c r="E541" s="107" t="n"/>
    </row>
    <row r="542" ht="15" customHeight="1" s="62">
      <c r="A542" s="107" t="n"/>
      <c r="B542" s="107" t="n"/>
      <c r="C542" s="110">
        <f>IFERROR(IF(OR($A542="",$B542=""),"",INDEX(tblCalisan[Brüt Ücret (₺)],MATCH($A542,tblCalisan[Çalışan Adı],0))*IF($B542="5 Puan İndirimi",BesPuanOrani,IF($B542="İlave İstihdam",IlaveIstihdamOrani,IF($B542="Kadın/Genç",KadinGencOrani,IF($B542="Engelli",EngelliOrani,GencGirisimciOrani))))),"")</f>
        <v/>
      </c>
      <c r="D542" s="110">
        <f>IF($C542="","",$C542*AySayisi)</f>
        <v/>
      </c>
      <c r="E542" s="107" t="n"/>
    </row>
    <row r="543" ht="15" customHeight="1" s="62">
      <c r="A543" s="107" t="n"/>
      <c r="B543" s="107" t="n"/>
      <c r="C543" s="110">
        <f>IFERROR(IF(OR($A543="",$B543=""),"",INDEX(tblCalisan[Brüt Ücret (₺)],MATCH($A543,tblCalisan[Çalışan Adı],0))*IF($B543="5 Puan İndirimi",BesPuanOrani,IF($B543="İlave İstihdam",IlaveIstihdamOrani,IF($B543="Kadın/Genç",KadinGencOrani,IF($B543="Engelli",EngelliOrani,GencGirisimciOrani))))),"")</f>
        <v/>
      </c>
      <c r="D543" s="110">
        <f>IF($C543="","",$C543*AySayisi)</f>
        <v/>
      </c>
      <c r="E543" s="107" t="n"/>
    </row>
    <row r="544" ht="15" customHeight="1" s="62">
      <c r="A544" s="107" t="n"/>
      <c r="B544" s="107" t="n"/>
      <c r="C544" s="110">
        <f>IFERROR(IF(OR($A544="",$B544=""),"",INDEX(tblCalisan[Brüt Ücret (₺)],MATCH($A544,tblCalisan[Çalışan Adı],0))*IF($B544="5 Puan İndirimi",BesPuanOrani,IF($B544="İlave İstihdam",IlaveIstihdamOrani,IF($B544="Kadın/Genç",KadinGencOrani,IF($B544="Engelli",EngelliOrani,GencGirisimciOrani))))),"")</f>
        <v/>
      </c>
      <c r="D544" s="110">
        <f>IF($C544="","",$C544*AySayisi)</f>
        <v/>
      </c>
      <c r="E544" s="107" t="n"/>
    </row>
    <row r="545" ht="15" customHeight="1" s="62">
      <c r="A545" s="107" t="n"/>
      <c r="B545" s="107" t="n"/>
      <c r="C545" s="110">
        <f>IFERROR(IF(OR($A545="",$B545=""),"",INDEX(tblCalisan[Brüt Ücret (₺)],MATCH($A545,tblCalisan[Çalışan Adı],0))*IF($B545="5 Puan İndirimi",BesPuanOrani,IF($B545="İlave İstihdam",IlaveIstihdamOrani,IF($B545="Kadın/Genç",KadinGencOrani,IF($B545="Engelli",EngelliOrani,GencGirisimciOrani))))),"")</f>
        <v/>
      </c>
      <c r="D545" s="110">
        <f>IF($C545="","",$C545*AySayisi)</f>
        <v/>
      </c>
      <c r="E545" s="107" t="n"/>
    </row>
    <row r="546" ht="15" customHeight="1" s="62">
      <c r="A546" s="107" t="n"/>
      <c r="B546" s="107" t="n"/>
      <c r="C546" s="110">
        <f>IFERROR(IF(OR($A546="",$B546=""),"",INDEX(tblCalisan[Brüt Ücret (₺)],MATCH($A546,tblCalisan[Çalışan Adı],0))*IF($B546="5 Puan İndirimi",BesPuanOrani,IF($B546="İlave İstihdam",IlaveIstihdamOrani,IF($B546="Kadın/Genç",KadinGencOrani,IF($B546="Engelli",EngelliOrani,GencGirisimciOrani))))),"")</f>
        <v/>
      </c>
      <c r="D546" s="110">
        <f>IF($C546="","",$C546*AySayisi)</f>
        <v/>
      </c>
      <c r="E546" s="107" t="n"/>
    </row>
    <row r="547" ht="15" customHeight="1" s="62">
      <c r="A547" s="107" t="n"/>
      <c r="B547" s="107" t="n"/>
      <c r="C547" s="110">
        <f>IFERROR(IF(OR($A547="",$B547=""),"",INDEX(tblCalisan[Brüt Ücret (₺)],MATCH($A547,tblCalisan[Çalışan Adı],0))*IF($B547="5 Puan İndirimi",BesPuanOrani,IF($B547="İlave İstihdam",IlaveIstihdamOrani,IF($B547="Kadın/Genç",KadinGencOrani,IF($B547="Engelli",EngelliOrani,GencGirisimciOrani))))),"")</f>
        <v/>
      </c>
      <c r="D547" s="110">
        <f>IF($C547="","",$C547*AySayisi)</f>
        <v/>
      </c>
      <c r="E547" s="107" t="n"/>
    </row>
    <row r="548" ht="15" customHeight="1" s="62">
      <c r="A548" s="107" t="n"/>
      <c r="B548" s="107" t="n"/>
      <c r="C548" s="110">
        <f>IFERROR(IF(OR($A548="",$B548=""),"",INDEX(tblCalisan[Brüt Ücret (₺)],MATCH($A548,tblCalisan[Çalışan Adı],0))*IF($B548="5 Puan İndirimi",BesPuanOrani,IF($B548="İlave İstihdam",IlaveIstihdamOrani,IF($B548="Kadın/Genç",KadinGencOrani,IF($B548="Engelli",EngelliOrani,GencGirisimciOrani))))),"")</f>
        <v/>
      </c>
      <c r="D548" s="110">
        <f>IF($C548="","",$C548*AySayisi)</f>
        <v/>
      </c>
      <c r="E548" s="107" t="n"/>
    </row>
    <row r="549" ht="15" customHeight="1" s="62">
      <c r="A549" s="107" t="n"/>
      <c r="B549" s="107" t="n"/>
      <c r="C549" s="110">
        <f>IFERROR(IF(OR($A549="",$B549=""),"",INDEX(tblCalisan[Brüt Ücret (₺)],MATCH($A549,tblCalisan[Çalışan Adı],0))*IF($B549="5 Puan İndirimi",BesPuanOrani,IF($B549="İlave İstihdam",IlaveIstihdamOrani,IF($B549="Kadın/Genç",KadinGencOrani,IF($B549="Engelli",EngelliOrani,GencGirisimciOrani))))),"")</f>
        <v/>
      </c>
      <c r="D549" s="110">
        <f>IF($C549="","",$C549*AySayisi)</f>
        <v/>
      </c>
      <c r="E549" s="107" t="n"/>
    </row>
    <row r="550" ht="15" customHeight="1" s="62">
      <c r="A550" s="107" t="n"/>
      <c r="B550" s="107" t="n"/>
      <c r="C550" s="110">
        <f>IFERROR(IF(OR($A550="",$B550=""),"",INDEX(tblCalisan[Brüt Ücret (₺)],MATCH($A550,tblCalisan[Çalışan Adı],0))*IF($B550="5 Puan İndirimi",BesPuanOrani,IF($B550="İlave İstihdam",IlaveIstihdamOrani,IF($B550="Kadın/Genç",KadinGencOrani,IF($B550="Engelli",EngelliOrani,GencGirisimciOrani))))),"")</f>
        <v/>
      </c>
      <c r="D550" s="110">
        <f>IF($C550="","",$C550*AySayisi)</f>
        <v/>
      </c>
      <c r="E550" s="107" t="n"/>
    </row>
    <row r="551" ht="15" customHeight="1" s="62">
      <c r="A551" s="107" t="n"/>
      <c r="B551" s="107" t="n"/>
      <c r="C551" s="110">
        <f>IFERROR(IF(OR($A551="",$B551=""),"",INDEX(tblCalisan[Brüt Ücret (₺)],MATCH($A551,tblCalisan[Çalışan Adı],0))*IF($B551="5 Puan İndirimi",BesPuanOrani,IF($B551="İlave İstihdam",IlaveIstihdamOrani,IF($B551="Kadın/Genç",KadinGencOrani,IF($B551="Engelli",EngelliOrani,GencGirisimciOrani))))),"")</f>
        <v/>
      </c>
      <c r="D551" s="110">
        <f>IF($C551="","",$C551*AySayisi)</f>
        <v/>
      </c>
      <c r="E551" s="107" t="n"/>
    </row>
    <row r="552" ht="15" customHeight="1" s="62">
      <c r="A552" s="107" t="n"/>
      <c r="B552" s="107" t="n"/>
      <c r="C552" s="110">
        <f>IFERROR(IF(OR($A552="",$B552=""),"",INDEX(tblCalisan[Brüt Ücret (₺)],MATCH($A552,tblCalisan[Çalışan Adı],0))*IF($B552="5 Puan İndirimi",BesPuanOrani,IF($B552="İlave İstihdam",IlaveIstihdamOrani,IF($B552="Kadın/Genç",KadinGencOrani,IF($B552="Engelli",EngelliOrani,GencGirisimciOrani))))),"")</f>
        <v/>
      </c>
      <c r="D552" s="110">
        <f>IF($C552="","",$C552*AySayisi)</f>
        <v/>
      </c>
      <c r="E552" s="107" t="n"/>
    </row>
    <row r="553" ht="15" customHeight="1" s="62">
      <c r="A553" s="107" t="n"/>
      <c r="B553" s="107" t="n"/>
      <c r="C553" s="110">
        <f>IFERROR(IF(OR($A553="",$B553=""),"",INDEX(tblCalisan[Brüt Ücret (₺)],MATCH($A553,tblCalisan[Çalışan Adı],0))*IF($B553="5 Puan İndirimi",BesPuanOrani,IF($B553="İlave İstihdam",IlaveIstihdamOrani,IF($B553="Kadın/Genç",KadinGencOrani,IF($B553="Engelli",EngelliOrani,GencGirisimciOrani))))),"")</f>
        <v/>
      </c>
      <c r="D553" s="110">
        <f>IF($C553="","",$C553*AySayisi)</f>
        <v/>
      </c>
      <c r="E553" s="107" t="n"/>
    </row>
    <row r="554" ht="15" customHeight="1" s="62">
      <c r="A554" s="107" t="n"/>
      <c r="B554" s="107" t="n"/>
      <c r="C554" s="110">
        <f>IFERROR(IF(OR($A554="",$B554=""),"",INDEX(tblCalisan[Brüt Ücret (₺)],MATCH($A554,tblCalisan[Çalışan Adı],0))*IF($B554="5 Puan İndirimi",BesPuanOrani,IF($B554="İlave İstihdam",IlaveIstihdamOrani,IF($B554="Kadın/Genç",KadinGencOrani,IF($B554="Engelli",EngelliOrani,GencGirisimciOrani))))),"")</f>
        <v/>
      </c>
      <c r="D554" s="110">
        <f>IF($C554="","",$C554*AySayisi)</f>
        <v/>
      </c>
      <c r="E554" s="107" t="n"/>
    </row>
    <row r="555" ht="15" customHeight="1" s="62">
      <c r="A555" s="107" t="n"/>
      <c r="B555" s="107" t="n"/>
      <c r="C555" s="110">
        <f>IFERROR(IF(OR($A555="",$B555=""),"",INDEX(tblCalisan[Brüt Ücret (₺)],MATCH($A555,tblCalisan[Çalışan Adı],0))*IF($B555="5 Puan İndirimi",BesPuanOrani,IF($B555="İlave İstihdam",IlaveIstihdamOrani,IF($B555="Kadın/Genç",KadinGencOrani,IF($B555="Engelli",EngelliOrani,GencGirisimciOrani))))),"")</f>
        <v/>
      </c>
      <c r="D555" s="110">
        <f>IF($C555="","",$C555*AySayisi)</f>
        <v/>
      </c>
      <c r="E555" s="107" t="n"/>
    </row>
    <row r="556" ht="15" customHeight="1" s="62">
      <c r="A556" s="107" t="n"/>
      <c r="B556" s="107" t="n"/>
      <c r="C556" s="110">
        <f>IFERROR(IF(OR($A556="",$B556=""),"",INDEX(tblCalisan[Brüt Ücret (₺)],MATCH($A556,tblCalisan[Çalışan Adı],0))*IF($B556="5 Puan İndirimi",BesPuanOrani,IF($B556="İlave İstihdam",IlaveIstihdamOrani,IF($B556="Kadın/Genç",KadinGencOrani,IF($B556="Engelli",EngelliOrani,GencGirisimciOrani))))),"")</f>
        <v/>
      </c>
      <c r="D556" s="110">
        <f>IF($C556="","",$C556*AySayisi)</f>
        <v/>
      </c>
      <c r="E556" s="107" t="n"/>
    </row>
    <row r="557" ht="15" customHeight="1" s="62">
      <c r="A557" s="107" t="n"/>
      <c r="B557" s="107" t="n"/>
      <c r="C557" s="110">
        <f>IFERROR(IF(OR($A557="",$B557=""),"",INDEX(tblCalisan[Brüt Ücret (₺)],MATCH($A557,tblCalisan[Çalışan Adı],0))*IF($B557="5 Puan İndirimi",BesPuanOrani,IF($B557="İlave İstihdam",IlaveIstihdamOrani,IF($B557="Kadın/Genç",KadinGencOrani,IF($B557="Engelli",EngelliOrani,GencGirisimciOrani))))),"")</f>
        <v/>
      </c>
      <c r="D557" s="110">
        <f>IF($C557="","",$C557*AySayisi)</f>
        <v/>
      </c>
      <c r="E557" s="107" t="n"/>
    </row>
    <row r="558" ht="15" customHeight="1" s="62">
      <c r="A558" s="107" t="n"/>
      <c r="B558" s="107" t="n"/>
      <c r="C558" s="110">
        <f>IFERROR(IF(OR($A558="",$B558=""),"",INDEX(tblCalisan[Brüt Ücret (₺)],MATCH($A558,tblCalisan[Çalışan Adı],0))*IF($B558="5 Puan İndirimi",BesPuanOrani,IF($B558="İlave İstihdam",IlaveIstihdamOrani,IF($B558="Kadın/Genç",KadinGencOrani,IF($B558="Engelli",EngelliOrani,GencGirisimciOrani))))),"")</f>
        <v/>
      </c>
      <c r="D558" s="110">
        <f>IF($C558="","",$C558*AySayisi)</f>
        <v/>
      </c>
      <c r="E558" s="107" t="n"/>
    </row>
    <row r="559" ht="15" customHeight="1" s="62">
      <c r="A559" s="107" t="n"/>
      <c r="B559" s="107" t="n"/>
      <c r="C559" s="110">
        <f>IFERROR(IF(OR($A559="",$B559=""),"",INDEX(tblCalisan[Brüt Ücret (₺)],MATCH($A559,tblCalisan[Çalışan Adı],0))*IF($B559="5 Puan İndirimi",BesPuanOrani,IF($B559="İlave İstihdam",IlaveIstihdamOrani,IF($B559="Kadın/Genç",KadinGencOrani,IF($B559="Engelli",EngelliOrani,GencGirisimciOrani))))),"")</f>
        <v/>
      </c>
      <c r="D559" s="110">
        <f>IF($C559="","",$C559*AySayisi)</f>
        <v/>
      </c>
      <c r="E559" s="107" t="n"/>
    </row>
    <row r="560" ht="15" customHeight="1" s="62">
      <c r="A560" s="107" t="n"/>
      <c r="B560" s="107" t="n"/>
      <c r="C560" s="110">
        <f>IFERROR(IF(OR($A560="",$B560=""),"",INDEX(tblCalisan[Brüt Ücret (₺)],MATCH($A560,tblCalisan[Çalışan Adı],0))*IF($B560="5 Puan İndirimi",BesPuanOrani,IF($B560="İlave İstihdam",IlaveIstihdamOrani,IF($B560="Kadın/Genç",KadinGencOrani,IF($B560="Engelli",EngelliOrani,GencGirisimciOrani))))),"")</f>
        <v/>
      </c>
      <c r="D560" s="110">
        <f>IF($C560="","",$C560*AySayisi)</f>
        <v/>
      </c>
      <c r="E560" s="107" t="n"/>
    </row>
    <row r="561" ht="15" customHeight="1" s="62">
      <c r="A561" s="107" t="n"/>
      <c r="B561" s="107" t="n"/>
      <c r="C561" s="110">
        <f>IFERROR(IF(OR($A561="",$B561=""),"",INDEX(tblCalisan[Brüt Ücret (₺)],MATCH($A561,tblCalisan[Çalışan Adı],0))*IF($B561="5 Puan İndirimi",BesPuanOrani,IF($B561="İlave İstihdam",IlaveIstihdamOrani,IF($B561="Kadın/Genç",KadinGencOrani,IF($B561="Engelli",EngelliOrani,GencGirisimciOrani))))),"")</f>
        <v/>
      </c>
      <c r="D561" s="110">
        <f>IF($C561="","",$C561*AySayisi)</f>
        <v/>
      </c>
      <c r="E561" s="107" t="n"/>
    </row>
    <row r="562" ht="15" customHeight="1" s="62">
      <c r="A562" s="107" t="n"/>
      <c r="B562" s="107" t="n"/>
      <c r="C562" s="110">
        <f>IFERROR(IF(OR($A562="",$B562=""),"",INDEX(tblCalisan[Brüt Ücret (₺)],MATCH($A562,tblCalisan[Çalışan Adı],0))*IF($B562="5 Puan İndirimi",BesPuanOrani,IF($B562="İlave İstihdam",IlaveIstihdamOrani,IF($B562="Kadın/Genç",KadinGencOrani,IF($B562="Engelli",EngelliOrani,GencGirisimciOrani))))),"")</f>
        <v/>
      </c>
      <c r="D562" s="110">
        <f>IF($C562="","",$C562*AySayisi)</f>
        <v/>
      </c>
      <c r="E562" s="107" t="n"/>
    </row>
    <row r="563" ht="15" customHeight="1" s="62">
      <c r="A563" s="107" t="n"/>
      <c r="B563" s="107" t="n"/>
      <c r="C563" s="110">
        <f>IFERROR(IF(OR($A563="",$B563=""),"",INDEX(tblCalisan[Brüt Ücret (₺)],MATCH($A563,tblCalisan[Çalışan Adı],0))*IF($B563="5 Puan İndirimi",BesPuanOrani,IF($B563="İlave İstihdam",IlaveIstihdamOrani,IF($B563="Kadın/Genç",KadinGencOrani,IF($B563="Engelli",EngelliOrani,GencGirisimciOrani))))),"")</f>
        <v/>
      </c>
      <c r="D563" s="110">
        <f>IF($C563="","",$C563*AySayisi)</f>
        <v/>
      </c>
      <c r="E563" s="107" t="n"/>
    </row>
    <row r="564" ht="15" customHeight="1" s="62">
      <c r="A564" s="107" t="n"/>
      <c r="B564" s="107" t="n"/>
      <c r="C564" s="110">
        <f>IFERROR(IF(OR($A564="",$B564=""),"",INDEX(tblCalisan[Brüt Ücret (₺)],MATCH($A564,tblCalisan[Çalışan Adı],0))*IF($B564="5 Puan İndirimi",BesPuanOrani,IF($B564="İlave İstihdam",IlaveIstihdamOrani,IF($B564="Kadın/Genç",KadinGencOrani,IF($B564="Engelli",EngelliOrani,GencGirisimciOrani))))),"")</f>
        <v/>
      </c>
      <c r="D564" s="110">
        <f>IF($C564="","",$C564*AySayisi)</f>
        <v/>
      </c>
      <c r="E564" s="107" t="n"/>
    </row>
    <row r="565" ht="15" customHeight="1" s="62">
      <c r="A565" s="107" t="n"/>
      <c r="B565" s="107" t="n"/>
      <c r="C565" s="110">
        <f>IFERROR(IF(OR($A565="",$B565=""),"",INDEX(tblCalisan[Brüt Ücret (₺)],MATCH($A565,tblCalisan[Çalışan Adı],0))*IF($B565="5 Puan İndirimi",BesPuanOrani,IF($B565="İlave İstihdam",IlaveIstihdamOrani,IF($B565="Kadın/Genç",KadinGencOrani,IF($B565="Engelli",EngelliOrani,GencGirisimciOrani))))),"")</f>
        <v/>
      </c>
      <c r="D565" s="110">
        <f>IF($C565="","",$C565*AySayisi)</f>
        <v/>
      </c>
      <c r="E565" s="107" t="n"/>
    </row>
    <row r="566" ht="15" customHeight="1" s="62">
      <c r="A566" s="107" t="n"/>
      <c r="B566" s="107" t="n"/>
      <c r="C566" s="110">
        <f>IFERROR(IF(OR($A566="",$B566=""),"",INDEX(tblCalisan[Brüt Ücret (₺)],MATCH($A566,tblCalisan[Çalışan Adı],0))*IF($B566="5 Puan İndirimi",BesPuanOrani,IF($B566="İlave İstihdam",IlaveIstihdamOrani,IF($B566="Kadın/Genç",KadinGencOrani,IF($B566="Engelli",EngelliOrani,GencGirisimciOrani))))),"")</f>
        <v/>
      </c>
      <c r="D566" s="110">
        <f>IF($C566="","",$C566*AySayisi)</f>
        <v/>
      </c>
      <c r="E566" s="107" t="n"/>
    </row>
    <row r="567" ht="15" customHeight="1" s="62">
      <c r="A567" s="107" t="n"/>
      <c r="B567" s="107" t="n"/>
      <c r="C567" s="110">
        <f>IFERROR(IF(OR($A567="",$B567=""),"",INDEX(tblCalisan[Brüt Ücret (₺)],MATCH($A567,tblCalisan[Çalışan Adı],0))*IF($B567="5 Puan İndirimi",BesPuanOrani,IF($B567="İlave İstihdam",IlaveIstihdamOrani,IF($B567="Kadın/Genç",KadinGencOrani,IF($B567="Engelli",EngelliOrani,GencGirisimciOrani))))),"")</f>
        <v/>
      </c>
      <c r="D567" s="110">
        <f>IF($C567="","",$C567*AySayisi)</f>
        <v/>
      </c>
      <c r="E567" s="107" t="n"/>
    </row>
    <row r="568" ht="15" customHeight="1" s="62">
      <c r="A568" s="107" t="n"/>
      <c r="B568" s="107" t="n"/>
      <c r="C568" s="110">
        <f>IFERROR(IF(OR($A568="",$B568=""),"",INDEX(tblCalisan[Brüt Ücret (₺)],MATCH($A568,tblCalisan[Çalışan Adı],0))*IF($B568="5 Puan İndirimi",BesPuanOrani,IF($B568="İlave İstihdam",IlaveIstihdamOrani,IF($B568="Kadın/Genç",KadinGencOrani,IF($B568="Engelli",EngelliOrani,GencGirisimciOrani))))),"")</f>
        <v/>
      </c>
      <c r="D568" s="110">
        <f>IF($C568="","",$C568*AySayisi)</f>
        <v/>
      </c>
      <c r="E568" s="107" t="n"/>
    </row>
    <row r="569" ht="15" customHeight="1" s="62">
      <c r="A569" s="107" t="n"/>
      <c r="B569" s="107" t="n"/>
      <c r="C569" s="110">
        <f>IFERROR(IF(OR($A569="",$B569=""),"",INDEX(tblCalisan[Brüt Ücret (₺)],MATCH($A569,tblCalisan[Çalışan Adı],0))*IF($B569="5 Puan İndirimi",BesPuanOrani,IF($B569="İlave İstihdam",IlaveIstihdamOrani,IF($B569="Kadın/Genç",KadinGencOrani,IF($B569="Engelli",EngelliOrani,GencGirisimciOrani))))),"")</f>
        <v/>
      </c>
      <c r="D569" s="110">
        <f>IF($C569="","",$C569*AySayisi)</f>
        <v/>
      </c>
      <c r="E569" s="107" t="n"/>
    </row>
    <row r="570" ht="15" customHeight="1" s="62">
      <c r="A570" s="107" t="n"/>
      <c r="B570" s="107" t="n"/>
      <c r="C570" s="110">
        <f>IFERROR(IF(OR($A570="",$B570=""),"",INDEX(tblCalisan[Brüt Ücret (₺)],MATCH($A570,tblCalisan[Çalışan Adı],0))*IF($B570="5 Puan İndirimi",BesPuanOrani,IF($B570="İlave İstihdam",IlaveIstihdamOrani,IF($B570="Kadın/Genç",KadinGencOrani,IF($B570="Engelli",EngelliOrani,GencGirisimciOrani))))),"")</f>
        <v/>
      </c>
      <c r="D570" s="110">
        <f>IF($C570="","",$C570*AySayisi)</f>
        <v/>
      </c>
      <c r="E570" s="107" t="n"/>
    </row>
    <row r="571" ht="15" customHeight="1" s="62">
      <c r="A571" s="107" t="n"/>
      <c r="B571" s="107" t="n"/>
      <c r="C571" s="110">
        <f>IFERROR(IF(OR($A571="",$B571=""),"",INDEX(tblCalisan[Brüt Ücret (₺)],MATCH($A571,tblCalisan[Çalışan Adı],0))*IF($B571="5 Puan İndirimi",BesPuanOrani,IF($B571="İlave İstihdam",IlaveIstihdamOrani,IF($B571="Kadın/Genç",KadinGencOrani,IF($B571="Engelli",EngelliOrani,GencGirisimciOrani))))),"")</f>
        <v/>
      </c>
      <c r="D571" s="110">
        <f>IF($C571="","",$C571*AySayisi)</f>
        <v/>
      </c>
      <c r="E571" s="107" t="n"/>
    </row>
    <row r="572" ht="15" customHeight="1" s="62">
      <c r="A572" s="107" t="n"/>
      <c r="B572" s="107" t="n"/>
      <c r="C572" s="110">
        <f>IFERROR(IF(OR($A572="",$B572=""),"",INDEX(tblCalisan[Brüt Ücret (₺)],MATCH($A572,tblCalisan[Çalışan Adı],0))*IF($B572="5 Puan İndirimi",BesPuanOrani,IF($B572="İlave İstihdam",IlaveIstihdamOrani,IF($B572="Kadın/Genç",KadinGencOrani,IF($B572="Engelli",EngelliOrani,GencGirisimciOrani))))),"")</f>
        <v/>
      </c>
      <c r="D572" s="110">
        <f>IF($C572="","",$C572*AySayisi)</f>
        <v/>
      </c>
      <c r="E572" s="107" t="n"/>
    </row>
    <row r="573" ht="15" customHeight="1" s="62">
      <c r="A573" s="107" t="n"/>
      <c r="B573" s="107" t="n"/>
      <c r="C573" s="110">
        <f>IFERROR(IF(OR($A573="",$B573=""),"",INDEX(tblCalisan[Brüt Ücret (₺)],MATCH($A573,tblCalisan[Çalışan Adı],0))*IF($B573="5 Puan İndirimi",BesPuanOrani,IF($B573="İlave İstihdam",IlaveIstihdamOrani,IF($B573="Kadın/Genç",KadinGencOrani,IF($B573="Engelli",EngelliOrani,GencGirisimciOrani))))),"")</f>
        <v/>
      </c>
      <c r="D573" s="110">
        <f>IF($C573="","",$C573*AySayisi)</f>
        <v/>
      </c>
      <c r="E573" s="107" t="n"/>
    </row>
    <row r="574" ht="15" customHeight="1" s="62">
      <c r="A574" s="107" t="n"/>
      <c r="B574" s="107" t="n"/>
      <c r="C574" s="110">
        <f>IFERROR(IF(OR($A574="",$B574=""),"",INDEX(tblCalisan[Brüt Ücret (₺)],MATCH($A574,tblCalisan[Çalışan Adı],0))*IF($B574="5 Puan İndirimi",BesPuanOrani,IF($B574="İlave İstihdam",IlaveIstihdamOrani,IF($B574="Kadın/Genç",KadinGencOrani,IF($B574="Engelli",EngelliOrani,GencGirisimciOrani))))),"")</f>
        <v/>
      </c>
      <c r="D574" s="110">
        <f>IF($C574="","",$C574*AySayisi)</f>
        <v/>
      </c>
      <c r="E574" s="107" t="n"/>
    </row>
    <row r="575" ht="15" customHeight="1" s="62">
      <c r="A575" s="107" t="n"/>
      <c r="B575" s="107" t="n"/>
      <c r="C575" s="110">
        <f>IFERROR(IF(OR($A575="",$B575=""),"",INDEX(tblCalisan[Brüt Ücret (₺)],MATCH($A575,tblCalisan[Çalışan Adı],0))*IF($B575="5 Puan İndirimi",BesPuanOrani,IF($B575="İlave İstihdam",IlaveIstihdamOrani,IF($B575="Kadın/Genç",KadinGencOrani,IF($B575="Engelli",EngelliOrani,GencGirisimciOrani))))),"")</f>
        <v/>
      </c>
      <c r="D575" s="110">
        <f>IF($C575="","",$C575*AySayisi)</f>
        <v/>
      </c>
      <c r="E575" s="107" t="n"/>
    </row>
    <row r="576" ht="15" customHeight="1" s="62">
      <c r="A576" s="107" t="n"/>
      <c r="B576" s="107" t="n"/>
      <c r="C576" s="110">
        <f>IFERROR(IF(OR($A576="",$B576=""),"",INDEX(tblCalisan[Brüt Ücret (₺)],MATCH($A576,tblCalisan[Çalışan Adı],0))*IF($B576="5 Puan İndirimi",BesPuanOrani,IF($B576="İlave İstihdam",IlaveIstihdamOrani,IF($B576="Kadın/Genç",KadinGencOrani,IF($B576="Engelli",EngelliOrani,GencGirisimciOrani))))),"")</f>
        <v/>
      </c>
      <c r="D576" s="110">
        <f>IF($C576="","",$C576*AySayisi)</f>
        <v/>
      </c>
      <c r="E576" s="107" t="n"/>
    </row>
    <row r="577" ht="15" customHeight="1" s="62">
      <c r="A577" s="107" t="n"/>
      <c r="B577" s="107" t="n"/>
      <c r="C577" s="110">
        <f>IFERROR(IF(OR($A577="",$B577=""),"",INDEX(tblCalisan[Brüt Ücret (₺)],MATCH($A577,tblCalisan[Çalışan Adı],0))*IF($B577="5 Puan İndirimi",BesPuanOrani,IF($B577="İlave İstihdam",IlaveIstihdamOrani,IF($B577="Kadın/Genç",KadinGencOrani,IF($B577="Engelli",EngelliOrani,GencGirisimciOrani))))),"")</f>
        <v/>
      </c>
      <c r="D577" s="110">
        <f>IF($C577="","",$C577*AySayisi)</f>
        <v/>
      </c>
      <c r="E577" s="107" t="n"/>
    </row>
    <row r="578" ht="15" customHeight="1" s="62">
      <c r="A578" s="107" t="n"/>
      <c r="B578" s="107" t="n"/>
      <c r="C578" s="110">
        <f>IFERROR(IF(OR($A578="",$B578=""),"",INDEX(tblCalisan[Brüt Ücret (₺)],MATCH($A578,tblCalisan[Çalışan Adı],0))*IF($B578="5 Puan İndirimi",BesPuanOrani,IF($B578="İlave İstihdam",IlaveIstihdamOrani,IF($B578="Kadın/Genç",KadinGencOrani,IF($B578="Engelli",EngelliOrani,GencGirisimciOrani))))),"")</f>
        <v/>
      </c>
      <c r="D578" s="110">
        <f>IF($C578="","",$C578*AySayisi)</f>
        <v/>
      </c>
      <c r="E578" s="107" t="n"/>
    </row>
    <row r="579" ht="15" customHeight="1" s="62">
      <c r="A579" s="107" t="n"/>
      <c r="B579" s="107" t="n"/>
      <c r="C579" s="110">
        <f>IFERROR(IF(OR($A579="",$B579=""),"",INDEX(tblCalisan[Brüt Ücret (₺)],MATCH($A579,tblCalisan[Çalışan Adı],0))*IF($B579="5 Puan İndirimi",BesPuanOrani,IF($B579="İlave İstihdam",IlaveIstihdamOrani,IF($B579="Kadın/Genç",KadinGencOrani,IF($B579="Engelli",EngelliOrani,GencGirisimciOrani))))),"")</f>
        <v/>
      </c>
      <c r="D579" s="110">
        <f>IF($C579="","",$C579*AySayisi)</f>
        <v/>
      </c>
      <c r="E579" s="107" t="n"/>
    </row>
    <row r="580" ht="15" customHeight="1" s="62">
      <c r="A580" s="107" t="n"/>
      <c r="B580" s="107" t="n"/>
      <c r="C580" s="110">
        <f>IFERROR(IF(OR($A580="",$B580=""),"",INDEX(tblCalisan[Brüt Ücret (₺)],MATCH($A580,tblCalisan[Çalışan Adı],0))*IF($B580="5 Puan İndirimi",BesPuanOrani,IF($B580="İlave İstihdam",IlaveIstihdamOrani,IF($B580="Kadın/Genç",KadinGencOrani,IF($B580="Engelli",EngelliOrani,GencGirisimciOrani))))),"")</f>
        <v/>
      </c>
      <c r="D580" s="110">
        <f>IF($C580="","",$C580*AySayisi)</f>
        <v/>
      </c>
      <c r="E580" s="107" t="n"/>
    </row>
    <row r="581" ht="15" customHeight="1" s="62">
      <c r="A581" s="107" t="n"/>
      <c r="B581" s="107" t="n"/>
      <c r="C581" s="110">
        <f>IFERROR(IF(OR($A581="",$B581=""),"",INDEX(tblCalisan[Brüt Ücret (₺)],MATCH($A581,tblCalisan[Çalışan Adı],0))*IF($B581="5 Puan İndirimi",BesPuanOrani,IF($B581="İlave İstihdam",IlaveIstihdamOrani,IF($B581="Kadın/Genç",KadinGencOrani,IF($B581="Engelli",EngelliOrani,GencGirisimciOrani))))),"")</f>
        <v/>
      </c>
      <c r="D581" s="110">
        <f>IF($C581="","",$C581*AySayisi)</f>
        <v/>
      </c>
      <c r="E581" s="107" t="n"/>
    </row>
    <row r="582" ht="15" customHeight="1" s="62">
      <c r="A582" s="107" t="n"/>
      <c r="B582" s="107" t="n"/>
      <c r="C582" s="110">
        <f>IFERROR(IF(OR($A582="",$B582=""),"",INDEX(tblCalisan[Brüt Ücret (₺)],MATCH($A582,tblCalisan[Çalışan Adı],0))*IF($B582="5 Puan İndirimi",BesPuanOrani,IF($B582="İlave İstihdam",IlaveIstihdamOrani,IF($B582="Kadın/Genç",KadinGencOrani,IF($B582="Engelli",EngelliOrani,GencGirisimciOrani))))),"")</f>
        <v/>
      </c>
      <c r="D582" s="110">
        <f>IF($C582="","",$C582*AySayisi)</f>
        <v/>
      </c>
      <c r="E582" s="107" t="n"/>
    </row>
    <row r="583" ht="15" customHeight="1" s="62">
      <c r="A583" s="107" t="n"/>
      <c r="B583" s="107" t="n"/>
      <c r="C583" s="110">
        <f>IFERROR(IF(OR($A583="",$B583=""),"",INDEX(tblCalisan[Brüt Ücret (₺)],MATCH($A583,tblCalisan[Çalışan Adı],0))*IF($B583="5 Puan İndirimi",BesPuanOrani,IF($B583="İlave İstihdam",IlaveIstihdamOrani,IF($B583="Kadın/Genç",KadinGencOrani,IF($B583="Engelli",EngelliOrani,GencGirisimciOrani))))),"")</f>
        <v/>
      </c>
      <c r="D583" s="110">
        <f>IF($C583="","",$C583*AySayisi)</f>
        <v/>
      </c>
      <c r="E583" s="107" t="n"/>
    </row>
    <row r="584" ht="15" customHeight="1" s="62">
      <c r="A584" s="107" t="n"/>
      <c r="B584" s="107" t="n"/>
      <c r="C584" s="110">
        <f>IFERROR(IF(OR($A584="",$B584=""),"",INDEX(tblCalisan[Brüt Ücret (₺)],MATCH($A584,tblCalisan[Çalışan Adı],0))*IF($B584="5 Puan İndirimi",BesPuanOrani,IF($B584="İlave İstihdam",IlaveIstihdamOrani,IF($B584="Kadın/Genç",KadinGencOrani,IF($B584="Engelli",EngelliOrani,GencGirisimciOrani))))),"")</f>
        <v/>
      </c>
      <c r="D584" s="110">
        <f>IF($C584="","",$C584*AySayisi)</f>
        <v/>
      </c>
      <c r="E584" s="107" t="n"/>
    </row>
    <row r="585" ht="15" customHeight="1" s="62">
      <c r="A585" s="107" t="n"/>
      <c r="B585" s="107" t="n"/>
      <c r="C585" s="110">
        <f>IFERROR(IF(OR($A585="",$B585=""),"",INDEX(tblCalisan[Brüt Ücret (₺)],MATCH($A585,tblCalisan[Çalışan Adı],0))*IF($B585="5 Puan İndirimi",BesPuanOrani,IF($B585="İlave İstihdam",IlaveIstihdamOrani,IF($B585="Kadın/Genç",KadinGencOrani,IF($B585="Engelli",EngelliOrani,GencGirisimciOrani))))),"")</f>
        <v/>
      </c>
      <c r="D585" s="110">
        <f>IF($C585="","",$C585*AySayisi)</f>
        <v/>
      </c>
      <c r="E585" s="107" t="n"/>
    </row>
    <row r="586" ht="15" customHeight="1" s="62">
      <c r="A586" s="107" t="n"/>
      <c r="B586" s="107" t="n"/>
      <c r="C586" s="110">
        <f>IFERROR(IF(OR($A586="",$B586=""),"",INDEX(tblCalisan[Brüt Ücret (₺)],MATCH($A586,tblCalisan[Çalışan Adı],0))*IF($B586="5 Puan İndirimi",BesPuanOrani,IF($B586="İlave İstihdam",IlaveIstihdamOrani,IF($B586="Kadın/Genç",KadinGencOrani,IF($B586="Engelli",EngelliOrani,GencGirisimciOrani))))),"")</f>
        <v/>
      </c>
      <c r="D586" s="110">
        <f>IF($C586="","",$C586*AySayisi)</f>
        <v/>
      </c>
      <c r="E586" s="107" t="n"/>
    </row>
    <row r="587" ht="15" customHeight="1" s="62">
      <c r="A587" s="107" t="n"/>
      <c r="B587" s="107" t="n"/>
      <c r="C587" s="110">
        <f>IFERROR(IF(OR($A587="",$B587=""),"",INDEX(tblCalisan[Brüt Ücret (₺)],MATCH($A587,tblCalisan[Çalışan Adı],0))*IF($B587="5 Puan İndirimi",BesPuanOrani,IF($B587="İlave İstihdam",IlaveIstihdamOrani,IF($B587="Kadın/Genç",KadinGencOrani,IF($B587="Engelli",EngelliOrani,GencGirisimciOrani))))),"")</f>
        <v/>
      </c>
      <c r="D587" s="110">
        <f>IF($C587="","",$C587*AySayisi)</f>
        <v/>
      </c>
      <c r="E587" s="107" t="n"/>
    </row>
    <row r="588" ht="15" customHeight="1" s="62">
      <c r="A588" s="107" t="n"/>
      <c r="B588" s="107" t="n"/>
      <c r="C588" s="110">
        <f>IFERROR(IF(OR($A588="",$B588=""),"",INDEX(tblCalisan[Brüt Ücret (₺)],MATCH($A588,tblCalisan[Çalışan Adı],0))*IF($B588="5 Puan İndirimi",BesPuanOrani,IF($B588="İlave İstihdam",IlaveIstihdamOrani,IF($B588="Kadın/Genç",KadinGencOrani,IF($B588="Engelli",EngelliOrani,GencGirisimciOrani))))),"")</f>
        <v/>
      </c>
      <c r="D588" s="110">
        <f>IF($C588="","",$C588*AySayisi)</f>
        <v/>
      </c>
      <c r="E588" s="107" t="n"/>
    </row>
    <row r="589" ht="15" customHeight="1" s="62">
      <c r="A589" s="107" t="n"/>
      <c r="B589" s="107" t="n"/>
      <c r="C589" s="110">
        <f>IFERROR(IF(OR($A589="",$B589=""),"",INDEX(tblCalisan[Brüt Ücret (₺)],MATCH($A589,tblCalisan[Çalışan Adı],0))*IF($B589="5 Puan İndirimi",BesPuanOrani,IF($B589="İlave İstihdam",IlaveIstihdamOrani,IF($B589="Kadın/Genç",KadinGencOrani,IF($B589="Engelli",EngelliOrani,GencGirisimciOrani))))),"")</f>
        <v/>
      </c>
      <c r="D589" s="110">
        <f>IF($C589="","",$C589*AySayisi)</f>
        <v/>
      </c>
      <c r="E589" s="107" t="n"/>
    </row>
    <row r="590" ht="15" customHeight="1" s="62">
      <c r="A590" s="107" t="n"/>
      <c r="B590" s="107" t="n"/>
      <c r="C590" s="110">
        <f>IFERROR(IF(OR($A590="",$B590=""),"",INDEX(tblCalisan[Brüt Ücret (₺)],MATCH($A590,tblCalisan[Çalışan Adı],0))*IF($B590="5 Puan İndirimi",BesPuanOrani,IF($B590="İlave İstihdam",IlaveIstihdamOrani,IF($B590="Kadın/Genç",KadinGencOrani,IF($B590="Engelli",EngelliOrani,GencGirisimciOrani))))),"")</f>
        <v/>
      </c>
      <c r="D590" s="110">
        <f>IF($C590="","",$C590*AySayisi)</f>
        <v/>
      </c>
      <c r="E590" s="107" t="n"/>
    </row>
    <row r="591" ht="15" customHeight="1" s="62">
      <c r="A591" s="107" t="n"/>
      <c r="B591" s="107" t="n"/>
      <c r="C591" s="110">
        <f>IFERROR(IF(OR($A591="",$B591=""),"",INDEX(tblCalisan[Brüt Ücret (₺)],MATCH($A591,tblCalisan[Çalışan Adı],0))*IF($B591="5 Puan İndirimi",BesPuanOrani,IF($B591="İlave İstihdam",IlaveIstihdamOrani,IF($B591="Kadın/Genç",KadinGencOrani,IF($B591="Engelli",EngelliOrani,GencGirisimciOrani))))),"")</f>
        <v/>
      </c>
      <c r="D591" s="110">
        <f>IF($C591="","",$C591*AySayisi)</f>
        <v/>
      </c>
      <c r="E591" s="107" t="n"/>
    </row>
    <row r="592" ht="15" customHeight="1" s="62">
      <c r="A592" s="107" t="n"/>
      <c r="B592" s="107" t="n"/>
      <c r="C592" s="110">
        <f>IFERROR(IF(OR($A592="",$B592=""),"",INDEX(tblCalisan[Brüt Ücret (₺)],MATCH($A592,tblCalisan[Çalışan Adı],0))*IF($B592="5 Puan İndirimi",BesPuanOrani,IF($B592="İlave İstihdam",IlaveIstihdamOrani,IF($B592="Kadın/Genç",KadinGencOrani,IF($B592="Engelli",EngelliOrani,GencGirisimciOrani))))),"")</f>
        <v/>
      </c>
      <c r="D592" s="110">
        <f>IF($C592="","",$C592*AySayisi)</f>
        <v/>
      </c>
      <c r="E592" s="107" t="n"/>
    </row>
    <row r="593" ht="15" customHeight="1" s="62">
      <c r="A593" s="107" t="n"/>
      <c r="B593" s="107" t="n"/>
      <c r="C593" s="110">
        <f>IFERROR(IF(OR($A593="",$B593=""),"",INDEX(tblCalisan[Brüt Ücret (₺)],MATCH($A593,tblCalisan[Çalışan Adı],0))*IF($B593="5 Puan İndirimi",BesPuanOrani,IF($B593="İlave İstihdam",IlaveIstihdamOrani,IF($B593="Kadın/Genç",KadinGencOrani,IF($B593="Engelli",EngelliOrani,GencGirisimciOrani))))),"")</f>
        <v/>
      </c>
      <c r="D593" s="110">
        <f>IF($C593="","",$C593*AySayisi)</f>
        <v/>
      </c>
      <c r="E593" s="107" t="n"/>
    </row>
    <row r="594" ht="15" customHeight="1" s="62">
      <c r="A594" s="107" t="n"/>
      <c r="B594" s="107" t="n"/>
      <c r="C594" s="110">
        <f>IFERROR(IF(OR($A594="",$B594=""),"",INDEX(tblCalisan[Brüt Ücret (₺)],MATCH($A594,tblCalisan[Çalışan Adı],0))*IF($B594="5 Puan İndirimi",BesPuanOrani,IF($B594="İlave İstihdam",IlaveIstihdamOrani,IF($B594="Kadın/Genç",KadinGencOrani,IF($B594="Engelli",EngelliOrani,GencGirisimciOrani))))),"")</f>
        <v/>
      </c>
      <c r="D594" s="110">
        <f>IF($C594="","",$C594*AySayisi)</f>
        <v/>
      </c>
      <c r="E594" s="107" t="n"/>
    </row>
    <row r="595" ht="15" customHeight="1" s="62">
      <c r="A595" s="107" t="n"/>
      <c r="B595" s="107" t="n"/>
      <c r="C595" s="110">
        <f>IFERROR(IF(OR($A595="",$B595=""),"",INDEX(tblCalisan[Brüt Ücret (₺)],MATCH($A595,tblCalisan[Çalışan Adı],0))*IF($B595="5 Puan İndirimi",BesPuanOrani,IF($B595="İlave İstihdam",IlaveIstihdamOrani,IF($B595="Kadın/Genç",KadinGencOrani,IF($B595="Engelli",EngelliOrani,GencGirisimciOrani))))),"")</f>
        <v/>
      </c>
      <c r="D595" s="110">
        <f>IF($C595="","",$C595*AySayisi)</f>
        <v/>
      </c>
      <c r="E595" s="107" t="n"/>
    </row>
    <row r="596" ht="15" customHeight="1" s="62">
      <c r="A596" s="107" t="n"/>
      <c r="B596" s="107" t="n"/>
      <c r="C596" s="110">
        <f>IFERROR(IF(OR($A596="",$B596=""),"",INDEX(tblCalisan[Brüt Ücret (₺)],MATCH($A596,tblCalisan[Çalışan Adı],0))*IF($B596="5 Puan İndirimi",BesPuanOrani,IF($B596="İlave İstihdam",IlaveIstihdamOrani,IF($B596="Kadın/Genç",KadinGencOrani,IF($B596="Engelli",EngelliOrani,GencGirisimciOrani))))),"")</f>
        <v/>
      </c>
      <c r="D596" s="110">
        <f>IF($C596="","",$C596*AySayisi)</f>
        <v/>
      </c>
      <c r="E596" s="107" t="n"/>
    </row>
    <row r="597" ht="15" customHeight="1" s="62">
      <c r="A597" s="107" t="n"/>
      <c r="B597" s="107" t="n"/>
      <c r="C597" s="110">
        <f>IFERROR(IF(OR($A597="",$B597=""),"",INDEX(tblCalisan[Brüt Ücret (₺)],MATCH($A597,tblCalisan[Çalışan Adı],0))*IF($B597="5 Puan İndirimi",BesPuanOrani,IF($B597="İlave İstihdam",IlaveIstihdamOrani,IF($B597="Kadın/Genç",KadinGencOrani,IF($B597="Engelli",EngelliOrani,GencGirisimciOrani))))),"")</f>
        <v/>
      </c>
      <c r="D597" s="110">
        <f>IF($C597="","",$C597*AySayisi)</f>
        <v/>
      </c>
      <c r="E597" s="107" t="n"/>
    </row>
    <row r="598" ht="15" customHeight="1" s="62">
      <c r="A598" s="107" t="n"/>
      <c r="B598" s="107" t="n"/>
      <c r="C598" s="110">
        <f>IFERROR(IF(OR($A598="",$B598=""),"",INDEX(tblCalisan[Brüt Ücret (₺)],MATCH($A598,tblCalisan[Çalışan Adı],0))*IF($B598="5 Puan İndirimi",BesPuanOrani,IF($B598="İlave İstihdam",IlaveIstihdamOrani,IF($B598="Kadın/Genç",KadinGencOrani,IF($B598="Engelli",EngelliOrani,GencGirisimciOrani))))),"")</f>
        <v/>
      </c>
      <c r="D598" s="110">
        <f>IF($C598="","",$C598*AySayisi)</f>
        <v/>
      </c>
      <c r="E598" s="107" t="n"/>
    </row>
    <row r="599" ht="15" customHeight="1" s="62">
      <c r="A599" s="107" t="n"/>
      <c r="B599" s="107" t="n"/>
      <c r="C599" s="110">
        <f>IFERROR(IF(OR($A599="",$B599=""),"",INDEX(tblCalisan[Brüt Ücret (₺)],MATCH($A599,tblCalisan[Çalışan Adı],0))*IF($B599="5 Puan İndirimi",BesPuanOrani,IF($B599="İlave İstihdam",IlaveIstihdamOrani,IF($B599="Kadın/Genç",KadinGencOrani,IF($B599="Engelli",EngelliOrani,GencGirisimciOrani))))),"")</f>
        <v/>
      </c>
      <c r="D599" s="110">
        <f>IF($C599="","",$C599*AySayisi)</f>
        <v/>
      </c>
      <c r="E599" s="107" t="n"/>
    </row>
    <row r="600" ht="15" customHeight="1" s="62">
      <c r="A600" s="107" t="n"/>
      <c r="B600" s="107" t="n"/>
      <c r="C600" s="110">
        <f>IFERROR(IF(OR($A600="",$B600=""),"",INDEX(tblCalisan[Brüt Ücret (₺)],MATCH($A600,tblCalisan[Çalışan Adı],0))*IF($B600="5 Puan İndirimi",BesPuanOrani,IF($B600="İlave İstihdam",IlaveIstihdamOrani,IF($B600="Kadın/Genç",KadinGencOrani,IF($B600="Engelli",EngelliOrani,GencGirisimciOrani))))),"")</f>
        <v/>
      </c>
      <c r="D600" s="110">
        <f>IF($C600="","",$C600*AySayisi)</f>
        <v/>
      </c>
      <c r="E600" s="107" t="n"/>
    </row>
    <row r="601" ht="15" customHeight="1" s="62">
      <c r="A601" s="107" t="n"/>
      <c r="B601" s="107" t="n"/>
      <c r="C601" s="110">
        <f>IFERROR(IF(OR($A601="",$B601=""),"",INDEX(tblCalisan[Brüt Ücret (₺)],MATCH($A601,tblCalisan[Çalışan Adı],0))*IF($B601="5 Puan İndirimi",BesPuanOrani,IF($B601="İlave İstihdam",IlaveIstihdamOrani,IF($B601="Kadın/Genç",KadinGencOrani,IF($B601="Engelli",EngelliOrani,GencGirisimciOrani))))),"")</f>
        <v/>
      </c>
      <c r="D601" s="110">
        <f>IF($C601="","",$C601*AySayisi)</f>
        <v/>
      </c>
      <c r="E601" s="107" t="n"/>
    </row>
    <row r="602" ht="15" customHeight="1" s="62">
      <c r="A602" s="107" t="n"/>
      <c r="B602" s="107" t="n"/>
      <c r="C602" s="110">
        <f>IFERROR(IF(OR($A602="",$B602=""),"",INDEX(tblCalisan[Brüt Ücret (₺)],MATCH($A602,tblCalisan[Çalışan Adı],0))*IF($B602="5 Puan İndirimi",BesPuanOrani,IF($B602="İlave İstihdam",IlaveIstihdamOrani,IF($B602="Kadın/Genç",KadinGencOrani,IF($B602="Engelli",EngelliOrani,GencGirisimciOrani))))),"")</f>
        <v/>
      </c>
      <c r="D602" s="110">
        <f>IF($C602="","",$C602*AySayisi)</f>
        <v/>
      </c>
      <c r="E602" s="107" t="n"/>
    </row>
    <row r="603" ht="15" customHeight="1" s="62">
      <c r="A603" s="107" t="n"/>
      <c r="B603" s="107" t="n"/>
      <c r="C603" s="110">
        <f>IFERROR(IF(OR($A603="",$B603=""),"",INDEX(tblCalisan[Brüt Ücret (₺)],MATCH($A603,tblCalisan[Çalışan Adı],0))*IF($B603="5 Puan İndirimi",BesPuanOrani,IF($B603="İlave İstihdam",IlaveIstihdamOrani,IF($B603="Kadın/Genç",KadinGencOrani,IF($B603="Engelli",EngelliOrani,GencGirisimciOrani))))),"")</f>
        <v/>
      </c>
      <c r="D603" s="110">
        <f>IF($C603="","",$C603*AySayisi)</f>
        <v/>
      </c>
      <c r="E603" s="107" t="n"/>
    </row>
    <row r="604" ht="15" customHeight="1" s="62">
      <c r="A604" s="107" t="n"/>
      <c r="B604" s="107" t="n"/>
      <c r="C604" s="110">
        <f>IFERROR(IF(OR($A604="",$B604=""),"",INDEX(tblCalisan[Brüt Ücret (₺)],MATCH($A604,tblCalisan[Çalışan Adı],0))*IF($B604="5 Puan İndirimi",BesPuanOrani,IF($B604="İlave İstihdam",IlaveIstihdamOrani,IF($B604="Kadın/Genç",KadinGencOrani,IF($B604="Engelli",EngelliOrani,GencGirisimciOrani))))),"")</f>
        <v/>
      </c>
      <c r="D604" s="110">
        <f>IF($C604="","",$C604*AySayisi)</f>
        <v/>
      </c>
      <c r="E604" s="107" t="n"/>
    </row>
    <row r="605" ht="15" customHeight="1" s="62">
      <c r="A605" s="107" t="n"/>
      <c r="B605" s="107" t="n"/>
      <c r="C605" s="110">
        <f>IFERROR(IF(OR($A605="",$B605=""),"",INDEX(tblCalisan[Brüt Ücret (₺)],MATCH($A605,tblCalisan[Çalışan Adı],0))*IF($B605="5 Puan İndirimi",BesPuanOrani,IF($B605="İlave İstihdam",IlaveIstihdamOrani,IF($B605="Kadın/Genç",KadinGencOrani,IF($B605="Engelli",EngelliOrani,GencGirisimciOrani))))),"")</f>
        <v/>
      </c>
      <c r="D605" s="110">
        <f>IF($C605="","",$C605*AySayisi)</f>
        <v/>
      </c>
      <c r="E605" s="107" t="n"/>
    </row>
    <row r="606" ht="15" customHeight="1" s="62">
      <c r="A606" s="107" t="n"/>
      <c r="B606" s="107" t="n"/>
      <c r="C606" s="110">
        <f>IFERROR(IF(OR($A606="",$B606=""),"",INDEX(tblCalisan[Brüt Ücret (₺)],MATCH($A606,tblCalisan[Çalışan Adı],0))*IF($B606="5 Puan İndirimi",BesPuanOrani,IF($B606="İlave İstihdam",IlaveIstihdamOrani,IF($B606="Kadın/Genç",KadinGencOrani,IF($B606="Engelli",EngelliOrani,GencGirisimciOrani))))),"")</f>
        <v/>
      </c>
      <c r="D606" s="110">
        <f>IF($C606="","",$C606*AySayisi)</f>
        <v/>
      </c>
      <c r="E606" s="107" t="n"/>
    </row>
    <row r="607" ht="15" customHeight="1" s="62">
      <c r="A607" s="107" t="n"/>
      <c r="B607" s="107" t="n"/>
      <c r="C607" s="110">
        <f>IFERROR(IF(OR($A607="",$B607=""),"",INDEX(tblCalisan[Brüt Ücret (₺)],MATCH($A607,tblCalisan[Çalışan Adı],0))*IF($B607="5 Puan İndirimi",BesPuanOrani,IF($B607="İlave İstihdam",IlaveIstihdamOrani,IF($B607="Kadın/Genç",KadinGencOrani,IF($B607="Engelli",EngelliOrani,GencGirisimciOrani))))),"")</f>
        <v/>
      </c>
      <c r="D607" s="110">
        <f>IF($C607="","",$C607*AySayisi)</f>
        <v/>
      </c>
      <c r="E607" s="107" t="n"/>
    </row>
    <row r="608" ht="15" customHeight="1" s="62">
      <c r="A608" s="107" t="n"/>
      <c r="B608" s="107" t="n"/>
      <c r="C608" s="110">
        <f>IFERROR(IF(OR($A608="",$B608=""),"",INDEX(tblCalisan[Brüt Ücret (₺)],MATCH($A608,tblCalisan[Çalışan Adı],0))*IF($B608="5 Puan İndirimi",BesPuanOrani,IF($B608="İlave İstihdam",IlaveIstihdamOrani,IF($B608="Kadın/Genç",KadinGencOrani,IF($B608="Engelli",EngelliOrani,GencGirisimciOrani))))),"")</f>
        <v/>
      </c>
      <c r="D608" s="110">
        <f>IF($C608="","",$C608*AySayisi)</f>
        <v/>
      </c>
      <c r="E608" s="107" t="n"/>
    </row>
    <row r="609" ht="15" customHeight="1" s="62">
      <c r="A609" s="107" t="n"/>
      <c r="B609" s="107" t="n"/>
      <c r="C609" s="110">
        <f>IFERROR(IF(OR($A609="",$B609=""),"",INDEX(tblCalisan[Brüt Ücret (₺)],MATCH($A609,tblCalisan[Çalışan Adı],0))*IF($B609="5 Puan İndirimi",BesPuanOrani,IF($B609="İlave İstihdam",IlaveIstihdamOrani,IF($B609="Kadın/Genç",KadinGencOrani,IF($B609="Engelli",EngelliOrani,GencGirisimciOrani))))),"")</f>
        <v/>
      </c>
      <c r="D609" s="110">
        <f>IF($C609="","",$C609*AySayisi)</f>
        <v/>
      </c>
      <c r="E609" s="107" t="n"/>
    </row>
    <row r="610" ht="15" customHeight="1" s="62">
      <c r="A610" s="107" t="n"/>
      <c r="B610" s="107" t="n"/>
      <c r="C610" s="110">
        <f>IFERROR(IF(OR($A610="",$B610=""),"",INDEX(tblCalisan[Brüt Ücret (₺)],MATCH($A610,tblCalisan[Çalışan Adı],0))*IF($B610="5 Puan İndirimi",BesPuanOrani,IF($B610="İlave İstihdam",IlaveIstihdamOrani,IF($B610="Kadın/Genç",KadinGencOrani,IF($B610="Engelli",EngelliOrani,GencGirisimciOrani))))),"")</f>
        <v/>
      </c>
      <c r="D610" s="110">
        <f>IF($C610="","",$C610*AySayisi)</f>
        <v/>
      </c>
      <c r="E610" s="107" t="n"/>
    </row>
    <row r="611" ht="15" customHeight="1" s="62">
      <c r="A611" s="107" t="n"/>
      <c r="B611" s="107" t="n"/>
      <c r="C611" s="110">
        <f>IFERROR(IF(OR($A611="",$B611=""),"",INDEX(tblCalisan[Brüt Ücret (₺)],MATCH($A611,tblCalisan[Çalışan Adı],0))*IF($B611="5 Puan İndirimi",BesPuanOrani,IF($B611="İlave İstihdam",IlaveIstihdamOrani,IF($B611="Kadın/Genç",KadinGencOrani,IF($B611="Engelli",EngelliOrani,GencGirisimciOrani))))),"")</f>
        <v/>
      </c>
      <c r="D611" s="110">
        <f>IF($C611="","",$C611*AySayisi)</f>
        <v/>
      </c>
      <c r="E611" s="107" t="n"/>
    </row>
    <row r="612" ht="15" customHeight="1" s="62">
      <c r="A612" s="107" t="n"/>
      <c r="B612" s="107" t="n"/>
      <c r="C612" s="110">
        <f>IFERROR(IF(OR($A612="",$B612=""),"",INDEX(tblCalisan[Brüt Ücret (₺)],MATCH($A612,tblCalisan[Çalışan Adı],0))*IF($B612="5 Puan İndirimi",BesPuanOrani,IF($B612="İlave İstihdam",IlaveIstihdamOrani,IF($B612="Kadın/Genç",KadinGencOrani,IF($B612="Engelli",EngelliOrani,GencGirisimciOrani))))),"")</f>
        <v/>
      </c>
      <c r="D612" s="110">
        <f>IF($C612="","",$C612*AySayisi)</f>
        <v/>
      </c>
      <c r="E612" s="107" t="n"/>
    </row>
    <row r="613" ht="15" customHeight="1" s="62">
      <c r="A613" s="107" t="n"/>
      <c r="B613" s="107" t="n"/>
      <c r="C613" s="110">
        <f>IFERROR(IF(OR($A613="",$B613=""),"",INDEX(tblCalisan[Brüt Ücret (₺)],MATCH($A613,tblCalisan[Çalışan Adı],0))*IF($B613="5 Puan İndirimi",BesPuanOrani,IF($B613="İlave İstihdam",IlaveIstihdamOrani,IF($B613="Kadın/Genç",KadinGencOrani,IF($B613="Engelli",EngelliOrani,GencGirisimciOrani))))),"")</f>
        <v/>
      </c>
      <c r="D613" s="110">
        <f>IF($C613="","",$C613*AySayisi)</f>
        <v/>
      </c>
      <c r="E613" s="107" t="n"/>
    </row>
    <row r="614" ht="15" customHeight="1" s="62">
      <c r="A614" s="107" t="n"/>
      <c r="B614" s="107" t="n"/>
      <c r="C614" s="110">
        <f>IFERROR(IF(OR($A614="",$B614=""),"",INDEX(tblCalisan[Brüt Ücret (₺)],MATCH($A614,tblCalisan[Çalışan Adı],0))*IF($B614="5 Puan İndirimi",BesPuanOrani,IF($B614="İlave İstihdam",IlaveIstihdamOrani,IF($B614="Kadın/Genç",KadinGencOrani,IF($B614="Engelli",EngelliOrani,GencGirisimciOrani))))),"")</f>
        <v/>
      </c>
      <c r="D614" s="110">
        <f>IF($C614="","",$C614*AySayisi)</f>
        <v/>
      </c>
      <c r="E614" s="107" t="n"/>
    </row>
    <row r="615" ht="15" customHeight="1" s="62">
      <c r="A615" s="107" t="n"/>
      <c r="B615" s="107" t="n"/>
      <c r="C615" s="110">
        <f>IFERROR(IF(OR($A615="",$B615=""),"",INDEX(tblCalisan[Brüt Ücret (₺)],MATCH($A615,tblCalisan[Çalışan Adı],0))*IF($B615="5 Puan İndirimi",BesPuanOrani,IF($B615="İlave İstihdam",IlaveIstihdamOrani,IF($B615="Kadın/Genç",KadinGencOrani,IF($B615="Engelli",EngelliOrani,GencGirisimciOrani))))),"")</f>
        <v/>
      </c>
      <c r="D615" s="110">
        <f>IF($C615="","",$C615*AySayisi)</f>
        <v/>
      </c>
      <c r="E615" s="107" t="n"/>
    </row>
    <row r="616" ht="15" customHeight="1" s="62">
      <c r="A616" s="107" t="n"/>
      <c r="B616" s="107" t="n"/>
      <c r="C616" s="110">
        <f>IFERROR(IF(OR($A616="",$B616=""),"",INDEX(tblCalisan[Brüt Ücret (₺)],MATCH($A616,tblCalisan[Çalışan Adı],0))*IF($B616="5 Puan İndirimi",BesPuanOrani,IF($B616="İlave İstihdam",IlaveIstihdamOrani,IF($B616="Kadın/Genç",KadinGencOrani,IF($B616="Engelli",EngelliOrani,GencGirisimciOrani))))),"")</f>
        <v/>
      </c>
      <c r="D616" s="110">
        <f>IF($C616="","",$C616*AySayisi)</f>
        <v/>
      </c>
      <c r="E616" s="107" t="n"/>
    </row>
    <row r="617" ht="15" customHeight="1" s="62">
      <c r="A617" s="107" t="n"/>
      <c r="B617" s="107" t="n"/>
      <c r="C617" s="110">
        <f>IFERROR(IF(OR($A617="",$B617=""),"",INDEX(tblCalisan[Brüt Ücret (₺)],MATCH($A617,tblCalisan[Çalışan Adı],0))*IF($B617="5 Puan İndirimi",BesPuanOrani,IF($B617="İlave İstihdam",IlaveIstihdamOrani,IF($B617="Kadın/Genç",KadinGencOrani,IF($B617="Engelli",EngelliOrani,GencGirisimciOrani))))),"")</f>
        <v/>
      </c>
      <c r="D617" s="110">
        <f>IF($C617="","",$C617*AySayisi)</f>
        <v/>
      </c>
      <c r="E617" s="107" t="n"/>
    </row>
    <row r="618" ht="15" customHeight="1" s="62">
      <c r="A618" s="107" t="n"/>
      <c r="B618" s="107" t="n"/>
      <c r="C618" s="110">
        <f>IFERROR(IF(OR($A618="",$B618=""),"",INDEX(tblCalisan[Brüt Ücret (₺)],MATCH($A618,tblCalisan[Çalışan Adı],0))*IF($B618="5 Puan İndirimi",BesPuanOrani,IF($B618="İlave İstihdam",IlaveIstihdamOrani,IF($B618="Kadın/Genç",KadinGencOrani,IF($B618="Engelli",EngelliOrani,GencGirisimciOrani))))),"")</f>
        <v/>
      </c>
      <c r="D618" s="110">
        <f>IF($C618="","",$C618*AySayisi)</f>
        <v/>
      </c>
      <c r="E618" s="107" t="n"/>
    </row>
    <row r="619" ht="15" customHeight="1" s="62">
      <c r="A619" s="107" t="n"/>
      <c r="B619" s="107" t="n"/>
      <c r="C619" s="110">
        <f>IFERROR(IF(OR($A619="",$B619=""),"",INDEX(tblCalisan[Brüt Ücret (₺)],MATCH($A619,tblCalisan[Çalışan Adı],0))*IF($B619="5 Puan İndirimi",BesPuanOrani,IF($B619="İlave İstihdam",IlaveIstihdamOrani,IF($B619="Kadın/Genç",KadinGencOrani,IF($B619="Engelli",EngelliOrani,GencGirisimciOrani))))),"")</f>
        <v/>
      </c>
      <c r="D619" s="110">
        <f>IF($C619="","",$C619*AySayisi)</f>
        <v/>
      </c>
      <c r="E619" s="107" t="n"/>
    </row>
    <row r="620" ht="15" customHeight="1" s="62">
      <c r="A620" s="107" t="n"/>
      <c r="B620" s="107" t="n"/>
      <c r="C620" s="110">
        <f>IFERROR(IF(OR($A620="",$B620=""),"",INDEX(tblCalisan[Brüt Ücret (₺)],MATCH($A620,tblCalisan[Çalışan Adı],0))*IF($B620="5 Puan İndirimi",BesPuanOrani,IF($B620="İlave İstihdam",IlaveIstihdamOrani,IF($B620="Kadın/Genç",KadinGencOrani,IF($B620="Engelli",EngelliOrani,GencGirisimciOrani))))),"")</f>
        <v/>
      </c>
      <c r="D620" s="110">
        <f>IF($C620="","",$C620*AySayisi)</f>
        <v/>
      </c>
      <c r="E620" s="107" t="n"/>
    </row>
    <row r="621" ht="15" customHeight="1" s="62">
      <c r="A621" s="107" t="n"/>
      <c r="B621" s="107" t="n"/>
      <c r="C621" s="110">
        <f>IFERROR(IF(OR($A621="",$B621=""),"",INDEX(tblCalisan[Brüt Ücret (₺)],MATCH($A621,tblCalisan[Çalışan Adı],0))*IF($B621="5 Puan İndirimi",BesPuanOrani,IF($B621="İlave İstihdam",IlaveIstihdamOrani,IF($B621="Kadın/Genç",KadinGencOrani,IF($B621="Engelli",EngelliOrani,GencGirisimciOrani))))),"")</f>
        <v/>
      </c>
      <c r="D621" s="110">
        <f>IF($C621="","",$C621*AySayisi)</f>
        <v/>
      </c>
      <c r="E621" s="107" t="n"/>
    </row>
    <row r="622" ht="15" customHeight="1" s="62">
      <c r="A622" s="107" t="n"/>
      <c r="B622" s="107" t="n"/>
      <c r="C622" s="110">
        <f>IFERROR(IF(OR($A622="",$B622=""),"",INDEX(tblCalisan[Brüt Ücret (₺)],MATCH($A622,tblCalisan[Çalışan Adı],0))*IF($B622="5 Puan İndirimi",BesPuanOrani,IF($B622="İlave İstihdam",IlaveIstihdamOrani,IF($B622="Kadın/Genç",KadinGencOrani,IF($B622="Engelli",EngelliOrani,GencGirisimciOrani))))),"")</f>
        <v/>
      </c>
      <c r="D622" s="110">
        <f>IF($C622="","",$C622*AySayisi)</f>
        <v/>
      </c>
      <c r="E622" s="107" t="n"/>
    </row>
    <row r="623" ht="15" customHeight="1" s="62">
      <c r="A623" s="107" t="n"/>
      <c r="B623" s="107" t="n"/>
      <c r="C623" s="110">
        <f>IFERROR(IF(OR($A623="",$B623=""),"",INDEX(tblCalisan[Brüt Ücret (₺)],MATCH($A623,tblCalisan[Çalışan Adı],0))*IF($B623="5 Puan İndirimi",BesPuanOrani,IF($B623="İlave İstihdam",IlaveIstihdamOrani,IF($B623="Kadın/Genç",KadinGencOrani,IF($B623="Engelli",EngelliOrani,GencGirisimciOrani))))),"")</f>
        <v/>
      </c>
      <c r="D623" s="110">
        <f>IF($C623="","",$C623*AySayisi)</f>
        <v/>
      </c>
      <c r="E623" s="107" t="n"/>
    </row>
    <row r="624" ht="15" customHeight="1" s="62">
      <c r="A624" s="107" t="n"/>
      <c r="B624" s="107" t="n"/>
      <c r="C624" s="110">
        <f>IFERROR(IF(OR($A624="",$B624=""),"",INDEX(tblCalisan[Brüt Ücret (₺)],MATCH($A624,tblCalisan[Çalışan Adı],0))*IF($B624="5 Puan İndirimi",BesPuanOrani,IF($B624="İlave İstihdam",IlaveIstihdamOrani,IF($B624="Kadın/Genç",KadinGencOrani,IF($B624="Engelli",EngelliOrani,GencGirisimciOrani))))),"")</f>
        <v/>
      </c>
      <c r="D624" s="110">
        <f>IF($C624="","",$C624*AySayisi)</f>
        <v/>
      </c>
      <c r="E624" s="107" t="n"/>
    </row>
    <row r="625" ht="15" customHeight="1" s="62">
      <c r="A625" s="107" t="n"/>
      <c r="B625" s="107" t="n"/>
      <c r="C625" s="110">
        <f>IFERROR(IF(OR($A625="",$B625=""),"",INDEX(tblCalisan[Brüt Ücret (₺)],MATCH($A625,tblCalisan[Çalışan Adı],0))*IF($B625="5 Puan İndirimi",BesPuanOrani,IF($B625="İlave İstihdam",IlaveIstihdamOrani,IF($B625="Kadın/Genç",KadinGencOrani,IF($B625="Engelli",EngelliOrani,GencGirisimciOrani))))),"")</f>
        <v/>
      </c>
      <c r="D625" s="110">
        <f>IF($C625="","",$C625*AySayisi)</f>
        <v/>
      </c>
      <c r="E625" s="107" t="n"/>
    </row>
    <row r="626" ht="15" customHeight="1" s="62">
      <c r="A626" s="107" t="n"/>
      <c r="B626" s="107" t="n"/>
      <c r="C626" s="110">
        <f>IFERROR(IF(OR($A626="",$B626=""),"",INDEX(tblCalisan[Brüt Ücret (₺)],MATCH($A626,tblCalisan[Çalışan Adı],0))*IF($B626="5 Puan İndirimi",BesPuanOrani,IF($B626="İlave İstihdam",IlaveIstihdamOrani,IF($B626="Kadın/Genç",KadinGencOrani,IF($B626="Engelli",EngelliOrani,GencGirisimciOrani))))),"")</f>
        <v/>
      </c>
      <c r="D626" s="110">
        <f>IF($C626="","",$C626*AySayisi)</f>
        <v/>
      </c>
      <c r="E626" s="107" t="n"/>
    </row>
    <row r="627" ht="15" customHeight="1" s="62">
      <c r="A627" s="107" t="n"/>
      <c r="B627" s="107" t="n"/>
      <c r="C627" s="110">
        <f>IFERROR(IF(OR($A627="",$B627=""),"",INDEX(tblCalisan[Brüt Ücret (₺)],MATCH($A627,tblCalisan[Çalışan Adı],0))*IF($B627="5 Puan İndirimi",BesPuanOrani,IF($B627="İlave İstihdam",IlaveIstihdamOrani,IF($B627="Kadın/Genç",KadinGencOrani,IF($B627="Engelli",EngelliOrani,GencGirisimciOrani))))),"")</f>
        <v/>
      </c>
      <c r="D627" s="110">
        <f>IF($C627="","",$C627*AySayisi)</f>
        <v/>
      </c>
      <c r="E627" s="107" t="n"/>
    </row>
    <row r="628" ht="15" customHeight="1" s="62">
      <c r="A628" s="107" t="n"/>
      <c r="B628" s="107" t="n"/>
      <c r="C628" s="110">
        <f>IFERROR(IF(OR($A628="",$B628=""),"",INDEX(tblCalisan[Brüt Ücret (₺)],MATCH($A628,tblCalisan[Çalışan Adı],0))*IF($B628="5 Puan İndirimi",BesPuanOrani,IF($B628="İlave İstihdam",IlaveIstihdamOrani,IF($B628="Kadın/Genç",KadinGencOrani,IF($B628="Engelli",EngelliOrani,GencGirisimciOrani))))),"")</f>
        <v/>
      </c>
      <c r="D628" s="110">
        <f>IF($C628="","",$C628*AySayisi)</f>
        <v/>
      </c>
      <c r="E628" s="107" t="n"/>
    </row>
    <row r="629" ht="15" customHeight="1" s="62">
      <c r="A629" s="107" t="n"/>
      <c r="B629" s="107" t="n"/>
      <c r="C629" s="110">
        <f>IFERROR(IF(OR($A629="",$B629=""),"",INDEX(tblCalisan[Brüt Ücret (₺)],MATCH($A629,tblCalisan[Çalışan Adı],0))*IF($B629="5 Puan İndirimi",BesPuanOrani,IF($B629="İlave İstihdam",IlaveIstihdamOrani,IF($B629="Kadın/Genç",KadinGencOrani,IF($B629="Engelli",EngelliOrani,GencGirisimciOrani))))),"")</f>
        <v/>
      </c>
      <c r="D629" s="110">
        <f>IF($C629="","",$C629*AySayisi)</f>
        <v/>
      </c>
      <c r="E629" s="107" t="n"/>
    </row>
    <row r="630" ht="15" customHeight="1" s="62">
      <c r="A630" s="107" t="n"/>
      <c r="B630" s="107" t="n"/>
      <c r="C630" s="110">
        <f>IFERROR(IF(OR($A630="",$B630=""),"",INDEX(tblCalisan[Brüt Ücret (₺)],MATCH($A630,tblCalisan[Çalışan Adı],0))*IF($B630="5 Puan İndirimi",BesPuanOrani,IF($B630="İlave İstihdam",IlaveIstihdamOrani,IF($B630="Kadın/Genç",KadinGencOrani,IF($B630="Engelli",EngelliOrani,GencGirisimciOrani))))),"")</f>
        <v/>
      </c>
      <c r="D630" s="110">
        <f>IF($C630="","",$C630*AySayisi)</f>
        <v/>
      </c>
      <c r="E630" s="107" t="n"/>
    </row>
    <row r="631" ht="15" customHeight="1" s="62">
      <c r="A631" s="107" t="n"/>
      <c r="B631" s="107" t="n"/>
      <c r="C631" s="110">
        <f>IFERROR(IF(OR($A631="",$B631=""),"",INDEX(tblCalisan[Brüt Ücret (₺)],MATCH($A631,tblCalisan[Çalışan Adı],0))*IF($B631="5 Puan İndirimi",BesPuanOrani,IF($B631="İlave İstihdam",IlaveIstihdamOrani,IF($B631="Kadın/Genç",KadinGencOrani,IF($B631="Engelli",EngelliOrani,GencGirisimciOrani))))),"")</f>
        <v/>
      </c>
      <c r="D631" s="110">
        <f>IF($C631="","",$C631*AySayisi)</f>
        <v/>
      </c>
      <c r="E631" s="107" t="n"/>
    </row>
    <row r="632" ht="15" customHeight="1" s="62">
      <c r="A632" s="107" t="n"/>
      <c r="B632" s="107" t="n"/>
      <c r="C632" s="110">
        <f>IFERROR(IF(OR($A632="",$B632=""),"",INDEX(tblCalisan[Brüt Ücret (₺)],MATCH($A632,tblCalisan[Çalışan Adı],0))*IF($B632="5 Puan İndirimi",BesPuanOrani,IF($B632="İlave İstihdam",IlaveIstihdamOrani,IF($B632="Kadın/Genç",KadinGencOrani,IF($B632="Engelli",EngelliOrani,GencGirisimciOrani))))),"")</f>
        <v/>
      </c>
      <c r="D632" s="110">
        <f>IF($C632="","",$C632*AySayisi)</f>
        <v/>
      </c>
      <c r="E632" s="107" t="n"/>
    </row>
    <row r="633" ht="15" customHeight="1" s="62">
      <c r="A633" s="107" t="n"/>
      <c r="B633" s="107" t="n"/>
      <c r="C633" s="110">
        <f>IFERROR(IF(OR($A633="",$B633=""),"",INDEX(tblCalisan[Brüt Ücret (₺)],MATCH($A633,tblCalisan[Çalışan Adı],0))*IF($B633="5 Puan İndirimi",BesPuanOrani,IF($B633="İlave İstihdam",IlaveIstihdamOrani,IF($B633="Kadın/Genç",KadinGencOrani,IF($B633="Engelli",EngelliOrani,GencGirisimciOrani))))),"")</f>
        <v/>
      </c>
      <c r="D633" s="110">
        <f>IF($C633="","",$C633*AySayisi)</f>
        <v/>
      </c>
      <c r="E633" s="107" t="n"/>
    </row>
    <row r="634" ht="15" customHeight="1" s="62">
      <c r="A634" s="107" t="n"/>
      <c r="B634" s="107" t="n"/>
      <c r="C634" s="110">
        <f>IFERROR(IF(OR($A634="",$B634=""),"",INDEX(tblCalisan[Brüt Ücret (₺)],MATCH($A634,tblCalisan[Çalışan Adı],0))*IF($B634="5 Puan İndirimi",BesPuanOrani,IF($B634="İlave İstihdam",IlaveIstihdamOrani,IF($B634="Kadın/Genç",KadinGencOrani,IF($B634="Engelli",EngelliOrani,GencGirisimciOrani))))),"")</f>
        <v/>
      </c>
      <c r="D634" s="110">
        <f>IF($C634="","",$C634*AySayisi)</f>
        <v/>
      </c>
      <c r="E634" s="107" t="n"/>
    </row>
    <row r="635" ht="15" customHeight="1" s="62">
      <c r="A635" s="107" t="n"/>
      <c r="B635" s="107" t="n"/>
      <c r="C635" s="110">
        <f>IFERROR(IF(OR($A635="",$B635=""),"",INDEX(tblCalisan[Brüt Ücret (₺)],MATCH($A635,tblCalisan[Çalışan Adı],0))*IF($B635="5 Puan İndirimi",BesPuanOrani,IF($B635="İlave İstihdam",IlaveIstihdamOrani,IF($B635="Kadın/Genç",KadinGencOrani,IF($B635="Engelli",EngelliOrani,GencGirisimciOrani))))),"")</f>
        <v/>
      </c>
      <c r="D635" s="110">
        <f>IF($C635="","",$C635*AySayisi)</f>
        <v/>
      </c>
      <c r="E635" s="107" t="n"/>
    </row>
    <row r="636" ht="15" customHeight="1" s="62">
      <c r="A636" s="107" t="n"/>
      <c r="B636" s="107" t="n"/>
      <c r="C636" s="110">
        <f>IFERROR(IF(OR($A636="",$B636=""),"",INDEX(tblCalisan[Brüt Ücret (₺)],MATCH($A636,tblCalisan[Çalışan Adı],0))*IF($B636="5 Puan İndirimi",BesPuanOrani,IF($B636="İlave İstihdam",IlaveIstihdamOrani,IF($B636="Kadın/Genç",KadinGencOrani,IF($B636="Engelli",EngelliOrani,GencGirisimciOrani))))),"")</f>
        <v/>
      </c>
      <c r="D636" s="110">
        <f>IF($C636="","",$C636*AySayisi)</f>
        <v/>
      </c>
      <c r="E636" s="107" t="n"/>
    </row>
    <row r="637" ht="15" customHeight="1" s="62">
      <c r="A637" s="107" t="n"/>
      <c r="B637" s="107" t="n"/>
      <c r="C637" s="110">
        <f>IFERROR(IF(OR($A637="",$B637=""),"",INDEX(tblCalisan[Brüt Ücret (₺)],MATCH($A637,tblCalisan[Çalışan Adı],0))*IF($B637="5 Puan İndirimi",BesPuanOrani,IF($B637="İlave İstihdam",IlaveIstihdamOrani,IF($B637="Kadın/Genç",KadinGencOrani,IF($B637="Engelli",EngelliOrani,GencGirisimciOrani))))),"")</f>
        <v/>
      </c>
      <c r="D637" s="110">
        <f>IF($C637="","",$C637*AySayisi)</f>
        <v/>
      </c>
      <c r="E637" s="107" t="n"/>
    </row>
    <row r="638" ht="15" customHeight="1" s="62">
      <c r="A638" s="107" t="n"/>
      <c r="B638" s="107" t="n"/>
      <c r="C638" s="110">
        <f>IFERROR(IF(OR($A638="",$B638=""),"",INDEX(tblCalisan[Brüt Ücret (₺)],MATCH($A638,tblCalisan[Çalışan Adı],0))*IF($B638="5 Puan İndirimi",BesPuanOrani,IF($B638="İlave İstihdam",IlaveIstihdamOrani,IF($B638="Kadın/Genç",KadinGencOrani,IF($B638="Engelli",EngelliOrani,GencGirisimciOrani))))),"")</f>
        <v/>
      </c>
      <c r="D638" s="110">
        <f>IF($C638="","",$C638*AySayisi)</f>
        <v/>
      </c>
      <c r="E638" s="107" t="n"/>
    </row>
    <row r="639" ht="15" customHeight="1" s="62">
      <c r="A639" s="107" t="n"/>
      <c r="B639" s="107" t="n"/>
      <c r="C639" s="110">
        <f>IFERROR(IF(OR($A639="",$B639=""),"",INDEX(tblCalisan[Brüt Ücret (₺)],MATCH($A639,tblCalisan[Çalışan Adı],0))*IF($B639="5 Puan İndirimi",BesPuanOrani,IF($B639="İlave İstihdam",IlaveIstihdamOrani,IF($B639="Kadın/Genç",KadinGencOrani,IF($B639="Engelli",EngelliOrani,GencGirisimciOrani))))),"")</f>
        <v/>
      </c>
      <c r="D639" s="110">
        <f>IF($C639="","",$C639*AySayisi)</f>
        <v/>
      </c>
      <c r="E639" s="107" t="n"/>
    </row>
    <row r="640" ht="15" customHeight="1" s="62">
      <c r="A640" s="107" t="n"/>
      <c r="B640" s="107" t="n"/>
      <c r="C640" s="110">
        <f>IFERROR(IF(OR($A640="",$B640=""),"",INDEX(tblCalisan[Brüt Ücret (₺)],MATCH($A640,tblCalisan[Çalışan Adı],0))*IF($B640="5 Puan İndirimi",BesPuanOrani,IF($B640="İlave İstihdam",IlaveIstihdamOrani,IF($B640="Kadın/Genç",KadinGencOrani,IF($B640="Engelli",EngelliOrani,GencGirisimciOrani))))),"")</f>
        <v/>
      </c>
      <c r="D640" s="110">
        <f>IF($C640="","",$C640*AySayisi)</f>
        <v/>
      </c>
      <c r="E640" s="107" t="n"/>
    </row>
    <row r="641" ht="15" customHeight="1" s="62">
      <c r="A641" s="107" t="n"/>
      <c r="B641" s="107" t="n"/>
      <c r="C641" s="110">
        <f>IFERROR(IF(OR($A641="",$B641=""),"",INDEX(tblCalisan[Brüt Ücret (₺)],MATCH($A641,tblCalisan[Çalışan Adı],0))*IF($B641="5 Puan İndirimi",BesPuanOrani,IF($B641="İlave İstihdam",IlaveIstihdamOrani,IF($B641="Kadın/Genç",KadinGencOrani,IF($B641="Engelli",EngelliOrani,GencGirisimciOrani))))),"")</f>
        <v/>
      </c>
      <c r="D641" s="110">
        <f>IF($C641="","",$C641*AySayisi)</f>
        <v/>
      </c>
      <c r="E641" s="107" t="n"/>
    </row>
    <row r="642" ht="15" customHeight="1" s="62">
      <c r="A642" s="107" t="n"/>
      <c r="B642" s="107" t="n"/>
      <c r="C642" s="110">
        <f>IFERROR(IF(OR($A642="",$B642=""),"",INDEX(tblCalisan[Brüt Ücret (₺)],MATCH($A642,tblCalisan[Çalışan Adı],0))*IF($B642="5 Puan İndirimi",BesPuanOrani,IF($B642="İlave İstihdam",IlaveIstihdamOrani,IF($B642="Kadın/Genç",KadinGencOrani,IF($B642="Engelli",EngelliOrani,GencGirisimciOrani))))),"")</f>
        <v/>
      </c>
      <c r="D642" s="110">
        <f>IF($C642="","",$C642*AySayisi)</f>
        <v/>
      </c>
      <c r="E642" s="107" t="n"/>
    </row>
    <row r="643" ht="15" customHeight="1" s="62">
      <c r="A643" s="107" t="n"/>
      <c r="B643" s="107" t="n"/>
      <c r="C643" s="110">
        <f>IFERROR(IF(OR($A643="",$B643=""),"",INDEX(tblCalisan[Brüt Ücret (₺)],MATCH($A643,tblCalisan[Çalışan Adı],0))*IF($B643="5 Puan İndirimi",BesPuanOrani,IF($B643="İlave İstihdam",IlaveIstihdamOrani,IF($B643="Kadın/Genç",KadinGencOrani,IF($B643="Engelli",EngelliOrani,GencGirisimciOrani))))),"")</f>
        <v/>
      </c>
      <c r="D643" s="110">
        <f>IF($C643="","",$C643*AySayisi)</f>
        <v/>
      </c>
      <c r="E643" s="107" t="n"/>
    </row>
    <row r="644" ht="15" customHeight="1" s="62">
      <c r="A644" s="107" t="n"/>
      <c r="B644" s="107" t="n"/>
      <c r="C644" s="110">
        <f>IFERROR(IF(OR($A644="",$B644=""),"",INDEX(tblCalisan[Brüt Ücret (₺)],MATCH($A644,tblCalisan[Çalışan Adı],0))*IF($B644="5 Puan İndirimi",BesPuanOrani,IF($B644="İlave İstihdam",IlaveIstihdamOrani,IF($B644="Kadın/Genç",KadinGencOrani,IF($B644="Engelli",EngelliOrani,GencGirisimciOrani))))),"")</f>
        <v/>
      </c>
      <c r="D644" s="110">
        <f>IF($C644="","",$C644*AySayisi)</f>
        <v/>
      </c>
      <c r="E644" s="107" t="n"/>
    </row>
    <row r="645" ht="15" customHeight="1" s="62">
      <c r="A645" s="107" t="n"/>
      <c r="B645" s="107" t="n"/>
      <c r="C645" s="110">
        <f>IFERROR(IF(OR($A645="",$B645=""),"",INDEX(tblCalisan[Brüt Ücret (₺)],MATCH($A645,tblCalisan[Çalışan Adı],0))*IF($B645="5 Puan İndirimi",BesPuanOrani,IF($B645="İlave İstihdam",IlaveIstihdamOrani,IF($B645="Kadın/Genç",KadinGencOrani,IF($B645="Engelli",EngelliOrani,GencGirisimciOrani))))),"")</f>
        <v/>
      </c>
      <c r="D645" s="110">
        <f>IF($C645="","",$C645*AySayisi)</f>
        <v/>
      </c>
      <c r="E645" s="107" t="n"/>
    </row>
    <row r="646" ht="15" customHeight="1" s="62">
      <c r="A646" s="107" t="n"/>
      <c r="B646" s="107" t="n"/>
      <c r="C646" s="110">
        <f>IFERROR(IF(OR($A646="",$B646=""),"",INDEX(tblCalisan[Brüt Ücret (₺)],MATCH($A646,tblCalisan[Çalışan Adı],0))*IF($B646="5 Puan İndirimi",BesPuanOrani,IF($B646="İlave İstihdam",IlaveIstihdamOrani,IF($B646="Kadın/Genç",KadinGencOrani,IF($B646="Engelli",EngelliOrani,GencGirisimciOrani))))),"")</f>
        <v/>
      </c>
      <c r="D646" s="110">
        <f>IF($C646="","",$C646*AySayisi)</f>
        <v/>
      </c>
      <c r="E646" s="107" t="n"/>
    </row>
    <row r="647" ht="15" customHeight="1" s="62">
      <c r="A647" s="107" t="n"/>
      <c r="B647" s="107" t="n"/>
      <c r="C647" s="110">
        <f>IFERROR(IF(OR($A647="",$B647=""),"",INDEX(tblCalisan[Brüt Ücret (₺)],MATCH($A647,tblCalisan[Çalışan Adı],0))*IF($B647="5 Puan İndirimi",BesPuanOrani,IF($B647="İlave İstihdam",IlaveIstihdamOrani,IF($B647="Kadın/Genç",KadinGencOrani,IF($B647="Engelli",EngelliOrani,GencGirisimciOrani))))),"")</f>
        <v/>
      </c>
      <c r="D647" s="110">
        <f>IF($C647="","",$C647*AySayisi)</f>
        <v/>
      </c>
      <c r="E647" s="107" t="n"/>
    </row>
    <row r="648" ht="15" customHeight="1" s="62">
      <c r="A648" s="107" t="n"/>
      <c r="B648" s="107" t="n"/>
      <c r="C648" s="110">
        <f>IFERROR(IF(OR($A648="",$B648=""),"",INDEX(tblCalisan[Brüt Ücret (₺)],MATCH($A648,tblCalisan[Çalışan Adı],0))*IF($B648="5 Puan İndirimi",BesPuanOrani,IF($B648="İlave İstihdam",IlaveIstihdamOrani,IF($B648="Kadın/Genç",KadinGencOrani,IF($B648="Engelli",EngelliOrani,GencGirisimciOrani))))),"")</f>
        <v/>
      </c>
      <c r="D648" s="110">
        <f>IF($C648="","",$C648*AySayisi)</f>
        <v/>
      </c>
      <c r="E648" s="107" t="n"/>
    </row>
    <row r="649" ht="15" customHeight="1" s="62">
      <c r="A649" s="107" t="n"/>
      <c r="B649" s="107" t="n"/>
      <c r="C649" s="110">
        <f>IFERROR(IF(OR($A649="",$B649=""),"",INDEX(tblCalisan[Brüt Ücret (₺)],MATCH($A649,tblCalisan[Çalışan Adı],0))*IF($B649="5 Puan İndirimi",BesPuanOrani,IF($B649="İlave İstihdam",IlaveIstihdamOrani,IF($B649="Kadın/Genç",KadinGencOrani,IF($B649="Engelli",EngelliOrani,GencGirisimciOrani))))),"")</f>
        <v/>
      </c>
      <c r="D649" s="110">
        <f>IF($C649="","",$C649*AySayisi)</f>
        <v/>
      </c>
      <c r="E649" s="107" t="n"/>
    </row>
    <row r="650" ht="15" customHeight="1" s="62">
      <c r="A650" s="107" t="n"/>
      <c r="B650" s="107" t="n"/>
      <c r="C650" s="110">
        <f>IFERROR(IF(OR($A650="",$B650=""),"",INDEX(tblCalisan[Brüt Ücret (₺)],MATCH($A650,tblCalisan[Çalışan Adı],0))*IF($B650="5 Puan İndirimi",BesPuanOrani,IF($B650="İlave İstihdam",IlaveIstihdamOrani,IF($B650="Kadın/Genç",KadinGencOrani,IF($B650="Engelli",EngelliOrani,GencGirisimciOrani))))),"")</f>
        <v/>
      </c>
      <c r="D650" s="110">
        <f>IF($C650="","",$C650*AySayisi)</f>
        <v/>
      </c>
      <c r="E650" s="107" t="n"/>
    </row>
    <row r="651" ht="15" customHeight="1" s="62">
      <c r="A651" s="107" t="n"/>
      <c r="B651" s="107" t="n"/>
      <c r="C651" s="110">
        <f>IFERROR(IF(OR($A651="",$B651=""),"",INDEX(tblCalisan[Brüt Ücret (₺)],MATCH($A651,tblCalisan[Çalışan Adı],0))*IF($B651="5 Puan İndirimi",BesPuanOrani,IF($B651="İlave İstihdam",IlaveIstihdamOrani,IF($B651="Kadın/Genç",KadinGencOrani,IF($B651="Engelli",EngelliOrani,GencGirisimciOrani))))),"")</f>
        <v/>
      </c>
      <c r="D651" s="110">
        <f>IF($C651="","",$C651*AySayisi)</f>
        <v/>
      </c>
      <c r="E651" s="107" t="n"/>
    </row>
    <row r="652" ht="15" customHeight="1" s="62">
      <c r="A652" s="107" t="n"/>
      <c r="B652" s="107" t="n"/>
      <c r="C652" s="110">
        <f>IFERROR(IF(OR($A652="",$B652=""),"",INDEX(tblCalisan[Brüt Ücret (₺)],MATCH($A652,tblCalisan[Çalışan Adı],0))*IF($B652="5 Puan İndirimi",BesPuanOrani,IF($B652="İlave İstihdam",IlaveIstihdamOrani,IF($B652="Kadın/Genç",KadinGencOrani,IF($B652="Engelli",EngelliOrani,GencGirisimciOrani))))),"")</f>
        <v/>
      </c>
      <c r="D652" s="110">
        <f>IF($C652="","",$C652*AySayisi)</f>
        <v/>
      </c>
      <c r="E652" s="107" t="n"/>
    </row>
    <row r="653" ht="15" customHeight="1" s="62">
      <c r="A653" s="107" t="n"/>
      <c r="B653" s="107" t="n"/>
      <c r="C653" s="110">
        <f>IFERROR(IF(OR($A653="",$B653=""),"",INDEX(tblCalisan[Brüt Ücret (₺)],MATCH($A653,tblCalisan[Çalışan Adı],0))*IF($B653="5 Puan İndirimi",BesPuanOrani,IF($B653="İlave İstihdam",IlaveIstihdamOrani,IF($B653="Kadın/Genç",KadinGencOrani,IF($B653="Engelli",EngelliOrani,GencGirisimciOrani))))),"")</f>
        <v/>
      </c>
      <c r="D653" s="110">
        <f>IF($C653="","",$C653*AySayisi)</f>
        <v/>
      </c>
      <c r="E653" s="107" t="n"/>
    </row>
    <row r="654" ht="15" customHeight="1" s="62">
      <c r="A654" s="107" t="n"/>
      <c r="B654" s="107" t="n"/>
      <c r="C654" s="110">
        <f>IFERROR(IF(OR($A654="",$B654=""),"",INDEX(tblCalisan[Brüt Ücret (₺)],MATCH($A654,tblCalisan[Çalışan Adı],0))*IF($B654="5 Puan İndirimi",BesPuanOrani,IF($B654="İlave İstihdam",IlaveIstihdamOrani,IF($B654="Kadın/Genç",KadinGencOrani,IF($B654="Engelli",EngelliOrani,GencGirisimciOrani))))),"")</f>
        <v/>
      </c>
      <c r="D654" s="110">
        <f>IF($C654="","",$C654*AySayisi)</f>
        <v/>
      </c>
      <c r="E654" s="107" t="n"/>
    </row>
    <row r="655" ht="15" customHeight="1" s="62">
      <c r="A655" s="107" t="n"/>
      <c r="B655" s="107" t="n"/>
      <c r="C655" s="110">
        <f>IFERROR(IF(OR($A655="",$B655=""),"",INDEX(tblCalisan[Brüt Ücret (₺)],MATCH($A655,tblCalisan[Çalışan Adı],0))*IF($B655="5 Puan İndirimi",BesPuanOrani,IF($B655="İlave İstihdam",IlaveIstihdamOrani,IF($B655="Kadın/Genç",KadinGencOrani,IF($B655="Engelli",EngelliOrani,GencGirisimciOrani))))),"")</f>
        <v/>
      </c>
      <c r="D655" s="110">
        <f>IF($C655="","",$C655*AySayisi)</f>
        <v/>
      </c>
      <c r="E655" s="107" t="n"/>
    </row>
    <row r="656" ht="15" customHeight="1" s="62">
      <c r="A656" s="107" t="n"/>
      <c r="B656" s="107" t="n"/>
      <c r="C656" s="110">
        <f>IFERROR(IF(OR($A656="",$B656=""),"",INDEX(tblCalisan[Brüt Ücret (₺)],MATCH($A656,tblCalisan[Çalışan Adı],0))*IF($B656="5 Puan İndirimi",BesPuanOrani,IF($B656="İlave İstihdam",IlaveIstihdamOrani,IF($B656="Kadın/Genç",KadinGencOrani,IF($B656="Engelli",EngelliOrani,GencGirisimciOrani))))),"")</f>
        <v/>
      </c>
      <c r="D656" s="110">
        <f>IF($C656="","",$C656*AySayisi)</f>
        <v/>
      </c>
      <c r="E656" s="107" t="n"/>
    </row>
    <row r="657" ht="15" customHeight="1" s="62">
      <c r="A657" s="107" t="n"/>
      <c r="B657" s="107" t="n"/>
      <c r="C657" s="110">
        <f>IFERROR(IF(OR($A657="",$B657=""),"",INDEX(tblCalisan[Brüt Ücret (₺)],MATCH($A657,tblCalisan[Çalışan Adı],0))*IF($B657="5 Puan İndirimi",BesPuanOrani,IF($B657="İlave İstihdam",IlaveIstihdamOrani,IF($B657="Kadın/Genç",KadinGencOrani,IF($B657="Engelli",EngelliOrani,GencGirisimciOrani))))),"")</f>
        <v/>
      </c>
      <c r="D657" s="110">
        <f>IF($C657="","",$C657*AySayisi)</f>
        <v/>
      </c>
      <c r="E657" s="107" t="n"/>
    </row>
    <row r="658" ht="15" customHeight="1" s="62">
      <c r="A658" s="107" t="n"/>
      <c r="B658" s="107" t="n"/>
      <c r="C658" s="110">
        <f>IFERROR(IF(OR($A658="",$B658=""),"",INDEX(tblCalisan[Brüt Ücret (₺)],MATCH($A658,tblCalisan[Çalışan Adı],0))*IF($B658="5 Puan İndirimi",BesPuanOrani,IF($B658="İlave İstihdam",IlaveIstihdamOrani,IF($B658="Kadın/Genç",KadinGencOrani,IF($B658="Engelli",EngelliOrani,GencGirisimciOrani))))),"")</f>
        <v/>
      </c>
      <c r="D658" s="110">
        <f>IF($C658="","",$C658*AySayisi)</f>
        <v/>
      </c>
      <c r="E658" s="107" t="n"/>
    </row>
    <row r="659" ht="15" customHeight="1" s="62">
      <c r="A659" s="107" t="n"/>
      <c r="B659" s="107" t="n"/>
      <c r="C659" s="110">
        <f>IFERROR(IF(OR($A659="",$B659=""),"",INDEX(tblCalisan[Brüt Ücret (₺)],MATCH($A659,tblCalisan[Çalışan Adı],0))*IF($B659="5 Puan İndirimi",BesPuanOrani,IF($B659="İlave İstihdam",IlaveIstihdamOrani,IF($B659="Kadın/Genç",KadinGencOrani,IF($B659="Engelli",EngelliOrani,GencGirisimciOrani))))),"")</f>
        <v/>
      </c>
      <c r="D659" s="110">
        <f>IF($C659="","",$C659*AySayisi)</f>
        <v/>
      </c>
      <c r="E659" s="107" t="n"/>
    </row>
    <row r="660" ht="15" customHeight="1" s="62">
      <c r="A660" s="107" t="n"/>
      <c r="B660" s="107" t="n"/>
      <c r="C660" s="110">
        <f>IFERROR(IF(OR($A660="",$B660=""),"",INDEX(tblCalisan[Brüt Ücret (₺)],MATCH($A660,tblCalisan[Çalışan Adı],0))*IF($B660="5 Puan İndirimi",BesPuanOrani,IF($B660="İlave İstihdam",IlaveIstihdamOrani,IF($B660="Kadın/Genç",KadinGencOrani,IF($B660="Engelli",EngelliOrani,GencGirisimciOrani))))),"")</f>
        <v/>
      </c>
      <c r="D660" s="110">
        <f>IF($C660="","",$C660*AySayisi)</f>
        <v/>
      </c>
      <c r="E660" s="107" t="n"/>
    </row>
    <row r="661" ht="15" customHeight="1" s="62">
      <c r="A661" s="107" t="n"/>
      <c r="B661" s="107" t="n"/>
      <c r="C661" s="110">
        <f>IFERROR(IF(OR($A661="",$B661=""),"",INDEX(tblCalisan[Brüt Ücret (₺)],MATCH($A661,tblCalisan[Çalışan Adı],0))*IF($B661="5 Puan İndirimi",BesPuanOrani,IF($B661="İlave İstihdam",IlaveIstihdamOrani,IF($B661="Kadın/Genç",KadinGencOrani,IF($B661="Engelli",EngelliOrani,GencGirisimciOrani))))),"")</f>
        <v/>
      </c>
      <c r="D661" s="110">
        <f>IF($C661="","",$C661*AySayisi)</f>
        <v/>
      </c>
      <c r="E661" s="107" t="n"/>
    </row>
    <row r="662" ht="15" customHeight="1" s="62">
      <c r="A662" s="107" t="n"/>
      <c r="B662" s="107" t="n"/>
      <c r="C662" s="110">
        <f>IFERROR(IF(OR($A662="",$B662=""),"",INDEX(tblCalisan[Brüt Ücret (₺)],MATCH($A662,tblCalisan[Çalışan Adı],0))*IF($B662="5 Puan İndirimi",BesPuanOrani,IF($B662="İlave İstihdam",IlaveIstihdamOrani,IF($B662="Kadın/Genç",KadinGencOrani,IF($B662="Engelli",EngelliOrani,GencGirisimciOrani))))),"")</f>
        <v/>
      </c>
      <c r="D662" s="110">
        <f>IF($C662="","",$C662*AySayisi)</f>
        <v/>
      </c>
      <c r="E662" s="107" t="n"/>
    </row>
    <row r="663" ht="15" customHeight="1" s="62">
      <c r="A663" s="107" t="n"/>
      <c r="B663" s="107" t="n"/>
      <c r="C663" s="110">
        <f>IFERROR(IF(OR($A663="",$B663=""),"",INDEX(tblCalisan[Brüt Ücret (₺)],MATCH($A663,tblCalisan[Çalışan Adı],0))*IF($B663="5 Puan İndirimi",BesPuanOrani,IF($B663="İlave İstihdam",IlaveIstihdamOrani,IF($B663="Kadın/Genç",KadinGencOrani,IF($B663="Engelli",EngelliOrani,GencGirisimciOrani))))),"")</f>
        <v/>
      </c>
      <c r="D663" s="110">
        <f>IF($C663="","",$C663*AySayisi)</f>
        <v/>
      </c>
      <c r="E663" s="107" t="n"/>
    </row>
    <row r="664" ht="15" customHeight="1" s="62">
      <c r="A664" s="107" t="n"/>
      <c r="B664" s="107" t="n"/>
      <c r="C664" s="110">
        <f>IFERROR(IF(OR($A664="",$B664=""),"",INDEX(tblCalisan[Brüt Ücret (₺)],MATCH($A664,tblCalisan[Çalışan Adı],0))*IF($B664="5 Puan İndirimi",BesPuanOrani,IF($B664="İlave İstihdam",IlaveIstihdamOrani,IF($B664="Kadın/Genç",KadinGencOrani,IF($B664="Engelli",EngelliOrani,GencGirisimciOrani))))),"")</f>
        <v/>
      </c>
      <c r="D664" s="110">
        <f>IF($C664="","",$C664*AySayisi)</f>
        <v/>
      </c>
      <c r="E664" s="107" t="n"/>
    </row>
    <row r="665" ht="15" customHeight="1" s="62">
      <c r="A665" s="107" t="n"/>
      <c r="B665" s="107" t="n"/>
      <c r="C665" s="110">
        <f>IFERROR(IF(OR($A665="",$B665=""),"",INDEX(tblCalisan[Brüt Ücret (₺)],MATCH($A665,tblCalisan[Çalışan Adı],0))*IF($B665="5 Puan İndirimi",BesPuanOrani,IF($B665="İlave İstihdam",IlaveIstihdamOrani,IF($B665="Kadın/Genç",KadinGencOrani,IF($B665="Engelli",EngelliOrani,GencGirisimciOrani))))),"")</f>
        <v/>
      </c>
      <c r="D665" s="110">
        <f>IF($C665="","",$C665*AySayisi)</f>
        <v/>
      </c>
      <c r="E665" s="107" t="n"/>
    </row>
    <row r="666" ht="15" customHeight="1" s="62">
      <c r="A666" s="107" t="n"/>
      <c r="B666" s="107" t="n"/>
      <c r="C666" s="110">
        <f>IFERROR(IF(OR($A666="",$B666=""),"",INDEX(tblCalisan[Brüt Ücret (₺)],MATCH($A666,tblCalisan[Çalışan Adı],0))*IF($B666="5 Puan İndirimi",BesPuanOrani,IF($B666="İlave İstihdam",IlaveIstihdamOrani,IF($B666="Kadın/Genç",KadinGencOrani,IF($B666="Engelli",EngelliOrani,GencGirisimciOrani))))),"")</f>
        <v/>
      </c>
      <c r="D666" s="110">
        <f>IF($C666="","",$C666*AySayisi)</f>
        <v/>
      </c>
      <c r="E666" s="107" t="n"/>
    </row>
    <row r="667" ht="15" customHeight="1" s="62">
      <c r="A667" s="107" t="n"/>
      <c r="B667" s="107" t="n"/>
      <c r="C667" s="110">
        <f>IFERROR(IF(OR($A667="",$B667=""),"",INDEX(tblCalisan[Brüt Ücret (₺)],MATCH($A667,tblCalisan[Çalışan Adı],0))*IF($B667="5 Puan İndirimi",BesPuanOrani,IF($B667="İlave İstihdam",IlaveIstihdamOrani,IF($B667="Kadın/Genç",KadinGencOrani,IF($B667="Engelli",EngelliOrani,GencGirisimciOrani))))),"")</f>
        <v/>
      </c>
      <c r="D667" s="110">
        <f>IF($C667="","",$C667*AySayisi)</f>
        <v/>
      </c>
      <c r="E667" s="107" t="n"/>
    </row>
    <row r="668" ht="15" customHeight="1" s="62">
      <c r="A668" s="107" t="n"/>
      <c r="B668" s="107" t="n"/>
      <c r="C668" s="110">
        <f>IFERROR(IF(OR($A668="",$B668=""),"",INDEX(tblCalisan[Brüt Ücret (₺)],MATCH($A668,tblCalisan[Çalışan Adı],0))*IF($B668="5 Puan İndirimi",BesPuanOrani,IF($B668="İlave İstihdam",IlaveIstihdamOrani,IF($B668="Kadın/Genç",KadinGencOrani,IF($B668="Engelli",EngelliOrani,GencGirisimciOrani))))),"")</f>
        <v/>
      </c>
      <c r="D668" s="110">
        <f>IF($C668="","",$C668*AySayisi)</f>
        <v/>
      </c>
      <c r="E668" s="107" t="n"/>
    </row>
    <row r="669" ht="15" customHeight="1" s="62">
      <c r="A669" s="107" t="n"/>
      <c r="B669" s="107" t="n"/>
      <c r="C669" s="110">
        <f>IFERROR(IF(OR($A669="",$B669=""),"",INDEX(tblCalisan[Brüt Ücret (₺)],MATCH($A669,tblCalisan[Çalışan Adı],0))*IF($B669="5 Puan İndirimi",BesPuanOrani,IF($B669="İlave İstihdam",IlaveIstihdamOrani,IF($B669="Kadın/Genç",KadinGencOrani,IF($B669="Engelli",EngelliOrani,GencGirisimciOrani))))),"")</f>
        <v/>
      </c>
      <c r="D669" s="110">
        <f>IF($C669="","",$C669*AySayisi)</f>
        <v/>
      </c>
      <c r="E669" s="107" t="n"/>
    </row>
    <row r="670" ht="15" customHeight="1" s="62">
      <c r="A670" s="107" t="n"/>
      <c r="B670" s="107" t="n"/>
      <c r="C670" s="110">
        <f>IFERROR(IF(OR($A670="",$B670=""),"",INDEX(tblCalisan[Brüt Ücret (₺)],MATCH($A670,tblCalisan[Çalışan Adı],0))*IF($B670="5 Puan İndirimi",BesPuanOrani,IF($B670="İlave İstihdam",IlaveIstihdamOrani,IF($B670="Kadın/Genç",KadinGencOrani,IF($B670="Engelli",EngelliOrani,GencGirisimciOrani))))),"")</f>
        <v/>
      </c>
      <c r="D670" s="110">
        <f>IF($C670="","",$C670*AySayisi)</f>
        <v/>
      </c>
      <c r="E670" s="107" t="n"/>
    </row>
    <row r="671" ht="15" customHeight="1" s="62">
      <c r="A671" s="107" t="n"/>
      <c r="B671" s="107" t="n"/>
      <c r="C671" s="110">
        <f>IFERROR(IF(OR($A671="",$B671=""),"",INDEX(tblCalisan[Brüt Ücret (₺)],MATCH($A671,tblCalisan[Çalışan Adı],0))*IF($B671="5 Puan İndirimi",BesPuanOrani,IF($B671="İlave İstihdam",IlaveIstihdamOrani,IF($B671="Kadın/Genç",KadinGencOrani,IF($B671="Engelli",EngelliOrani,GencGirisimciOrani))))),"")</f>
        <v/>
      </c>
      <c r="D671" s="110">
        <f>IF($C671="","",$C671*AySayisi)</f>
        <v/>
      </c>
      <c r="E671" s="107" t="n"/>
    </row>
    <row r="672" ht="15" customHeight="1" s="62">
      <c r="A672" s="107" t="n"/>
      <c r="B672" s="107" t="n"/>
      <c r="C672" s="110">
        <f>IFERROR(IF(OR($A672="",$B672=""),"",INDEX(tblCalisan[Brüt Ücret (₺)],MATCH($A672,tblCalisan[Çalışan Adı],0))*IF($B672="5 Puan İndirimi",BesPuanOrani,IF($B672="İlave İstihdam",IlaveIstihdamOrani,IF($B672="Kadın/Genç",KadinGencOrani,IF($B672="Engelli",EngelliOrani,GencGirisimciOrani))))),"")</f>
        <v/>
      </c>
      <c r="D672" s="110">
        <f>IF($C672="","",$C672*AySayisi)</f>
        <v/>
      </c>
      <c r="E672" s="107" t="n"/>
    </row>
    <row r="673" ht="15" customHeight="1" s="62">
      <c r="A673" s="107" t="n"/>
      <c r="B673" s="107" t="n"/>
      <c r="C673" s="110">
        <f>IFERROR(IF(OR($A673="",$B673=""),"",INDEX(tblCalisan[Brüt Ücret (₺)],MATCH($A673,tblCalisan[Çalışan Adı],0))*IF($B673="5 Puan İndirimi",BesPuanOrani,IF($B673="İlave İstihdam",IlaveIstihdamOrani,IF($B673="Kadın/Genç",KadinGencOrani,IF($B673="Engelli",EngelliOrani,GencGirisimciOrani))))),"")</f>
        <v/>
      </c>
      <c r="D673" s="110">
        <f>IF($C673="","",$C673*AySayisi)</f>
        <v/>
      </c>
      <c r="E673" s="107" t="n"/>
    </row>
    <row r="674" ht="15" customHeight="1" s="62">
      <c r="A674" s="107" t="n"/>
      <c r="B674" s="107" t="n"/>
      <c r="C674" s="110">
        <f>IFERROR(IF(OR($A674="",$B674=""),"",INDEX(tblCalisan[Brüt Ücret (₺)],MATCH($A674,tblCalisan[Çalışan Adı],0))*IF($B674="5 Puan İndirimi",BesPuanOrani,IF($B674="İlave İstihdam",IlaveIstihdamOrani,IF($B674="Kadın/Genç",KadinGencOrani,IF($B674="Engelli",EngelliOrani,GencGirisimciOrani))))),"")</f>
        <v/>
      </c>
      <c r="D674" s="110">
        <f>IF($C674="","",$C674*AySayisi)</f>
        <v/>
      </c>
      <c r="E674" s="107" t="n"/>
    </row>
    <row r="675" ht="15" customHeight="1" s="62">
      <c r="A675" s="107" t="n"/>
      <c r="B675" s="107" t="n"/>
      <c r="C675" s="110">
        <f>IFERROR(IF(OR($A675="",$B675=""),"",INDEX(tblCalisan[Brüt Ücret (₺)],MATCH($A675,tblCalisan[Çalışan Adı],0))*IF($B675="5 Puan İndirimi",BesPuanOrani,IF($B675="İlave İstihdam",IlaveIstihdamOrani,IF($B675="Kadın/Genç",KadinGencOrani,IF($B675="Engelli",EngelliOrani,GencGirisimciOrani))))),"")</f>
        <v/>
      </c>
      <c r="D675" s="110">
        <f>IF($C675="","",$C675*AySayisi)</f>
        <v/>
      </c>
      <c r="E675" s="107" t="n"/>
    </row>
    <row r="676" ht="15" customHeight="1" s="62">
      <c r="A676" s="107" t="n"/>
      <c r="B676" s="107" t="n"/>
      <c r="C676" s="110">
        <f>IFERROR(IF(OR($A676="",$B676=""),"",INDEX(tblCalisan[Brüt Ücret (₺)],MATCH($A676,tblCalisan[Çalışan Adı],0))*IF($B676="5 Puan İndirimi",BesPuanOrani,IF($B676="İlave İstihdam",IlaveIstihdamOrani,IF($B676="Kadın/Genç",KadinGencOrani,IF($B676="Engelli",EngelliOrani,GencGirisimciOrani))))),"")</f>
        <v/>
      </c>
      <c r="D676" s="110">
        <f>IF($C676="","",$C676*AySayisi)</f>
        <v/>
      </c>
      <c r="E676" s="107" t="n"/>
    </row>
    <row r="677" ht="15" customHeight="1" s="62">
      <c r="A677" s="107" t="n"/>
      <c r="B677" s="107" t="n"/>
      <c r="C677" s="110">
        <f>IFERROR(IF(OR($A677="",$B677=""),"",INDEX(tblCalisan[Brüt Ücret (₺)],MATCH($A677,tblCalisan[Çalışan Adı],0))*IF($B677="5 Puan İndirimi",BesPuanOrani,IF($B677="İlave İstihdam",IlaveIstihdamOrani,IF($B677="Kadın/Genç",KadinGencOrani,IF($B677="Engelli",EngelliOrani,GencGirisimciOrani))))),"")</f>
        <v/>
      </c>
      <c r="D677" s="110">
        <f>IF($C677="","",$C677*AySayisi)</f>
        <v/>
      </c>
      <c r="E677" s="107" t="n"/>
    </row>
    <row r="678" ht="15" customHeight="1" s="62">
      <c r="A678" s="107" t="n"/>
      <c r="B678" s="107" t="n"/>
      <c r="C678" s="110">
        <f>IFERROR(IF(OR($A678="",$B678=""),"",INDEX(tblCalisan[Brüt Ücret (₺)],MATCH($A678,tblCalisan[Çalışan Adı],0))*IF($B678="5 Puan İndirimi",BesPuanOrani,IF($B678="İlave İstihdam",IlaveIstihdamOrani,IF($B678="Kadın/Genç",KadinGencOrani,IF($B678="Engelli",EngelliOrani,GencGirisimciOrani))))),"")</f>
        <v/>
      </c>
      <c r="D678" s="110">
        <f>IF($C678="","",$C678*AySayisi)</f>
        <v/>
      </c>
      <c r="E678" s="107" t="n"/>
    </row>
    <row r="679" ht="15" customHeight="1" s="62">
      <c r="A679" s="107" t="n"/>
      <c r="B679" s="107" t="n"/>
      <c r="C679" s="110">
        <f>IFERROR(IF(OR($A679="",$B679=""),"",INDEX(tblCalisan[Brüt Ücret (₺)],MATCH($A679,tblCalisan[Çalışan Adı],0))*IF($B679="5 Puan İndirimi",BesPuanOrani,IF($B679="İlave İstihdam",IlaveIstihdamOrani,IF($B679="Kadın/Genç",KadinGencOrani,IF($B679="Engelli",EngelliOrani,GencGirisimciOrani))))),"")</f>
        <v/>
      </c>
      <c r="D679" s="110">
        <f>IF($C679="","",$C679*AySayisi)</f>
        <v/>
      </c>
      <c r="E679" s="107" t="n"/>
    </row>
    <row r="680" ht="15" customHeight="1" s="62">
      <c r="A680" s="107" t="n"/>
      <c r="B680" s="107" t="n"/>
      <c r="C680" s="110">
        <f>IFERROR(IF(OR($A680="",$B680=""),"",INDEX(tblCalisan[Brüt Ücret (₺)],MATCH($A680,tblCalisan[Çalışan Adı],0))*IF($B680="5 Puan İndirimi",BesPuanOrani,IF($B680="İlave İstihdam",IlaveIstihdamOrani,IF($B680="Kadın/Genç",KadinGencOrani,IF($B680="Engelli",EngelliOrani,GencGirisimciOrani))))),"")</f>
        <v/>
      </c>
      <c r="D680" s="110">
        <f>IF($C680="","",$C680*AySayisi)</f>
        <v/>
      </c>
      <c r="E680" s="107" t="n"/>
    </row>
    <row r="681" ht="15" customHeight="1" s="62">
      <c r="A681" s="107" t="n"/>
      <c r="B681" s="107" t="n"/>
      <c r="C681" s="110">
        <f>IFERROR(IF(OR($A681="",$B681=""),"",INDEX(tblCalisan[Brüt Ücret (₺)],MATCH($A681,tblCalisan[Çalışan Adı],0))*IF($B681="5 Puan İndirimi",BesPuanOrani,IF($B681="İlave İstihdam",IlaveIstihdamOrani,IF($B681="Kadın/Genç",KadinGencOrani,IF($B681="Engelli",EngelliOrani,GencGirisimciOrani))))),"")</f>
        <v/>
      </c>
      <c r="D681" s="110">
        <f>IF($C681="","",$C681*AySayisi)</f>
        <v/>
      </c>
      <c r="E681" s="107" t="n"/>
    </row>
    <row r="682" ht="15" customHeight="1" s="62">
      <c r="A682" s="107" t="n"/>
      <c r="B682" s="107" t="n"/>
      <c r="C682" s="110">
        <f>IFERROR(IF(OR($A682="",$B682=""),"",INDEX(tblCalisan[Brüt Ücret (₺)],MATCH($A682,tblCalisan[Çalışan Adı],0))*IF($B682="5 Puan İndirimi",BesPuanOrani,IF($B682="İlave İstihdam",IlaveIstihdamOrani,IF($B682="Kadın/Genç",KadinGencOrani,IF($B682="Engelli",EngelliOrani,GencGirisimciOrani))))),"")</f>
        <v/>
      </c>
      <c r="D682" s="110">
        <f>IF($C682="","",$C682*AySayisi)</f>
        <v/>
      </c>
      <c r="E682" s="107" t="n"/>
    </row>
    <row r="683" ht="15" customHeight="1" s="62">
      <c r="A683" s="107" t="n"/>
      <c r="B683" s="107" t="n"/>
      <c r="C683" s="110">
        <f>IFERROR(IF(OR($A683="",$B683=""),"",INDEX(tblCalisan[Brüt Ücret (₺)],MATCH($A683,tblCalisan[Çalışan Adı],0))*IF($B683="5 Puan İndirimi",BesPuanOrani,IF($B683="İlave İstihdam",IlaveIstihdamOrani,IF($B683="Kadın/Genç",KadinGencOrani,IF($B683="Engelli",EngelliOrani,GencGirisimciOrani))))),"")</f>
        <v/>
      </c>
      <c r="D683" s="110">
        <f>IF($C683="","",$C683*AySayisi)</f>
        <v/>
      </c>
      <c r="E683" s="107" t="n"/>
    </row>
    <row r="684" ht="15" customHeight="1" s="62">
      <c r="A684" s="107" t="n"/>
      <c r="B684" s="107" t="n"/>
      <c r="C684" s="110">
        <f>IFERROR(IF(OR($A684="",$B684=""),"",INDEX(tblCalisan[Brüt Ücret (₺)],MATCH($A684,tblCalisan[Çalışan Adı],0))*IF($B684="5 Puan İndirimi",BesPuanOrani,IF($B684="İlave İstihdam",IlaveIstihdamOrani,IF($B684="Kadın/Genç",KadinGencOrani,IF($B684="Engelli",EngelliOrani,GencGirisimciOrani))))),"")</f>
        <v/>
      </c>
      <c r="D684" s="110">
        <f>IF($C684="","",$C684*AySayisi)</f>
        <v/>
      </c>
      <c r="E684" s="107" t="n"/>
    </row>
    <row r="685" ht="15" customHeight="1" s="62">
      <c r="A685" s="107" t="n"/>
      <c r="B685" s="107" t="n"/>
      <c r="C685" s="110">
        <f>IFERROR(IF(OR($A685="",$B685=""),"",INDEX(tblCalisan[Brüt Ücret (₺)],MATCH($A685,tblCalisan[Çalışan Adı],0))*IF($B685="5 Puan İndirimi",BesPuanOrani,IF($B685="İlave İstihdam",IlaveIstihdamOrani,IF($B685="Kadın/Genç",KadinGencOrani,IF($B685="Engelli",EngelliOrani,GencGirisimciOrani))))),"")</f>
        <v/>
      </c>
      <c r="D685" s="110">
        <f>IF($C685="","",$C685*AySayisi)</f>
        <v/>
      </c>
      <c r="E685" s="107" t="n"/>
    </row>
    <row r="686" ht="15" customHeight="1" s="62">
      <c r="A686" s="107" t="n"/>
      <c r="B686" s="107" t="n"/>
      <c r="C686" s="110">
        <f>IFERROR(IF(OR($A686="",$B686=""),"",INDEX(tblCalisan[Brüt Ücret (₺)],MATCH($A686,tblCalisan[Çalışan Adı],0))*IF($B686="5 Puan İndirimi",BesPuanOrani,IF($B686="İlave İstihdam",IlaveIstihdamOrani,IF($B686="Kadın/Genç",KadinGencOrani,IF($B686="Engelli",EngelliOrani,GencGirisimciOrani))))),"")</f>
        <v/>
      </c>
      <c r="D686" s="110">
        <f>IF($C686="","",$C686*AySayisi)</f>
        <v/>
      </c>
      <c r="E686" s="107" t="n"/>
    </row>
    <row r="687" ht="15" customHeight="1" s="62">
      <c r="A687" s="107" t="n"/>
      <c r="B687" s="107" t="n"/>
      <c r="C687" s="110">
        <f>IFERROR(IF(OR($A687="",$B687=""),"",INDEX(tblCalisan[Brüt Ücret (₺)],MATCH($A687,tblCalisan[Çalışan Adı],0))*IF($B687="5 Puan İndirimi",BesPuanOrani,IF($B687="İlave İstihdam",IlaveIstihdamOrani,IF($B687="Kadın/Genç",KadinGencOrani,IF($B687="Engelli",EngelliOrani,GencGirisimciOrani))))),"")</f>
        <v/>
      </c>
      <c r="D687" s="110">
        <f>IF($C687="","",$C687*AySayisi)</f>
        <v/>
      </c>
      <c r="E687" s="107" t="n"/>
    </row>
    <row r="688" ht="15" customHeight="1" s="62">
      <c r="A688" s="107" t="n"/>
      <c r="B688" s="107" t="n"/>
      <c r="C688" s="110">
        <f>IFERROR(IF(OR($A688="",$B688=""),"",INDEX(tblCalisan[Brüt Ücret (₺)],MATCH($A688,tblCalisan[Çalışan Adı],0))*IF($B688="5 Puan İndirimi",BesPuanOrani,IF($B688="İlave İstihdam",IlaveIstihdamOrani,IF($B688="Kadın/Genç",KadinGencOrani,IF($B688="Engelli",EngelliOrani,GencGirisimciOrani))))),"")</f>
        <v/>
      </c>
      <c r="D688" s="110">
        <f>IF($C688="","",$C688*AySayisi)</f>
        <v/>
      </c>
      <c r="E688" s="107" t="n"/>
    </row>
    <row r="689" ht="15" customHeight="1" s="62">
      <c r="A689" s="107" t="n"/>
      <c r="B689" s="107" t="n"/>
      <c r="C689" s="110">
        <f>IFERROR(IF(OR($A689="",$B689=""),"",INDEX(tblCalisan[Brüt Ücret (₺)],MATCH($A689,tblCalisan[Çalışan Adı],0))*IF($B689="5 Puan İndirimi",BesPuanOrani,IF($B689="İlave İstihdam",IlaveIstihdamOrani,IF($B689="Kadın/Genç",KadinGencOrani,IF($B689="Engelli",EngelliOrani,GencGirisimciOrani))))),"")</f>
        <v/>
      </c>
      <c r="D689" s="110">
        <f>IF($C689="","",$C689*AySayisi)</f>
        <v/>
      </c>
      <c r="E689" s="107" t="n"/>
    </row>
    <row r="690" ht="15" customHeight="1" s="62">
      <c r="A690" s="107" t="n"/>
      <c r="B690" s="107" t="n"/>
      <c r="C690" s="110">
        <f>IFERROR(IF(OR($A690="",$B690=""),"",INDEX(tblCalisan[Brüt Ücret (₺)],MATCH($A690,tblCalisan[Çalışan Adı],0))*IF($B690="5 Puan İndirimi",BesPuanOrani,IF($B690="İlave İstihdam",IlaveIstihdamOrani,IF($B690="Kadın/Genç",KadinGencOrani,IF($B690="Engelli",EngelliOrani,GencGirisimciOrani))))),"")</f>
        <v/>
      </c>
      <c r="D690" s="110">
        <f>IF($C690="","",$C690*AySayisi)</f>
        <v/>
      </c>
      <c r="E690" s="107" t="n"/>
    </row>
    <row r="691" ht="15" customHeight="1" s="62">
      <c r="A691" s="107" t="n"/>
      <c r="B691" s="107" t="n"/>
      <c r="C691" s="110">
        <f>IFERROR(IF(OR($A691="",$B691=""),"",INDEX(tblCalisan[Brüt Ücret (₺)],MATCH($A691,tblCalisan[Çalışan Adı],0))*IF($B691="5 Puan İndirimi",BesPuanOrani,IF($B691="İlave İstihdam",IlaveIstihdamOrani,IF($B691="Kadın/Genç",KadinGencOrani,IF($B691="Engelli",EngelliOrani,GencGirisimciOrani))))),"")</f>
        <v/>
      </c>
      <c r="D691" s="110">
        <f>IF($C691="","",$C691*AySayisi)</f>
        <v/>
      </c>
      <c r="E691" s="107" t="n"/>
    </row>
    <row r="692" ht="15" customHeight="1" s="62">
      <c r="A692" s="107" t="n"/>
      <c r="B692" s="107" t="n"/>
      <c r="C692" s="110">
        <f>IFERROR(IF(OR($A692="",$B692=""),"",INDEX(tblCalisan[Brüt Ücret (₺)],MATCH($A692,tblCalisan[Çalışan Adı],0))*IF($B692="5 Puan İndirimi",BesPuanOrani,IF($B692="İlave İstihdam",IlaveIstihdamOrani,IF($B692="Kadın/Genç",KadinGencOrani,IF($B692="Engelli",EngelliOrani,GencGirisimciOrani))))),"")</f>
        <v/>
      </c>
      <c r="D692" s="110">
        <f>IF($C692="","",$C692*AySayisi)</f>
        <v/>
      </c>
      <c r="E692" s="107" t="n"/>
    </row>
    <row r="693" ht="15" customHeight="1" s="62">
      <c r="A693" s="107" t="n"/>
      <c r="B693" s="107" t="n"/>
      <c r="C693" s="110">
        <f>IFERROR(IF(OR($A693="",$B693=""),"",INDEX(tblCalisan[Brüt Ücret (₺)],MATCH($A693,tblCalisan[Çalışan Adı],0))*IF($B693="5 Puan İndirimi",BesPuanOrani,IF($B693="İlave İstihdam",IlaveIstihdamOrani,IF($B693="Kadın/Genç",KadinGencOrani,IF($B693="Engelli",EngelliOrani,GencGirisimciOrani))))),"")</f>
        <v/>
      </c>
      <c r="D693" s="110">
        <f>IF($C693="","",$C693*AySayisi)</f>
        <v/>
      </c>
      <c r="E693" s="107" t="n"/>
    </row>
    <row r="694" ht="15" customHeight="1" s="62">
      <c r="A694" s="107" t="n"/>
      <c r="B694" s="107" t="n"/>
      <c r="C694" s="110">
        <f>IFERROR(IF(OR($A694="",$B694=""),"",INDEX(tblCalisan[Brüt Ücret (₺)],MATCH($A694,tblCalisan[Çalışan Adı],0))*IF($B694="5 Puan İndirimi",BesPuanOrani,IF($B694="İlave İstihdam",IlaveIstihdamOrani,IF($B694="Kadın/Genç",KadinGencOrani,IF($B694="Engelli",EngelliOrani,GencGirisimciOrani))))),"")</f>
        <v/>
      </c>
      <c r="D694" s="110">
        <f>IF($C694="","",$C694*AySayisi)</f>
        <v/>
      </c>
      <c r="E694" s="107" t="n"/>
    </row>
    <row r="695" ht="15" customHeight="1" s="62">
      <c r="A695" s="107" t="n"/>
      <c r="B695" s="107" t="n"/>
      <c r="C695" s="110">
        <f>IFERROR(IF(OR($A695="",$B695=""),"",INDEX(tblCalisan[Brüt Ücret (₺)],MATCH($A695,tblCalisan[Çalışan Adı],0))*IF($B695="5 Puan İndirimi",BesPuanOrani,IF($B695="İlave İstihdam",IlaveIstihdamOrani,IF($B695="Kadın/Genç",KadinGencOrani,IF($B695="Engelli",EngelliOrani,GencGirisimciOrani))))),"")</f>
        <v/>
      </c>
      <c r="D695" s="110">
        <f>IF($C695="","",$C695*AySayisi)</f>
        <v/>
      </c>
      <c r="E695" s="107" t="n"/>
    </row>
    <row r="696" ht="15" customHeight="1" s="62">
      <c r="A696" s="107" t="n"/>
      <c r="B696" s="107" t="n"/>
      <c r="C696" s="110">
        <f>IFERROR(IF(OR($A696="",$B696=""),"",INDEX(tblCalisan[Brüt Ücret (₺)],MATCH($A696,tblCalisan[Çalışan Adı],0))*IF($B696="5 Puan İndirimi",BesPuanOrani,IF($B696="İlave İstihdam",IlaveIstihdamOrani,IF($B696="Kadın/Genç",KadinGencOrani,IF($B696="Engelli",EngelliOrani,GencGirisimciOrani))))),"")</f>
        <v/>
      </c>
      <c r="D696" s="110">
        <f>IF($C696="","",$C696*AySayisi)</f>
        <v/>
      </c>
      <c r="E696" s="107" t="n"/>
    </row>
    <row r="697" ht="15" customHeight="1" s="62">
      <c r="A697" s="107" t="n"/>
      <c r="B697" s="107" t="n"/>
      <c r="C697" s="110">
        <f>IFERROR(IF(OR($A697="",$B697=""),"",INDEX(tblCalisan[Brüt Ücret (₺)],MATCH($A697,tblCalisan[Çalışan Adı],0))*IF($B697="5 Puan İndirimi",BesPuanOrani,IF($B697="İlave İstihdam",IlaveIstihdamOrani,IF($B697="Kadın/Genç",KadinGencOrani,IF($B697="Engelli",EngelliOrani,GencGirisimciOrani))))),"")</f>
        <v/>
      </c>
      <c r="D697" s="110">
        <f>IF($C697="","",$C697*AySayisi)</f>
        <v/>
      </c>
      <c r="E697" s="107" t="n"/>
    </row>
    <row r="698" ht="15" customHeight="1" s="62">
      <c r="A698" s="107" t="n"/>
      <c r="B698" s="107" t="n"/>
      <c r="C698" s="110">
        <f>IFERROR(IF(OR($A698="",$B698=""),"",INDEX(tblCalisan[Brüt Ücret (₺)],MATCH($A698,tblCalisan[Çalışan Adı],0))*IF($B698="5 Puan İndirimi",BesPuanOrani,IF($B698="İlave İstihdam",IlaveIstihdamOrani,IF($B698="Kadın/Genç",KadinGencOrani,IF($B698="Engelli",EngelliOrani,GencGirisimciOrani))))),"")</f>
        <v/>
      </c>
      <c r="D698" s="110">
        <f>IF($C698="","",$C698*AySayisi)</f>
        <v/>
      </c>
      <c r="E698" s="107" t="n"/>
    </row>
    <row r="699" ht="15" customHeight="1" s="62">
      <c r="A699" s="107" t="n"/>
      <c r="B699" s="107" t="n"/>
      <c r="C699" s="110">
        <f>IFERROR(IF(OR($A699="",$B699=""),"",INDEX(tblCalisan[Brüt Ücret (₺)],MATCH($A699,tblCalisan[Çalışan Adı],0))*IF($B699="5 Puan İndirimi",BesPuanOrani,IF($B699="İlave İstihdam",IlaveIstihdamOrani,IF($B699="Kadın/Genç",KadinGencOrani,IF($B699="Engelli",EngelliOrani,GencGirisimciOrani))))),"")</f>
        <v/>
      </c>
      <c r="D699" s="110">
        <f>IF($C699="","",$C699*AySayisi)</f>
        <v/>
      </c>
      <c r="E699" s="107" t="n"/>
    </row>
    <row r="700" ht="15" customHeight="1" s="62">
      <c r="A700" s="107" t="n"/>
      <c r="B700" s="107" t="n"/>
      <c r="C700" s="110">
        <f>IFERROR(IF(OR($A700="",$B700=""),"",INDEX(tblCalisan[Brüt Ücret (₺)],MATCH($A700,tblCalisan[Çalışan Adı],0))*IF($B700="5 Puan İndirimi",BesPuanOrani,IF($B700="İlave İstihdam",IlaveIstihdamOrani,IF($B700="Kadın/Genç",KadinGencOrani,IF($B700="Engelli",EngelliOrani,GencGirisimciOrani))))),"")</f>
        <v/>
      </c>
      <c r="D700" s="110">
        <f>IF($C700="","",$C700*AySayisi)</f>
        <v/>
      </c>
      <c r="E700" s="107" t="n"/>
    </row>
    <row r="701" ht="15" customHeight="1" s="62">
      <c r="A701" s="107" t="n"/>
      <c r="B701" s="107" t="n"/>
      <c r="C701" s="110">
        <f>IFERROR(IF(OR($A701="",$B701=""),"",INDEX(tblCalisan[Brüt Ücret (₺)],MATCH($A701,tblCalisan[Çalışan Adı],0))*IF($B701="5 Puan İndirimi",BesPuanOrani,IF($B701="İlave İstihdam",IlaveIstihdamOrani,IF($B701="Kadın/Genç",KadinGencOrani,IF($B701="Engelli",EngelliOrani,GencGirisimciOrani))))),"")</f>
        <v/>
      </c>
      <c r="D701" s="110">
        <f>IF($C701="","",$C701*AySayisi)</f>
        <v/>
      </c>
      <c r="E701" s="107" t="n"/>
    </row>
    <row r="702" ht="15" customHeight="1" s="62">
      <c r="A702" s="107" t="n"/>
      <c r="B702" s="107" t="n"/>
      <c r="C702" s="110">
        <f>IFERROR(IF(OR($A702="",$B702=""),"",INDEX(tblCalisan[Brüt Ücret (₺)],MATCH($A702,tblCalisan[Çalışan Adı],0))*IF($B702="5 Puan İndirimi",BesPuanOrani,IF($B702="İlave İstihdam",IlaveIstihdamOrani,IF($B702="Kadın/Genç",KadinGencOrani,IF($B702="Engelli",EngelliOrani,GencGirisimciOrani))))),"")</f>
        <v/>
      </c>
      <c r="D702" s="110">
        <f>IF($C702="","",$C702*AySayisi)</f>
        <v/>
      </c>
      <c r="E702" s="107" t="n"/>
    </row>
    <row r="703" ht="15" customHeight="1" s="62">
      <c r="A703" s="107" t="n"/>
      <c r="B703" s="107" t="n"/>
      <c r="C703" s="110">
        <f>IFERROR(IF(OR($A703="",$B703=""),"",INDEX(tblCalisan[Brüt Ücret (₺)],MATCH($A703,tblCalisan[Çalışan Adı],0))*IF($B703="5 Puan İndirimi",BesPuanOrani,IF($B703="İlave İstihdam",IlaveIstihdamOrani,IF($B703="Kadın/Genç",KadinGencOrani,IF($B703="Engelli",EngelliOrani,GencGirisimciOrani))))),"")</f>
        <v/>
      </c>
      <c r="D703" s="110">
        <f>IF($C703="","",$C703*AySayisi)</f>
        <v/>
      </c>
      <c r="E703" s="107" t="n"/>
    </row>
    <row r="704" ht="15" customHeight="1" s="62">
      <c r="A704" s="107" t="n"/>
      <c r="B704" s="107" t="n"/>
      <c r="C704" s="110">
        <f>IFERROR(IF(OR($A704="",$B704=""),"",INDEX(tblCalisan[Brüt Ücret (₺)],MATCH($A704,tblCalisan[Çalışan Adı],0))*IF($B704="5 Puan İndirimi",BesPuanOrani,IF($B704="İlave İstihdam",IlaveIstihdamOrani,IF($B704="Kadın/Genç",KadinGencOrani,IF($B704="Engelli",EngelliOrani,GencGirisimciOrani))))),"")</f>
        <v/>
      </c>
      <c r="D704" s="110">
        <f>IF($C704="","",$C704*AySayisi)</f>
        <v/>
      </c>
      <c r="E704" s="107" t="n"/>
    </row>
    <row r="705" ht="15" customHeight="1" s="62">
      <c r="A705" s="107" t="n"/>
      <c r="B705" s="107" t="n"/>
      <c r="C705" s="110">
        <f>IFERROR(IF(OR($A705="",$B705=""),"",INDEX(tblCalisan[Brüt Ücret (₺)],MATCH($A705,tblCalisan[Çalışan Adı],0))*IF($B705="5 Puan İndirimi",BesPuanOrani,IF($B705="İlave İstihdam",IlaveIstihdamOrani,IF($B705="Kadın/Genç",KadinGencOrani,IF($B705="Engelli",EngelliOrani,GencGirisimciOrani))))),"")</f>
        <v/>
      </c>
      <c r="D705" s="110">
        <f>IF($C705="","",$C705*AySayisi)</f>
        <v/>
      </c>
      <c r="E705" s="107" t="n"/>
    </row>
    <row r="706" ht="15" customHeight="1" s="62">
      <c r="A706" s="107" t="n"/>
      <c r="B706" s="107" t="n"/>
      <c r="C706" s="110">
        <f>IFERROR(IF(OR($A706="",$B706=""),"",INDEX(tblCalisan[Brüt Ücret (₺)],MATCH($A706,tblCalisan[Çalışan Adı],0))*IF($B706="5 Puan İndirimi",BesPuanOrani,IF($B706="İlave İstihdam",IlaveIstihdamOrani,IF($B706="Kadın/Genç",KadinGencOrani,IF($B706="Engelli",EngelliOrani,GencGirisimciOrani))))),"")</f>
        <v/>
      </c>
      <c r="D706" s="110">
        <f>IF($C706="","",$C706*AySayisi)</f>
        <v/>
      </c>
      <c r="E706" s="107" t="n"/>
    </row>
    <row r="707" ht="15" customHeight="1" s="62">
      <c r="A707" s="107" t="n"/>
      <c r="B707" s="107" t="n"/>
      <c r="C707" s="110">
        <f>IFERROR(IF(OR($A707="",$B707=""),"",INDEX(tblCalisan[Brüt Ücret (₺)],MATCH($A707,tblCalisan[Çalışan Adı],0))*IF($B707="5 Puan İndirimi",BesPuanOrani,IF($B707="İlave İstihdam",IlaveIstihdamOrani,IF($B707="Kadın/Genç",KadinGencOrani,IF($B707="Engelli",EngelliOrani,GencGirisimciOrani))))),"")</f>
        <v/>
      </c>
      <c r="D707" s="110">
        <f>IF($C707="","",$C707*AySayisi)</f>
        <v/>
      </c>
      <c r="E707" s="107" t="n"/>
    </row>
    <row r="708" ht="15" customHeight="1" s="62">
      <c r="A708" s="107" t="n"/>
      <c r="B708" s="107" t="n"/>
      <c r="C708" s="110">
        <f>IFERROR(IF(OR($A708="",$B708=""),"",INDEX(tblCalisan[Brüt Ücret (₺)],MATCH($A708,tblCalisan[Çalışan Adı],0))*IF($B708="5 Puan İndirimi",BesPuanOrani,IF($B708="İlave İstihdam",IlaveIstihdamOrani,IF($B708="Kadın/Genç",KadinGencOrani,IF($B708="Engelli",EngelliOrani,GencGirisimciOrani))))),"")</f>
        <v/>
      </c>
      <c r="D708" s="110">
        <f>IF($C708="","",$C708*AySayisi)</f>
        <v/>
      </c>
      <c r="E708" s="107" t="n"/>
    </row>
    <row r="709" ht="15" customHeight="1" s="62">
      <c r="A709" s="107" t="n"/>
      <c r="B709" s="107" t="n"/>
      <c r="C709" s="110">
        <f>IFERROR(IF(OR($A709="",$B709=""),"",INDEX(tblCalisan[Brüt Ücret (₺)],MATCH($A709,tblCalisan[Çalışan Adı],0))*IF($B709="5 Puan İndirimi",BesPuanOrani,IF($B709="İlave İstihdam",IlaveIstihdamOrani,IF($B709="Kadın/Genç",KadinGencOrani,IF($B709="Engelli",EngelliOrani,GencGirisimciOrani))))),"")</f>
        <v/>
      </c>
      <c r="D709" s="110">
        <f>IF($C709="","",$C709*AySayisi)</f>
        <v/>
      </c>
      <c r="E709" s="107" t="n"/>
    </row>
    <row r="710" ht="15" customHeight="1" s="62">
      <c r="A710" s="107" t="n"/>
      <c r="B710" s="107" t="n"/>
      <c r="C710" s="110">
        <f>IFERROR(IF(OR($A710="",$B710=""),"",INDEX(tblCalisan[Brüt Ücret (₺)],MATCH($A710,tblCalisan[Çalışan Adı],0))*IF($B710="5 Puan İndirimi",BesPuanOrani,IF($B710="İlave İstihdam",IlaveIstihdamOrani,IF($B710="Kadın/Genç",KadinGencOrani,IF($B710="Engelli",EngelliOrani,GencGirisimciOrani))))),"")</f>
        <v/>
      </c>
      <c r="D710" s="110">
        <f>IF($C710="","",$C710*AySayisi)</f>
        <v/>
      </c>
      <c r="E710" s="107" t="n"/>
    </row>
    <row r="711" ht="15" customHeight="1" s="62">
      <c r="A711" s="107" t="n"/>
      <c r="B711" s="107" t="n"/>
      <c r="C711" s="110">
        <f>IFERROR(IF(OR($A711="",$B711=""),"",INDEX(tblCalisan[Brüt Ücret (₺)],MATCH($A711,tblCalisan[Çalışan Adı],0))*IF($B711="5 Puan İndirimi",BesPuanOrani,IF($B711="İlave İstihdam",IlaveIstihdamOrani,IF($B711="Kadın/Genç",KadinGencOrani,IF($B711="Engelli",EngelliOrani,GencGirisimciOrani))))),"")</f>
        <v/>
      </c>
      <c r="D711" s="110">
        <f>IF($C711="","",$C711*AySayisi)</f>
        <v/>
      </c>
      <c r="E711" s="107" t="n"/>
    </row>
    <row r="712" ht="15" customHeight="1" s="62">
      <c r="A712" s="107" t="n"/>
      <c r="B712" s="107" t="n"/>
      <c r="C712" s="110">
        <f>IFERROR(IF(OR($A712="",$B712=""),"",INDEX(tblCalisan[Brüt Ücret (₺)],MATCH($A712,tblCalisan[Çalışan Adı],0))*IF($B712="5 Puan İndirimi",BesPuanOrani,IF($B712="İlave İstihdam",IlaveIstihdamOrani,IF($B712="Kadın/Genç",KadinGencOrani,IF($B712="Engelli",EngelliOrani,GencGirisimciOrani))))),"")</f>
        <v/>
      </c>
      <c r="D712" s="110">
        <f>IF($C712="","",$C712*AySayisi)</f>
        <v/>
      </c>
      <c r="E712" s="107" t="n"/>
    </row>
    <row r="713" ht="15" customHeight="1" s="62">
      <c r="A713" s="107" t="n"/>
      <c r="B713" s="107" t="n"/>
      <c r="C713" s="110">
        <f>IFERROR(IF(OR($A713="",$B713=""),"",INDEX(tblCalisan[Brüt Ücret (₺)],MATCH($A713,tblCalisan[Çalışan Adı],0))*IF($B713="5 Puan İndirimi",BesPuanOrani,IF($B713="İlave İstihdam",IlaveIstihdamOrani,IF($B713="Kadın/Genç",KadinGencOrani,IF($B713="Engelli",EngelliOrani,GencGirisimciOrani))))),"")</f>
        <v/>
      </c>
      <c r="D713" s="110">
        <f>IF($C713="","",$C713*AySayisi)</f>
        <v/>
      </c>
      <c r="E713" s="107" t="n"/>
    </row>
    <row r="714" ht="15" customHeight="1" s="62">
      <c r="A714" s="107" t="n"/>
      <c r="B714" s="107" t="n"/>
      <c r="C714" s="110">
        <f>IFERROR(IF(OR($A714="",$B714=""),"",INDEX(tblCalisan[Brüt Ücret (₺)],MATCH($A714,tblCalisan[Çalışan Adı],0))*IF($B714="5 Puan İndirimi",BesPuanOrani,IF($B714="İlave İstihdam",IlaveIstihdamOrani,IF($B714="Kadın/Genç",KadinGencOrani,IF($B714="Engelli",EngelliOrani,GencGirisimciOrani))))),"")</f>
        <v/>
      </c>
      <c r="D714" s="110">
        <f>IF($C714="","",$C714*AySayisi)</f>
        <v/>
      </c>
      <c r="E714" s="107" t="n"/>
    </row>
    <row r="715" ht="15" customHeight="1" s="62">
      <c r="A715" s="107" t="n"/>
      <c r="B715" s="107" t="n"/>
      <c r="C715" s="110">
        <f>IFERROR(IF(OR($A715="",$B715=""),"",INDEX(tblCalisan[Brüt Ücret (₺)],MATCH($A715,tblCalisan[Çalışan Adı],0))*IF($B715="5 Puan İndirimi",BesPuanOrani,IF($B715="İlave İstihdam",IlaveIstihdamOrani,IF($B715="Kadın/Genç",KadinGencOrani,IF($B715="Engelli",EngelliOrani,GencGirisimciOrani))))),"")</f>
        <v/>
      </c>
      <c r="D715" s="110">
        <f>IF($C715="","",$C715*AySayisi)</f>
        <v/>
      </c>
      <c r="E715" s="107" t="n"/>
    </row>
    <row r="716" ht="15" customHeight="1" s="62">
      <c r="A716" s="107" t="n"/>
      <c r="B716" s="107" t="n"/>
      <c r="C716" s="110">
        <f>IFERROR(IF(OR($A716="",$B716=""),"",INDEX(tblCalisan[Brüt Ücret (₺)],MATCH($A716,tblCalisan[Çalışan Adı],0))*IF($B716="5 Puan İndirimi",BesPuanOrani,IF($B716="İlave İstihdam",IlaveIstihdamOrani,IF($B716="Kadın/Genç",KadinGencOrani,IF($B716="Engelli",EngelliOrani,GencGirisimciOrani))))),"")</f>
        <v/>
      </c>
      <c r="D716" s="110">
        <f>IF($C716="","",$C716*AySayisi)</f>
        <v/>
      </c>
      <c r="E716" s="107" t="n"/>
    </row>
    <row r="717" ht="15" customHeight="1" s="62">
      <c r="A717" s="107" t="n"/>
      <c r="B717" s="107" t="n"/>
      <c r="C717" s="110">
        <f>IFERROR(IF(OR($A717="",$B717=""),"",INDEX(tblCalisan[Brüt Ücret (₺)],MATCH($A717,tblCalisan[Çalışan Adı],0))*IF($B717="5 Puan İndirimi",BesPuanOrani,IF($B717="İlave İstihdam",IlaveIstihdamOrani,IF($B717="Kadın/Genç",KadinGencOrani,IF($B717="Engelli",EngelliOrani,GencGirisimciOrani))))),"")</f>
        <v/>
      </c>
      <c r="D717" s="110">
        <f>IF($C717="","",$C717*AySayisi)</f>
        <v/>
      </c>
      <c r="E717" s="107" t="n"/>
    </row>
    <row r="718" ht="15" customHeight="1" s="62">
      <c r="A718" s="107" t="n"/>
      <c r="B718" s="107" t="n"/>
      <c r="C718" s="110">
        <f>IFERROR(IF(OR($A718="",$B718=""),"",INDEX(tblCalisan[Brüt Ücret (₺)],MATCH($A718,tblCalisan[Çalışan Adı],0))*IF($B718="5 Puan İndirimi",BesPuanOrani,IF($B718="İlave İstihdam",IlaveIstihdamOrani,IF($B718="Kadın/Genç",KadinGencOrani,IF($B718="Engelli",EngelliOrani,GencGirisimciOrani))))),"")</f>
        <v/>
      </c>
      <c r="D718" s="110">
        <f>IF($C718="","",$C718*AySayisi)</f>
        <v/>
      </c>
      <c r="E718" s="107" t="n"/>
    </row>
    <row r="719" ht="15" customHeight="1" s="62">
      <c r="A719" s="107" t="n"/>
      <c r="B719" s="107" t="n"/>
      <c r="C719" s="110">
        <f>IFERROR(IF(OR($A719="",$B719=""),"",INDEX(tblCalisan[Brüt Ücret (₺)],MATCH($A719,tblCalisan[Çalışan Adı],0))*IF($B719="5 Puan İndirimi",BesPuanOrani,IF($B719="İlave İstihdam",IlaveIstihdamOrani,IF($B719="Kadın/Genç",KadinGencOrani,IF($B719="Engelli",EngelliOrani,GencGirisimciOrani))))),"")</f>
        <v/>
      </c>
      <c r="D719" s="110">
        <f>IF($C719="","",$C719*AySayisi)</f>
        <v/>
      </c>
      <c r="E719" s="107" t="n"/>
    </row>
    <row r="720" ht="15" customHeight="1" s="62">
      <c r="A720" s="107" t="n"/>
      <c r="B720" s="107" t="n"/>
      <c r="C720" s="110">
        <f>IFERROR(IF(OR($A720="",$B720=""),"",INDEX(tblCalisan[Brüt Ücret (₺)],MATCH($A720,tblCalisan[Çalışan Adı],0))*IF($B720="5 Puan İndirimi",BesPuanOrani,IF($B720="İlave İstihdam",IlaveIstihdamOrani,IF($B720="Kadın/Genç",KadinGencOrani,IF($B720="Engelli",EngelliOrani,GencGirisimciOrani))))),"")</f>
        <v/>
      </c>
      <c r="D720" s="110">
        <f>IF($C720="","",$C720*AySayisi)</f>
        <v/>
      </c>
      <c r="E720" s="107" t="n"/>
    </row>
    <row r="721" ht="15" customHeight="1" s="62">
      <c r="A721" s="107" t="n"/>
      <c r="B721" s="107" t="n"/>
      <c r="C721" s="110">
        <f>IFERROR(IF(OR($A721="",$B721=""),"",INDEX(tblCalisan[Brüt Ücret (₺)],MATCH($A721,tblCalisan[Çalışan Adı],0))*IF($B721="5 Puan İndirimi",BesPuanOrani,IF($B721="İlave İstihdam",IlaveIstihdamOrani,IF($B721="Kadın/Genç",KadinGencOrani,IF($B721="Engelli",EngelliOrani,GencGirisimciOrani))))),"")</f>
        <v/>
      </c>
      <c r="D721" s="110">
        <f>IF($C721="","",$C721*AySayisi)</f>
        <v/>
      </c>
      <c r="E721" s="107" t="n"/>
    </row>
    <row r="722" ht="15" customHeight="1" s="62">
      <c r="A722" s="107" t="n"/>
      <c r="B722" s="107" t="n"/>
      <c r="C722" s="110">
        <f>IFERROR(IF(OR($A722="",$B722=""),"",INDEX(tblCalisan[Brüt Ücret (₺)],MATCH($A722,tblCalisan[Çalışan Adı],0))*IF($B722="5 Puan İndirimi",BesPuanOrani,IF($B722="İlave İstihdam",IlaveIstihdamOrani,IF($B722="Kadın/Genç",KadinGencOrani,IF($B722="Engelli",EngelliOrani,GencGirisimciOrani))))),"")</f>
        <v/>
      </c>
      <c r="D722" s="110">
        <f>IF($C722="","",$C722*AySayisi)</f>
        <v/>
      </c>
      <c r="E722" s="107" t="n"/>
    </row>
    <row r="723" ht="15" customHeight="1" s="62">
      <c r="A723" s="107" t="n"/>
      <c r="B723" s="107" t="n"/>
      <c r="C723" s="110">
        <f>IFERROR(IF(OR($A723="",$B723=""),"",INDEX(tblCalisan[Brüt Ücret (₺)],MATCH($A723,tblCalisan[Çalışan Adı],0))*IF($B723="5 Puan İndirimi",BesPuanOrani,IF($B723="İlave İstihdam",IlaveIstihdamOrani,IF($B723="Kadın/Genç",KadinGencOrani,IF($B723="Engelli",EngelliOrani,GencGirisimciOrani))))),"")</f>
        <v/>
      </c>
      <c r="D723" s="110">
        <f>IF($C723="","",$C723*AySayisi)</f>
        <v/>
      </c>
      <c r="E723" s="107" t="n"/>
    </row>
    <row r="724" ht="15" customHeight="1" s="62">
      <c r="A724" s="107" t="n"/>
      <c r="B724" s="107" t="n"/>
      <c r="C724" s="110">
        <f>IFERROR(IF(OR($A724="",$B724=""),"",INDEX(tblCalisan[Brüt Ücret (₺)],MATCH($A724,tblCalisan[Çalışan Adı],0))*IF($B724="5 Puan İndirimi",BesPuanOrani,IF($B724="İlave İstihdam",IlaveIstihdamOrani,IF($B724="Kadın/Genç",KadinGencOrani,IF($B724="Engelli",EngelliOrani,GencGirisimciOrani))))),"")</f>
        <v/>
      </c>
      <c r="D724" s="110">
        <f>IF($C724="","",$C724*AySayisi)</f>
        <v/>
      </c>
      <c r="E724" s="107" t="n"/>
    </row>
    <row r="725" ht="15" customHeight="1" s="62">
      <c r="A725" s="107" t="n"/>
      <c r="B725" s="107" t="n"/>
      <c r="C725" s="110">
        <f>IFERROR(IF(OR($A725="",$B725=""),"",INDEX(tblCalisan[Brüt Ücret (₺)],MATCH($A725,tblCalisan[Çalışan Adı],0))*IF($B725="5 Puan İndirimi",BesPuanOrani,IF($B725="İlave İstihdam",IlaveIstihdamOrani,IF($B725="Kadın/Genç",KadinGencOrani,IF($B725="Engelli",EngelliOrani,GencGirisimciOrani))))),"")</f>
        <v/>
      </c>
      <c r="D725" s="110">
        <f>IF($C725="","",$C725*AySayisi)</f>
        <v/>
      </c>
      <c r="E725" s="107" t="n"/>
    </row>
    <row r="726" ht="15" customHeight="1" s="62">
      <c r="A726" s="107" t="n"/>
      <c r="B726" s="107" t="n"/>
      <c r="C726" s="110">
        <f>IFERROR(IF(OR($A726="",$B726=""),"",INDEX(tblCalisan[Brüt Ücret (₺)],MATCH($A726,tblCalisan[Çalışan Adı],0))*IF($B726="5 Puan İndirimi",BesPuanOrani,IF($B726="İlave İstihdam",IlaveIstihdamOrani,IF($B726="Kadın/Genç",KadinGencOrani,IF($B726="Engelli",EngelliOrani,GencGirisimciOrani))))),"")</f>
        <v/>
      </c>
      <c r="D726" s="110">
        <f>IF($C726="","",$C726*AySayisi)</f>
        <v/>
      </c>
      <c r="E726" s="107" t="n"/>
    </row>
    <row r="727" ht="15" customHeight="1" s="62">
      <c r="A727" s="107" t="n"/>
      <c r="B727" s="107" t="n"/>
      <c r="C727" s="110">
        <f>IFERROR(IF(OR($A727="",$B727=""),"",INDEX(tblCalisan[Brüt Ücret (₺)],MATCH($A727,tblCalisan[Çalışan Adı],0))*IF($B727="5 Puan İndirimi",BesPuanOrani,IF($B727="İlave İstihdam",IlaveIstihdamOrani,IF($B727="Kadın/Genç",KadinGencOrani,IF($B727="Engelli",EngelliOrani,GencGirisimciOrani))))),"")</f>
        <v/>
      </c>
      <c r="D727" s="110">
        <f>IF($C727="","",$C727*AySayisi)</f>
        <v/>
      </c>
      <c r="E727" s="107" t="n"/>
    </row>
    <row r="728" ht="15" customHeight="1" s="62">
      <c r="A728" s="107" t="n"/>
      <c r="B728" s="107" t="n"/>
      <c r="C728" s="110">
        <f>IFERROR(IF(OR($A728="",$B728=""),"",INDEX(tblCalisan[Brüt Ücret (₺)],MATCH($A728,tblCalisan[Çalışan Adı],0))*IF($B728="5 Puan İndirimi",BesPuanOrani,IF($B728="İlave İstihdam",IlaveIstihdamOrani,IF($B728="Kadın/Genç",KadinGencOrani,IF($B728="Engelli",EngelliOrani,GencGirisimciOrani))))),"")</f>
        <v/>
      </c>
      <c r="D728" s="110">
        <f>IF($C728="","",$C728*AySayisi)</f>
        <v/>
      </c>
      <c r="E728" s="107" t="n"/>
    </row>
    <row r="729" ht="15" customHeight="1" s="62">
      <c r="A729" s="107" t="n"/>
      <c r="B729" s="107" t="n"/>
      <c r="C729" s="110">
        <f>IFERROR(IF(OR($A729="",$B729=""),"",INDEX(tblCalisan[Brüt Ücret (₺)],MATCH($A729,tblCalisan[Çalışan Adı],0))*IF($B729="5 Puan İndirimi",BesPuanOrani,IF($B729="İlave İstihdam",IlaveIstihdamOrani,IF($B729="Kadın/Genç",KadinGencOrani,IF($B729="Engelli",EngelliOrani,GencGirisimciOrani))))),"")</f>
        <v/>
      </c>
      <c r="D729" s="110">
        <f>IF($C729="","",$C729*AySayisi)</f>
        <v/>
      </c>
      <c r="E729" s="107" t="n"/>
    </row>
    <row r="730" ht="15" customHeight="1" s="62">
      <c r="A730" s="107" t="n"/>
      <c r="B730" s="107" t="n"/>
      <c r="C730" s="110">
        <f>IFERROR(IF(OR($A730="",$B730=""),"",INDEX(tblCalisan[Brüt Ücret (₺)],MATCH($A730,tblCalisan[Çalışan Adı],0))*IF($B730="5 Puan İndirimi",BesPuanOrani,IF($B730="İlave İstihdam",IlaveIstihdamOrani,IF($B730="Kadın/Genç",KadinGencOrani,IF($B730="Engelli",EngelliOrani,GencGirisimciOrani))))),"")</f>
        <v/>
      </c>
      <c r="D730" s="110">
        <f>IF($C730="","",$C730*AySayisi)</f>
        <v/>
      </c>
      <c r="E730" s="107" t="n"/>
    </row>
    <row r="731" ht="15" customHeight="1" s="62">
      <c r="A731" s="107" t="n"/>
      <c r="B731" s="107" t="n"/>
      <c r="C731" s="110">
        <f>IFERROR(IF(OR($A731="",$B731=""),"",INDEX(tblCalisan[Brüt Ücret (₺)],MATCH($A731,tblCalisan[Çalışan Adı],0))*IF($B731="5 Puan İndirimi",BesPuanOrani,IF($B731="İlave İstihdam",IlaveIstihdamOrani,IF($B731="Kadın/Genç",KadinGencOrani,IF($B731="Engelli",EngelliOrani,GencGirisimciOrani))))),"")</f>
        <v/>
      </c>
      <c r="D731" s="110">
        <f>IF($C731="","",$C731*AySayisi)</f>
        <v/>
      </c>
      <c r="E731" s="107" t="n"/>
    </row>
    <row r="732" ht="15" customHeight="1" s="62">
      <c r="A732" s="107" t="n"/>
      <c r="B732" s="107" t="n"/>
      <c r="C732" s="110">
        <f>IFERROR(IF(OR($A732="",$B732=""),"",INDEX(tblCalisan[Brüt Ücret (₺)],MATCH($A732,tblCalisan[Çalışan Adı],0))*IF($B732="5 Puan İndirimi",BesPuanOrani,IF($B732="İlave İstihdam",IlaveIstihdamOrani,IF($B732="Kadın/Genç",KadinGencOrani,IF($B732="Engelli",EngelliOrani,GencGirisimciOrani))))),"")</f>
        <v/>
      </c>
      <c r="D732" s="110">
        <f>IF($C732="","",$C732*AySayisi)</f>
        <v/>
      </c>
      <c r="E732" s="107" t="n"/>
    </row>
    <row r="733" ht="15" customHeight="1" s="62">
      <c r="A733" s="107" t="n"/>
      <c r="B733" s="107" t="n"/>
      <c r="C733" s="110">
        <f>IFERROR(IF(OR($A733="",$B733=""),"",INDEX(tblCalisan[Brüt Ücret (₺)],MATCH($A733,tblCalisan[Çalışan Adı],0))*IF($B733="5 Puan İndirimi",BesPuanOrani,IF($B733="İlave İstihdam",IlaveIstihdamOrani,IF($B733="Kadın/Genç",KadinGencOrani,IF($B733="Engelli",EngelliOrani,GencGirisimciOrani))))),"")</f>
        <v/>
      </c>
      <c r="D733" s="110">
        <f>IF($C733="","",$C733*AySayisi)</f>
        <v/>
      </c>
      <c r="E733" s="107" t="n"/>
    </row>
    <row r="734" ht="15" customHeight="1" s="62">
      <c r="A734" s="107" t="n"/>
      <c r="B734" s="107" t="n"/>
      <c r="C734" s="110">
        <f>IFERROR(IF(OR($A734="",$B734=""),"",INDEX(tblCalisan[Brüt Ücret (₺)],MATCH($A734,tblCalisan[Çalışan Adı],0))*IF($B734="5 Puan İndirimi",BesPuanOrani,IF($B734="İlave İstihdam",IlaveIstihdamOrani,IF($B734="Kadın/Genç",KadinGencOrani,IF($B734="Engelli",EngelliOrani,GencGirisimciOrani))))),"")</f>
        <v/>
      </c>
      <c r="D734" s="110">
        <f>IF($C734="","",$C734*AySayisi)</f>
        <v/>
      </c>
      <c r="E734" s="107" t="n"/>
    </row>
    <row r="735" ht="15" customHeight="1" s="62">
      <c r="A735" s="107" t="n"/>
      <c r="B735" s="107" t="n"/>
      <c r="C735" s="110">
        <f>IFERROR(IF(OR($A735="",$B735=""),"",INDEX(tblCalisan[Brüt Ücret (₺)],MATCH($A735,tblCalisan[Çalışan Adı],0))*IF($B735="5 Puan İndirimi",BesPuanOrani,IF($B735="İlave İstihdam",IlaveIstihdamOrani,IF($B735="Kadın/Genç",KadinGencOrani,IF($B735="Engelli",EngelliOrani,GencGirisimciOrani))))),"")</f>
        <v/>
      </c>
      <c r="D735" s="110">
        <f>IF($C735="","",$C735*AySayisi)</f>
        <v/>
      </c>
      <c r="E735" s="107" t="n"/>
    </row>
    <row r="736" ht="15" customHeight="1" s="62">
      <c r="A736" s="107" t="n"/>
      <c r="B736" s="107" t="n"/>
      <c r="C736" s="110">
        <f>IFERROR(IF(OR($A736="",$B736=""),"",INDEX(tblCalisan[Brüt Ücret (₺)],MATCH($A736,tblCalisan[Çalışan Adı],0))*IF($B736="5 Puan İndirimi",BesPuanOrani,IF($B736="İlave İstihdam",IlaveIstihdamOrani,IF($B736="Kadın/Genç",KadinGencOrani,IF($B736="Engelli",EngelliOrani,GencGirisimciOrani))))),"")</f>
        <v/>
      </c>
      <c r="D736" s="110">
        <f>IF($C736="","",$C736*AySayisi)</f>
        <v/>
      </c>
      <c r="E736" s="107" t="n"/>
    </row>
    <row r="737" ht="15" customHeight="1" s="62">
      <c r="A737" s="107" t="n"/>
      <c r="B737" s="107" t="n"/>
      <c r="C737" s="110">
        <f>IFERROR(IF(OR($A737="",$B737=""),"",INDEX(tblCalisan[Brüt Ücret (₺)],MATCH($A737,tblCalisan[Çalışan Adı],0))*IF($B737="5 Puan İndirimi",BesPuanOrani,IF($B737="İlave İstihdam",IlaveIstihdamOrani,IF($B737="Kadın/Genç",KadinGencOrani,IF($B737="Engelli",EngelliOrani,GencGirisimciOrani))))),"")</f>
        <v/>
      </c>
      <c r="D737" s="110">
        <f>IF($C737="","",$C737*AySayisi)</f>
        <v/>
      </c>
      <c r="E737" s="107" t="n"/>
    </row>
    <row r="738" ht="15" customHeight="1" s="62">
      <c r="A738" s="107" t="n"/>
      <c r="B738" s="107" t="n"/>
      <c r="C738" s="110">
        <f>IFERROR(IF(OR($A738="",$B738=""),"",INDEX(tblCalisan[Brüt Ücret (₺)],MATCH($A738,tblCalisan[Çalışan Adı],0))*IF($B738="5 Puan İndirimi",BesPuanOrani,IF($B738="İlave İstihdam",IlaveIstihdamOrani,IF($B738="Kadın/Genç",KadinGencOrani,IF($B738="Engelli",EngelliOrani,GencGirisimciOrani))))),"")</f>
        <v/>
      </c>
      <c r="D738" s="110">
        <f>IF($C738="","",$C738*AySayisi)</f>
        <v/>
      </c>
      <c r="E738" s="107" t="n"/>
    </row>
    <row r="739" ht="15" customHeight="1" s="62">
      <c r="A739" s="107" t="n"/>
      <c r="B739" s="107" t="n"/>
      <c r="C739" s="110">
        <f>IFERROR(IF(OR($A739="",$B739=""),"",INDEX(tblCalisan[Brüt Ücret (₺)],MATCH($A739,tblCalisan[Çalışan Adı],0))*IF($B739="5 Puan İndirimi",BesPuanOrani,IF($B739="İlave İstihdam",IlaveIstihdamOrani,IF($B739="Kadın/Genç",KadinGencOrani,IF($B739="Engelli",EngelliOrani,GencGirisimciOrani))))),"")</f>
        <v/>
      </c>
      <c r="D739" s="110">
        <f>IF($C739="","",$C739*AySayisi)</f>
        <v/>
      </c>
      <c r="E739" s="107" t="n"/>
    </row>
    <row r="740" ht="15" customHeight="1" s="62">
      <c r="A740" s="107" t="n"/>
      <c r="B740" s="107" t="n"/>
      <c r="C740" s="110">
        <f>IFERROR(IF(OR($A740="",$B740=""),"",INDEX(tblCalisan[Brüt Ücret (₺)],MATCH($A740,tblCalisan[Çalışan Adı],0))*IF($B740="5 Puan İndirimi",BesPuanOrani,IF($B740="İlave İstihdam",IlaveIstihdamOrani,IF($B740="Kadın/Genç",KadinGencOrani,IF($B740="Engelli",EngelliOrani,GencGirisimciOrani))))),"")</f>
        <v/>
      </c>
      <c r="D740" s="110">
        <f>IF($C740="","",$C740*AySayisi)</f>
        <v/>
      </c>
      <c r="E740" s="107" t="n"/>
    </row>
    <row r="741" ht="15" customHeight="1" s="62">
      <c r="A741" s="107" t="n"/>
      <c r="B741" s="107" t="n"/>
      <c r="C741" s="110">
        <f>IFERROR(IF(OR($A741="",$B741=""),"",INDEX(tblCalisan[Brüt Ücret (₺)],MATCH($A741,tblCalisan[Çalışan Adı],0))*IF($B741="5 Puan İndirimi",BesPuanOrani,IF($B741="İlave İstihdam",IlaveIstihdamOrani,IF($B741="Kadın/Genç",KadinGencOrani,IF($B741="Engelli",EngelliOrani,GencGirisimciOrani))))),"")</f>
        <v/>
      </c>
      <c r="D741" s="110">
        <f>IF($C741="","",$C741*AySayisi)</f>
        <v/>
      </c>
      <c r="E741" s="107" t="n"/>
    </row>
    <row r="742" ht="15" customHeight="1" s="62">
      <c r="A742" s="107" t="n"/>
      <c r="B742" s="107" t="n"/>
      <c r="C742" s="110">
        <f>IFERROR(IF(OR($A742="",$B742=""),"",INDEX(tblCalisan[Brüt Ücret (₺)],MATCH($A742,tblCalisan[Çalışan Adı],0))*IF($B742="5 Puan İndirimi",BesPuanOrani,IF($B742="İlave İstihdam",IlaveIstihdamOrani,IF($B742="Kadın/Genç",KadinGencOrani,IF($B742="Engelli",EngelliOrani,GencGirisimciOrani))))),"")</f>
        <v/>
      </c>
      <c r="D742" s="110">
        <f>IF($C742="","",$C742*AySayisi)</f>
        <v/>
      </c>
      <c r="E742" s="107" t="n"/>
    </row>
    <row r="743" ht="15" customHeight="1" s="62">
      <c r="A743" s="107" t="n"/>
      <c r="B743" s="107" t="n"/>
      <c r="C743" s="110">
        <f>IFERROR(IF(OR($A743="",$B743=""),"",INDEX(tblCalisan[Brüt Ücret (₺)],MATCH($A743,tblCalisan[Çalışan Adı],0))*IF($B743="5 Puan İndirimi",BesPuanOrani,IF($B743="İlave İstihdam",IlaveIstihdamOrani,IF($B743="Kadın/Genç",KadinGencOrani,IF($B743="Engelli",EngelliOrani,GencGirisimciOrani))))),"")</f>
        <v/>
      </c>
      <c r="D743" s="110">
        <f>IF($C743="","",$C743*AySayisi)</f>
        <v/>
      </c>
      <c r="E743" s="107" t="n"/>
    </row>
    <row r="744" ht="15" customHeight="1" s="62">
      <c r="A744" s="107" t="n"/>
      <c r="B744" s="107" t="n"/>
      <c r="C744" s="110">
        <f>IFERROR(IF(OR($A744="",$B744=""),"",INDEX(tblCalisan[Brüt Ücret (₺)],MATCH($A744,tblCalisan[Çalışan Adı],0))*IF($B744="5 Puan İndirimi",BesPuanOrani,IF($B744="İlave İstihdam",IlaveIstihdamOrani,IF($B744="Kadın/Genç",KadinGencOrani,IF($B744="Engelli",EngelliOrani,GencGirisimciOrani))))),"")</f>
        <v/>
      </c>
      <c r="D744" s="110">
        <f>IF($C744="","",$C744*AySayisi)</f>
        <v/>
      </c>
      <c r="E744" s="107" t="n"/>
    </row>
    <row r="745" ht="15" customHeight="1" s="62">
      <c r="A745" s="107" t="n"/>
      <c r="B745" s="107" t="n"/>
      <c r="C745" s="110">
        <f>IFERROR(IF(OR($A745="",$B745=""),"",INDEX(tblCalisan[Brüt Ücret (₺)],MATCH($A745,tblCalisan[Çalışan Adı],0))*IF($B745="5 Puan İndirimi",BesPuanOrani,IF($B745="İlave İstihdam",IlaveIstihdamOrani,IF($B745="Kadın/Genç",KadinGencOrani,IF($B745="Engelli",EngelliOrani,GencGirisimciOrani))))),"")</f>
        <v/>
      </c>
      <c r="D745" s="110">
        <f>IF($C745="","",$C745*AySayisi)</f>
        <v/>
      </c>
      <c r="E745" s="107" t="n"/>
    </row>
    <row r="746" ht="15" customHeight="1" s="62">
      <c r="A746" s="107" t="n"/>
      <c r="B746" s="107" t="n"/>
      <c r="C746" s="110">
        <f>IFERROR(IF(OR($A746="",$B746=""),"",INDEX(tblCalisan[Brüt Ücret (₺)],MATCH($A746,tblCalisan[Çalışan Adı],0))*IF($B746="5 Puan İndirimi",BesPuanOrani,IF($B746="İlave İstihdam",IlaveIstihdamOrani,IF($B746="Kadın/Genç",KadinGencOrani,IF($B746="Engelli",EngelliOrani,GencGirisimciOrani))))),"")</f>
        <v/>
      </c>
      <c r="D746" s="110">
        <f>IF($C746="","",$C746*AySayisi)</f>
        <v/>
      </c>
      <c r="E746" s="107" t="n"/>
    </row>
    <row r="747" ht="15" customHeight="1" s="62">
      <c r="A747" s="107" t="n"/>
      <c r="B747" s="107" t="n"/>
      <c r="C747" s="110">
        <f>IFERROR(IF(OR($A747="",$B747=""),"",INDEX(tblCalisan[Brüt Ücret (₺)],MATCH($A747,tblCalisan[Çalışan Adı],0))*IF($B747="5 Puan İndirimi",BesPuanOrani,IF($B747="İlave İstihdam",IlaveIstihdamOrani,IF($B747="Kadın/Genç",KadinGencOrani,IF($B747="Engelli",EngelliOrani,GencGirisimciOrani))))),"")</f>
        <v/>
      </c>
      <c r="D747" s="110">
        <f>IF($C747="","",$C747*AySayisi)</f>
        <v/>
      </c>
      <c r="E747" s="107" t="n"/>
    </row>
    <row r="748" ht="15" customHeight="1" s="62">
      <c r="A748" s="107" t="n"/>
      <c r="B748" s="107" t="n"/>
      <c r="C748" s="110">
        <f>IFERROR(IF(OR($A748="",$B748=""),"",INDEX(tblCalisan[Brüt Ücret (₺)],MATCH($A748,tblCalisan[Çalışan Adı],0))*IF($B748="5 Puan İndirimi",BesPuanOrani,IF($B748="İlave İstihdam",IlaveIstihdamOrani,IF($B748="Kadın/Genç",KadinGencOrani,IF($B748="Engelli",EngelliOrani,GencGirisimciOrani))))),"")</f>
        <v/>
      </c>
      <c r="D748" s="110">
        <f>IF($C748="","",$C748*AySayisi)</f>
        <v/>
      </c>
      <c r="E748" s="107" t="n"/>
    </row>
    <row r="749" ht="15" customHeight="1" s="62">
      <c r="A749" s="107" t="n"/>
      <c r="B749" s="107" t="n"/>
      <c r="C749" s="110">
        <f>IFERROR(IF(OR($A749="",$B749=""),"",INDEX(tblCalisan[Brüt Ücret (₺)],MATCH($A749,tblCalisan[Çalışan Adı],0))*IF($B749="5 Puan İndirimi",BesPuanOrani,IF($B749="İlave İstihdam",IlaveIstihdamOrani,IF($B749="Kadın/Genç",KadinGencOrani,IF($B749="Engelli",EngelliOrani,GencGirisimciOrani))))),"")</f>
        <v/>
      </c>
      <c r="D749" s="110">
        <f>IF($C749="","",$C749*AySayisi)</f>
        <v/>
      </c>
      <c r="E749" s="107" t="n"/>
    </row>
    <row r="750" ht="15" customHeight="1" s="62">
      <c r="A750" s="107" t="n"/>
      <c r="B750" s="107" t="n"/>
      <c r="C750" s="110">
        <f>IFERROR(IF(OR($A750="",$B750=""),"",INDEX(tblCalisan[Brüt Ücret (₺)],MATCH($A750,tblCalisan[Çalışan Adı],0))*IF($B750="5 Puan İndirimi",BesPuanOrani,IF($B750="İlave İstihdam",IlaveIstihdamOrani,IF($B750="Kadın/Genç",KadinGencOrani,IF($B750="Engelli",EngelliOrani,GencGirisimciOrani))))),"")</f>
        <v/>
      </c>
      <c r="D750" s="110">
        <f>IF($C750="","",$C750*AySayisi)</f>
        <v/>
      </c>
      <c r="E750" s="107" t="n"/>
    </row>
    <row r="751" ht="15" customHeight="1" s="62">
      <c r="A751" s="107" t="n"/>
      <c r="B751" s="107" t="n"/>
      <c r="C751" s="110">
        <f>IFERROR(IF(OR($A751="",$B751=""),"",INDEX(tblCalisan[Brüt Ücret (₺)],MATCH($A751,tblCalisan[Çalışan Adı],0))*IF($B751="5 Puan İndirimi",BesPuanOrani,IF($B751="İlave İstihdam",IlaveIstihdamOrani,IF($B751="Kadın/Genç",KadinGencOrani,IF($B751="Engelli",EngelliOrani,GencGirisimciOrani))))),"")</f>
        <v/>
      </c>
      <c r="D751" s="110">
        <f>IF($C751="","",$C751*AySayisi)</f>
        <v/>
      </c>
      <c r="E751" s="107" t="n"/>
    </row>
    <row r="752" ht="15" customHeight="1" s="62">
      <c r="A752" s="107" t="n"/>
      <c r="B752" s="107" t="n"/>
      <c r="C752" s="110">
        <f>IFERROR(IF(OR($A752="",$B752=""),"",INDEX(tblCalisan[Brüt Ücret (₺)],MATCH($A752,tblCalisan[Çalışan Adı],0))*IF($B752="5 Puan İndirimi",BesPuanOrani,IF($B752="İlave İstihdam",IlaveIstihdamOrani,IF($B752="Kadın/Genç",KadinGencOrani,IF($B752="Engelli",EngelliOrani,GencGirisimciOrani))))),"")</f>
        <v/>
      </c>
      <c r="D752" s="110">
        <f>IF($C752="","",$C752*AySayisi)</f>
        <v/>
      </c>
      <c r="E752" s="107" t="n"/>
    </row>
    <row r="753" ht="15" customHeight="1" s="62">
      <c r="A753" s="107" t="n"/>
      <c r="B753" s="107" t="n"/>
      <c r="C753" s="110">
        <f>IFERROR(IF(OR($A753="",$B753=""),"",INDEX(tblCalisan[Brüt Ücret (₺)],MATCH($A753,tblCalisan[Çalışan Adı],0))*IF($B753="5 Puan İndirimi",BesPuanOrani,IF($B753="İlave İstihdam",IlaveIstihdamOrani,IF($B753="Kadın/Genç",KadinGencOrani,IF($B753="Engelli",EngelliOrani,GencGirisimciOrani))))),"")</f>
        <v/>
      </c>
      <c r="D753" s="110">
        <f>IF($C753="","",$C753*AySayisi)</f>
        <v/>
      </c>
      <c r="E753" s="107" t="n"/>
    </row>
    <row r="754" ht="15" customHeight="1" s="62">
      <c r="A754" s="107" t="n"/>
      <c r="B754" s="107" t="n"/>
      <c r="C754" s="110">
        <f>IFERROR(IF(OR($A754="",$B754=""),"",INDEX(tblCalisan[Brüt Ücret (₺)],MATCH($A754,tblCalisan[Çalışan Adı],0))*IF($B754="5 Puan İndirimi",BesPuanOrani,IF($B754="İlave İstihdam",IlaveIstihdamOrani,IF($B754="Kadın/Genç",KadinGencOrani,IF($B754="Engelli",EngelliOrani,GencGirisimciOrani))))),"")</f>
        <v/>
      </c>
      <c r="D754" s="110">
        <f>IF($C754="","",$C754*AySayisi)</f>
        <v/>
      </c>
      <c r="E754" s="107" t="n"/>
    </row>
    <row r="755" ht="15" customHeight="1" s="62">
      <c r="A755" s="107" t="n"/>
      <c r="B755" s="107" t="n"/>
      <c r="C755" s="110">
        <f>IFERROR(IF(OR($A755="",$B755=""),"",INDEX(tblCalisan[Brüt Ücret (₺)],MATCH($A755,tblCalisan[Çalışan Adı],0))*IF($B755="5 Puan İndirimi",BesPuanOrani,IF($B755="İlave İstihdam",IlaveIstihdamOrani,IF($B755="Kadın/Genç",KadinGencOrani,IF($B755="Engelli",EngelliOrani,GencGirisimciOrani))))),"")</f>
        <v/>
      </c>
      <c r="D755" s="110">
        <f>IF($C755="","",$C755*AySayisi)</f>
        <v/>
      </c>
      <c r="E755" s="107" t="n"/>
    </row>
    <row r="756" ht="15" customHeight="1" s="62">
      <c r="A756" s="107" t="n"/>
      <c r="B756" s="107" t="n"/>
      <c r="C756" s="110">
        <f>IFERROR(IF(OR($A756="",$B756=""),"",INDEX(tblCalisan[Brüt Ücret (₺)],MATCH($A756,tblCalisan[Çalışan Adı],0))*IF($B756="5 Puan İndirimi",BesPuanOrani,IF($B756="İlave İstihdam",IlaveIstihdamOrani,IF($B756="Kadın/Genç",KadinGencOrani,IF($B756="Engelli",EngelliOrani,GencGirisimciOrani))))),"")</f>
        <v/>
      </c>
      <c r="D756" s="110">
        <f>IF($C756="","",$C756*AySayisi)</f>
        <v/>
      </c>
      <c r="E756" s="107" t="n"/>
    </row>
    <row r="757" ht="15" customHeight="1" s="62">
      <c r="A757" s="107" t="n"/>
      <c r="B757" s="107" t="n"/>
      <c r="C757" s="110">
        <f>IFERROR(IF(OR($A757="",$B757=""),"",INDEX(tblCalisan[Brüt Ücret (₺)],MATCH($A757,tblCalisan[Çalışan Adı],0))*IF($B757="5 Puan İndirimi",BesPuanOrani,IF($B757="İlave İstihdam",IlaveIstihdamOrani,IF($B757="Kadın/Genç",KadinGencOrani,IF($B757="Engelli",EngelliOrani,GencGirisimciOrani))))),"")</f>
        <v/>
      </c>
      <c r="D757" s="110">
        <f>IF($C757="","",$C757*AySayisi)</f>
        <v/>
      </c>
      <c r="E757" s="107" t="n"/>
    </row>
    <row r="758" ht="15" customHeight="1" s="62">
      <c r="A758" s="107" t="n"/>
      <c r="B758" s="107" t="n"/>
      <c r="C758" s="110">
        <f>IFERROR(IF(OR($A758="",$B758=""),"",INDEX(tblCalisan[Brüt Ücret (₺)],MATCH($A758,tblCalisan[Çalışan Adı],0))*IF($B758="5 Puan İndirimi",BesPuanOrani,IF($B758="İlave İstihdam",IlaveIstihdamOrani,IF($B758="Kadın/Genç",KadinGencOrani,IF($B758="Engelli",EngelliOrani,GencGirisimciOrani))))),"")</f>
        <v/>
      </c>
      <c r="D758" s="110">
        <f>IF($C758="","",$C758*AySayisi)</f>
        <v/>
      </c>
      <c r="E758" s="107" t="n"/>
    </row>
    <row r="759" ht="15" customHeight="1" s="62">
      <c r="A759" s="107" t="n"/>
      <c r="B759" s="107" t="n"/>
      <c r="C759" s="110">
        <f>IFERROR(IF(OR($A759="",$B759=""),"",INDEX(tblCalisan[Brüt Ücret (₺)],MATCH($A759,tblCalisan[Çalışan Adı],0))*IF($B759="5 Puan İndirimi",BesPuanOrani,IF($B759="İlave İstihdam",IlaveIstihdamOrani,IF($B759="Kadın/Genç",KadinGencOrani,IF($B759="Engelli",EngelliOrani,GencGirisimciOrani))))),"")</f>
        <v/>
      </c>
      <c r="D759" s="110">
        <f>IF($C759="","",$C759*AySayisi)</f>
        <v/>
      </c>
      <c r="E759" s="107" t="n"/>
    </row>
    <row r="760" ht="15" customHeight="1" s="62">
      <c r="A760" s="107" t="n"/>
      <c r="B760" s="107" t="n"/>
      <c r="C760" s="110">
        <f>IFERROR(IF(OR($A760="",$B760=""),"",INDEX(tblCalisan[Brüt Ücret (₺)],MATCH($A760,tblCalisan[Çalışan Adı],0))*IF($B760="5 Puan İndirimi",BesPuanOrani,IF($B760="İlave İstihdam",IlaveIstihdamOrani,IF($B760="Kadın/Genç",KadinGencOrani,IF($B760="Engelli",EngelliOrani,GencGirisimciOrani))))),"")</f>
        <v/>
      </c>
      <c r="D760" s="110">
        <f>IF($C760="","",$C760*AySayisi)</f>
        <v/>
      </c>
      <c r="E760" s="107" t="n"/>
    </row>
    <row r="761" ht="15" customHeight="1" s="62">
      <c r="A761" s="107" t="n"/>
      <c r="B761" s="107" t="n"/>
      <c r="C761" s="110">
        <f>IFERROR(IF(OR($A761="",$B761=""),"",INDEX(tblCalisan[Brüt Ücret (₺)],MATCH($A761,tblCalisan[Çalışan Adı],0))*IF($B761="5 Puan İndirimi",BesPuanOrani,IF($B761="İlave İstihdam",IlaveIstihdamOrani,IF($B761="Kadın/Genç",KadinGencOrani,IF($B761="Engelli",EngelliOrani,GencGirisimciOrani))))),"")</f>
        <v/>
      </c>
      <c r="D761" s="110">
        <f>IF($C761="","",$C761*AySayisi)</f>
        <v/>
      </c>
      <c r="E761" s="107" t="n"/>
    </row>
    <row r="762" ht="15" customHeight="1" s="62">
      <c r="A762" s="107" t="n"/>
      <c r="B762" s="107" t="n"/>
      <c r="C762" s="110">
        <f>IFERROR(IF(OR($A762="",$B762=""),"",INDEX(tblCalisan[Brüt Ücret (₺)],MATCH($A762,tblCalisan[Çalışan Adı],0))*IF($B762="5 Puan İndirimi",BesPuanOrani,IF($B762="İlave İstihdam",IlaveIstihdamOrani,IF($B762="Kadın/Genç",KadinGencOrani,IF($B762="Engelli",EngelliOrani,GencGirisimciOrani))))),"")</f>
        <v/>
      </c>
      <c r="D762" s="110">
        <f>IF($C762="","",$C762*AySayisi)</f>
        <v/>
      </c>
      <c r="E762" s="107" t="n"/>
    </row>
    <row r="763" ht="15" customHeight="1" s="62">
      <c r="A763" s="107" t="n"/>
      <c r="B763" s="107" t="n"/>
      <c r="C763" s="110">
        <f>IFERROR(IF(OR($A763="",$B763=""),"",INDEX(tblCalisan[Brüt Ücret (₺)],MATCH($A763,tblCalisan[Çalışan Adı],0))*IF($B763="5 Puan İndirimi",BesPuanOrani,IF($B763="İlave İstihdam",IlaveIstihdamOrani,IF($B763="Kadın/Genç",KadinGencOrani,IF($B763="Engelli",EngelliOrani,GencGirisimciOrani))))),"")</f>
        <v/>
      </c>
      <c r="D763" s="110">
        <f>IF($C763="","",$C763*AySayisi)</f>
        <v/>
      </c>
      <c r="E763" s="107" t="n"/>
    </row>
    <row r="764" ht="15" customHeight="1" s="62">
      <c r="A764" s="107" t="n"/>
      <c r="B764" s="107" t="n"/>
      <c r="C764" s="110">
        <f>IFERROR(IF(OR($A764="",$B764=""),"",INDEX(tblCalisan[Brüt Ücret (₺)],MATCH($A764,tblCalisan[Çalışan Adı],0))*IF($B764="5 Puan İndirimi",BesPuanOrani,IF($B764="İlave İstihdam",IlaveIstihdamOrani,IF($B764="Kadın/Genç",KadinGencOrani,IF($B764="Engelli",EngelliOrani,GencGirisimciOrani))))),"")</f>
        <v/>
      </c>
      <c r="D764" s="110">
        <f>IF($C764="","",$C764*AySayisi)</f>
        <v/>
      </c>
      <c r="E764" s="107" t="n"/>
    </row>
    <row r="765" ht="15" customHeight="1" s="62">
      <c r="A765" s="107" t="n"/>
      <c r="B765" s="107" t="n"/>
      <c r="C765" s="110">
        <f>IFERROR(IF(OR($A765="",$B765=""),"",INDEX(tblCalisan[Brüt Ücret (₺)],MATCH($A765,tblCalisan[Çalışan Adı],0))*IF($B765="5 Puan İndirimi",BesPuanOrani,IF($B765="İlave İstihdam",IlaveIstihdamOrani,IF($B765="Kadın/Genç",KadinGencOrani,IF($B765="Engelli",EngelliOrani,GencGirisimciOrani))))),"")</f>
        <v/>
      </c>
      <c r="D765" s="110">
        <f>IF($C765="","",$C765*AySayisi)</f>
        <v/>
      </c>
      <c r="E765" s="107" t="n"/>
    </row>
    <row r="766" ht="15" customHeight="1" s="62">
      <c r="A766" s="107" t="n"/>
      <c r="B766" s="107" t="n"/>
      <c r="C766" s="110">
        <f>IFERROR(IF(OR($A766="",$B766=""),"",INDEX(tblCalisan[Brüt Ücret (₺)],MATCH($A766,tblCalisan[Çalışan Adı],0))*IF($B766="5 Puan İndirimi",BesPuanOrani,IF($B766="İlave İstihdam",IlaveIstihdamOrani,IF($B766="Kadın/Genç",KadinGencOrani,IF($B766="Engelli",EngelliOrani,GencGirisimciOrani))))),"")</f>
        <v/>
      </c>
      <c r="D766" s="110">
        <f>IF($C766="","",$C766*AySayisi)</f>
        <v/>
      </c>
      <c r="E766" s="107" t="n"/>
    </row>
    <row r="767" ht="15" customHeight="1" s="62">
      <c r="A767" s="107" t="n"/>
      <c r="B767" s="107" t="n"/>
      <c r="C767" s="110">
        <f>IFERROR(IF(OR($A767="",$B767=""),"",INDEX(tblCalisan[Brüt Ücret (₺)],MATCH($A767,tblCalisan[Çalışan Adı],0))*IF($B767="5 Puan İndirimi",BesPuanOrani,IF($B767="İlave İstihdam",IlaveIstihdamOrani,IF($B767="Kadın/Genç",KadinGencOrani,IF($B767="Engelli",EngelliOrani,GencGirisimciOrani))))),"")</f>
        <v/>
      </c>
      <c r="D767" s="110">
        <f>IF($C767="","",$C767*AySayisi)</f>
        <v/>
      </c>
      <c r="E767" s="107" t="n"/>
    </row>
    <row r="768" ht="15" customHeight="1" s="62">
      <c r="A768" s="107" t="n"/>
      <c r="B768" s="107" t="n"/>
      <c r="C768" s="110">
        <f>IFERROR(IF(OR($A768="",$B768=""),"",INDEX(tblCalisan[Brüt Ücret (₺)],MATCH($A768,tblCalisan[Çalışan Adı],0))*IF($B768="5 Puan İndirimi",BesPuanOrani,IF($B768="İlave İstihdam",IlaveIstihdamOrani,IF($B768="Kadın/Genç",KadinGencOrani,IF($B768="Engelli",EngelliOrani,GencGirisimciOrani))))),"")</f>
        <v/>
      </c>
      <c r="D768" s="110">
        <f>IF($C768="","",$C768*AySayisi)</f>
        <v/>
      </c>
      <c r="E768" s="107" t="n"/>
    </row>
    <row r="769" ht="15" customHeight="1" s="62">
      <c r="A769" s="107" t="n"/>
      <c r="B769" s="107" t="n"/>
      <c r="C769" s="110">
        <f>IFERROR(IF(OR($A769="",$B769=""),"",INDEX(tblCalisan[Brüt Ücret (₺)],MATCH($A769,tblCalisan[Çalışan Adı],0))*IF($B769="5 Puan İndirimi",BesPuanOrani,IF($B769="İlave İstihdam",IlaveIstihdamOrani,IF($B769="Kadın/Genç",KadinGencOrani,IF($B769="Engelli",EngelliOrani,GencGirisimciOrani))))),"")</f>
        <v/>
      </c>
      <c r="D769" s="110">
        <f>IF($C769="","",$C769*AySayisi)</f>
        <v/>
      </c>
      <c r="E769" s="107" t="n"/>
    </row>
    <row r="770" ht="15" customHeight="1" s="62">
      <c r="A770" s="107" t="n"/>
      <c r="B770" s="107" t="n"/>
      <c r="C770" s="110">
        <f>IFERROR(IF(OR($A770="",$B770=""),"",INDEX(tblCalisan[Brüt Ücret (₺)],MATCH($A770,tblCalisan[Çalışan Adı],0))*IF($B770="5 Puan İndirimi",BesPuanOrani,IF($B770="İlave İstihdam",IlaveIstihdamOrani,IF($B770="Kadın/Genç",KadinGencOrani,IF($B770="Engelli",EngelliOrani,GencGirisimciOrani))))),"")</f>
        <v/>
      </c>
      <c r="D770" s="110">
        <f>IF($C770="","",$C770*AySayisi)</f>
        <v/>
      </c>
      <c r="E770" s="107" t="n"/>
    </row>
    <row r="771" ht="15" customHeight="1" s="62">
      <c r="A771" s="107" t="n"/>
      <c r="B771" s="107" t="n"/>
      <c r="C771" s="110">
        <f>IFERROR(IF(OR($A771="",$B771=""),"",INDEX(tblCalisan[Brüt Ücret (₺)],MATCH($A771,tblCalisan[Çalışan Adı],0))*IF($B771="5 Puan İndirimi",BesPuanOrani,IF($B771="İlave İstihdam",IlaveIstihdamOrani,IF($B771="Kadın/Genç",KadinGencOrani,IF($B771="Engelli",EngelliOrani,GencGirisimciOrani))))),"")</f>
        <v/>
      </c>
      <c r="D771" s="110">
        <f>IF($C771="","",$C771*AySayisi)</f>
        <v/>
      </c>
      <c r="E771" s="107" t="n"/>
    </row>
    <row r="772" ht="15" customHeight="1" s="62">
      <c r="A772" s="107" t="n"/>
      <c r="B772" s="107" t="n"/>
      <c r="C772" s="110">
        <f>IFERROR(IF(OR($A772="",$B772=""),"",INDEX(tblCalisan[Brüt Ücret (₺)],MATCH($A772,tblCalisan[Çalışan Adı],0))*IF($B772="5 Puan İndirimi",BesPuanOrani,IF($B772="İlave İstihdam",IlaveIstihdamOrani,IF($B772="Kadın/Genç",KadinGencOrani,IF($B772="Engelli",EngelliOrani,GencGirisimciOrani))))),"")</f>
        <v/>
      </c>
      <c r="D772" s="110">
        <f>IF($C772="","",$C772*AySayisi)</f>
        <v/>
      </c>
      <c r="E772" s="107" t="n"/>
    </row>
    <row r="773" ht="15" customHeight="1" s="62">
      <c r="A773" s="107" t="n"/>
      <c r="B773" s="107" t="n"/>
      <c r="C773" s="110">
        <f>IFERROR(IF(OR($A773="",$B773=""),"",INDEX(tblCalisan[Brüt Ücret (₺)],MATCH($A773,tblCalisan[Çalışan Adı],0))*IF($B773="5 Puan İndirimi",BesPuanOrani,IF($B773="İlave İstihdam",IlaveIstihdamOrani,IF($B773="Kadın/Genç",KadinGencOrani,IF($B773="Engelli",EngelliOrani,GencGirisimciOrani))))),"")</f>
        <v/>
      </c>
      <c r="D773" s="110">
        <f>IF($C773="","",$C773*AySayisi)</f>
        <v/>
      </c>
      <c r="E773" s="107" t="n"/>
    </row>
    <row r="774" ht="15" customHeight="1" s="62">
      <c r="A774" s="107" t="n"/>
      <c r="B774" s="107" t="n"/>
      <c r="C774" s="110">
        <f>IFERROR(IF(OR($A774="",$B774=""),"",INDEX(tblCalisan[Brüt Ücret (₺)],MATCH($A774,tblCalisan[Çalışan Adı],0))*IF($B774="5 Puan İndirimi",BesPuanOrani,IF($B774="İlave İstihdam",IlaveIstihdamOrani,IF($B774="Kadın/Genç",KadinGencOrani,IF($B774="Engelli",EngelliOrani,GencGirisimciOrani))))),"")</f>
        <v/>
      </c>
      <c r="D774" s="110">
        <f>IF($C774="","",$C774*AySayisi)</f>
        <v/>
      </c>
      <c r="E774" s="107" t="n"/>
    </row>
    <row r="775" ht="15" customHeight="1" s="62">
      <c r="A775" s="107" t="n"/>
      <c r="B775" s="107" t="n"/>
      <c r="C775" s="110">
        <f>IFERROR(IF(OR($A775="",$B775=""),"",INDEX(tblCalisan[Brüt Ücret (₺)],MATCH($A775,tblCalisan[Çalışan Adı],0))*IF($B775="5 Puan İndirimi",BesPuanOrani,IF($B775="İlave İstihdam",IlaveIstihdamOrani,IF($B775="Kadın/Genç",KadinGencOrani,IF($B775="Engelli",EngelliOrani,GencGirisimciOrani))))),"")</f>
        <v/>
      </c>
      <c r="D775" s="110">
        <f>IF($C775="","",$C775*AySayisi)</f>
        <v/>
      </c>
      <c r="E775" s="107" t="n"/>
    </row>
    <row r="776" ht="15" customHeight="1" s="62">
      <c r="A776" s="107" t="n"/>
      <c r="B776" s="107" t="n"/>
      <c r="C776" s="110">
        <f>IFERROR(IF(OR($A776="",$B776=""),"",INDEX(tblCalisan[Brüt Ücret (₺)],MATCH($A776,tblCalisan[Çalışan Adı],0))*IF($B776="5 Puan İndirimi",BesPuanOrani,IF($B776="İlave İstihdam",IlaveIstihdamOrani,IF($B776="Kadın/Genç",KadinGencOrani,IF($B776="Engelli",EngelliOrani,GencGirisimciOrani))))),"")</f>
        <v/>
      </c>
      <c r="D776" s="110">
        <f>IF($C776="","",$C776*AySayisi)</f>
        <v/>
      </c>
      <c r="E776" s="107" t="n"/>
    </row>
    <row r="777" ht="15" customHeight="1" s="62">
      <c r="A777" s="107" t="n"/>
      <c r="B777" s="107" t="n"/>
      <c r="C777" s="110">
        <f>IFERROR(IF(OR($A777="",$B777=""),"",INDEX(tblCalisan[Brüt Ücret (₺)],MATCH($A777,tblCalisan[Çalışan Adı],0))*IF($B777="5 Puan İndirimi",BesPuanOrani,IF($B777="İlave İstihdam",IlaveIstihdamOrani,IF($B777="Kadın/Genç",KadinGencOrani,IF($B777="Engelli",EngelliOrani,GencGirisimciOrani))))),"")</f>
        <v/>
      </c>
      <c r="D777" s="110">
        <f>IF($C777="","",$C777*AySayisi)</f>
        <v/>
      </c>
      <c r="E777" s="107" t="n"/>
    </row>
    <row r="778" ht="15" customHeight="1" s="62">
      <c r="A778" s="107" t="n"/>
      <c r="B778" s="107" t="n"/>
      <c r="C778" s="110">
        <f>IFERROR(IF(OR($A778="",$B778=""),"",INDEX(tblCalisan[Brüt Ücret (₺)],MATCH($A778,tblCalisan[Çalışan Adı],0))*IF($B778="5 Puan İndirimi",BesPuanOrani,IF($B778="İlave İstihdam",IlaveIstihdamOrani,IF($B778="Kadın/Genç",KadinGencOrani,IF($B778="Engelli",EngelliOrani,GencGirisimciOrani))))),"")</f>
        <v/>
      </c>
      <c r="D778" s="110">
        <f>IF($C778="","",$C778*AySayisi)</f>
        <v/>
      </c>
      <c r="E778" s="107" t="n"/>
    </row>
    <row r="779" ht="15" customHeight="1" s="62">
      <c r="A779" s="107" t="n"/>
      <c r="B779" s="107" t="n"/>
      <c r="C779" s="110">
        <f>IFERROR(IF(OR($A779="",$B779=""),"",INDEX(tblCalisan[Brüt Ücret (₺)],MATCH($A779,tblCalisan[Çalışan Adı],0))*IF($B779="5 Puan İndirimi",BesPuanOrani,IF($B779="İlave İstihdam",IlaveIstihdamOrani,IF($B779="Kadın/Genç",KadinGencOrani,IF($B779="Engelli",EngelliOrani,GencGirisimciOrani))))),"")</f>
        <v/>
      </c>
      <c r="D779" s="110">
        <f>IF($C779="","",$C779*AySayisi)</f>
        <v/>
      </c>
      <c r="E779" s="107" t="n"/>
    </row>
    <row r="780" ht="15" customHeight="1" s="62">
      <c r="A780" s="107" t="n"/>
      <c r="B780" s="107" t="n"/>
      <c r="C780" s="110">
        <f>IFERROR(IF(OR($A780="",$B780=""),"",INDEX(tblCalisan[Brüt Ücret (₺)],MATCH($A780,tblCalisan[Çalışan Adı],0))*IF($B780="5 Puan İndirimi",BesPuanOrani,IF($B780="İlave İstihdam",IlaveIstihdamOrani,IF($B780="Kadın/Genç",KadinGencOrani,IF($B780="Engelli",EngelliOrani,GencGirisimciOrani))))),"")</f>
        <v/>
      </c>
      <c r="D780" s="110">
        <f>IF($C780="","",$C780*AySayisi)</f>
        <v/>
      </c>
      <c r="E780" s="107" t="n"/>
    </row>
    <row r="781" ht="15" customHeight="1" s="62">
      <c r="A781" s="107" t="n"/>
      <c r="B781" s="107" t="n"/>
      <c r="C781" s="110">
        <f>IFERROR(IF(OR($A781="",$B781=""),"",INDEX(tblCalisan[Brüt Ücret (₺)],MATCH($A781,tblCalisan[Çalışan Adı],0))*IF($B781="5 Puan İndirimi",BesPuanOrani,IF($B781="İlave İstihdam",IlaveIstihdamOrani,IF($B781="Kadın/Genç",KadinGencOrani,IF($B781="Engelli",EngelliOrani,GencGirisimciOrani))))),"")</f>
        <v/>
      </c>
      <c r="D781" s="110">
        <f>IF($C781="","",$C781*AySayisi)</f>
        <v/>
      </c>
      <c r="E781" s="107" t="n"/>
    </row>
    <row r="782" ht="15" customHeight="1" s="62">
      <c r="A782" s="107" t="n"/>
      <c r="B782" s="107" t="n"/>
      <c r="C782" s="110">
        <f>IFERROR(IF(OR($A782="",$B782=""),"",INDEX(tblCalisan[Brüt Ücret (₺)],MATCH($A782,tblCalisan[Çalışan Adı],0))*IF($B782="5 Puan İndirimi",BesPuanOrani,IF($B782="İlave İstihdam",IlaveIstihdamOrani,IF($B782="Kadın/Genç",KadinGencOrani,IF($B782="Engelli",EngelliOrani,GencGirisimciOrani))))),"")</f>
        <v/>
      </c>
      <c r="D782" s="110">
        <f>IF($C782="","",$C782*AySayisi)</f>
        <v/>
      </c>
      <c r="E782" s="107" t="n"/>
    </row>
    <row r="783" ht="15" customHeight="1" s="62">
      <c r="A783" s="107" t="n"/>
      <c r="B783" s="107" t="n"/>
      <c r="C783" s="110">
        <f>IFERROR(IF(OR($A783="",$B783=""),"",INDEX(tblCalisan[Brüt Ücret (₺)],MATCH($A783,tblCalisan[Çalışan Adı],0))*IF($B783="5 Puan İndirimi",BesPuanOrani,IF($B783="İlave İstihdam",IlaveIstihdamOrani,IF($B783="Kadın/Genç",KadinGencOrani,IF($B783="Engelli",EngelliOrani,GencGirisimciOrani))))),"")</f>
        <v/>
      </c>
      <c r="D783" s="110">
        <f>IF($C783="","",$C783*AySayisi)</f>
        <v/>
      </c>
      <c r="E783" s="107" t="n"/>
    </row>
    <row r="784" ht="15" customHeight="1" s="62">
      <c r="A784" s="107" t="n"/>
      <c r="B784" s="107" t="n"/>
      <c r="C784" s="110">
        <f>IFERROR(IF(OR($A784="",$B784=""),"",INDEX(tblCalisan[Brüt Ücret (₺)],MATCH($A784,tblCalisan[Çalışan Adı],0))*IF($B784="5 Puan İndirimi",BesPuanOrani,IF($B784="İlave İstihdam",IlaveIstihdamOrani,IF($B784="Kadın/Genç",KadinGencOrani,IF($B784="Engelli",EngelliOrani,GencGirisimciOrani))))),"")</f>
        <v/>
      </c>
      <c r="D784" s="110">
        <f>IF($C784="","",$C784*AySayisi)</f>
        <v/>
      </c>
      <c r="E784" s="107" t="n"/>
    </row>
    <row r="785" ht="15" customHeight="1" s="62">
      <c r="A785" s="107" t="n"/>
      <c r="B785" s="107" t="n"/>
      <c r="C785" s="110">
        <f>IFERROR(IF(OR($A785="",$B785=""),"",INDEX(tblCalisan[Brüt Ücret (₺)],MATCH($A785,tblCalisan[Çalışan Adı],0))*IF($B785="5 Puan İndirimi",BesPuanOrani,IF($B785="İlave İstihdam",IlaveIstihdamOrani,IF($B785="Kadın/Genç",KadinGencOrani,IF($B785="Engelli",EngelliOrani,GencGirisimciOrani))))),"")</f>
        <v/>
      </c>
      <c r="D785" s="110">
        <f>IF($C785="","",$C785*AySayisi)</f>
        <v/>
      </c>
      <c r="E785" s="107" t="n"/>
    </row>
    <row r="786" ht="15" customHeight="1" s="62">
      <c r="A786" s="107" t="n"/>
      <c r="B786" s="107" t="n"/>
      <c r="C786" s="110">
        <f>IFERROR(IF(OR($A786="",$B786=""),"",INDEX(tblCalisan[Brüt Ücret (₺)],MATCH($A786,tblCalisan[Çalışan Adı],0))*IF($B786="5 Puan İndirimi",BesPuanOrani,IF($B786="İlave İstihdam",IlaveIstihdamOrani,IF($B786="Kadın/Genç",KadinGencOrani,IF($B786="Engelli",EngelliOrani,GencGirisimciOrani))))),"")</f>
        <v/>
      </c>
      <c r="D786" s="110">
        <f>IF($C786="","",$C786*AySayisi)</f>
        <v/>
      </c>
      <c r="E786" s="107" t="n"/>
    </row>
    <row r="787" ht="15" customHeight="1" s="62">
      <c r="A787" s="107" t="n"/>
      <c r="B787" s="107" t="n"/>
      <c r="C787" s="110">
        <f>IFERROR(IF(OR($A787="",$B787=""),"",INDEX(tblCalisan[Brüt Ücret (₺)],MATCH($A787,tblCalisan[Çalışan Adı],0))*IF($B787="5 Puan İndirimi",BesPuanOrani,IF($B787="İlave İstihdam",IlaveIstihdamOrani,IF($B787="Kadın/Genç",KadinGencOrani,IF($B787="Engelli",EngelliOrani,GencGirisimciOrani))))),"")</f>
        <v/>
      </c>
      <c r="D787" s="110">
        <f>IF($C787="","",$C787*AySayisi)</f>
        <v/>
      </c>
      <c r="E787" s="107" t="n"/>
    </row>
    <row r="788" ht="15" customHeight="1" s="62">
      <c r="A788" s="107" t="n"/>
      <c r="B788" s="107" t="n"/>
      <c r="C788" s="110">
        <f>IFERROR(IF(OR($A788="",$B788=""),"",INDEX(tblCalisan[Brüt Ücret (₺)],MATCH($A788,tblCalisan[Çalışan Adı],0))*IF($B788="5 Puan İndirimi",BesPuanOrani,IF($B788="İlave İstihdam",IlaveIstihdamOrani,IF($B788="Kadın/Genç",KadinGencOrani,IF($B788="Engelli",EngelliOrani,GencGirisimciOrani))))),"")</f>
        <v/>
      </c>
      <c r="D788" s="110">
        <f>IF($C788="","",$C788*AySayisi)</f>
        <v/>
      </c>
      <c r="E788" s="107" t="n"/>
    </row>
    <row r="789" ht="15" customHeight="1" s="62">
      <c r="A789" s="107" t="n"/>
      <c r="B789" s="107" t="n"/>
      <c r="C789" s="110">
        <f>IFERROR(IF(OR($A789="",$B789=""),"",INDEX(tblCalisan[Brüt Ücret (₺)],MATCH($A789,tblCalisan[Çalışan Adı],0))*IF($B789="5 Puan İndirimi",BesPuanOrani,IF($B789="İlave İstihdam",IlaveIstihdamOrani,IF($B789="Kadın/Genç",KadinGencOrani,IF($B789="Engelli",EngelliOrani,GencGirisimciOrani))))),"")</f>
        <v/>
      </c>
      <c r="D789" s="110">
        <f>IF($C789="","",$C789*AySayisi)</f>
        <v/>
      </c>
      <c r="E789" s="107" t="n"/>
    </row>
    <row r="790" ht="15" customHeight="1" s="62">
      <c r="A790" s="107" t="n"/>
      <c r="B790" s="107" t="n"/>
      <c r="C790" s="110">
        <f>IFERROR(IF(OR($A790="",$B790=""),"",INDEX(tblCalisan[Brüt Ücret (₺)],MATCH($A790,tblCalisan[Çalışan Adı],0))*IF($B790="5 Puan İndirimi",BesPuanOrani,IF($B790="İlave İstihdam",IlaveIstihdamOrani,IF($B790="Kadın/Genç",KadinGencOrani,IF($B790="Engelli",EngelliOrani,GencGirisimciOrani))))),"")</f>
        <v/>
      </c>
      <c r="D790" s="110">
        <f>IF($C790="","",$C790*AySayisi)</f>
        <v/>
      </c>
      <c r="E790" s="107" t="n"/>
    </row>
    <row r="791" ht="15" customHeight="1" s="62">
      <c r="A791" s="107" t="n"/>
      <c r="B791" s="107" t="n"/>
      <c r="C791" s="110">
        <f>IFERROR(IF(OR($A791="",$B791=""),"",INDEX(tblCalisan[Brüt Ücret (₺)],MATCH($A791,tblCalisan[Çalışan Adı],0))*IF($B791="5 Puan İndirimi",BesPuanOrani,IF($B791="İlave İstihdam",IlaveIstihdamOrani,IF($B791="Kadın/Genç",KadinGencOrani,IF($B791="Engelli",EngelliOrani,GencGirisimciOrani))))),"")</f>
        <v/>
      </c>
      <c r="D791" s="110">
        <f>IF($C791="","",$C791*AySayisi)</f>
        <v/>
      </c>
      <c r="E791" s="107" t="n"/>
    </row>
    <row r="792" ht="15" customHeight="1" s="62">
      <c r="A792" s="107" t="n"/>
      <c r="B792" s="107" t="n"/>
      <c r="C792" s="110">
        <f>IFERROR(IF(OR($A792="",$B792=""),"",INDEX(tblCalisan[Brüt Ücret (₺)],MATCH($A792,tblCalisan[Çalışan Adı],0))*IF($B792="5 Puan İndirimi",BesPuanOrani,IF($B792="İlave İstihdam",IlaveIstihdamOrani,IF($B792="Kadın/Genç",KadinGencOrani,IF($B792="Engelli",EngelliOrani,GencGirisimciOrani))))),"")</f>
        <v/>
      </c>
      <c r="D792" s="110">
        <f>IF($C792="","",$C792*AySayisi)</f>
        <v/>
      </c>
      <c r="E792" s="107" t="n"/>
    </row>
    <row r="793" ht="15" customHeight="1" s="62">
      <c r="A793" s="107" t="n"/>
      <c r="B793" s="107" t="n"/>
      <c r="C793" s="110">
        <f>IFERROR(IF(OR($A793="",$B793=""),"",INDEX(tblCalisan[Brüt Ücret (₺)],MATCH($A793,tblCalisan[Çalışan Adı],0))*IF($B793="5 Puan İndirimi",BesPuanOrani,IF($B793="İlave İstihdam",IlaveIstihdamOrani,IF($B793="Kadın/Genç",KadinGencOrani,IF($B793="Engelli",EngelliOrani,GencGirisimciOrani))))),"")</f>
        <v/>
      </c>
      <c r="D793" s="110">
        <f>IF($C793="","",$C793*AySayisi)</f>
        <v/>
      </c>
      <c r="E793" s="107" t="n"/>
    </row>
    <row r="794" ht="15" customHeight="1" s="62">
      <c r="A794" s="107" t="n"/>
      <c r="B794" s="107" t="n"/>
      <c r="C794" s="110">
        <f>IFERROR(IF(OR($A794="",$B794=""),"",INDEX(tblCalisan[Brüt Ücret (₺)],MATCH($A794,tblCalisan[Çalışan Adı],0))*IF($B794="5 Puan İndirimi",BesPuanOrani,IF($B794="İlave İstihdam",IlaveIstihdamOrani,IF($B794="Kadın/Genç",KadinGencOrani,IF($B794="Engelli",EngelliOrani,GencGirisimciOrani))))),"")</f>
        <v/>
      </c>
      <c r="D794" s="110">
        <f>IF($C794="","",$C794*AySayisi)</f>
        <v/>
      </c>
      <c r="E794" s="107" t="n"/>
    </row>
    <row r="795" ht="15" customHeight="1" s="62">
      <c r="A795" s="107" t="n"/>
      <c r="B795" s="107" t="n"/>
      <c r="C795" s="110">
        <f>IFERROR(IF(OR($A795="",$B795=""),"",INDEX(tblCalisan[Brüt Ücret (₺)],MATCH($A795,tblCalisan[Çalışan Adı],0))*IF($B795="5 Puan İndirimi",BesPuanOrani,IF($B795="İlave İstihdam",IlaveIstihdamOrani,IF($B795="Kadın/Genç",KadinGencOrani,IF($B795="Engelli",EngelliOrani,GencGirisimciOrani))))),"")</f>
        <v/>
      </c>
      <c r="D795" s="110">
        <f>IF($C795="","",$C795*AySayisi)</f>
        <v/>
      </c>
      <c r="E795" s="107" t="n"/>
    </row>
    <row r="796" ht="15" customHeight="1" s="62">
      <c r="A796" s="107" t="n"/>
      <c r="B796" s="107" t="n"/>
      <c r="C796" s="110">
        <f>IFERROR(IF(OR($A796="",$B796=""),"",INDEX(tblCalisan[Brüt Ücret (₺)],MATCH($A796,tblCalisan[Çalışan Adı],0))*IF($B796="5 Puan İndirimi",BesPuanOrani,IF($B796="İlave İstihdam",IlaveIstihdamOrani,IF($B796="Kadın/Genç",KadinGencOrani,IF($B796="Engelli",EngelliOrani,GencGirisimciOrani))))),"")</f>
        <v/>
      </c>
      <c r="D796" s="110">
        <f>IF($C796="","",$C796*AySayisi)</f>
        <v/>
      </c>
      <c r="E796" s="107" t="n"/>
    </row>
    <row r="797" ht="15" customHeight="1" s="62">
      <c r="A797" s="107" t="n"/>
      <c r="B797" s="107" t="n"/>
      <c r="C797" s="110">
        <f>IFERROR(IF(OR($A797="",$B797=""),"",INDEX(tblCalisan[Brüt Ücret (₺)],MATCH($A797,tblCalisan[Çalışan Adı],0))*IF($B797="5 Puan İndirimi",BesPuanOrani,IF($B797="İlave İstihdam",IlaveIstihdamOrani,IF($B797="Kadın/Genç",KadinGencOrani,IF($B797="Engelli",EngelliOrani,GencGirisimciOrani))))),"")</f>
        <v/>
      </c>
      <c r="D797" s="110">
        <f>IF($C797="","",$C797*AySayisi)</f>
        <v/>
      </c>
      <c r="E797" s="107" t="n"/>
    </row>
    <row r="798" ht="15" customHeight="1" s="62">
      <c r="A798" s="107" t="n"/>
      <c r="B798" s="107" t="n"/>
      <c r="C798" s="110">
        <f>IFERROR(IF(OR($A798="",$B798=""),"",INDEX(tblCalisan[Brüt Ücret (₺)],MATCH($A798,tblCalisan[Çalışan Adı],0))*IF($B798="5 Puan İndirimi",BesPuanOrani,IF($B798="İlave İstihdam",IlaveIstihdamOrani,IF($B798="Kadın/Genç",KadinGencOrani,IF($B798="Engelli",EngelliOrani,GencGirisimciOrani))))),"")</f>
        <v/>
      </c>
      <c r="D798" s="110">
        <f>IF($C798="","",$C798*AySayisi)</f>
        <v/>
      </c>
      <c r="E798" s="107" t="n"/>
    </row>
    <row r="799" ht="15" customHeight="1" s="62">
      <c r="A799" s="107" t="n"/>
      <c r="B799" s="107" t="n"/>
      <c r="C799" s="110">
        <f>IFERROR(IF(OR($A799="",$B799=""),"",INDEX(tblCalisan[Brüt Ücret (₺)],MATCH($A799,tblCalisan[Çalışan Adı],0))*IF($B799="5 Puan İndirimi",BesPuanOrani,IF($B799="İlave İstihdam",IlaveIstihdamOrani,IF($B799="Kadın/Genç",KadinGencOrani,IF($B799="Engelli",EngelliOrani,GencGirisimciOrani))))),"")</f>
        <v/>
      </c>
      <c r="D799" s="110">
        <f>IF($C799="","",$C799*AySayisi)</f>
        <v/>
      </c>
      <c r="E799" s="107" t="n"/>
    </row>
    <row r="800" ht="15" customHeight="1" s="62">
      <c r="A800" s="107" t="n"/>
      <c r="B800" s="107" t="n"/>
      <c r="C800" s="110">
        <f>IFERROR(IF(OR($A800="",$B800=""),"",INDEX(tblCalisan[Brüt Ücret (₺)],MATCH($A800,tblCalisan[Çalışan Adı],0))*IF($B800="5 Puan İndirimi",BesPuanOrani,IF($B800="İlave İstihdam",IlaveIstihdamOrani,IF($B800="Kadın/Genç",KadinGencOrani,IF($B800="Engelli",EngelliOrani,GencGirisimciOrani))))),"")</f>
        <v/>
      </c>
      <c r="D800" s="110">
        <f>IF($C800="","",$C800*AySayisi)</f>
        <v/>
      </c>
      <c r="E800" s="107" t="n"/>
    </row>
    <row r="801" ht="15" customHeight="1" s="62">
      <c r="A801" s="107" t="n"/>
      <c r="B801" s="107" t="n"/>
      <c r="C801" s="110">
        <f>IFERROR(IF(OR($A801="",$B801=""),"",INDEX(tblCalisan[Brüt Ücret (₺)],MATCH($A801,tblCalisan[Çalışan Adı],0))*IF($B801="5 Puan İndirimi",BesPuanOrani,IF($B801="İlave İstihdam",IlaveIstihdamOrani,IF($B801="Kadın/Genç",KadinGencOrani,IF($B801="Engelli",EngelliOrani,GencGirisimciOrani))))),"")</f>
        <v/>
      </c>
      <c r="D801" s="110">
        <f>IF($C801="","",$C801*AySayisi)</f>
        <v/>
      </c>
      <c r="E801" s="107" t="n"/>
    </row>
    <row r="802" ht="15" customHeight="1" s="62">
      <c r="A802" s="107" t="n"/>
      <c r="B802" s="107" t="n"/>
      <c r="C802" s="110">
        <f>IFERROR(IF(OR($A802="",$B802=""),"",INDEX(tblCalisan[Brüt Ücret (₺)],MATCH($A802,tblCalisan[Çalışan Adı],0))*IF($B802="5 Puan İndirimi",BesPuanOrani,IF($B802="İlave İstihdam",IlaveIstihdamOrani,IF($B802="Kadın/Genç",KadinGencOrani,IF($B802="Engelli",EngelliOrani,GencGirisimciOrani))))),"")</f>
        <v/>
      </c>
      <c r="D802" s="110">
        <f>IF($C802="","",$C802*AySayisi)</f>
        <v/>
      </c>
      <c r="E802" s="107" t="n"/>
    </row>
    <row r="803" ht="15" customHeight="1" s="62">
      <c r="A803" s="107" t="n"/>
      <c r="B803" s="107" t="n"/>
      <c r="C803" s="110">
        <f>IFERROR(IF(OR($A803="",$B803=""),"",INDEX(tblCalisan[Brüt Ücret (₺)],MATCH($A803,tblCalisan[Çalışan Adı],0))*IF($B803="5 Puan İndirimi",BesPuanOrani,IF($B803="İlave İstihdam",IlaveIstihdamOrani,IF($B803="Kadın/Genç",KadinGencOrani,IF($B803="Engelli",EngelliOrani,GencGirisimciOrani))))),"")</f>
        <v/>
      </c>
      <c r="D803" s="110">
        <f>IF($C803="","",$C803*AySayisi)</f>
        <v/>
      </c>
      <c r="E803" s="107" t="n"/>
    </row>
    <row r="804" ht="15" customHeight="1" s="62">
      <c r="A804" s="107" t="n"/>
      <c r="B804" s="107" t="n"/>
      <c r="C804" s="110">
        <f>IFERROR(IF(OR($A804="",$B804=""),"",INDEX(tblCalisan[Brüt Ücret (₺)],MATCH($A804,tblCalisan[Çalışan Adı],0))*IF($B804="5 Puan İndirimi",BesPuanOrani,IF($B804="İlave İstihdam",IlaveIstihdamOrani,IF($B804="Kadın/Genç",KadinGencOrani,IF($B804="Engelli",EngelliOrani,GencGirisimciOrani))))),"")</f>
        <v/>
      </c>
      <c r="D804" s="110">
        <f>IF($C804="","",$C804*AySayisi)</f>
        <v/>
      </c>
      <c r="E804" s="107" t="n"/>
    </row>
    <row r="805" ht="15" customHeight="1" s="62">
      <c r="A805" s="107" t="n"/>
      <c r="B805" s="107" t="n"/>
      <c r="C805" s="110">
        <f>IFERROR(IF(OR($A805="",$B805=""),"",INDEX(tblCalisan[Brüt Ücret (₺)],MATCH($A805,tblCalisan[Çalışan Adı],0))*IF($B805="5 Puan İndirimi",BesPuanOrani,IF($B805="İlave İstihdam",IlaveIstihdamOrani,IF($B805="Kadın/Genç",KadinGencOrani,IF($B805="Engelli",EngelliOrani,GencGirisimciOrani))))),"")</f>
        <v/>
      </c>
      <c r="D805" s="110">
        <f>IF($C805="","",$C805*AySayisi)</f>
        <v/>
      </c>
      <c r="E805" s="107" t="n"/>
    </row>
    <row r="806" ht="15" customHeight="1" s="62">
      <c r="A806" s="107" t="n"/>
      <c r="B806" s="107" t="n"/>
      <c r="C806" s="110">
        <f>IFERROR(IF(OR($A806="",$B806=""),"",INDEX(tblCalisan[Brüt Ücret (₺)],MATCH($A806,tblCalisan[Çalışan Adı],0))*IF($B806="5 Puan İndirimi",BesPuanOrani,IF($B806="İlave İstihdam",IlaveIstihdamOrani,IF($B806="Kadın/Genç",KadinGencOrani,IF($B806="Engelli",EngelliOrani,GencGirisimciOrani))))),"")</f>
        <v/>
      </c>
      <c r="D806" s="110">
        <f>IF($C806="","",$C806*AySayisi)</f>
        <v/>
      </c>
      <c r="E806" s="107" t="n"/>
    </row>
    <row r="807" ht="15" customHeight="1" s="62">
      <c r="A807" s="107" t="n"/>
      <c r="B807" s="107" t="n"/>
      <c r="C807" s="110">
        <f>IFERROR(IF(OR($A807="",$B807=""),"",INDEX(tblCalisan[Brüt Ücret (₺)],MATCH($A807,tblCalisan[Çalışan Adı],0))*IF($B807="5 Puan İndirimi",BesPuanOrani,IF($B807="İlave İstihdam",IlaveIstihdamOrani,IF($B807="Kadın/Genç",KadinGencOrani,IF($B807="Engelli",EngelliOrani,GencGirisimciOrani))))),"")</f>
        <v/>
      </c>
      <c r="D807" s="110">
        <f>IF($C807="","",$C807*AySayisi)</f>
        <v/>
      </c>
      <c r="E807" s="107" t="n"/>
    </row>
    <row r="808" ht="15" customHeight="1" s="62">
      <c r="A808" s="107" t="n"/>
      <c r="B808" s="107" t="n"/>
      <c r="C808" s="110">
        <f>IFERROR(IF(OR($A808="",$B808=""),"",INDEX(tblCalisan[Brüt Ücret (₺)],MATCH($A808,tblCalisan[Çalışan Adı],0))*IF($B808="5 Puan İndirimi",BesPuanOrani,IF($B808="İlave İstihdam",IlaveIstihdamOrani,IF($B808="Kadın/Genç",KadinGencOrani,IF($B808="Engelli",EngelliOrani,GencGirisimciOrani))))),"")</f>
        <v/>
      </c>
      <c r="D808" s="110">
        <f>IF($C808="","",$C808*AySayisi)</f>
        <v/>
      </c>
      <c r="E808" s="107" t="n"/>
    </row>
    <row r="809" ht="15" customHeight="1" s="62">
      <c r="A809" s="107" t="n"/>
      <c r="B809" s="107" t="n"/>
      <c r="C809" s="110">
        <f>IFERROR(IF(OR($A809="",$B809=""),"",INDEX(tblCalisan[Brüt Ücret (₺)],MATCH($A809,tblCalisan[Çalışan Adı],0))*IF($B809="5 Puan İndirimi",BesPuanOrani,IF($B809="İlave İstihdam",IlaveIstihdamOrani,IF($B809="Kadın/Genç",KadinGencOrani,IF($B809="Engelli",EngelliOrani,GencGirisimciOrani))))),"")</f>
        <v/>
      </c>
      <c r="D809" s="110">
        <f>IF($C809="","",$C809*AySayisi)</f>
        <v/>
      </c>
      <c r="E809" s="107" t="n"/>
    </row>
    <row r="810" ht="15" customHeight="1" s="62">
      <c r="A810" s="107" t="n"/>
      <c r="B810" s="107" t="n"/>
      <c r="C810" s="110">
        <f>IFERROR(IF(OR($A810="",$B810=""),"",INDEX(tblCalisan[Brüt Ücret (₺)],MATCH($A810,tblCalisan[Çalışan Adı],0))*IF($B810="5 Puan İndirimi",BesPuanOrani,IF($B810="İlave İstihdam",IlaveIstihdamOrani,IF($B810="Kadın/Genç",KadinGencOrani,IF($B810="Engelli",EngelliOrani,GencGirisimciOrani))))),"")</f>
        <v/>
      </c>
      <c r="D810" s="110">
        <f>IF($C810="","",$C810*AySayisi)</f>
        <v/>
      </c>
      <c r="E810" s="107" t="n"/>
    </row>
    <row r="811" ht="15" customHeight="1" s="62">
      <c r="A811" s="107" t="n"/>
      <c r="B811" s="107" t="n"/>
      <c r="C811" s="110">
        <f>IFERROR(IF(OR($A811="",$B811=""),"",INDEX(tblCalisan[Brüt Ücret (₺)],MATCH($A811,tblCalisan[Çalışan Adı],0))*IF($B811="5 Puan İndirimi",BesPuanOrani,IF($B811="İlave İstihdam",IlaveIstihdamOrani,IF($B811="Kadın/Genç",KadinGencOrani,IF($B811="Engelli",EngelliOrani,GencGirisimciOrani))))),"")</f>
        <v/>
      </c>
      <c r="D811" s="110">
        <f>IF($C811="","",$C811*AySayisi)</f>
        <v/>
      </c>
      <c r="E811" s="107" t="n"/>
    </row>
    <row r="812" ht="15" customHeight="1" s="62">
      <c r="A812" s="107" t="n"/>
      <c r="B812" s="107" t="n"/>
      <c r="C812" s="110">
        <f>IFERROR(IF(OR($A812="",$B812=""),"",INDEX(tblCalisan[Brüt Ücret (₺)],MATCH($A812,tblCalisan[Çalışan Adı],0))*IF($B812="5 Puan İndirimi",BesPuanOrani,IF($B812="İlave İstihdam",IlaveIstihdamOrani,IF($B812="Kadın/Genç",KadinGencOrani,IF($B812="Engelli",EngelliOrani,GencGirisimciOrani))))),"")</f>
        <v/>
      </c>
      <c r="D812" s="110">
        <f>IF($C812="","",$C812*AySayisi)</f>
        <v/>
      </c>
      <c r="E812" s="107" t="n"/>
    </row>
    <row r="813" ht="15" customHeight="1" s="62">
      <c r="A813" s="107" t="n"/>
      <c r="B813" s="107" t="n"/>
      <c r="C813" s="110">
        <f>IFERROR(IF(OR($A813="",$B813=""),"",INDEX(tblCalisan[Brüt Ücret (₺)],MATCH($A813,tblCalisan[Çalışan Adı],0))*IF($B813="5 Puan İndirimi",BesPuanOrani,IF($B813="İlave İstihdam",IlaveIstihdamOrani,IF($B813="Kadın/Genç",KadinGencOrani,IF($B813="Engelli",EngelliOrani,GencGirisimciOrani))))),"")</f>
        <v/>
      </c>
      <c r="D813" s="110">
        <f>IF($C813="","",$C813*AySayisi)</f>
        <v/>
      </c>
      <c r="E813" s="107" t="n"/>
    </row>
    <row r="814" ht="15" customHeight="1" s="62">
      <c r="A814" s="107" t="n"/>
      <c r="B814" s="107" t="n"/>
      <c r="C814" s="110">
        <f>IFERROR(IF(OR($A814="",$B814=""),"",INDEX(tblCalisan[Brüt Ücret (₺)],MATCH($A814,tblCalisan[Çalışan Adı],0))*IF($B814="5 Puan İndirimi",BesPuanOrani,IF($B814="İlave İstihdam",IlaveIstihdamOrani,IF($B814="Kadın/Genç",KadinGencOrani,IF($B814="Engelli",EngelliOrani,GencGirisimciOrani))))),"")</f>
        <v/>
      </c>
      <c r="D814" s="110">
        <f>IF($C814="","",$C814*AySayisi)</f>
        <v/>
      </c>
      <c r="E814" s="107" t="n"/>
    </row>
    <row r="815" ht="15" customHeight="1" s="62">
      <c r="A815" s="107" t="n"/>
      <c r="B815" s="107" t="n"/>
      <c r="C815" s="110">
        <f>IFERROR(IF(OR($A815="",$B815=""),"",INDEX(tblCalisan[Brüt Ücret (₺)],MATCH($A815,tblCalisan[Çalışan Adı],0))*IF($B815="5 Puan İndirimi",BesPuanOrani,IF($B815="İlave İstihdam",IlaveIstihdamOrani,IF($B815="Kadın/Genç",KadinGencOrani,IF($B815="Engelli",EngelliOrani,GencGirisimciOrani))))),"")</f>
        <v/>
      </c>
      <c r="D815" s="110">
        <f>IF($C815="","",$C815*AySayisi)</f>
        <v/>
      </c>
      <c r="E815" s="107" t="n"/>
    </row>
    <row r="816" ht="15" customHeight="1" s="62">
      <c r="A816" s="107" t="n"/>
      <c r="B816" s="107" t="n"/>
      <c r="C816" s="110">
        <f>IFERROR(IF(OR($A816="",$B816=""),"",INDEX(tblCalisan[Brüt Ücret (₺)],MATCH($A816,tblCalisan[Çalışan Adı],0))*IF($B816="5 Puan İndirimi",BesPuanOrani,IF($B816="İlave İstihdam",IlaveIstihdamOrani,IF($B816="Kadın/Genç",KadinGencOrani,IF($B816="Engelli",EngelliOrani,GencGirisimciOrani))))),"")</f>
        <v/>
      </c>
      <c r="D816" s="110">
        <f>IF($C816="","",$C816*AySayisi)</f>
        <v/>
      </c>
      <c r="E816" s="107" t="n"/>
    </row>
    <row r="817" ht="15" customHeight="1" s="62">
      <c r="A817" s="107" t="n"/>
      <c r="B817" s="107" t="n"/>
      <c r="C817" s="110">
        <f>IFERROR(IF(OR($A817="",$B817=""),"",INDEX(tblCalisan[Brüt Ücret (₺)],MATCH($A817,tblCalisan[Çalışan Adı],0))*IF($B817="5 Puan İndirimi",BesPuanOrani,IF($B817="İlave İstihdam",IlaveIstihdamOrani,IF($B817="Kadın/Genç",KadinGencOrani,IF($B817="Engelli",EngelliOrani,GencGirisimciOrani))))),"")</f>
        <v/>
      </c>
      <c r="D817" s="110">
        <f>IF($C817="","",$C817*AySayisi)</f>
        <v/>
      </c>
      <c r="E817" s="107" t="n"/>
    </row>
    <row r="818" ht="15" customHeight="1" s="62">
      <c r="A818" s="107" t="n"/>
      <c r="B818" s="107" t="n"/>
      <c r="C818" s="110">
        <f>IFERROR(IF(OR($A818="",$B818=""),"",INDEX(tblCalisan[Brüt Ücret (₺)],MATCH($A818,tblCalisan[Çalışan Adı],0))*IF($B818="5 Puan İndirimi",BesPuanOrani,IF($B818="İlave İstihdam",IlaveIstihdamOrani,IF($B818="Kadın/Genç",KadinGencOrani,IF($B818="Engelli",EngelliOrani,GencGirisimciOrani))))),"")</f>
        <v/>
      </c>
      <c r="D818" s="110">
        <f>IF($C818="","",$C818*AySayisi)</f>
        <v/>
      </c>
      <c r="E818" s="107" t="n"/>
    </row>
    <row r="819" ht="15" customHeight="1" s="62">
      <c r="A819" s="107" t="n"/>
      <c r="B819" s="107" t="n"/>
      <c r="C819" s="110">
        <f>IFERROR(IF(OR($A819="",$B819=""),"",INDEX(tblCalisan[Brüt Ücret (₺)],MATCH($A819,tblCalisan[Çalışan Adı],0))*IF($B819="5 Puan İndirimi",BesPuanOrani,IF($B819="İlave İstihdam",IlaveIstihdamOrani,IF($B819="Kadın/Genç",KadinGencOrani,IF($B819="Engelli",EngelliOrani,GencGirisimciOrani))))),"")</f>
        <v/>
      </c>
      <c r="D819" s="110">
        <f>IF($C819="","",$C819*AySayisi)</f>
        <v/>
      </c>
      <c r="E819" s="107" t="n"/>
    </row>
    <row r="820" ht="15" customHeight="1" s="62">
      <c r="A820" s="107" t="n"/>
      <c r="B820" s="107" t="n"/>
      <c r="C820" s="110">
        <f>IFERROR(IF(OR($A820="",$B820=""),"",INDEX(tblCalisan[Brüt Ücret (₺)],MATCH($A820,tblCalisan[Çalışan Adı],0))*IF($B820="5 Puan İndirimi",BesPuanOrani,IF($B820="İlave İstihdam",IlaveIstihdamOrani,IF($B820="Kadın/Genç",KadinGencOrani,IF($B820="Engelli",EngelliOrani,GencGirisimciOrani))))),"")</f>
        <v/>
      </c>
      <c r="D820" s="110">
        <f>IF($C820="","",$C820*AySayisi)</f>
        <v/>
      </c>
      <c r="E820" s="107" t="n"/>
    </row>
    <row r="821" ht="15" customHeight="1" s="62">
      <c r="A821" s="107" t="n"/>
      <c r="B821" s="107" t="n"/>
      <c r="C821" s="110">
        <f>IFERROR(IF(OR($A821="",$B821=""),"",INDEX(tblCalisan[Brüt Ücret (₺)],MATCH($A821,tblCalisan[Çalışan Adı],0))*IF($B821="5 Puan İndirimi",BesPuanOrani,IF($B821="İlave İstihdam",IlaveIstihdamOrani,IF($B821="Kadın/Genç",KadinGencOrani,IF($B821="Engelli",EngelliOrani,GencGirisimciOrani))))),"")</f>
        <v/>
      </c>
      <c r="D821" s="110">
        <f>IF($C821="","",$C821*AySayisi)</f>
        <v/>
      </c>
      <c r="E821" s="107" t="n"/>
    </row>
    <row r="822" ht="15" customHeight="1" s="62">
      <c r="A822" s="107" t="n"/>
      <c r="B822" s="107" t="n"/>
      <c r="C822" s="110">
        <f>IFERROR(IF(OR($A822="",$B822=""),"",INDEX(tblCalisan[Brüt Ücret (₺)],MATCH($A822,tblCalisan[Çalışan Adı],0))*IF($B822="5 Puan İndirimi",BesPuanOrani,IF($B822="İlave İstihdam",IlaveIstihdamOrani,IF($B822="Kadın/Genç",KadinGencOrani,IF($B822="Engelli",EngelliOrani,GencGirisimciOrani))))),"")</f>
        <v/>
      </c>
      <c r="D822" s="110">
        <f>IF($C822="","",$C822*AySayisi)</f>
        <v/>
      </c>
      <c r="E822" s="107" t="n"/>
    </row>
    <row r="823" ht="15" customHeight="1" s="62">
      <c r="A823" s="107" t="n"/>
      <c r="B823" s="107" t="n"/>
      <c r="C823" s="110">
        <f>IFERROR(IF(OR($A823="",$B823=""),"",INDEX(tblCalisan[Brüt Ücret (₺)],MATCH($A823,tblCalisan[Çalışan Adı],0))*IF($B823="5 Puan İndirimi",BesPuanOrani,IF($B823="İlave İstihdam",IlaveIstihdamOrani,IF($B823="Kadın/Genç",KadinGencOrani,IF($B823="Engelli",EngelliOrani,GencGirisimciOrani))))),"")</f>
        <v/>
      </c>
      <c r="D823" s="110">
        <f>IF($C823="","",$C823*AySayisi)</f>
        <v/>
      </c>
      <c r="E823" s="107" t="n"/>
    </row>
    <row r="824" ht="15" customHeight="1" s="62">
      <c r="A824" s="107" t="n"/>
      <c r="B824" s="107" t="n"/>
      <c r="C824" s="110">
        <f>IFERROR(IF(OR($A824="",$B824=""),"",INDEX(tblCalisan[Brüt Ücret (₺)],MATCH($A824,tblCalisan[Çalışan Adı],0))*IF($B824="5 Puan İndirimi",BesPuanOrani,IF($B824="İlave İstihdam",IlaveIstihdamOrani,IF($B824="Kadın/Genç",KadinGencOrani,IF($B824="Engelli",EngelliOrani,GencGirisimciOrani))))),"")</f>
        <v/>
      </c>
      <c r="D824" s="110">
        <f>IF($C824="","",$C824*AySayisi)</f>
        <v/>
      </c>
      <c r="E824" s="107" t="n"/>
    </row>
    <row r="825" ht="15" customHeight="1" s="62">
      <c r="A825" s="107" t="n"/>
      <c r="B825" s="107" t="n"/>
      <c r="C825" s="110">
        <f>IFERROR(IF(OR($A825="",$B825=""),"",INDEX(tblCalisan[Brüt Ücret (₺)],MATCH($A825,tblCalisan[Çalışan Adı],0))*IF($B825="5 Puan İndirimi",BesPuanOrani,IF($B825="İlave İstihdam",IlaveIstihdamOrani,IF($B825="Kadın/Genç",KadinGencOrani,IF($B825="Engelli",EngelliOrani,GencGirisimciOrani))))),"")</f>
        <v/>
      </c>
      <c r="D825" s="110">
        <f>IF($C825="","",$C825*AySayisi)</f>
        <v/>
      </c>
      <c r="E825" s="107" t="n"/>
    </row>
    <row r="826" ht="15" customHeight="1" s="62">
      <c r="A826" s="107" t="n"/>
      <c r="B826" s="107" t="n"/>
      <c r="C826" s="110">
        <f>IFERROR(IF(OR($A826="",$B826=""),"",INDEX(tblCalisan[Brüt Ücret (₺)],MATCH($A826,tblCalisan[Çalışan Adı],0))*IF($B826="5 Puan İndirimi",BesPuanOrani,IF($B826="İlave İstihdam",IlaveIstihdamOrani,IF($B826="Kadın/Genç",KadinGencOrani,IF($B826="Engelli",EngelliOrani,GencGirisimciOrani))))),"")</f>
        <v/>
      </c>
      <c r="D826" s="110">
        <f>IF($C826="","",$C826*AySayisi)</f>
        <v/>
      </c>
      <c r="E826" s="107" t="n"/>
    </row>
    <row r="827" ht="15" customHeight="1" s="62">
      <c r="A827" s="107" t="n"/>
      <c r="B827" s="107" t="n"/>
      <c r="C827" s="110">
        <f>IFERROR(IF(OR($A827="",$B827=""),"",INDEX(tblCalisan[Brüt Ücret (₺)],MATCH($A827,tblCalisan[Çalışan Adı],0))*IF($B827="5 Puan İndirimi",BesPuanOrani,IF($B827="İlave İstihdam",IlaveIstihdamOrani,IF($B827="Kadın/Genç",KadinGencOrani,IF($B827="Engelli",EngelliOrani,GencGirisimciOrani))))),"")</f>
        <v/>
      </c>
      <c r="D827" s="110">
        <f>IF($C827="","",$C827*AySayisi)</f>
        <v/>
      </c>
      <c r="E827" s="107" t="n"/>
    </row>
    <row r="828" ht="15" customHeight="1" s="62">
      <c r="A828" s="107" t="n"/>
      <c r="B828" s="107" t="n"/>
      <c r="C828" s="110">
        <f>IFERROR(IF(OR($A828="",$B828=""),"",INDEX(tblCalisan[Brüt Ücret (₺)],MATCH($A828,tblCalisan[Çalışan Adı],0))*IF($B828="5 Puan İndirimi",BesPuanOrani,IF($B828="İlave İstihdam",IlaveIstihdamOrani,IF($B828="Kadın/Genç",KadinGencOrani,IF($B828="Engelli",EngelliOrani,GencGirisimciOrani))))),"")</f>
        <v/>
      </c>
      <c r="D828" s="110">
        <f>IF($C828="","",$C828*AySayisi)</f>
        <v/>
      </c>
      <c r="E828" s="107" t="n"/>
    </row>
    <row r="829" ht="15" customHeight="1" s="62">
      <c r="A829" s="107" t="n"/>
      <c r="B829" s="107" t="n"/>
      <c r="C829" s="110">
        <f>IFERROR(IF(OR($A829="",$B829=""),"",INDEX(tblCalisan[Brüt Ücret (₺)],MATCH($A829,tblCalisan[Çalışan Adı],0))*IF($B829="5 Puan İndirimi",BesPuanOrani,IF($B829="İlave İstihdam",IlaveIstihdamOrani,IF($B829="Kadın/Genç",KadinGencOrani,IF($B829="Engelli",EngelliOrani,GencGirisimciOrani))))),"")</f>
        <v/>
      </c>
      <c r="D829" s="110">
        <f>IF($C829="","",$C829*AySayisi)</f>
        <v/>
      </c>
      <c r="E829" s="107" t="n"/>
    </row>
    <row r="830" ht="15" customHeight="1" s="62">
      <c r="A830" s="107" t="n"/>
      <c r="B830" s="107" t="n"/>
      <c r="C830" s="110">
        <f>IFERROR(IF(OR($A830="",$B830=""),"",INDEX(tblCalisan[Brüt Ücret (₺)],MATCH($A830,tblCalisan[Çalışan Adı],0))*IF($B830="5 Puan İndirimi",BesPuanOrani,IF($B830="İlave İstihdam",IlaveIstihdamOrani,IF($B830="Kadın/Genç",KadinGencOrani,IF($B830="Engelli",EngelliOrani,GencGirisimciOrani))))),"")</f>
        <v/>
      </c>
      <c r="D830" s="110">
        <f>IF($C830="","",$C830*AySayisi)</f>
        <v/>
      </c>
      <c r="E830" s="107" t="n"/>
    </row>
    <row r="831" ht="15" customHeight="1" s="62">
      <c r="A831" s="107" t="n"/>
      <c r="B831" s="107" t="n"/>
      <c r="C831" s="110">
        <f>IFERROR(IF(OR($A831="",$B831=""),"",INDEX(tblCalisan[Brüt Ücret (₺)],MATCH($A831,tblCalisan[Çalışan Adı],0))*IF($B831="5 Puan İndirimi",BesPuanOrani,IF($B831="İlave İstihdam",IlaveIstihdamOrani,IF($B831="Kadın/Genç",KadinGencOrani,IF($B831="Engelli",EngelliOrani,GencGirisimciOrani))))),"")</f>
        <v/>
      </c>
      <c r="D831" s="110">
        <f>IF($C831="","",$C831*AySayisi)</f>
        <v/>
      </c>
      <c r="E831" s="107" t="n"/>
    </row>
    <row r="832" ht="15" customHeight="1" s="62">
      <c r="A832" s="107" t="n"/>
      <c r="B832" s="107" t="n"/>
      <c r="C832" s="110">
        <f>IFERROR(IF(OR($A832="",$B832=""),"",INDEX(tblCalisan[Brüt Ücret (₺)],MATCH($A832,tblCalisan[Çalışan Adı],0))*IF($B832="5 Puan İndirimi",BesPuanOrani,IF($B832="İlave İstihdam",IlaveIstihdamOrani,IF($B832="Kadın/Genç",KadinGencOrani,IF($B832="Engelli",EngelliOrani,GencGirisimciOrani))))),"")</f>
        <v/>
      </c>
      <c r="D832" s="110">
        <f>IF($C832="","",$C832*AySayisi)</f>
        <v/>
      </c>
      <c r="E832" s="107" t="n"/>
    </row>
    <row r="833" ht="15" customHeight="1" s="62">
      <c r="A833" s="107" t="n"/>
      <c r="B833" s="107" t="n"/>
      <c r="C833" s="110">
        <f>IFERROR(IF(OR($A833="",$B833=""),"",INDEX(tblCalisan[Brüt Ücret (₺)],MATCH($A833,tblCalisan[Çalışan Adı],0))*IF($B833="5 Puan İndirimi",BesPuanOrani,IF($B833="İlave İstihdam",IlaveIstihdamOrani,IF($B833="Kadın/Genç",KadinGencOrani,IF($B833="Engelli",EngelliOrani,GencGirisimciOrani))))),"")</f>
        <v/>
      </c>
      <c r="D833" s="110">
        <f>IF($C833="","",$C833*AySayisi)</f>
        <v/>
      </c>
      <c r="E833" s="107" t="n"/>
    </row>
    <row r="834" ht="15" customHeight="1" s="62">
      <c r="A834" s="107" t="n"/>
      <c r="B834" s="107" t="n"/>
      <c r="C834" s="110">
        <f>IFERROR(IF(OR($A834="",$B834=""),"",INDEX(tblCalisan[Brüt Ücret (₺)],MATCH($A834,tblCalisan[Çalışan Adı],0))*IF($B834="5 Puan İndirimi",BesPuanOrani,IF($B834="İlave İstihdam",IlaveIstihdamOrani,IF($B834="Kadın/Genç",KadinGencOrani,IF($B834="Engelli",EngelliOrani,GencGirisimciOrani))))),"")</f>
        <v/>
      </c>
      <c r="D834" s="110">
        <f>IF($C834="","",$C834*AySayisi)</f>
        <v/>
      </c>
      <c r="E834" s="107" t="n"/>
    </row>
    <row r="835" ht="15" customHeight="1" s="62">
      <c r="A835" s="107" t="n"/>
      <c r="B835" s="107" t="n"/>
      <c r="C835" s="110">
        <f>IFERROR(IF(OR($A835="",$B835=""),"",INDEX(tblCalisan[Brüt Ücret (₺)],MATCH($A835,tblCalisan[Çalışan Adı],0))*IF($B835="5 Puan İndirimi",BesPuanOrani,IF($B835="İlave İstihdam",IlaveIstihdamOrani,IF($B835="Kadın/Genç",KadinGencOrani,IF($B835="Engelli",EngelliOrani,GencGirisimciOrani))))),"")</f>
        <v/>
      </c>
      <c r="D835" s="110">
        <f>IF($C835="","",$C835*AySayisi)</f>
        <v/>
      </c>
      <c r="E835" s="107" t="n"/>
    </row>
    <row r="836" ht="15" customHeight="1" s="62">
      <c r="A836" s="107" t="n"/>
      <c r="B836" s="107" t="n"/>
      <c r="C836" s="110">
        <f>IFERROR(IF(OR($A836="",$B836=""),"",INDEX(tblCalisan[Brüt Ücret (₺)],MATCH($A836,tblCalisan[Çalışan Adı],0))*IF($B836="5 Puan İndirimi",BesPuanOrani,IF($B836="İlave İstihdam",IlaveIstihdamOrani,IF($B836="Kadın/Genç",KadinGencOrani,IF($B836="Engelli",EngelliOrani,GencGirisimciOrani))))),"")</f>
        <v/>
      </c>
      <c r="D836" s="110">
        <f>IF($C836="","",$C836*AySayisi)</f>
        <v/>
      </c>
      <c r="E836" s="107" t="n"/>
    </row>
    <row r="837" ht="15" customHeight="1" s="62">
      <c r="A837" s="107" t="n"/>
      <c r="B837" s="107" t="n"/>
      <c r="C837" s="110">
        <f>IFERROR(IF(OR($A837="",$B837=""),"",INDEX(tblCalisan[Brüt Ücret (₺)],MATCH($A837,tblCalisan[Çalışan Adı],0))*IF($B837="5 Puan İndirimi",BesPuanOrani,IF($B837="İlave İstihdam",IlaveIstihdamOrani,IF($B837="Kadın/Genç",KadinGencOrani,IF($B837="Engelli",EngelliOrani,GencGirisimciOrani))))),"")</f>
        <v/>
      </c>
      <c r="D837" s="110">
        <f>IF($C837="","",$C837*AySayisi)</f>
        <v/>
      </c>
      <c r="E837" s="107" t="n"/>
    </row>
    <row r="838" ht="15" customHeight="1" s="62">
      <c r="A838" s="107" t="n"/>
      <c r="B838" s="107" t="n"/>
      <c r="C838" s="110">
        <f>IFERROR(IF(OR($A838="",$B838=""),"",INDEX(tblCalisan[Brüt Ücret (₺)],MATCH($A838,tblCalisan[Çalışan Adı],0))*IF($B838="5 Puan İndirimi",BesPuanOrani,IF($B838="İlave İstihdam",IlaveIstihdamOrani,IF($B838="Kadın/Genç",KadinGencOrani,IF($B838="Engelli",EngelliOrani,GencGirisimciOrani))))),"")</f>
        <v/>
      </c>
      <c r="D838" s="110">
        <f>IF($C838="","",$C838*AySayisi)</f>
        <v/>
      </c>
      <c r="E838" s="107" t="n"/>
    </row>
    <row r="839" ht="15" customHeight="1" s="62">
      <c r="A839" s="107" t="n"/>
      <c r="B839" s="107" t="n"/>
      <c r="C839" s="110">
        <f>IFERROR(IF(OR($A839="",$B839=""),"",INDEX(tblCalisan[Brüt Ücret (₺)],MATCH($A839,tblCalisan[Çalışan Adı],0))*IF($B839="5 Puan İndirimi",BesPuanOrani,IF($B839="İlave İstihdam",IlaveIstihdamOrani,IF($B839="Kadın/Genç",KadinGencOrani,IF($B839="Engelli",EngelliOrani,GencGirisimciOrani))))),"")</f>
        <v/>
      </c>
      <c r="D839" s="110">
        <f>IF($C839="","",$C839*AySayisi)</f>
        <v/>
      </c>
      <c r="E839" s="107" t="n"/>
    </row>
    <row r="840" ht="15" customHeight="1" s="62">
      <c r="A840" s="107" t="n"/>
      <c r="B840" s="107" t="n"/>
      <c r="C840" s="110">
        <f>IFERROR(IF(OR($A840="",$B840=""),"",INDEX(tblCalisan[Brüt Ücret (₺)],MATCH($A840,tblCalisan[Çalışan Adı],0))*IF($B840="5 Puan İndirimi",BesPuanOrani,IF($B840="İlave İstihdam",IlaveIstihdamOrani,IF($B840="Kadın/Genç",KadinGencOrani,IF($B840="Engelli",EngelliOrani,GencGirisimciOrani))))),"")</f>
        <v/>
      </c>
      <c r="D840" s="110">
        <f>IF($C840="","",$C840*AySayisi)</f>
        <v/>
      </c>
      <c r="E840" s="107" t="n"/>
    </row>
    <row r="841" ht="15" customHeight="1" s="62">
      <c r="A841" s="107" t="n"/>
      <c r="B841" s="107" t="n"/>
      <c r="C841" s="110">
        <f>IFERROR(IF(OR($A841="",$B841=""),"",INDEX(tblCalisan[Brüt Ücret (₺)],MATCH($A841,tblCalisan[Çalışan Adı],0))*IF($B841="5 Puan İndirimi",BesPuanOrani,IF($B841="İlave İstihdam",IlaveIstihdamOrani,IF($B841="Kadın/Genç",KadinGencOrani,IF($B841="Engelli",EngelliOrani,GencGirisimciOrani))))),"")</f>
        <v/>
      </c>
      <c r="D841" s="110">
        <f>IF($C841="","",$C841*AySayisi)</f>
        <v/>
      </c>
      <c r="E841" s="107" t="n"/>
    </row>
    <row r="842" ht="15" customHeight="1" s="62">
      <c r="A842" s="107" t="n"/>
      <c r="B842" s="107" t="n"/>
      <c r="C842" s="110">
        <f>IFERROR(IF(OR($A842="",$B842=""),"",INDEX(tblCalisan[Brüt Ücret (₺)],MATCH($A842,tblCalisan[Çalışan Adı],0))*IF($B842="5 Puan İndirimi",BesPuanOrani,IF($B842="İlave İstihdam",IlaveIstihdamOrani,IF($B842="Kadın/Genç",KadinGencOrani,IF($B842="Engelli",EngelliOrani,GencGirisimciOrani))))),"")</f>
        <v/>
      </c>
      <c r="D842" s="110">
        <f>IF($C842="","",$C842*AySayisi)</f>
        <v/>
      </c>
      <c r="E842" s="107" t="n"/>
    </row>
    <row r="843" ht="15" customHeight="1" s="62">
      <c r="A843" s="107" t="n"/>
      <c r="B843" s="107" t="n"/>
      <c r="C843" s="110">
        <f>IFERROR(IF(OR($A843="",$B843=""),"",INDEX(tblCalisan[Brüt Ücret (₺)],MATCH($A843,tblCalisan[Çalışan Adı],0))*IF($B843="5 Puan İndirimi",BesPuanOrani,IF($B843="İlave İstihdam",IlaveIstihdamOrani,IF($B843="Kadın/Genç",KadinGencOrani,IF($B843="Engelli",EngelliOrani,GencGirisimciOrani))))),"")</f>
        <v/>
      </c>
      <c r="D843" s="110">
        <f>IF($C843="","",$C843*AySayisi)</f>
        <v/>
      </c>
      <c r="E843" s="107" t="n"/>
    </row>
    <row r="844" ht="15" customHeight="1" s="62">
      <c r="A844" s="107" t="n"/>
      <c r="B844" s="107" t="n"/>
      <c r="C844" s="110">
        <f>IFERROR(IF(OR($A844="",$B844=""),"",INDEX(tblCalisan[Brüt Ücret (₺)],MATCH($A844,tblCalisan[Çalışan Adı],0))*IF($B844="5 Puan İndirimi",BesPuanOrani,IF($B844="İlave İstihdam",IlaveIstihdamOrani,IF($B844="Kadın/Genç",KadinGencOrani,IF($B844="Engelli",EngelliOrani,GencGirisimciOrani))))),"")</f>
        <v/>
      </c>
      <c r="D844" s="110">
        <f>IF($C844="","",$C844*AySayisi)</f>
        <v/>
      </c>
      <c r="E844" s="107" t="n"/>
    </row>
    <row r="845" ht="15" customHeight="1" s="62">
      <c r="A845" s="107" t="n"/>
      <c r="B845" s="107" t="n"/>
      <c r="C845" s="110">
        <f>IFERROR(IF(OR($A845="",$B845=""),"",INDEX(tblCalisan[Brüt Ücret (₺)],MATCH($A845,tblCalisan[Çalışan Adı],0))*IF($B845="5 Puan İndirimi",BesPuanOrani,IF($B845="İlave İstihdam",IlaveIstihdamOrani,IF($B845="Kadın/Genç",KadinGencOrani,IF($B845="Engelli",EngelliOrani,GencGirisimciOrani))))),"")</f>
        <v/>
      </c>
      <c r="D845" s="110">
        <f>IF($C845="","",$C845*AySayisi)</f>
        <v/>
      </c>
      <c r="E845" s="107" t="n"/>
    </row>
    <row r="846" ht="15" customHeight="1" s="62">
      <c r="A846" s="107" t="n"/>
      <c r="B846" s="107" t="n"/>
      <c r="C846" s="110">
        <f>IFERROR(IF(OR($A846="",$B846=""),"",INDEX(tblCalisan[Brüt Ücret (₺)],MATCH($A846,tblCalisan[Çalışan Adı],0))*IF($B846="5 Puan İndirimi",BesPuanOrani,IF($B846="İlave İstihdam",IlaveIstihdamOrani,IF($B846="Kadın/Genç",KadinGencOrani,IF($B846="Engelli",EngelliOrani,GencGirisimciOrani))))),"")</f>
        <v/>
      </c>
      <c r="D846" s="110">
        <f>IF($C846="","",$C846*AySayisi)</f>
        <v/>
      </c>
      <c r="E846" s="107" t="n"/>
    </row>
    <row r="847" ht="15" customHeight="1" s="62">
      <c r="A847" s="107" t="n"/>
      <c r="B847" s="107" t="n"/>
      <c r="C847" s="110">
        <f>IFERROR(IF(OR($A847="",$B847=""),"",INDEX(tblCalisan[Brüt Ücret (₺)],MATCH($A847,tblCalisan[Çalışan Adı],0))*IF($B847="5 Puan İndirimi",BesPuanOrani,IF($B847="İlave İstihdam",IlaveIstihdamOrani,IF($B847="Kadın/Genç",KadinGencOrani,IF($B847="Engelli",EngelliOrani,GencGirisimciOrani))))),"")</f>
        <v/>
      </c>
      <c r="D847" s="110">
        <f>IF($C847="","",$C847*AySayisi)</f>
        <v/>
      </c>
      <c r="E847" s="107" t="n"/>
    </row>
    <row r="848" ht="15" customHeight="1" s="62">
      <c r="A848" s="107" t="n"/>
      <c r="B848" s="107" t="n"/>
      <c r="C848" s="110">
        <f>IFERROR(IF(OR($A848="",$B848=""),"",INDEX(tblCalisan[Brüt Ücret (₺)],MATCH($A848,tblCalisan[Çalışan Adı],0))*IF($B848="5 Puan İndirimi",BesPuanOrani,IF($B848="İlave İstihdam",IlaveIstihdamOrani,IF($B848="Kadın/Genç",KadinGencOrani,IF($B848="Engelli",EngelliOrani,GencGirisimciOrani))))),"")</f>
        <v/>
      </c>
      <c r="D848" s="110">
        <f>IF($C848="","",$C848*AySayisi)</f>
        <v/>
      </c>
      <c r="E848" s="107" t="n"/>
    </row>
    <row r="849" ht="15" customHeight="1" s="62">
      <c r="A849" s="107" t="n"/>
      <c r="B849" s="107" t="n"/>
      <c r="C849" s="110">
        <f>IFERROR(IF(OR($A849="",$B849=""),"",INDEX(tblCalisan[Brüt Ücret (₺)],MATCH($A849,tblCalisan[Çalışan Adı],0))*IF($B849="5 Puan İndirimi",BesPuanOrani,IF($B849="İlave İstihdam",IlaveIstihdamOrani,IF($B849="Kadın/Genç",KadinGencOrani,IF($B849="Engelli",EngelliOrani,GencGirisimciOrani))))),"")</f>
        <v/>
      </c>
      <c r="D849" s="110">
        <f>IF($C849="","",$C849*AySayisi)</f>
        <v/>
      </c>
      <c r="E849" s="107" t="n"/>
    </row>
    <row r="850" ht="15" customHeight="1" s="62">
      <c r="A850" s="107" t="n"/>
      <c r="B850" s="107" t="n"/>
      <c r="C850" s="110">
        <f>IFERROR(IF(OR($A850="",$B850=""),"",INDEX(tblCalisan[Brüt Ücret (₺)],MATCH($A850,tblCalisan[Çalışan Adı],0))*IF($B850="5 Puan İndirimi",BesPuanOrani,IF($B850="İlave İstihdam",IlaveIstihdamOrani,IF($B850="Kadın/Genç",KadinGencOrani,IF($B850="Engelli",EngelliOrani,GencGirisimciOrani))))),"")</f>
        <v/>
      </c>
      <c r="D850" s="110">
        <f>IF($C850="","",$C850*AySayisi)</f>
        <v/>
      </c>
      <c r="E850" s="107" t="n"/>
    </row>
    <row r="851" ht="15" customHeight="1" s="62">
      <c r="A851" s="107" t="n"/>
      <c r="B851" s="107" t="n"/>
      <c r="C851" s="110">
        <f>IFERROR(IF(OR($A851="",$B851=""),"",INDEX(tblCalisan[Brüt Ücret (₺)],MATCH($A851,tblCalisan[Çalışan Adı],0))*IF($B851="5 Puan İndirimi",BesPuanOrani,IF($B851="İlave İstihdam",IlaveIstihdamOrani,IF($B851="Kadın/Genç",KadinGencOrani,IF($B851="Engelli",EngelliOrani,GencGirisimciOrani))))),"")</f>
        <v/>
      </c>
      <c r="D851" s="110">
        <f>IF($C851="","",$C851*AySayisi)</f>
        <v/>
      </c>
      <c r="E851" s="107" t="n"/>
    </row>
    <row r="852" ht="15" customHeight="1" s="62">
      <c r="A852" s="107" t="n"/>
      <c r="B852" s="107" t="n"/>
      <c r="C852" s="110">
        <f>IFERROR(IF(OR($A852="",$B852=""),"",INDEX(tblCalisan[Brüt Ücret (₺)],MATCH($A852,tblCalisan[Çalışan Adı],0))*IF($B852="5 Puan İndirimi",BesPuanOrani,IF($B852="İlave İstihdam",IlaveIstihdamOrani,IF($B852="Kadın/Genç",KadinGencOrani,IF($B852="Engelli",EngelliOrani,GencGirisimciOrani))))),"")</f>
        <v/>
      </c>
      <c r="D852" s="110">
        <f>IF($C852="","",$C852*AySayisi)</f>
        <v/>
      </c>
      <c r="E852" s="107" t="n"/>
    </row>
    <row r="853" ht="15" customHeight="1" s="62">
      <c r="A853" s="107" t="n"/>
      <c r="B853" s="107" t="n"/>
      <c r="C853" s="110">
        <f>IFERROR(IF(OR($A853="",$B853=""),"",INDEX(tblCalisan[Brüt Ücret (₺)],MATCH($A853,tblCalisan[Çalışan Adı],0))*IF($B853="5 Puan İndirimi",BesPuanOrani,IF($B853="İlave İstihdam",IlaveIstihdamOrani,IF($B853="Kadın/Genç",KadinGencOrani,IF($B853="Engelli",EngelliOrani,GencGirisimciOrani))))),"")</f>
        <v/>
      </c>
      <c r="D853" s="110">
        <f>IF($C853="","",$C853*AySayisi)</f>
        <v/>
      </c>
      <c r="E853" s="107" t="n"/>
    </row>
    <row r="854" ht="15" customHeight="1" s="62">
      <c r="A854" s="107" t="n"/>
      <c r="B854" s="107" t="n"/>
      <c r="C854" s="110">
        <f>IFERROR(IF(OR($A854="",$B854=""),"",INDEX(tblCalisan[Brüt Ücret (₺)],MATCH($A854,tblCalisan[Çalışan Adı],0))*IF($B854="5 Puan İndirimi",BesPuanOrani,IF($B854="İlave İstihdam",IlaveIstihdamOrani,IF($B854="Kadın/Genç",KadinGencOrani,IF($B854="Engelli",EngelliOrani,GencGirisimciOrani))))),"")</f>
        <v/>
      </c>
      <c r="D854" s="110">
        <f>IF($C854="","",$C854*AySayisi)</f>
        <v/>
      </c>
      <c r="E854" s="107" t="n"/>
    </row>
    <row r="855" ht="15" customHeight="1" s="62">
      <c r="A855" s="107" t="n"/>
      <c r="B855" s="107" t="n"/>
      <c r="C855" s="110">
        <f>IFERROR(IF(OR($A855="",$B855=""),"",INDEX(tblCalisan[Brüt Ücret (₺)],MATCH($A855,tblCalisan[Çalışan Adı],0))*IF($B855="5 Puan İndirimi",BesPuanOrani,IF($B855="İlave İstihdam",IlaveIstihdamOrani,IF($B855="Kadın/Genç",KadinGencOrani,IF($B855="Engelli",EngelliOrani,GencGirisimciOrani))))),"")</f>
        <v/>
      </c>
      <c r="D855" s="110">
        <f>IF($C855="","",$C855*AySayisi)</f>
        <v/>
      </c>
      <c r="E855" s="107" t="n"/>
    </row>
    <row r="856" ht="15" customHeight="1" s="62">
      <c r="A856" s="107" t="n"/>
      <c r="B856" s="107" t="n"/>
      <c r="C856" s="110">
        <f>IFERROR(IF(OR($A856="",$B856=""),"",INDEX(tblCalisan[Brüt Ücret (₺)],MATCH($A856,tblCalisan[Çalışan Adı],0))*IF($B856="5 Puan İndirimi",BesPuanOrani,IF($B856="İlave İstihdam",IlaveIstihdamOrani,IF($B856="Kadın/Genç",KadinGencOrani,IF($B856="Engelli",EngelliOrani,GencGirisimciOrani))))),"")</f>
        <v/>
      </c>
      <c r="D856" s="110">
        <f>IF($C856="","",$C856*AySayisi)</f>
        <v/>
      </c>
      <c r="E856" s="107" t="n"/>
    </row>
    <row r="857" ht="15" customHeight="1" s="62">
      <c r="A857" s="107" t="n"/>
      <c r="B857" s="107" t="n"/>
      <c r="C857" s="110">
        <f>IFERROR(IF(OR($A857="",$B857=""),"",INDEX(tblCalisan[Brüt Ücret (₺)],MATCH($A857,tblCalisan[Çalışan Adı],0))*IF($B857="5 Puan İndirimi",BesPuanOrani,IF($B857="İlave İstihdam",IlaveIstihdamOrani,IF($B857="Kadın/Genç",KadinGencOrani,IF($B857="Engelli",EngelliOrani,GencGirisimciOrani))))),"")</f>
        <v/>
      </c>
      <c r="D857" s="110">
        <f>IF($C857="","",$C857*AySayisi)</f>
        <v/>
      </c>
      <c r="E857" s="107" t="n"/>
    </row>
    <row r="858" ht="15" customHeight="1" s="62">
      <c r="A858" s="107" t="n"/>
      <c r="B858" s="107" t="n"/>
      <c r="C858" s="110">
        <f>IFERROR(IF(OR($A858="",$B858=""),"",INDEX(tblCalisan[Brüt Ücret (₺)],MATCH($A858,tblCalisan[Çalışan Adı],0))*IF($B858="5 Puan İndirimi",BesPuanOrani,IF($B858="İlave İstihdam",IlaveIstihdamOrani,IF($B858="Kadın/Genç",KadinGencOrani,IF($B858="Engelli",EngelliOrani,GencGirisimciOrani))))),"")</f>
        <v/>
      </c>
      <c r="D858" s="110">
        <f>IF($C858="","",$C858*AySayisi)</f>
        <v/>
      </c>
      <c r="E858" s="107" t="n"/>
    </row>
    <row r="859" ht="15" customHeight="1" s="62">
      <c r="A859" s="107" t="n"/>
      <c r="B859" s="107" t="n"/>
      <c r="C859" s="110">
        <f>IFERROR(IF(OR($A859="",$B859=""),"",INDEX(tblCalisan[Brüt Ücret (₺)],MATCH($A859,tblCalisan[Çalışan Adı],0))*IF($B859="5 Puan İndirimi",BesPuanOrani,IF($B859="İlave İstihdam",IlaveIstihdamOrani,IF($B859="Kadın/Genç",KadinGencOrani,IF($B859="Engelli",EngelliOrani,GencGirisimciOrani))))),"")</f>
        <v/>
      </c>
      <c r="D859" s="110">
        <f>IF($C859="","",$C859*AySayisi)</f>
        <v/>
      </c>
      <c r="E859" s="107" t="n"/>
    </row>
    <row r="860" ht="15" customHeight="1" s="62">
      <c r="A860" s="107" t="n"/>
      <c r="B860" s="107" t="n"/>
      <c r="C860" s="110">
        <f>IFERROR(IF(OR($A860="",$B860=""),"",INDEX(tblCalisan[Brüt Ücret (₺)],MATCH($A860,tblCalisan[Çalışan Adı],0))*IF($B860="5 Puan İndirimi",BesPuanOrani,IF($B860="İlave İstihdam",IlaveIstihdamOrani,IF($B860="Kadın/Genç",KadinGencOrani,IF($B860="Engelli",EngelliOrani,GencGirisimciOrani))))),"")</f>
        <v/>
      </c>
      <c r="D860" s="110">
        <f>IF($C860="","",$C860*AySayisi)</f>
        <v/>
      </c>
      <c r="E860" s="107" t="n"/>
    </row>
    <row r="861" ht="15" customHeight="1" s="62">
      <c r="A861" s="107" t="n"/>
      <c r="B861" s="107" t="n"/>
      <c r="C861" s="110">
        <f>IFERROR(IF(OR($A861="",$B861=""),"",INDEX(tblCalisan[Brüt Ücret (₺)],MATCH($A861,tblCalisan[Çalışan Adı],0))*IF($B861="5 Puan İndirimi",BesPuanOrani,IF($B861="İlave İstihdam",IlaveIstihdamOrani,IF($B861="Kadın/Genç",KadinGencOrani,IF($B861="Engelli",EngelliOrani,GencGirisimciOrani))))),"")</f>
        <v/>
      </c>
      <c r="D861" s="110">
        <f>IF($C861="","",$C861*AySayisi)</f>
        <v/>
      </c>
      <c r="E861" s="107" t="n"/>
    </row>
    <row r="862" ht="15" customHeight="1" s="62">
      <c r="A862" s="107" t="n"/>
      <c r="B862" s="107" t="n"/>
      <c r="C862" s="110">
        <f>IFERROR(IF(OR($A862="",$B862=""),"",INDEX(tblCalisan[Brüt Ücret (₺)],MATCH($A862,tblCalisan[Çalışan Adı],0))*IF($B862="5 Puan İndirimi",BesPuanOrani,IF($B862="İlave İstihdam",IlaveIstihdamOrani,IF($B862="Kadın/Genç",KadinGencOrani,IF($B862="Engelli",EngelliOrani,GencGirisimciOrani))))),"")</f>
        <v/>
      </c>
      <c r="D862" s="110">
        <f>IF($C862="","",$C862*AySayisi)</f>
        <v/>
      </c>
      <c r="E862" s="107" t="n"/>
    </row>
    <row r="863" ht="15" customHeight="1" s="62">
      <c r="A863" s="107" t="n"/>
      <c r="B863" s="107" t="n"/>
      <c r="C863" s="110">
        <f>IFERROR(IF(OR($A863="",$B863=""),"",INDEX(tblCalisan[Brüt Ücret (₺)],MATCH($A863,tblCalisan[Çalışan Adı],0))*IF($B863="5 Puan İndirimi",BesPuanOrani,IF($B863="İlave İstihdam",IlaveIstihdamOrani,IF($B863="Kadın/Genç",KadinGencOrani,IF($B863="Engelli",EngelliOrani,GencGirisimciOrani))))),"")</f>
        <v/>
      </c>
      <c r="D863" s="110">
        <f>IF($C863="","",$C863*AySayisi)</f>
        <v/>
      </c>
      <c r="E863" s="107" t="n"/>
    </row>
    <row r="864" ht="15" customHeight="1" s="62">
      <c r="A864" s="107" t="n"/>
      <c r="B864" s="107" t="n"/>
      <c r="C864" s="110">
        <f>IFERROR(IF(OR($A864="",$B864=""),"",INDEX(tblCalisan[Brüt Ücret (₺)],MATCH($A864,tblCalisan[Çalışan Adı],0))*IF($B864="5 Puan İndirimi",BesPuanOrani,IF($B864="İlave İstihdam",IlaveIstihdamOrani,IF($B864="Kadın/Genç",KadinGencOrani,IF($B864="Engelli",EngelliOrani,GencGirisimciOrani))))),"")</f>
        <v/>
      </c>
      <c r="D864" s="110">
        <f>IF($C864="","",$C864*AySayisi)</f>
        <v/>
      </c>
      <c r="E864" s="107" t="n"/>
    </row>
    <row r="865" ht="15" customHeight="1" s="62">
      <c r="A865" s="107" t="n"/>
      <c r="B865" s="107" t="n"/>
      <c r="C865" s="110">
        <f>IFERROR(IF(OR($A865="",$B865=""),"",INDEX(tblCalisan[Brüt Ücret (₺)],MATCH($A865,tblCalisan[Çalışan Adı],0))*IF($B865="5 Puan İndirimi",BesPuanOrani,IF($B865="İlave İstihdam",IlaveIstihdamOrani,IF($B865="Kadın/Genç",KadinGencOrani,IF($B865="Engelli",EngelliOrani,GencGirisimciOrani))))),"")</f>
        <v/>
      </c>
      <c r="D865" s="110">
        <f>IF($C865="","",$C865*AySayisi)</f>
        <v/>
      </c>
      <c r="E865" s="107" t="n"/>
    </row>
    <row r="866" ht="15" customHeight="1" s="62">
      <c r="A866" s="107" t="n"/>
      <c r="B866" s="107" t="n"/>
      <c r="C866" s="110">
        <f>IFERROR(IF(OR($A866="",$B866=""),"",INDEX(tblCalisan[Brüt Ücret (₺)],MATCH($A866,tblCalisan[Çalışan Adı],0))*IF($B866="5 Puan İndirimi",BesPuanOrani,IF($B866="İlave İstihdam",IlaveIstihdamOrani,IF($B866="Kadın/Genç",KadinGencOrani,IF($B866="Engelli",EngelliOrani,GencGirisimciOrani))))),"")</f>
        <v/>
      </c>
      <c r="D866" s="110">
        <f>IF($C866="","",$C866*AySayisi)</f>
        <v/>
      </c>
      <c r="E866" s="107" t="n"/>
    </row>
    <row r="867" ht="15" customHeight="1" s="62">
      <c r="A867" s="107" t="n"/>
      <c r="B867" s="107" t="n"/>
      <c r="C867" s="110">
        <f>IFERROR(IF(OR($A867="",$B867=""),"",INDEX(tblCalisan[Brüt Ücret (₺)],MATCH($A867,tblCalisan[Çalışan Adı],0))*IF($B867="5 Puan İndirimi",BesPuanOrani,IF($B867="İlave İstihdam",IlaveIstihdamOrani,IF($B867="Kadın/Genç",KadinGencOrani,IF($B867="Engelli",EngelliOrani,GencGirisimciOrani))))),"")</f>
        <v/>
      </c>
      <c r="D867" s="110">
        <f>IF($C867="","",$C867*AySayisi)</f>
        <v/>
      </c>
      <c r="E867" s="107" t="n"/>
    </row>
    <row r="868" ht="15" customHeight="1" s="62">
      <c r="A868" s="107" t="n"/>
      <c r="B868" s="107" t="n"/>
      <c r="C868" s="110">
        <f>IFERROR(IF(OR($A868="",$B868=""),"",INDEX(tblCalisan[Brüt Ücret (₺)],MATCH($A868,tblCalisan[Çalışan Adı],0))*IF($B868="5 Puan İndirimi",BesPuanOrani,IF($B868="İlave İstihdam",IlaveIstihdamOrani,IF($B868="Kadın/Genç",KadinGencOrani,IF($B868="Engelli",EngelliOrani,GencGirisimciOrani))))),"")</f>
        <v/>
      </c>
      <c r="D868" s="110">
        <f>IF($C868="","",$C868*AySayisi)</f>
        <v/>
      </c>
      <c r="E868" s="107" t="n"/>
    </row>
    <row r="869" ht="15" customHeight="1" s="62">
      <c r="A869" s="107" t="n"/>
      <c r="B869" s="107" t="n"/>
      <c r="C869" s="110">
        <f>IFERROR(IF(OR($A869="",$B869=""),"",INDEX(tblCalisan[Brüt Ücret (₺)],MATCH($A869,tblCalisan[Çalışan Adı],0))*IF($B869="5 Puan İndirimi",BesPuanOrani,IF($B869="İlave İstihdam",IlaveIstihdamOrani,IF($B869="Kadın/Genç",KadinGencOrani,IF($B869="Engelli",EngelliOrani,GencGirisimciOrani))))),"")</f>
        <v/>
      </c>
      <c r="D869" s="110">
        <f>IF($C869="","",$C869*AySayisi)</f>
        <v/>
      </c>
      <c r="E869" s="107" t="n"/>
    </row>
    <row r="870" ht="15" customHeight="1" s="62">
      <c r="A870" s="107" t="n"/>
      <c r="B870" s="107" t="n"/>
      <c r="C870" s="110">
        <f>IFERROR(IF(OR($A870="",$B870=""),"",INDEX(tblCalisan[Brüt Ücret (₺)],MATCH($A870,tblCalisan[Çalışan Adı],0))*IF($B870="5 Puan İndirimi",BesPuanOrani,IF($B870="İlave İstihdam",IlaveIstihdamOrani,IF($B870="Kadın/Genç",KadinGencOrani,IF($B870="Engelli",EngelliOrani,GencGirisimciOrani))))),"")</f>
        <v/>
      </c>
      <c r="D870" s="110">
        <f>IF($C870="","",$C870*AySayisi)</f>
        <v/>
      </c>
      <c r="E870" s="107" t="n"/>
    </row>
    <row r="871" ht="15" customHeight="1" s="62">
      <c r="A871" s="107" t="n"/>
      <c r="B871" s="107" t="n"/>
      <c r="C871" s="110">
        <f>IFERROR(IF(OR($A871="",$B871=""),"",INDEX(tblCalisan[Brüt Ücret (₺)],MATCH($A871,tblCalisan[Çalışan Adı],0))*IF($B871="5 Puan İndirimi",BesPuanOrani,IF($B871="İlave İstihdam",IlaveIstihdamOrani,IF($B871="Kadın/Genç",KadinGencOrani,IF($B871="Engelli",EngelliOrani,GencGirisimciOrani))))),"")</f>
        <v/>
      </c>
      <c r="D871" s="110">
        <f>IF($C871="","",$C871*AySayisi)</f>
        <v/>
      </c>
      <c r="E871" s="107" t="n"/>
    </row>
    <row r="872" ht="15" customHeight="1" s="62">
      <c r="A872" s="107" t="n"/>
      <c r="B872" s="107" t="n"/>
      <c r="C872" s="110">
        <f>IFERROR(IF(OR($A872="",$B872=""),"",INDEX(tblCalisan[Brüt Ücret (₺)],MATCH($A872,tblCalisan[Çalışan Adı],0))*IF($B872="5 Puan İndirimi",BesPuanOrani,IF($B872="İlave İstihdam",IlaveIstihdamOrani,IF($B872="Kadın/Genç",KadinGencOrani,IF($B872="Engelli",EngelliOrani,GencGirisimciOrani))))),"")</f>
        <v/>
      </c>
      <c r="D872" s="110">
        <f>IF($C872="","",$C872*AySayisi)</f>
        <v/>
      </c>
      <c r="E872" s="107" t="n"/>
    </row>
    <row r="873" ht="15" customHeight="1" s="62">
      <c r="A873" s="107" t="n"/>
      <c r="B873" s="107" t="n"/>
      <c r="C873" s="110">
        <f>IFERROR(IF(OR($A873="",$B873=""),"",INDEX(tblCalisan[Brüt Ücret (₺)],MATCH($A873,tblCalisan[Çalışan Adı],0))*IF($B873="5 Puan İndirimi",BesPuanOrani,IF($B873="İlave İstihdam",IlaveIstihdamOrani,IF($B873="Kadın/Genç",KadinGencOrani,IF($B873="Engelli",EngelliOrani,GencGirisimciOrani))))),"")</f>
        <v/>
      </c>
      <c r="D873" s="110">
        <f>IF($C873="","",$C873*AySayisi)</f>
        <v/>
      </c>
      <c r="E873" s="107" t="n"/>
    </row>
    <row r="874" ht="15" customHeight="1" s="62">
      <c r="A874" s="107" t="n"/>
      <c r="B874" s="107" t="n"/>
      <c r="C874" s="110">
        <f>IFERROR(IF(OR($A874="",$B874=""),"",INDEX(tblCalisan[Brüt Ücret (₺)],MATCH($A874,tblCalisan[Çalışan Adı],0))*IF($B874="5 Puan İndirimi",BesPuanOrani,IF($B874="İlave İstihdam",IlaveIstihdamOrani,IF($B874="Kadın/Genç",KadinGencOrani,IF($B874="Engelli",EngelliOrani,GencGirisimciOrani))))),"")</f>
        <v/>
      </c>
      <c r="D874" s="110">
        <f>IF($C874="","",$C874*AySayisi)</f>
        <v/>
      </c>
      <c r="E874" s="107" t="n"/>
    </row>
    <row r="875" ht="15" customHeight="1" s="62">
      <c r="A875" s="107" t="n"/>
      <c r="B875" s="107" t="n"/>
      <c r="C875" s="110">
        <f>IFERROR(IF(OR($A875="",$B875=""),"",INDEX(tblCalisan[Brüt Ücret (₺)],MATCH($A875,tblCalisan[Çalışan Adı],0))*IF($B875="5 Puan İndirimi",BesPuanOrani,IF($B875="İlave İstihdam",IlaveIstihdamOrani,IF($B875="Kadın/Genç",KadinGencOrani,IF($B875="Engelli",EngelliOrani,GencGirisimciOrani))))),"")</f>
        <v/>
      </c>
      <c r="D875" s="110">
        <f>IF($C875="","",$C875*AySayisi)</f>
        <v/>
      </c>
      <c r="E875" s="107" t="n"/>
    </row>
    <row r="876" ht="15" customHeight="1" s="62">
      <c r="A876" s="107" t="n"/>
      <c r="B876" s="107" t="n"/>
      <c r="C876" s="110">
        <f>IFERROR(IF(OR($A876="",$B876=""),"",INDEX(tblCalisan[Brüt Ücret (₺)],MATCH($A876,tblCalisan[Çalışan Adı],0))*IF($B876="5 Puan İndirimi",BesPuanOrani,IF($B876="İlave İstihdam",IlaveIstihdamOrani,IF($B876="Kadın/Genç",KadinGencOrani,IF($B876="Engelli",EngelliOrani,GencGirisimciOrani))))),"")</f>
        <v/>
      </c>
      <c r="D876" s="110">
        <f>IF($C876="","",$C876*AySayisi)</f>
        <v/>
      </c>
      <c r="E876" s="107" t="n"/>
    </row>
    <row r="877" ht="15" customHeight="1" s="62">
      <c r="A877" s="107" t="n"/>
      <c r="B877" s="107" t="n"/>
      <c r="C877" s="110">
        <f>IFERROR(IF(OR($A877="",$B877=""),"",INDEX(tblCalisan[Brüt Ücret (₺)],MATCH($A877,tblCalisan[Çalışan Adı],0))*IF($B877="5 Puan İndirimi",BesPuanOrani,IF($B877="İlave İstihdam",IlaveIstihdamOrani,IF($B877="Kadın/Genç",KadinGencOrani,IF($B877="Engelli",EngelliOrani,GencGirisimciOrani))))),"")</f>
        <v/>
      </c>
      <c r="D877" s="110">
        <f>IF($C877="","",$C877*AySayisi)</f>
        <v/>
      </c>
      <c r="E877" s="107" t="n"/>
    </row>
    <row r="878" ht="15" customHeight="1" s="62">
      <c r="A878" s="107" t="n"/>
      <c r="B878" s="107" t="n"/>
      <c r="C878" s="110">
        <f>IFERROR(IF(OR($A878="",$B878=""),"",INDEX(tblCalisan[Brüt Ücret (₺)],MATCH($A878,tblCalisan[Çalışan Adı],0))*IF($B878="5 Puan İndirimi",BesPuanOrani,IF($B878="İlave İstihdam",IlaveIstihdamOrani,IF($B878="Kadın/Genç",KadinGencOrani,IF($B878="Engelli",EngelliOrani,GencGirisimciOrani))))),"")</f>
        <v/>
      </c>
      <c r="D878" s="110">
        <f>IF($C878="","",$C878*AySayisi)</f>
        <v/>
      </c>
      <c r="E878" s="107" t="n"/>
    </row>
    <row r="879" ht="15" customHeight="1" s="62">
      <c r="A879" s="107" t="n"/>
      <c r="B879" s="107" t="n"/>
      <c r="C879" s="110">
        <f>IFERROR(IF(OR($A879="",$B879=""),"",INDEX(tblCalisan[Brüt Ücret (₺)],MATCH($A879,tblCalisan[Çalışan Adı],0))*IF($B879="5 Puan İndirimi",BesPuanOrani,IF($B879="İlave İstihdam",IlaveIstihdamOrani,IF($B879="Kadın/Genç",KadinGencOrani,IF($B879="Engelli",EngelliOrani,GencGirisimciOrani))))),"")</f>
        <v/>
      </c>
      <c r="D879" s="110">
        <f>IF($C879="","",$C879*AySayisi)</f>
        <v/>
      </c>
      <c r="E879" s="107" t="n"/>
    </row>
    <row r="880" ht="15" customHeight="1" s="62">
      <c r="A880" s="107" t="n"/>
      <c r="B880" s="107" t="n"/>
      <c r="C880" s="110">
        <f>IFERROR(IF(OR($A880="",$B880=""),"",INDEX(tblCalisan[Brüt Ücret (₺)],MATCH($A880,tblCalisan[Çalışan Adı],0))*IF($B880="5 Puan İndirimi",BesPuanOrani,IF($B880="İlave İstihdam",IlaveIstihdamOrani,IF($B880="Kadın/Genç",KadinGencOrani,IF($B880="Engelli",EngelliOrani,GencGirisimciOrani))))),"")</f>
        <v/>
      </c>
      <c r="D880" s="110">
        <f>IF($C880="","",$C880*AySayisi)</f>
        <v/>
      </c>
      <c r="E880" s="107" t="n"/>
    </row>
    <row r="881" ht="15" customHeight="1" s="62">
      <c r="A881" s="107" t="n"/>
      <c r="B881" s="107" t="n"/>
      <c r="C881" s="110">
        <f>IFERROR(IF(OR($A881="",$B881=""),"",INDEX(tblCalisan[Brüt Ücret (₺)],MATCH($A881,tblCalisan[Çalışan Adı],0))*IF($B881="5 Puan İndirimi",BesPuanOrani,IF($B881="İlave İstihdam",IlaveIstihdamOrani,IF($B881="Kadın/Genç",KadinGencOrani,IF($B881="Engelli",EngelliOrani,GencGirisimciOrani))))),"")</f>
        <v/>
      </c>
      <c r="D881" s="110">
        <f>IF($C881="","",$C881*AySayisi)</f>
        <v/>
      </c>
      <c r="E881" s="107" t="n"/>
    </row>
    <row r="882" ht="15" customHeight="1" s="62">
      <c r="A882" s="107" t="n"/>
      <c r="B882" s="107" t="n"/>
      <c r="C882" s="110">
        <f>IFERROR(IF(OR($A882="",$B882=""),"",INDEX(tblCalisan[Brüt Ücret (₺)],MATCH($A882,tblCalisan[Çalışan Adı],0))*IF($B882="5 Puan İndirimi",BesPuanOrani,IF($B882="İlave İstihdam",IlaveIstihdamOrani,IF($B882="Kadın/Genç",KadinGencOrani,IF($B882="Engelli",EngelliOrani,GencGirisimciOrani))))),"")</f>
        <v/>
      </c>
      <c r="D882" s="110">
        <f>IF($C882="","",$C882*AySayisi)</f>
        <v/>
      </c>
      <c r="E882" s="107" t="n"/>
    </row>
    <row r="883" ht="15" customHeight="1" s="62">
      <c r="A883" s="107" t="n"/>
      <c r="B883" s="107" t="n"/>
      <c r="C883" s="110">
        <f>IFERROR(IF(OR($A883="",$B883=""),"",INDEX(tblCalisan[Brüt Ücret (₺)],MATCH($A883,tblCalisan[Çalışan Adı],0))*IF($B883="5 Puan İndirimi",BesPuanOrani,IF($B883="İlave İstihdam",IlaveIstihdamOrani,IF($B883="Kadın/Genç",KadinGencOrani,IF($B883="Engelli",EngelliOrani,GencGirisimciOrani))))),"")</f>
        <v/>
      </c>
      <c r="D883" s="110">
        <f>IF($C883="","",$C883*AySayisi)</f>
        <v/>
      </c>
      <c r="E883" s="107" t="n"/>
    </row>
    <row r="884" ht="15" customHeight="1" s="62">
      <c r="A884" s="107" t="n"/>
      <c r="B884" s="107" t="n"/>
      <c r="C884" s="110">
        <f>IFERROR(IF(OR($A884="",$B884=""),"",INDEX(tblCalisan[Brüt Ücret (₺)],MATCH($A884,tblCalisan[Çalışan Adı],0))*IF($B884="5 Puan İndirimi",BesPuanOrani,IF($B884="İlave İstihdam",IlaveIstihdamOrani,IF($B884="Kadın/Genç",KadinGencOrani,IF($B884="Engelli",EngelliOrani,GencGirisimciOrani))))),"")</f>
        <v/>
      </c>
      <c r="D884" s="110">
        <f>IF($C884="","",$C884*AySayisi)</f>
        <v/>
      </c>
      <c r="E884" s="107" t="n"/>
    </row>
    <row r="885" ht="15" customHeight="1" s="62">
      <c r="A885" s="107" t="n"/>
      <c r="B885" s="107" t="n"/>
      <c r="C885" s="110">
        <f>IFERROR(IF(OR($A885="",$B885=""),"",INDEX(tblCalisan[Brüt Ücret (₺)],MATCH($A885,tblCalisan[Çalışan Adı],0))*IF($B885="5 Puan İndirimi",BesPuanOrani,IF($B885="İlave İstihdam",IlaveIstihdamOrani,IF($B885="Kadın/Genç",KadinGencOrani,IF($B885="Engelli",EngelliOrani,GencGirisimciOrani))))),"")</f>
        <v/>
      </c>
      <c r="D885" s="110">
        <f>IF($C885="","",$C885*AySayisi)</f>
        <v/>
      </c>
      <c r="E885" s="107" t="n"/>
    </row>
    <row r="886" ht="15" customHeight="1" s="62">
      <c r="A886" s="107" t="n"/>
      <c r="B886" s="107" t="n"/>
      <c r="C886" s="110">
        <f>IFERROR(IF(OR($A886="",$B886=""),"",INDEX(tblCalisan[Brüt Ücret (₺)],MATCH($A886,tblCalisan[Çalışan Adı],0))*IF($B886="5 Puan İndirimi",BesPuanOrani,IF($B886="İlave İstihdam",IlaveIstihdamOrani,IF($B886="Kadın/Genç",KadinGencOrani,IF($B886="Engelli",EngelliOrani,GencGirisimciOrani))))),"")</f>
        <v/>
      </c>
      <c r="D886" s="110">
        <f>IF($C886="","",$C886*AySayisi)</f>
        <v/>
      </c>
      <c r="E886" s="107" t="n"/>
    </row>
    <row r="887" ht="15" customHeight="1" s="62">
      <c r="A887" s="107" t="n"/>
      <c r="B887" s="107" t="n"/>
      <c r="C887" s="110">
        <f>IFERROR(IF(OR($A887="",$B887=""),"",INDEX(tblCalisan[Brüt Ücret (₺)],MATCH($A887,tblCalisan[Çalışan Adı],0))*IF($B887="5 Puan İndirimi",BesPuanOrani,IF($B887="İlave İstihdam",IlaveIstihdamOrani,IF($B887="Kadın/Genç",KadinGencOrani,IF($B887="Engelli",EngelliOrani,GencGirisimciOrani))))),"")</f>
        <v/>
      </c>
      <c r="D887" s="110">
        <f>IF($C887="","",$C887*AySayisi)</f>
        <v/>
      </c>
      <c r="E887" s="107" t="n"/>
    </row>
    <row r="888" ht="15" customHeight="1" s="62">
      <c r="A888" s="107" t="n"/>
      <c r="B888" s="107" t="n"/>
      <c r="C888" s="110">
        <f>IFERROR(IF(OR($A888="",$B888=""),"",INDEX(tblCalisan[Brüt Ücret (₺)],MATCH($A888,tblCalisan[Çalışan Adı],0))*IF($B888="5 Puan İndirimi",BesPuanOrani,IF($B888="İlave İstihdam",IlaveIstihdamOrani,IF($B888="Kadın/Genç",KadinGencOrani,IF($B888="Engelli",EngelliOrani,GencGirisimciOrani))))),"")</f>
        <v/>
      </c>
      <c r="D888" s="110">
        <f>IF($C888="","",$C888*AySayisi)</f>
        <v/>
      </c>
      <c r="E888" s="107" t="n"/>
    </row>
    <row r="889" ht="15" customHeight="1" s="62">
      <c r="A889" s="107" t="n"/>
      <c r="B889" s="107" t="n"/>
      <c r="C889" s="110">
        <f>IFERROR(IF(OR($A889="",$B889=""),"",INDEX(tblCalisan[Brüt Ücret (₺)],MATCH($A889,tblCalisan[Çalışan Adı],0))*IF($B889="5 Puan İndirimi",BesPuanOrani,IF($B889="İlave İstihdam",IlaveIstihdamOrani,IF($B889="Kadın/Genç",KadinGencOrani,IF($B889="Engelli",EngelliOrani,GencGirisimciOrani))))),"")</f>
        <v/>
      </c>
      <c r="D889" s="110">
        <f>IF($C889="","",$C889*AySayisi)</f>
        <v/>
      </c>
      <c r="E889" s="107" t="n"/>
    </row>
    <row r="890" ht="15" customHeight="1" s="62">
      <c r="A890" s="107" t="n"/>
      <c r="B890" s="107" t="n"/>
      <c r="C890" s="110">
        <f>IFERROR(IF(OR($A890="",$B890=""),"",INDEX(tblCalisan[Brüt Ücret (₺)],MATCH($A890,tblCalisan[Çalışan Adı],0))*IF($B890="5 Puan İndirimi",BesPuanOrani,IF($B890="İlave İstihdam",IlaveIstihdamOrani,IF($B890="Kadın/Genç",KadinGencOrani,IF($B890="Engelli",EngelliOrani,GencGirisimciOrani))))),"")</f>
        <v/>
      </c>
      <c r="D890" s="110">
        <f>IF($C890="","",$C890*AySayisi)</f>
        <v/>
      </c>
      <c r="E890" s="107" t="n"/>
    </row>
    <row r="891" ht="15" customHeight="1" s="62">
      <c r="A891" s="107" t="n"/>
      <c r="B891" s="107" t="n"/>
      <c r="C891" s="110">
        <f>IFERROR(IF(OR($A891="",$B891=""),"",INDEX(tblCalisan[Brüt Ücret (₺)],MATCH($A891,tblCalisan[Çalışan Adı],0))*IF($B891="5 Puan İndirimi",BesPuanOrani,IF($B891="İlave İstihdam",IlaveIstihdamOrani,IF($B891="Kadın/Genç",KadinGencOrani,IF($B891="Engelli",EngelliOrani,GencGirisimciOrani))))),"")</f>
        <v/>
      </c>
      <c r="D891" s="110">
        <f>IF($C891="","",$C891*AySayisi)</f>
        <v/>
      </c>
      <c r="E891" s="107" t="n"/>
    </row>
    <row r="892" ht="15" customHeight="1" s="62">
      <c r="A892" s="107" t="n"/>
      <c r="B892" s="107" t="n"/>
      <c r="C892" s="110">
        <f>IFERROR(IF(OR($A892="",$B892=""),"",INDEX(tblCalisan[Brüt Ücret (₺)],MATCH($A892,tblCalisan[Çalışan Adı],0))*IF($B892="5 Puan İndirimi",BesPuanOrani,IF($B892="İlave İstihdam",IlaveIstihdamOrani,IF($B892="Kadın/Genç",KadinGencOrani,IF($B892="Engelli",EngelliOrani,GencGirisimciOrani))))),"")</f>
        <v/>
      </c>
      <c r="D892" s="110">
        <f>IF($C892="","",$C892*AySayisi)</f>
        <v/>
      </c>
      <c r="E892" s="107" t="n"/>
    </row>
    <row r="893" ht="15" customHeight="1" s="62">
      <c r="A893" s="107" t="n"/>
      <c r="B893" s="107" t="n"/>
      <c r="C893" s="110">
        <f>IFERROR(IF(OR($A893="",$B893=""),"",INDEX(tblCalisan[Brüt Ücret (₺)],MATCH($A893,tblCalisan[Çalışan Adı],0))*IF($B893="5 Puan İndirimi",BesPuanOrani,IF($B893="İlave İstihdam",IlaveIstihdamOrani,IF($B893="Kadın/Genç",KadinGencOrani,IF($B893="Engelli",EngelliOrani,GencGirisimciOrani))))),"")</f>
        <v/>
      </c>
      <c r="D893" s="110">
        <f>IF($C893="","",$C893*AySayisi)</f>
        <v/>
      </c>
      <c r="E893" s="107" t="n"/>
    </row>
    <row r="894" ht="15" customHeight="1" s="62">
      <c r="A894" s="107" t="n"/>
      <c r="B894" s="107" t="n"/>
      <c r="C894" s="110">
        <f>IFERROR(IF(OR($A894="",$B894=""),"",INDEX(tblCalisan[Brüt Ücret (₺)],MATCH($A894,tblCalisan[Çalışan Adı],0))*IF($B894="5 Puan İndirimi",BesPuanOrani,IF($B894="İlave İstihdam",IlaveIstihdamOrani,IF($B894="Kadın/Genç",KadinGencOrani,IF($B894="Engelli",EngelliOrani,GencGirisimciOrani))))),"")</f>
        <v/>
      </c>
      <c r="D894" s="110">
        <f>IF($C894="","",$C894*AySayisi)</f>
        <v/>
      </c>
      <c r="E894" s="107" t="n"/>
    </row>
    <row r="895" ht="15" customHeight="1" s="62">
      <c r="A895" s="107" t="n"/>
      <c r="B895" s="107" t="n"/>
      <c r="C895" s="110">
        <f>IFERROR(IF(OR($A895="",$B895=""),"",INDEX(tblCalisan[Brüt Ücret (₺)],MATCH($A895,tblCalisan[Çalışan Adı],0))*IF($B895="5 Puan İndirimi",BesPuanOrani,IF($B895="İlave İstihdam",IlaveIstihdamOrani,IF($B895="Kadın/Genç",KadinGencOrani,IF($B895="Engelli",EngelliOrani,GencGirisimciOrani))))),"")</f>
        <v/>
      </c>
      <c r="D895" s="110">
        <f>IF($C895="","",$C895*AySayisi)</f>
        <v/>
      </c>
      <c r="E895" s="107" t="n"/>
    </row>
    <row r="896" ht="15" customHeight="1" s="62">
      <c r="A896" s="107" t="n"/>
      <c r="B896" s="107" t="n"/>
      <c r="C896" s="110">
        <f>IFERROR(IF(OR($A896="",$B896=""),"",INDEX(tblCalisan[Brüt Ücret (₺)],MATCH($A896,tblCalisan[Çalışan Adı],0))*IF($B896="5 Puan İndirimi",BesPuanOrani,IF($B896="İlave İstihdam",IlaveIstihdamOrani,IF($B896="Kadın/Genç",KadinGencOrani,IF($B896="Engelli",EngelliOrani,GencGirisimciOrani))))),"")</f>
        <v/>
      </c>
      <c r="D896" s="110">
        <f>IF($C896="","",$C896*AySayisi)</f>
        <v/>
      </c>
      <c r="E896" s="107" t="n"/>
    </row>
    <row r="897" ht="15" customHeight="1" s="62">
      <c r="A897" s="107" t="n"/>
      <c r="B897" s="107" t="n"/>
      <c r="C897" s="110">
        <f>IFERROR(IF(OR($A897="",$B897=""),"",INDEX(tblCalisan[Brüt Ücret (₺)],MATCH($A897,tblCalisan[Çalışan Adı],0))*IF($B897="5 Puan İndirimi",BesPuanOrani,IF($B897="İlave İstihdam",IlaveIstihdamOrani,IF($B897="Kadın/Genç",KadinGencOrani,IF($B897="Engelli",EngelliOrani,GencGirisimciOrani))))),"")</f>
        <v/>
      </c>
      <c r="D897" s="110">
        <f>IF($C897="","",$C897*AySayisi)</f>
        <v/>
      </c>
      <c r="E897" s="107" t="n"/>
    </row>
    <row r="898" ht="15" customHeight="1" s="62">
      <c r="A898" s="107" t="n"/>
      <c r="B898" s="107" t="n"/>
      <c r="C898" s="110">
        <f>IFERROR(IF(OR($A898="",$B898=""),"",INDEX(tblCalisan[Brüt Ücret (₺)],MATCH($A898,tblCalisan[Çalışan Adı],0))*IF($B898="5 Puan İndirimi",BesPuanOrani,IF($B898="İlave İstihdam",IlaveIstihdamOrani,IF($B898="Kadın/Genç",KadinGencOrani,IF($B898="Engelli",EngelliOrani,GencGirisimciOrani))))),"")</f>
        <v/>
      </c>
      <c r="D898" s="110">
        <f>IF($C898="","",$C898*AySayisi)</f>
        <v/>
      </c>
      <c r="E898" s="107" t="n"/>
    </row>
    <row r="899" ht="15" customHeight="1" s="62">
      <c r="A899" s="107" t="n"/>
      <c r="B899" s="107" t="n"/>
      <c r="C899" s="110">
        <f>IFERROR(IF(OR($A899="",$B899=""),"",INDEX(tblCalisan[Brüt Ücret (₺)],MATCH($A899,tblCalisan[Çalışan Adı],0))*IF($B899="5 Puan İndirimi",BesPuanOrani,IF($B899="İlave İstihdam",IlaveIstihdamOrani,IF($B899="Kadın/Genç",KadinGencOrani,IF($B899="Engelli",EngelliOrani,GencGirisimciOrani))))),"")</f>
        <v/>
      </c>
      <c r="D899" s="110">
        <f>IF($C899="","",$C899*AySayisi)</f>
        <v/>
      </c>
      <c r="E899" s="107" t="n"/>
    </row>
    <row r="900" ht="15" customHeight="1" s="62">
      <c r="A900" s="107" t="n"/>
      <c r="B900" s="107" t="n"/>
      <c r="C900" s="110">
        <f>IFERROR(IF(OR($A900="",$B900=""),"",INDEX(tblCalisan[Brüt Ücret (₺)],MATCH($A900,tblCalisan[Çalışan Adı],0))*IF($B900="5 Puan İndirimi",BesPuanOrani,IF($B900="İlave İstihdam",IlaveIstihdamOrani,IF($B900="Kadın/Genç",KadinGencOrani,IF($B900="Engelli",EngelliOrani,GencGirisimciOrani))))),"")</f>
        <v/>
      </c>
      <c r="D900" s="110">
        <f>IF($C900="","",$C900*AySayisi)</f>
        <v/>
      </c>
      <c r="E900" s="107" t="n"/>
    </row>
    <row r="901" ht="15" customHeight="1" s="62">
      <c r="A901" s="107" t="n"/>
      <c r="B901" s="107" t="n"/>
      <c r="C901" s="110">
        <f>IFERROR(IF(OR($A901="",$B901=""),"",INDEX(tblCalisan[Brüt Ücret (₺)],MATCH($A901,tblCalisan[Çalışan Adı],0))*IF($B901="5 Puan İndirimi",BesPuanOrani,IF($B901="İlave İstihdam",IlaveIstihdamOrani,IF($B901="Kadın/Genç",KadinGencOrani,IF($B901="Engelli",EngelliOrani,GencGirisimciOrani))))),"")</f>
        <v/>
      </c>
      <c r="D901" s="110">
        <f>IF($C901="","",$C901*AySayisi)</f>
        <v/>
      </c>
      <c r="E901" s="107" t="n"/>
    </row>
    <row r="902" ht="15" customHeight="1" s="62">
      <c r="A902" s="107" t="n"/>
      <c r="B902" s="107" t="n"/>
      <c r="C902" s="110">
        <f>IFERROR(IF(OR($A902="",$B902=""),"",INDEX(tblCalisan[Brüt Ücret (₺)],MATCH($A902,tblCalisan[Çalışan Adı],0))*IF($B902="5 Puan İndirimi",BesPuanOrani,IF($B902="İlave İstihdam",IlaveIstihdamOrani,IF($B902="Kadın/Genç",KadinGencOrani,IF($B902="Engelli",EngelliOrani,GencGirisimciOrani))))),"")</f>
        <v/>
      </c>
      <c r="D902" s="110">
        <f>IF($C902="","",$C902*AySayisi)</f>
        <v/>
      </c>
      <c r="E902" s="107" t="n"/>
    </row>
    <row r="903" ht="15" customHeight="1" s="62">
      <c r="A903" s="107" t="n"/>
      <c r="B903" s="107" t="n"/>
      <c r="C903" s="110">
        <f>IFERROR(IF(OR($A903="",$B903=""),"",INDEX(tblCalisan[Brüt Ücret (₺)],MATCH($A903,tblCalisan[Çalışan Adı],0))*IF($B903="5 Puan İndirimi",BesPuanOrani,IF($B903="İlave İstihdam",IlaveIstihdamOrani,IF($B903="Kadın/Genç",KadinGencOrani,IF($B903="Engelli",EngelliOrani,GencGirisimciOrani))))),"")</f>
        <v/>
      </c>
      <c r="D903" s="110">
        <f>IF($C903="","",$C903*AySayisi)</f>
        <v/>
      </c>
      <c r="E903" s="107" t="n"/>
    </row>
    <row r="904" ht="15" customHeight="1" s="62">
      <c r="A904" s="107" t="n"/>
      <c r="B904" s="107" t="n"/>
      <c r="C904" s="110">
        <f>IFERROR(IF(OR($A904="",$B904=""),"",INDEX(tblCalisan[Brüt Ücret (₺)],MATCH($A904,tblCalisan[Çalışan Adı],0))*IF($B904="5 Puan İndirimi",BesPuanOrani,IF($B904="İlave İstihdam",IlaveIstihdamOrani,IF($B904="Kadın/Genç",KadinGencOrani,IF($B904="Engelli",EngelliOrani,GencGirisimciOrani))))),"")</f>
        <v/>
      </c>
      <c r="D904" s="110">
        <f>IF($C904="","",$C904*AySayisi)</f>
        <v/>
      </c>
      <c r="E904" s="107" t="n"/>
    </row>
    <row r="905" ht="15" customHeight="1" s="62">
      <c r="A905" s="107" t="n"/>
      <c r="B905" s="107" t="n"/>
      <c r="C905" s="110">
        <f>IFERROR(IF(OR($A905="",$B905=""),"",INDEX(tblCalisan[Brüt Ücret (₺)],MATCH($A905,tblCalisan[Çalışan Adı],0))*IF($B905="5 Puan İndirimi",BesPuanOrani,IF($B905="İlave İstihdam",IlaveIstihdamOrani,IF($B905="Kadın/Genç",KadinGencOrani,IF($B905="Engelli",EngelliOrani,GencGirisimciOrani))))),"")</f>
        <v/>
      </c>
      <c r="D905" s="110">
        <f>IF($C905="","",$C905*AySayisi)</f>
        <v/>
      </c>
      <c r="E905" s="107" t="n"/>
    </row>
    <row r="906" ht="15" customHeight="1" s="62">
      <c r="A906" s="107" t="n"/>
      <c r="B906" s="107" t="n"/>
      <c r="C906" s="110">
        <f>IFERROR(IF(OR($A906="",$B906=""),"",INDEX(tblCalisan[Brüt Ücret (₺)],MATCH($A906,tblCalisan[Çalışan Adı],0))*IF($B906="5 Puan İndirimi",BesPuanOrani,IF($B906="İlave İstihdam",IlaveIstihdamOrani,IF($B906="Kadın/Genç",KadinGencOrani,IF($B906="Engelli",EngelliOrani,GencGirisimciOrani))))),"")</f>
        <v/>
      </c>
      <c r="D906" s="110">
        <f>IF($C906="","",$C906*AySayisi)</f>
        <v/>
      </c>
      <c r="E906" s="107" t="n"/>
    </row>
    <row r="907" ht="15" customHeight="1" s="62">
      <c r="A907" s="107" t="n"/>
      <c r="B907" s="107" t="n"/>
      <c r="C907" s="110">
        <f>IFERROR(IF(OR($A907="",$B907=""),"",INDEX(tblCalisan[Brüt Ücret (₺)],MATCH($A907,tblCalisan[Çalışan Adı],0))*IF($B907="5 Puan İndirimi",BesPuanOrani,IF($B907="İlave İstihdam",IlaveIstihdamOrani,IF($B907="Kadın/Genç",KadinGencOrani,IF($B907="Engelli",EngelliOrani,GencGirisimciOrani))))),"")</f>
        <v/>
      </c>
      <c r="D907" s="110">
        <f>IF($C907="","",$C907*AySayisi)</f>
        <v/>
      </c>
      <c r="E907" s="107" t="n"/>
    </row>
    <row r="908" ht="15" customHeight="1" s="62">
      <c r="A908" s="107" t="n"/>
      <c r="B908" s="107" t="n"/>
      <c r="C908" s="110">
        <f>IFERROR(IF(OR($A908="",$B908=""),"",INDEX(tblCalisan[Brüt Ücret (₺)],MATCH($A908,tblCalisan[Çalışan Adı],0))*IF($B908="5 Puan İndirimi",BesPuanOrani,IF($B908="İlave İstihdam",IlaveIstihdamOrani,IF($B908="Kadın/Genç",KadinGencOrani,IF($B908="Engelli",EngelliOrani,GencGirisimciOrani))))),"")</f>
        <v/>
      </c>
      <c r="D908" s="110">
        <f>IF($C908="","",$C908*AySayisi)</f>
        <v/>
      </c>
      <c r="E908" s="107" t="n"/>
    </row>
    <row r="909" ht="15" customHeight="1" s="62">
      <c r="A909" s="107" t="n"/>
      <c r="B909" s="107" t="n"/>
      <c r="C909" s="110">
        <f>IFERROR(IF(OR($A909="",$B909=""),"",INDEX(tblCalisan[Brüt Ücret (₺)],MATCH($A909,tblCalisan[Çalışan Adı],0))*IF($B909="5 Puan İndirimi",BesPuanOrani,IF($B909="İlave İstihdam",IlaveIstihdamOrani,IF($B909="Kadın/Genç",KadinGencOrani,IF($B909="Engelli",EngelliOrani,GencGirisimciOrani))))),"")</f>
        <v/>
      </c>
      <c r="D909" s="110">
        <f>IF($C909="","",$C909*AySayisi)</f>
        <v/>
      </c>
      <c r="E909" s="107" t="n"/>
    </row>
    <row r="910" ht="15" customHeight="1" s="62">
      <c r="A910" s="107" t="n"/>
      <c r="B910" s="107" t="n"/>
      <c r="C910" s="110">
        <f>IFERROR(IF(OR($A910="",$B910=""),"",INDEX(tblCalisan[Brüt Ücret (₺)],MATCH($A910,tblCalisan[Çalışan Adı],0))*IF($B910="5 Puan İndirimi",BesPuanOrani,IF($B910="İlave İstihdam",IlaveIstihdamOrani,IF($B910="Kadın/Genç",KadinGencOrani,IF($B910="Engelli",EngelliOrani,GencGirisimciOrani))))),"")</f>
        <v/>
      </c>
      <c r="D910" s="110">
        <f>IF($C910="","",$C910*AySayisi)</f>
        <v/>
      </c>
      <c r="E910" s="107" t="n"/>
    </row>
    <row r="911" ht="15" customHeight="1" s="62">
      <c r="A911" s="107" t="n"/>
      <c r="B911" s="107" t="n"/>
      <c r="C911" s="110">
        <f>IFERROR(IF(OR($A911="",$B911=""),"",INDEX(tblCalisan[Brüt Ücret (₺)],MATCH($A911,tblCalisan[Çalışan Adı],0))*IF($B911="5 Puan İndirimi",BesPuanOrani,IF($B911="İlave İstihdam",IlaveIstihdamOrani,IF($B911="Kadın/Genç",KadinGencOrani,IF($B911="Engelli",EngelliOrani,GencGirisimciOrani))))),"")</f>
        <v/>
      </c>
      <c r="D911" s="110">
        <f>IF($C911="","",$C911*AySayisi)</f>
        <v/>
      </c>
      <c r="E911" s="107" t="n"/>
    </row>
    <row r="912" ht="15" customHeight="1" s="62">
      <c r="A912" s="107" t="n"/>
      <c r="B912" s="107" t="n"/>
      <c r="C912" s="110">
        <f>IFERROR(IF(OR($A912="",$B912=""),"",INDEX(tblCalisan[Brüt Ücret (₺)],MATCH($A912,tblCalisan[Çalışan Adı],0))*IF($B912="5 Puan İndirimi",BesPuanOrani,IF($B912="İlave İstihdam",IlaveIstihdamOrani,IF($B912="Kadın/Genç",KadinGencOrani,IF($B912="Engelli",EngelliOrani,GencGirisimciOrani))))),"")</f>
        <v/>
      </c>
      <c r="D912" s="110">
        <f>IF($C912="","",$C912*AySayisi)</f>
        <v/>
      </c>
      <c r="E912" s="107" t="n"/>
    </row>
    <row r="913" ht="15" customHeight="1" s="62">
      <c r="A913" s="107" t="n"/>
      <c r="B913" s="107" t="n"/>
      <c r="C913" s="110">
        <f>IFERROR(IF(OR($A913="",$B913=""),"",INDEX(tblCalisan[Brüt Ücret (₺)],MATCH($A913,tblCalisan[Çalışan Adı],0))*IF($B913="5 Puan İndirimi",BesPuanOrani,IF($B913="İlave İstihdam",IlaveIstihdamOrani,IF($B913="Kadın/Genç",KadinGencOrani,IF($B913="Engelli",EngelliOrani,GencGirisimciOrani))))),"")</f>
        <v/>
      </c>
      <c r="D913" s="110">
        <f>IF($C913="","",$C913*AySayisi)</f>
        <v/>
      </c>
      <c r="E913" s="107" t="n"/>
    </row>
    <row r="914" ht="15" customHeight="1" s="62">
      <c r="A914" s="107" t="n"/>
      <c r="B914" s="107" t="n"/>
      <c r="C914" s="110">
        <f>IFERROR(IF(OR($A914="",$B914=""),"",INDEX(tblCalisan[Brüt Ücret (₺)],MATCH($A914,tblCalisan[Çalışan Adı],0))*IF($B914="5 Puan İndirimi",BesPuanOrani,IF($B914="İlave İstihdam",IlaveIstihdamOrani,IF($B914="Kadın/Genç",KadinGencOrani,IF($B914="Engelli",EngelliOrani,GencGirisimciOrani))))),"")</f>
        <v/>
      </c>
      <c r="D914" s="110">
        <f>IF($C914="","",$C914*AySayisi)</f>
        <v/>
      </c>
      <c r="E914" s="107" t="n"/>
    </row>
    <row r="915" ht="15" customHeight="1" s="62">
      <c r="A915" s="107" t="n"/>
      <c r="B915" s="107" t="n"/>
      <c r="C915" s="110">
        <f>IFERROR(IF(OR($A915="",$B915=""),"",INDEX(tblCalisan[Brüt Ücret (₺)],MATCH($A915,tblCalisan[Çalışan Adı],0))*IF($B915="5 Puan İndirimi",BesPuanOrani,IF($B915="İlave İstihdam",IlaveIstihdamOrani,IF($B915="Kadın/Genç",KadinGencOrani,IF($B915="Engelli",EngelliOrani,GencGirisimciOrani))))),"")</f>
        <v/>
      </c>
      <c r="D915" s="110">
        <f>IF($C915="","",$C915*AySayisi)</f>
        <v/>
      </c>
      <c r="E915" s="107" t="n"/>
    </row>
    <row r="916" ht="15" customHeight="1" s="62">
      <c r="A916" s="107" t="n"/>
      <c r="B916" s="107" t="n"/>
      <c r="C916" s="110">
        <f>IFERROR(IF(OR($A916="",$B916=""),"",INDEX(tblCalisan[Brüt Ücret (₺)],MATCH($A916,tblCalisan[Çalışan Adı],0))*IF($B916="5 Puan İndirimi",BesPuanOrani,IF($B916="İlave İstihdam",IlaveIstihdamOrani,IF($B916="Kadın/Genç",KadinGencOrani,IF($B916="Engelli",EngelliOrani,GencGirisimciOrani))))),"")</f>
        <v/>
      </c>
      <c r="D916" s="110">
        <f>IF($C916="","",$C916*AySayisi)</f>
        <v/>
      </c>
      <c r="E916" s="107" t="n"/>
    </row>
    <row r="917" ht="15" customHeight="1" s="62">
      <c r="A917" s="107" t="n"/>
      <c r="B917" s="107" t="n"/>
      <c r="C917" s="110">
        <f>IFERROR(IF(OR($A917="",$B917=""),"",INDEX(tblCalisan[Brüt Ücret (₺)],MATCH($A917,tblCalisan[Çalışan Adı],0))*IF($B917="5 Puan İndirimi",BesPuanOrani,IF($B917="İlave İstihdam",IlaveIstihdamOrani,IF($B917="Kadın/Genç",KadinGencOrani,IF($B917="Engelli",EngelliOrani,GencGirisimciOrani))))),"")</f>
        <v/>
      </c>
      <c r="D917" s="110">
        <f>IF($C917="","",$C917*AySayisi)</f>
        <v/>
      </c>
      <c r="E917" s="107" t="n"/>
    </row>
    <row r="918" ht="15" customHeight="1" s="62">
      <c r="A918" s="107" t="n"/>
      <c r="B918" s="107" t="n"/>
      <c r="C918" s="110">
        <f>IFERROR(IF(OR($A918="",$B918=""),"",INDEX(tblCalisan[Brüt Ücret (₺)],MATCH($A918,tblCalisan[Çalışan Adı],0))*IF($B918="5 Puan İndirimi",BesPuanOrani,IF($B918="İlave İstihdam",IlaveIstihdamOrani,IF($B918="Kadın/Genç",KadinGencOrani,IF($B918="Engelli",EngelliOrani,GencGirisimciOrani))))),"")</f>
        <v/>
      </c>
      <c r="D918" s="110">
        <f>IF($C918="","",$C918*AySayisi)</f>
        <v/>
      </c>
      <c r="E918" s="107" t="n"/>
    </row>
    <row r="919" ht="15" customHeight="1" s="62">
      <c r="A919" s="107" t="n"/>
      <c r="B919" s="107" t="n"/>
      <c r="C919" s="110">
        <f>IFERROR(IF(OR($A919="",$B919=""),"",INDEX(tblCalisan[Brüt Ücret (₺)],MATCH($A919,tblCalisan[Çalışan Adı],0))*IF($B919="5 Puan İndirimi",BesPuanOrani,IF($B919="İlave İstihdam",IlaveIstihdamOrani,IF($B919="Kadın/Genç",KadinGencOrani,IF($B919="Engelli",EngelliOrani,GencGirisimciOrani))))),"")</f>
        <v/>
      </c>
      <c r="D919" s="110">
        <f>IF($C919="","",$C919*AySayisi)</f>
        <v/>
      </c>
      <c r="E919" s="107" t="n"/>
    </row>
    <row r="920" ht="15" customHeight="1" s="62">
      <c r="A920" s="107" t="n"/>
      <c r="B920" s="107" t="n"/>
      <c r="C920" s="110">
        <f>IFERROR(IF(OR($A920="",$B920=""),"",INDEX(tblCalisan[Brüt Ücret (₺)],MATCH($A920,tblCalisan[Çalışan Adı],0))*IF($B920="5 Puan İndirimi",BesPuanOrani,IF($B920="İlave İstihdam",IlaveIstihdamOrani,IF($B920="Kadın/Genç",KadinGencOrani,IF($B920="Engelli",EngelliOrani,GencGirisimciOrani))))),"")</f>
        <v/>
      </c>
      <c r="D920" s="110">
        <f>IF($C920="","",$C920*AySayisi)</f>
        <v/>
      </c>
      <c r="E920" s="107" t="n"/>
    </row>
    <row r="921" ht="15" customHeight="1" s="62">
      <c r="A921" s="107" t="n"/>
      <c r="B921" s="107" t="n"/>
      <c r="C921" s="110">
        <f>IFERROR(IF(OR($A921="",$B921=""),"",INDEX(tblCalisan[Brüt Ücret (₺)],MATCH($A921,tblCalisan[Çalışan Adı],0))*IF($B921="5 Puan İndirimi",BesPuanOrani,IF($B921="İlave İstihdam",IlaveIstihdamOrani,IF($B921="Kadın/Genç",KadinGencOrani,IF($B921="Engelli",EngelliOrani,GencGirisimciOrani))))),"")</f>
        <v/>
      </c>
      <c r="D921" s="110">
        <f>IF($C921="","",$C921*AySayisi)</f>
        <v/>
      </c>
      <c r="E921" s="107" t="n"/>
    </row>
    <row r="922" ht="15" customHeight="1" s="62">
      <c r="A922" s="107" t="n"/>
      <c r="B922" s="107" t="n"/>
      <c r="C922" s="110">
        <f>IFERROR(IF(OR($A922="",$B922=""),"",INDEX(tblCalisan[Brüt Ücret (₺)],MATCH($A922,tblCalisan[Çalışan Adı],0))*IF($B922="5 Puan İndirimi",BesPuanOrani,IF($B922="İlave İstihdam",IlaveIstihdamOrani,IF($B922="Kadın/Genç",KadinGencOrani,IF($B922="Engelli",EngelliOrani,GencGirisimciOrani))))),"")</f>
        <v/>
      </c>
      <c r="D922" s="110">
        <f>IF($C922="","",$C922*AySayisi)</f>
        <v/>
      </c>
      <c r="E922" s="107" t="n"/>
    </row>
    <row r="923" ht="15" customHeight="1" s="62">
      <c r="A923" s="107" t="n"/>
      <c r="B923" s="107" t="n"/>
      <c r="C923" s="110">
        <f>IFERROR(IF(OR($A923="",$B923=""),"",INDEX(tblCalisan[Brüt Ücret (₺)],MATCH($A923,tblCalisan[Çalışan Adı],0))*IF($B923="5 Puan İndirimi",BesPuanOrani,IF($B923="İlave İstihdam",IlaveIstihdamOrani,IF($B923="Kadın/Genç",KadinGencOrani,IF($B923="Engelli",EngelliOrani,GencGirisimciOrani))))),"")</f>
        <v/>
      </c>
      <c r="D923" s="110">
        <f>IF($C923="","",$C923*AySayisi)</f>
        <v/>
      </c>
      <c r="E923" s="107" t="n"/>
    </row>
    <row r="924" ht="15" customHeight="1" s="62">
      <c r="A924" s="107" t="n"/>
      <c r="B924" s="107" t="n"/>
      <c r="C924" s="110">
        <f>IFERROR(IF(OR($A924="",$B924=""),"",INDEX(tblCalisan[Brüt Ücret (₺)],MATCH($A924,tblCalisan[Çalışan Adı],0))*IF($B924="5 Puan İndirimi",BesPuanOrani,IF($B924="İlave İstihdam",IlaveIstihdamOrani,IF($B924="Kadın/Genç",KadinGencOrani,IF($B924="Engelli",EngelliOrani,GencGirisimciOrani))))),"")</f>
        <v/>
      </c>
      <c r="D924" s="110">
        <f>IF($C924="","",$C924*AySayisi)</f>
        <v/>
      </c>
      <c r="E924" s="107" t="n"/>
    </row>
    <row r="925" ht="15" customHeight="1" s="62">
      <c r="A925" s="107" t="n"/>
      <c r="B925" s="107" t="n"/>
      <c r="C925" s="110">
        <f>IFERROR(IF(OR($A925="",$B925=""),"",INDEX(tblCalisan[Brüt Ücret (₺)],MATCH($A925,tblCalisan[Çalışan Adı],0))*IF($B925="5 Puan İndirimi",BesPuanOrani,IF($B925="İlave İstihdam",IlaveIstihdamOrani,IF($B925="Kadın/Genç",KadinGencOrani,IF($B925="Engelli",EngelliOrani,GencGirisimciOrani))))),"")</f>
        <v/>
      </c>
      <c r="D925" s="110">
        <f>IF($C925="","",$C925*AySayisi)</f>
        <v/>
      </c>
      <c r="E925" s="107" t="n"/>
    </row>
    <row r="926" ht="15" customHeight="1" s="62">
      <c r="A926" s="107" t="n"/>
      <c r="B926" s="107" t="n"/>
      <c r="C926" s="110">
        <f>IFERROR(IF(OR($A926="",$B926=""),"",INDEX(tblCalisan[Brüt Ücret (₺)],MATCH($A926,tblCalisan[Çalışan Adı],0))*IF($B926="5 Puan İndirimi",BesPuanOrani,IF($B926="İlave İstihdam",IlaveIstihdamOrani,IF($B926="Kadın/Genç",KadinGencOrani,IF($B926="Engelli",EngelliOrani,GencGirisimciOrani))))),"")</f>
        <v/>
      </c>
      <c r="D926" s="110">
        <f>IF($C926="","",$C926*AySayisi)</f>
        <v/>
      </c>
      <c r="E926" s="107" t="n"/>
    </row>
    <row r="927" ht="15" customHeight="1" s="62">
      <c r="A927" s="107" t="n"/>
      <c r="B927" s="107" t="n"/>
      <c r="C927" s="110">
        <f>IFERROR(IF(OR($A927="",$B927=""),"",INDEX(tblCalisan[Brüt Ücret (₺)],MATCH($A927,tblCalisan[Çalışan Adı],0))*IF($B927="5 Puan İndirimi",BesPuanOrani,IF($B927="İlave İstihdam",IlaveIstihdamOrani,IF($B927="Kadın/Genç",KadinGencOrani,IF($B927="Engelli",EngelliOrani,GencGirisimciOrani))))),"")</f>
        <v/>
      </c>
      <c r="D927" s="110">
        <f>IF($C927="","",$C927*AySayisi)</f>
        <v/>
      </c>
      <c r="E927" s="107" t="n"/>
    </row>
    <row r="928" ht="15" customHeight="1" s="62">
      <c r="A928" s="107" t="n"/>
      <c r="B928" s="107" t="n"/>
      <c r="C928" s="110">
        <f>IFERROR(IF(OR($A928="",$B928=""),"",INDEX(tblCalisan[Brüt Ücret (₺)],MATCH($A928,tblCalisan[Çalışan Adı],0))*IF($B928="5 Puan İndirimi",BesPuanOrani,IF($B928="İlave İstihdam",IlaveIstihdamOrani,IF($B928="Kadın/Genç",KadinGencOrani,IF($B928="Engelli",EngelliOrani,GencGirisimciOrani))))),"")</f>
        <v/>
      </c>
      <c r="D928" s="110">
        <f>IF($C928="","",$C928*AySayisi)</f>
        <v/>
      </c>
      <c r="E928" s="107" t="n"/>
    </row>
    <row r="929" ht="15" customHeight="1" s="62">
      <c r="A929" s="107" t="n"/>
      <c r="B929" s="107" t="n"/>
      <c r="C929" s="110">
        <f>IFERROR(IF(OR($A929="",$B929=""),"",INDEX(tblCalisan[Brüt Ücret (₺)],MATCH($A929,tblCalisan[Çalışan Adı],0))*IF($B929="5 Puan İndirimi",BesPuanOrani,IF($B929="İlave İstihdam",IlaveIstihdamOrani,IF($B929="Kadın/Genç",KadinGencOrani,IF($B929="Engelli",EngelliOrani,GencGirisimciOrani))))),"")</f>
        <v/>
      </c>
      <c r="D929" s="110">
        <f>IF($C929="","",$C929*AySayisi)</f>
        <v/>
      </c>
      <c r="E929" s="107" t="n"/>
    </row>
    <row r="930" ht="15" customHeight="1" s="62">
      <c r="A930" s="107" t="n"/>
      <c r="B930" s="107" t="n"/>
      <c r="C930" s="110">
        <f>IFERROR(IF(OR($A930="",$B930=""),"",INDEX(tblCalisan[Brüt Ücret (₺)],MATCH($A930,tblCalisan[Çalışan Adı],0))*IF($B930="5 Puan İndirimi",BesPuanOrani,IF($B930="İlave İstihdam",IlaveIstihdamOrani,IF($B930="Kadın/Genç",KadinGencOrani,IF($B930="Engelli",EngelliOrani,GencGirisimciOrani))))),"")</f>
        <v/>
      </c>
      <c r="D930" s="110">
        <f>IF($C930="","",$C930*AySayisi)</f>
        <v/>
      </c>
      <c r="E930" s="107" t="n"/>
    </row>
    <row r="931" ht="15" customHeight="1" s="62">
      <c r="A931" s="107" t="n"/>
      <c r="B931" s="107" t="n"/>
      <c r="C931" s="110">
        <f>IFERROR(IF(OR($A931="",$B931=""),"",INDEX(tblCalisan[Brüt Ücret (₺)],MATCH($A931,tblCalisan[Çalışan Adı],0))*IF($B931="5 Puan İndirimi",BesPuanOrani,IF($B931="İlave İstihdam",IlaveIstihdamOrani,IF($B931="Kadın/Genç",KadinGencOrani,IF($B931="Engelli",EngelliOrani,GencGirisimciOrani))))),"")</f>
        <v/>
      </c>
      <c r="D931" s="110">
        <f>IF($C931="","",$C931*AySayisi)</f>
        <v/>
      </c>
      <c r="E931" s="107" t="n"/>
    </row>
    <row r="932" ht="15" customHeight="1" s="62">
      <c r="A932" s="107" t="n"/>
      <c r="B932" s="107" t="n"/>
      <c r="C932" s="110">
        <f>IFERROR(IF(OR($A932="",$B932=""),"",INDEX(tblCalisan[Brüt Ücret (₺)],MATCH($A932,tblCalisan[Çalışan Adı],0))*IF($B932="5 Puan İndirimi",BesPuanOrani,IF($B932="İlave İstihdam",IlaveIstihdamOrani,IF($B932="Kadın/Genç",KadinGencOrani,IF($B932="Engelli",EngelliOrani,GencGirisimciOrani))))),"")</f>
        <v/>
      </c>
      <c r="D932" s="110">
        <f>IF($C932="","",$C932*AySayisi)</f>
        <v/>
      </c>
      <c r="E932" s="107" t="n"/>
    </row>
    <row r="933" ht="15" customHeight="1" s="62">
      <c r="A933" s="107" t="n"/>
      <c r="B933" s="107" t="n"/>
      <c r="C933" s="110">
        <f>IFERROR(IF(OR($A933="",$B933=""),"",INDEX(tblCalisan[Brüt Ücret (₺)],MATCH($A933,tblCalisan[Çalışan Adı],0))*IF($B933="5 Puan İndirimi",BesPuanOrani,IF($B933="İlave İstihdam",IlaveIstihdamOrani,IF($B933="Kadın/Genç",KadinGencOrani,IF($B933="Engelli",EngelliOrani,GencGirisimciOrani))))),"")</f>
        <v/>
      </c>
      <c r="D933" s="110">
        <f>IF($C933="","",$C933*AySayisi)</f>
        <v/>
      </c>
      <c r="E933" s="107" t="n"/>
    </row>
    <row r="934" ht="15" customHeight="1" s="62">
      <c r="A934" s="107" t="n"/>
      <c r="B934" s="107" t="n"/>
      <c r="C934" s="110">
        <f>IFERROR(IF(OR($A934="",$B934=""),"",INDEX(tblCalisan[Brüt Ücret (₺)],MATCH($A934,tblCalisan[Çalışan Adı],0))*IF($B934="5 Puan İndirimi",BesPuanOrani,IF($B934="İlave İstihdam",IlaveIstihdamOrani,IF($B934="Kadın/Genç",KadinGencOrani,IF($B934="Engelli",EngelliOrani,GencGirisimciOrani))))),"")</f>
        <v/>
      </c>
      <c r="D934" s="110">
        <f>IF($C934="","",$C934*AySayisi)</f>
        <v/>
      </c>
      <c r="E934" s="107" t="n"/>
    </row>
    <row r="935" ht="15" customHeight="1" s="62">
      <c r="A935" s="107" t="n"/>
      <c r="B935" s="107" t="n"/>
      <c r="C935" s="110">
        <f>IFERROR(IF(OR($A935="",$B935=""),"",INDEX(tblCalisan[Brüt Ücret (₺)],MATCH($A935,tblCalisan[Çalışan Adı],0))*IF($B935="5 Puan İndirimi",BesPuanOrani,IF($B935="İlave İstihdam",IlaveIstihdamOrani,IF($B935="Kadın/Genç",KadinGencOrani,IF($B935="Engelli",EngelliOrani,GencGirisimciOrani))))),"")</f>
        <v/>
      </c>
      <c r="D935" s="110">
        <f>IF($C935="","",$C935*AySayisi)</f>
        <v/>
      </c>
      <c r="E935" s="107" t="n"/>
    </row>
    <row r="936" ht="15" customHeight="1" s="62">
      <c r="A936" s="107" t="n"/>
      <c r="B936" s="107" t="n"/>
      <c r="C936" s="110">
        <f>IFERROR(IF(OR($A936="",$B936=""),"",INDEX(tblCalisan[Brüt Ücret (₺)],MATCH($A936,tblCalisan[Çalışan Adı],0))*IF($B936="5 Puan İndirimi",BesPuanOrani,IF($B936="İlave İstihdam",IlaveIstihdamOrani,IF($B936="Kadın/Genç",KadinGencOrani,IF($B936="Engelli",EngelliOrani,GencGirisimciOrani))))),"")</f>
        <v/>
      </c>
      <c r="D936" s="110">
        <f>IF($C936="","",$C936*AySayisi)</f>
        <v/>
      </c>
      <c r="E936" s="107" t="n"/>
    </row>
    <row r="937" ht="15" customHeight="1" s="62">
      <c r="A937" s="107" t="n"/>
      <c r="B937" s="107" t="n"/>
      <c r="C937" s="110">
        <f>IFERROR(IF(OR($A937="",$B937=""),"",INDEX(tblCalisan[Brüt Ücret (₺)],MATCH($A937,tblCalisan[Çalışan Adı],0))*IF($B937="5 Puan İndirimi",BesPuanOrani,IF($B937="İlave İstihdam",IlaveIstihdamOrani,IF($B937="Kadın/Genç",KadinGencOrani,IF($B937="Engelli",EngelliOrani,GencGirisimciOrani))))),"")</f>
        <v/>
      </c>
      <c r="D937" s="110">
        <f>IF($C937="","",$C937*AySayisi)</f>
        <v/>
      </c>
      <c r="E937" s="107" t="n"/>
    </row>
    <row r="938" ht="15" customHeight="1" s="62">
      <c r="A938" s="107" t="n"/>
      <c r="B938" s="107" t="n"/>
      <c r="C938" s="110">
        <f>IFERROR(IF(OR($A938="",$B938=""),"",INDEX(tblCalisan[Brüt Ücret (₺)],MATCH($A938,tblCalisan[Çalışan Adı],0))*IF($B938="5 Puan İndirimi",BesPuanOrani,IF($B938="İlave İstihdam",IlaveIstihdamOrani,IF($B938="Kadın/Genç",KadinGencOrani,IF($B938="Engelli",EngelliOrani,GencGirisimciOrani))))),"")</f>
        <v/>
      </c>
      <c r="D938" s="110">
        <f>IF($C938="","",$C938*AySayisi)</f>
        <v/>
      </c>
      <c r="E938" s="107" t="n"/>
    </row>
    <row r="939" ht="15" customHeight="1" s="62">
      <c r="A939" s="107" t="n"/>
      <c r="B939" s="107" t="n"/>
      <c r="C939" s="110">
        <f>IFERROR(IF(OR($A939="",$B939=""),"",INDEX(tblCalisan[Brüt Ücret (₺)],MATCH($A939,tblCalisan[Çalışan Adı],0))*IF($B939="5 Puan İndirimi",BesPuanOrani,IF($B939="İlave İstihdam",IlaveIstihdamOrani,IF($B939="Kadın/Genç",KadinGencOrani,IF($B939="Engelli",EngelliOrani,GencGirisimciOrani))))),"")</f>
        <v/>
      </c>
      <c r="D939" s="110">
        <f>IF($C939="","",$C939*AySayisi)</f>
        <v/>
      </c>
      <c r="E939" s="107" t="n"/>
    </row>
    <row r="940" ht="15" customHeight="1" s="62">
      <c r="A940" s="107" t="n"/>
      <c r="B940" s="107" t="n"/>
      <c r="C940" s="110">
        <f>IFERROR(IF(OR($A940="",$B940=""),"",INDEX(tblCalisan[Brüt Ücret (₺)],MATCH($A940,tblCalisan[Çalışan Adı],0))*IF($B940="5 Puan İndirimi",BesPuanOrani,IF($B940="İlave İstihdam",IlaveIstihdamOrani,IF($B940="Kadın/Genç",KadinGencOrani,IF($B940="Engelli",EngelliOrani,GencGirisimciOrani))))),"")</f>
        <v/>
      </c>
      <c r="D940" s="110">
        <f>IF($C940="","",$C940*AySayisi)</f>
        <v/>
      </c>
      <c r="E940" s="107" t="n"/>
    </row>
    <row r="941" ht="15" customHeight="1" s="62">
      <c r="A941" s="107" t="n"/>
      <c r="B941" s="107" t="n"/>
      <c r="C941" s="110">
        <f>IFERROR(IF(OR($A941="",$B941=""),"",INDEX(tblCalisan[Brüt Ücret (₺)],MATCH($A941,tblCalisan[Çalışan Adı],0))*IF($B941="5 Puan İndirimi",BesPuanOrani,IF($B941="İlave İstihdam",IlaveIstihdamOrani,IF($B941="Kadın/Genç",KadinGencOrani,IF($B941="Engelli",EngelliOrani,GencGirisimciOrani))))),"")</f>
        <v/>
      </c>
      <c r="D941" s="110">
        <f>IF($C941="","",$C941*AySayisi)</f>
        <v/>
      </c>
      <c r="E941" s="107" t="n"/>
    </row>
    <row r="942" ht="15" customHeight="1" s="62">
      <c r="A942" s="107" t="n"/>
      <c r="B942" s="107" t="n"/>
      <c r="C942" s="110">
        <f>IFERROR(IF(OR($A942="",$B942=""),"",INDEX(tblCalisan[Brüt Ücret (₺)],MATCH($A942,tblCalisan[Çalışan Adı],0))*IF($B942="5 Puan İndirimi",BesPuanOrani,IF($B942="İlave İstihdam",IlaveIstihdamOrani,IF($B942="Kadın/Genç",KadinGencOrani,IF($B942="Engelli",EngelliOrani,GencGirisimciOrani))))),"")</f>
        <v/>
      </c>
      <c r="D942" s="110">
        <f>IF($C942="","",$C942*AySayisi)</f>
        <v/>
      </c>
      <c r="E942" s="107" t="n"/>
    </row>
    <row r="943" ht="15" customHeight="1" s="62">
      <c r="A943" s="107" t="n"/>
      <c r="B943" s="107" t="n"/>
      <c r="C943" s="110">
        <f>IFERROR(IF(OR($A943="",$B943=""),"",INDEX(tblCalisan[Brüt Ücret (₺)],MATCH($A943,tblCalisan[Çalışan Adı],0))*IF($B943="5 Puan İndirimi",BesPuanOrani,IF($B943="İlave İstihdam",IlaveIstihdamOrani,IF($B943="Kadın/Genç",KadinGencOrani,IF($B943="Engelli",EngelliOrani,GencGirisimciOrani))))),"")</f>
        <v/>
      </c>
      <c r="D943" s="110">
        <f>IF($C943="","",$C943*AySayisi)</f>
        <v/>
      </c>
      <c r="E943" s="107" t="n"/>
    </row>
    <row r="944" ht="15" customHeight="1" s="62">
      <c r="A944" s="107" t="n"/>
      <c r="B944" s="107" t="n"/>
      <c r="C944" s="110">
        <f>IFERROR(IF(OR($A944="",$B944=""),"",INDEX(tblCalisan[Brüt Ücret (₺)],MATCH($A944,tblCalisan[Çalışan Adı],0))*IF($B944="5 Puan İndirimi",BesPuanOrani,IF($B944="İlave İstihdam",IlaveIstihdamOrani,IF($B944="Kadın/Genç",KadinGencOrani,IF($B944="Engelli",EngelliOrani,GencGirisimciOrani))))),"")</f>
        <v/>
      </c>
      <c r="D944" s="110">
        <f>IF($C944="","",$C944*AySayisi)</f>
        <v/>
      </c>
      <c r="E944" s="107" t="n"/>
    </row>
    <row r="945" ht="15" customHeight="1" s="62">
      <c r="A945" s="107" t="n"/>
      <c r="B945" s="107" t="n"/>
      <c r="C945" s="110">
        <f>IFERROR(IF(OR($A945="",$B945=""),"",INDEX(tblCalisan[Brüt Ücret (₺)],MATCH($A945,tblCalisan[Çalışan Adı],0))*IF($B945="5 Puan İndirimi",BesPuanOrani,IF($B945="İlave İstihdam",IlaveIstihdamOrani,IF($B945="Kadın/Genç",KadinGencOrani,IF($B945="Engelli",EngelliOrani,GencGirisimciOrani))))),"")</f>
        <v/>
      </c>
      <c r="D945" s="110">
        <f>IF($C945="","",$C945*AySayisi)</f>
        <v/>
      </c>
      <c r="E945" s="107" t="n"/>
    </row>
    <row r="946" ht="15" customHeight="1" s="62">
      <c r="A946" s="107" t="n"/>
      <c r="B946" s="107" t="n"/>
      <c r="C946" s="110">
        <f>IFERROR(IF(OR($A946="",$B946=""),"",INDEX(tblCalisan[Brüt Ücret (₺)],MATCH($A946,tblCalisan[Çalışan Adı],0))*IF($B946="5 Puan İndirimi",BesPuanOrani,IF($B946="İlave İstihdam",IlaveIstihdamOrani,IF($B946="Kadın/Genç",KadinGencOrani,IF($B946="Engelli",EngelliOrani,GencGirisimciOrani))))),"")</f>
        <v/>
      </c>
      <c r="D946" s="110">
        <f>IF($C946="","",$C946*AySayisi)</f>
        <v/>
      </c>
      <c r="E946" s="107" t="n"/>
    </row>
    <row r="947" ht="15" customHeight="1" s="62">
      <c r="A947" s="107" t="n"/>
      <c r="B947" s="107" t="n"/>
      <c r="C947" s="110">
        <f>IFERROR(IF(OR($A947="",$B947=""),"",INDEX(tblCalisan[Brüt Ücret (₺)],MATCH($A947,tblCalisan[Çalışan Adı],0))*IF($B947="5 Puan İndirimi",BesPuanOrani,IF($B947="İlave İstihdam",IlaveIstihdamOrani,IF($B947="Kadın/Genç",KadinGencOrani,IF($B947="Engelli",EngelliOrani,GencGirisimciOrani))))),"")</f>
        <v/>
      </c>
      <c r="D947" s="110">
        <f>IF($C947="","",$C947*AySayisi)</f>
        <v/>
      </c>
      <c r="E947" s="107" t="n"/>
    </row>
    <row r="948" ht="15" customHeight="1" s="62">
      <c r="A948" s="107" t="n"/>
      <c r="B948" s="107" t="n"/>
      <c r="C948" s="110">
        <f>IFERROR(IF(OR($A948="",$B948=""),"",INDEX(tblCalisan[Brüt Ücret (₺)],MATCH($A948,tblCalisan[Çalışan Adı],0))*IF($B948="5 Puan İndirimi",BesPuanOrani,IF($B948="İlave İstihdam",IlaveIstihdamOrani,IF($B948="Kadın/Genç",KadinGencOrani,IF($B948="Engelli",EngelliOrani,GencGirisimciOrani))))),"")</f>
        <v/>
      </c>
      <c r="D948" s="110">
        <f>IF($C948="","",$C948*AySayisi)</f>
        <v/>
      </c>
      <c r="E948" s="107" t="n"/>
    </row>
    <row r="949" ht="15" customHeight="1" s="62">
      <c r="A949" s="107" t="n"/>
      <c r="B949" s="107" t="n"/>
      <c r="C949" s="110">
        <f>IFERROR(IF(OR($A949="",$B949=""),"",INDEX(tblCalisan[Brüt Ücret (₺)],MATCH($A949,tblCalisan[Çalışan Adı],0))*IF($B949="5 Puan İndirimi",BesPuanOrani,IF($B949="İlave İstihdam",IlaveIstihdamOrani,IF($B949="Kadın/Genç",KadinGencOrani,IF($B949="Engelli",EngelliOrani,GencGirisimciOrani))))),"")</f>
        <v/>
      </c>
      <c r="D949" s="110">
        <f>IF($C949="","",$C949*AySayisi)</f>
        <v/>
      </c>
      <c r="E949" s="107" t="n"/>
    </row>
    <row r="950" ht="15" customHeight="1" s="62">
      <c r="A950" s="107" t="n"/>
      <c r="B950" s="107" t="n"/>
      <c r="C950" s="110">
        <f>IFERROR(IF(OR($A950="",$B950=""),"",INDEX(tblCalisan[Brüt Ücret (₺)],MATCH($A950,tblCalisan[Çalışan Adı],0))*IF($B950="5 Puan İndirimi",BesPuanOrani,IF($B950="İlave İstihdam",IlaveIstihdamOrani,IF($B950="Kadın/Genç",KadinGencOrani,IF($B950="Engelli",EngelliOrani,GencGirisimciOrani))))),"")</f>
        <v/>
      </c>
      <c r="D950" s="110">
        <f>IF($C950="","",$C950*AySayisi)</f>
        <v/>
      </c>
      <c r="E950" s="107" t="n"/>
    </row>
    <row r="951" ht="15" customHeight="1" s="62">
      <c r="A951" s="107" t="n"/>
      <c r="B951" s="107" t="n"/>
      <c r="C951" s="110">
        <f>IFERROR(IF(OR($A951="",$B951=""),"",INDEX(tblCalisan[Brüt Ücret (₺)],MATCH($A951,tblCalisan[Çalışan Adı],0))*IF($B951="5 Puan İndirimi",BesPuanOrani,IF($B951="İlave İstihdam",IlaveIstihdamOrani,IF($B951="Kadın/Genç",KadinGencOrani,IF($B951="Engelli",EngelliOrani,GencGirisimciOrani))))),"")</f>
        <v/>
      </c>
      <c r="D951" s="110">
        <f>IF($C951="","",$C951*AySayisi)</f>
        <v/>
      </c>
      <c r="E951" s="107" t="n"/>
    </row>
    <row r="952" ht="15" customHeight="1" s="62">
      <c r="A952" s="107" t="n"/>
      <c r="B952" s="107" t="n"/>
      <c r="C952" s="110">
        <f>IFERROR(IF(OR($A952="",$B952=""),"",INDEX(tblCalisan[Brüt Ücret (₺)],MATCH($A952,tblCalisan[Çalışan Adı],0))*IF($B952="5 Puan İndirimi",BesPuanOrani,IF($B952="İlave İstihdam",IlaveIstihdamOrani,IF($B952="Kadın/Genç",KadinGencOrani,IF($B952="Engelli",EngelliOrani,GencGirisimciOrani))))),"")</f>
        <v/>
      </c>
      <c r="D952" s="110">
        <f>IF($C952="","",$C952*AySayisi)</f>
        <v/>
      </c>
      <c r="E952" s="107" t="n"/>
    </row>
    <row r="953" ht="15" customHeight="1" s="62">
      <c r="A953" s="107" t="n"/>
      <c r="B953" s="107" t="n"/>
      <c r="C953" s="110">
        <f>IFERROR(IF(OR($A953="",$B953=""),"",INDEX(tblCalisan[Brüt Ücret (₺)],MATCH($A953,tblCalisan[Çalışan Adı],0))*IF($B953="5 Puan İndirimi",BesPuanOrani,IF($B953="İlave İstihdam",IlaveIstihdamOrani,IF($B953="Kadın/Genç",KadinGencOrani,IF($B953="Engelli",EngelliOrani,GencGirisimciOrani))))),"")</f>
        <v/>
      </c>
      <c r="D953" s="110">
        <f>IF($C953="","",$C953*AySayisi)</f>
        <v/>
      </c>
      <c r="E953" s="107" t="n"/>
    </row>
    <row r="954" ht="15" customHeight="1" s="62">
      <c r="A954" s="107" t="n"/>
      <c r="B954" s="107" t="n"/>
      <c r="C954" s="110">
        <f>IFERROR(IF(OR($A954="",$B954=""),"",INDEX(tblCalisan[Brüt Ücret (₺)],MATCH($A954,tblCalisan[Çalışan Adı],0))*IF($B954="5 Puan İndirimi",BesPuanOrani,IF($B954="İlave İstihdam",IlaveIstihdamOrani,IF($B954="Kadın/Genç",KadinGencOrani,IF($B954="Engelli",EngelliOrani,GencGirisimciOrani))))),"")</f>
        <v/>
      </c>
      <c r="D954" s="110">
        <f>IF($C954="","",$C954*AySayisi)</f>
        <v/>
      </c>
      <c r="E954" s="107" t="n"/>
    </row>
    <row r="955" ht="15" customHeight="1" s="62">
      <c r="A955" s="107" t="n"/>
      <c r="B955" s="107" t="n"/>
      <c r="C955" s="110">
        <f>IFERROR(IF(OR($A955="",$B955=""),"",INDEX(tblCalisan[Brüt Ücret (₺)],MATCH($A955,tblCalisan[Çalışan Adı],0))*IF($B955="5 Puan İndirimi",BesPuanOrani,IF($B955="İlave İstihdam",IlaveIstihdamOrani,IF($B955="Kadın/Genç",KadinGencOrani,IF($B955="Engelli",EngelliOrani,GencGirisimciOrani))))),"")</f>
        <v/>
      </c>
      <c r="D955" s="110">
        <f>IF($C955="","",$C955*AySayisi)</f>
        <v/>
      </c>
      <c r="E955" s="107" t="n"/>
    </row>
    <row r="956" ht="15" customHeight="1" s="62">
      <c r="A956" s="107" t="n"/>
      <c r="B956" s="107" t="n"/>
      <c r="C956" s="110">
        <f>IFERROR(IF(OR($A956="",$B956=""),"",INDEX(tblCalisan[Brüt Ücret (₺)],MATCH($A956,tblCalisan[Çalışan Adı],0))*IF($B956="5 Puan İndirimi",BesPuanOrani,IF($B956="İlave İstihdam",IlaveIstihdamOrani,IF($B956="Kadın/Genç",KadinGencOrani,IF($B956="Engelli",EngelliOrani,GencGirisimciOrani))))),"")</f>
        <v/>
      </c>
      <c r="D956" s="110">
        <f>IF($C956="","",$C956*AySayisi)</f>
        <v/>
      </c>
      <c r="E956" s="107" t="n"/>
    </row>
    <row r="957" ht="15" customHeight="1" s="62">
      <c r="A957" s="107" t="n"/>
      <c r="B957" s="107" t="n"/>
      <c r="C957" s="110">
        <f>IFERROR(IF(OR($A957="",$B957=""),"",INDEX(tblCalisan[Brüt Ücret (₺)],MATCH($A957,tblCalisan[Çalışan Adı],0))*IF($B957="5 Puan İndirimi",BesPuanOrani,IF($B957="İlave İstihdam",IlaveIstihdamOrani,IF($B957="Kadın/Genç",KadinGencOrani,IF($B957="Engelli",EngelliOrani,GencGirisimciOrani))))),"")</f>
        <v/>
      </c>
      <c r="D957" s="110">
        <f>IF($C957="","",$C957*AySayisi)</f>
        <v/>
      </c>
      <c r="E957" s="107" t="n"/>
    </row>
    <row r="958" ht="15" customHeight="1" s="62">
      <c r="A958" s="107" t="n"/>
      <c r="B958" s="107" t="n"/>
      <c r="C958" s="110">
        <f>IFERROR(IF(OR($A958="",$B958=""),"",INDEX(tblCalisan[Brüt Ücret (₺)],MATCH($A958,tblCalisan[Çalışan Adı],0))*IF($B958="5 Puan İndirimi",BesPuanOrani,IF($B958="İlave İstihdam",IlaveIstihdamOrani,IF($B958="Kadın/Genç",KadinGencOrani,IF($B958="Engelli",EngelliOrani,GencGirisimciOrani))))),"")</f>
        <v/>
      </c>
      <c r="D958" s="110">
        <f>IF($C958="","",$C958*AySayisi)</f>
        <v/>
      </c>
      <c r="E958" s="107" t="n"/>
    </row>
    <row r="959" ht="15" customHeight="1" s="62">
      <c r="A959" s="107" t="n"/>
      <c r="B959" s="107" t="n"/>
      <c r="C959" s="110">
        <f>IFERROR(IF(OR($A959="",$B959=""),"",INDEX(tblCalisan[Brüt Ücret (₺)],MATCH($A959,tblCalisan[Çalışan Adı],0))*IF($B959="5 Puan İndirimi",BesPuanOrani,IF($B959="İlave İstihdam",IlaveIstihdamOrani,IF($B959="Kadın/Genç",KadinGencOrani,IF($B959="Engelli",EngelliOrani,GencGirisimciOrani))))),"")</f>
        <v/>
      </c>
      <c r="D959" s="110">
        <f>IF($C959="","",$C959*AySayisi)</f>
        <v/>
      </c>
      <c r="E959" s="107" t="n"/>
    </row>
    <row r="960" ht="15" customHeight="1" s="62">
      <c r="A960" s="107" t="n"/>
      <c r="B960" s="107" t="n"/>
      <c r="C960" s="110">
        <f>IFERROR(IF(OR($A960="",$B960=""),"",INDEX(tblCalisan[Brüt Ücret (₺)],MATCH($A960,tblCalisan[Çalışan Adı],0))*IF($B960="5 Puan İndirimi",BesPuanOrani,IF($B960="İlave İstihdam",IlaveIstihdamOrani,IF($B960="Kadın/Genç",KadinGencOrani,IF($B960="Engelli",EngelliOrani,GencGirisimciOrani))))),"")</f>
        <v/>
      </c>
      <c r="D960" s="110">
        <f>IF($C960="","",$C960*AySayisi)</f>
        <v/>
      </c>
      <c r="E960" s="107" t="n"/>
    </row>
    <row r="961" ht="15" customHeight="1" s="62">
      <c r="A961" s="107" t="n"/>
      <c r="B961" s="107" t="n"/>
      <c r="C961" s="110">
        <f>IFERROR(IF(OR($A961="",$B961=""),"",INDEX(tblCalisan[Brüt Ücret (₺)],MATCH($A961,tblCalisan[Çalışan Adı],0))*IF($B961="5 Puan İndirimi",BesPuanOrani,IF($B961="İlave İstihdam",IlaveIstihdamOrani,IF($B961="Kadın/Genç",KadinGencOrani,IF($B961="Engelli",EngelliOrani,GencGirisimciOrani))))),"")</f>
        <v/>
      </c>
      <c r="D961" s="110">
        <f>IF($C961="","",$C961*AySayisi)</f>
        <v/>
      </c>
      <c r="E961" s="107" t="n"/>
    </row>
    <row r="962" ht="15" customHeight="1" s="62">
      <c r="A962" s="107" t="n"/>
      <c r="B962" s="107" t="n"/>
      <c r="C962" s="110">
        <f>IFERROR(IF(OR($A962="",$B962=""),"",INDEX(tblCalisan[Brüt Ücret (₺)],MATCH($A962,tblCalisan[Çalışan Adı],0))*IF($B962="5 Puan İndirimi",BesPuanOrani,IF($B962="İlave İstihdam",IlaveIstihdamOrani,IF($B962="Kadın/Genç",KadinGencOrani,IF($B962="Engelli",EngelliOrani,GencGirisimciOrani))))),"")</f>
        <v/>
      </c>
      <c r="D962" s="110">
        <f>IF($C962="","",$C962*AySayisi)</f>
        <v/>
      </c>
      <c r="E962" s="107" t="n"/>
    </row>
    <row r="963" ht="15" customHeight="1" s="62">
      <c r="A963" s="107" t="n"/>
      <c r="B963" s="107" t="n"/>
      <c r="C963" s="110">
        <f>IFERROR(IF(OR($A963="",$B963=""),"",INDEX(tblCalisan[Brüt Ücret (₺)],MATCH($A963,tblCalisan[Çalışan Adı],0))*IF($B963="5 Puan İndirimi",BesPuanOrani,IF($B963="İlave İstihdam",IlaveIstihdamOrani,IF($B963="Kadın/Genç",KadinGencOrani,IF($B963="Engelli",EngelliOrani,GencGirisimciOrani))))),"")</f>
        <v/>
      </c>
      <c r="D963" s="110">
        <f>IF($C963="","",$C963*AySayisi)</f>
        <v/>
      </c>
      <c r="E963" s="107" t="n"/>
    </row>
    <row r="964" ht="15" customHeight="1" s="62">
      <c r="A964" s="107" t="n"/>
      <c r="B964" s="107" t="n"/>
      <c r="C964" s="110">
        <f>IFERROR(IF(OR($A964="",$B964=""),"",INDEX(tblCalisan[Brüt Ücret (₺)],MATCH($A964,tblCalisan[Çalışan Adı],0))*IF($B964="5 Puan İndirimi",BesPuanOrani,IF($B964="İlave İstihdam",IlaveIstihdamOrani,IF($B964="Kadın/Genç",KadinGencOrani,IF($B964="Engelli",EngelliOrani,GencGirisimciOrani))))),"")</f>
        <v/>
      </c>
      <c r="D964" s="110">
        <f>IF($C964="","",$C964*AySayisi)</f>
        <v/>
      </c>
      <c r="E964" s="107" t="n"/>
    </row>
    <row r="965" ht="15" customHeight="1" s="62">
      <c r="A965" s="107" t="n"/>
      <c r="B965" s="107" t="n"/>
      <c r="C965" s="110">
        <f>IFERROR(IF(OR($A965="",$B965=""),"",INDEX(tblCalisan[Brüt Ücret (₺)],MATCH($A965,tblCalisan[Çalışan Adı],0))*IF($B965="5 Puan İndirimi",BesPuanOrani,IF($B965="İlave İstihdam",IlaveIstihdamOrani,IF($B965="Kadın/Genç",KadinGencOrani,IF($B965="Engelli",EngelliOrani,GencGirisimciOrani))))),"")</f>
        <v/>
      </c>
      <c r="D965" s="110">
        <f>IF($C965="","",$C965*AySayisi)</f>
        <v/>
      </c>
      <c r="E965" s="107" t="n"/>
    </row>
    <row r="966" ht="15" customHeight="1" s="62">
      <c r="A966" s="107" t="n"/>
      <c r="B966" s="107" t="n"/>
      <c r="C966" s="110">
        <f>IFERROR(IF(OR($A966="",$B966=""),"",INDEX(tblCalisan[Brüt Ücret (₺)],MATCH($A966,tblCalisan[Çalışan Adı],0))*IF($B966="5 Puan İndirimi",BesPuanOrani,IF($B966="İlave İstihdam",IlaveIstihdamOrani,IF($B966="Kadın/Genç",KadinGencOrani,IF($B966="Engelli",EngelliOrani,GencGirisimciOrani))))),"")</f>
        <v/>
      </c>
      <c r="D966" s="110">
        <f>IF($C966="","",$C966*AySayisi)</f>
        <v/>
      </c>
      <c r="E966" s="107" t="n"/>
    </row>
    <row r="967" ht="15" customHeight="1" s="62">
      <c r="A967" s="107" t="n"/>
      <c r="B967" s="107" t="n"/>
      <c r="C967" s="110">
        <f>IFERROR(IF(OR($A967="",$B967=""),"",INDEX(tblCalisan[Brüt Ücret (₺)],MATCH($A967,tblCalisan[Çalışan Adı],0))*IF($B967="5 Puan İndirimi",BesPuanOrani,IF($B967="İlave İstihdam",IlaveIstihdamOrani,IF($B967="Kadın/Genç",KadinGencOrani,IF($B967="Engelli",EngelliOrani,GencGirisimciOrani))))),"")</f>
        <v/>
      </c>
      <c r="D967" s="110">
        <f>IF($C967="","",$C967*AySayisi)</f>
        <v/>
      </c>
      <c r="E967" s="107" t="n"/>
    </row>
    <row r="968" ht="15" customHeight="1" s="62">
      <c r="A968" s="107" t="n"/>
      <c r="B968" s="107" t="n"/>
      <c r="C968" s="110">
        <f>IFERROR(IF(OR($A968="",$B968=""),"",INDEX(tblCalisan[Brüt Ücret (₺)],MATCH($A968,tblCalisan[Çalışan Adı],0))*IF($B968="5 Puan İndirimi",BesPuanOrani,IF($B968="İlave İstihdam",IlaveIstihdamOrani,IF($B968="Kadın/Genç",KadinGencOrani,IF($B968="Engelli",EngelliOrani,GencGirisimciOrani))))),"")</f>
        <v/>
      </c>
      <c r="D968" s="110">
        <f>IF($C968="","",$C968*AySayisi)</f>
        <v/>
      </c>
      <c r="E968" s="107" t="n"/>
    </row>
    <row r="969" ht="15" customHeight="1" s="62">
      <c r="A969" s="107" t="n"/>
      <c r="B969" s="107" t="n"/>
      <c r="C969" s="110">
        <f>IFERROR(IF(OR($A969="",$B969=""),"",INDEX(tblCalisan[Brüt Ücret (₺)],MATCH($A969,tblCalisan[Çalışan Adı],0))*IF($B969="5 Puan İndirimi",BesPuanOrani,IF($B969="İlave İstihdam",IlaveIstihdamOrani,IF($B969="Kadın/Genç",KadinGencOrani,IF($B969="Engelli",EngelliOrani,GencGirisimciOrani))))),"")</f>
        <v/>
      </c>
      <c r="D969" s="110">
        <f>IF($C969="","",$C969*AySayisi)</f>
        <v/>
      </c>
      <c r="E969" s="107" t="n"/>
    </row>
    <row r="970" ht="15" customHeight="1" s="62">
      <c r="A970" s="107" t="n"/>
      <c r="B970" s="107" t="n"/>
      <c r="C970" s="110">
        <f>IFERROR(IF(OR($A970="",$B970=""),"",INDEX(tblCalisan[Brüt Ücret (₺)],MATCH($A970,tblCalisan[Çalışan Adı],0))*IF($B970="5 Puan İndirimi",BesPuanOrani,IF($B970="İlave İstihdam",IlaveIstihdamOrani,IF($B970="Kadın/Genç",KadinGencOrani,IF($B970="Engelli",EngelliOrani,GencGirisimciOrani))))),"")</f>
        <v/>
      </c>
      <c r="D970" s="110">
        <f>IF($C970="","",$C970*AySayisi)</f>
        <v/>
      </c>
      <c r="E970" s="107" t="n"/>
    </row>
    <row r="971" ht="15" customHeight="1" s="62">
      <c r="A971" s="107" t="n"/>
      <c r="B971" s="107" t="n"/>
      <c r="C971" s="110">
        <f>IFERROR(IF(OR($A971="",$B971=""),"",INDEX(tblCalisan[Brüt Ücret (₺)],MATCH($A971,tblCalisan[Çalışan Adı],0))*IF($B971="5 Puan İndirimi",BesPuanOrani,IF($B971="İlave İstihdam",IlaveIstihdamOrani,IF($B971="Kadın/Genç",KadinGencOrani,IF($B971="Engelli",EngelliOrani,GencGirisimciOrani))))),"")</f>
        <v/>
      </c>
      <c r="D971" s="110">
        <f>IF($C971="","",$C971*AySayisi)</f>
        <v/>
      </c>
      <c r="E971" s="107" t="n"/>
    </row>
    <row r="972" ht="15" customHeight="1" s="62">
      <c r="A972" s="107" t="n"/>
      <c r="B972" s="107" t="n"/>
      <c r="C972" s="110">
        <f>IFERROR(IF(OR($A972="",$B972=""),"",INDEX(tblCalisan[Brüt Ücret (₺)],MATCH($A972,tblCalisan[Çalışan Adı],0))*IF($B972="5 Puan İndirimi",BesPuanOrani,IF($B972="İlave İstihdam",IlaveIstihdamOrani,IF($B972="Kadın/Genç",KadinGencOrani,IF($B972="Engelli",EngelliOrani,GencGirisimciOrani))))),"")</f>
        <v/>
      </c>
      <c r="D972" s="110">
        <f>IF($C972="","",$C972*AySayisi)</f>
        <v/>
      </c>
      <c r="E972" s="107" t="n"/>
    </row>
    <row r="973" ht="15" customHeight="1" s="62">
      <c r="A973" s="107" t="n"/>
      <c r="B973" s="107" t="n"/>
      <c r="C973" s="110">
        <f>IFERROR(IF(OR($A973="",$B973=""),"",INDEX(tblCalisan[Brüt Ücret (₺)],MATCH($A973,tblCalisan[Çalışan Adı],0))*IF($B973="5 Puan İndirimi",BesPuanOrani,IF($B973="İlave İstihdam",IlaveIstihdamOrani,IF($B973="Kadın/Genç",KadinGencOrani,IF($B973="Engelli",EngelliOrani,GencGirisimciOrani))))),"")</f>
        <v/>
      </c>
      <c r="D973" s="110">
        <f>IF($C973="","",$C973*AySayisi)</f>
        <v/>
      </c>
      <c r="E973" s="107" t="n"/>
    </row>
    <row r="974" ht="15" customHeight="1" s="62">
      <c r="A974" s="107" t="n"/>
      <c r="B974" s="107" t="n"/>
      <c r="C974" s="110">
        <f>IFERROR(IF(OR($A974="",$B974=""),"",INDEX(tblCalisan[Brüt Ücret (₺)],MATCH($A974,tblCalisan[Çalışan Adı],0))*IF($B974="5 Puan İndirimi",BesPuanOrani,IF($B974="İlave İstihdam",IlaveIstihdamOrani,IF($B974="Kadın/Genç",KadinGencOrani,IF($B974="Engelli",EngelliOrani,GencGirisimciOrani))))),"")</f>
        <v/>
      </c>
      <c r="D974" s="110">
        <f>IF($C974="","",$C974*AySayisi)</f>
        <v/>
      </c>
      <c r="E974" s="107" t="n"/>
    </row>
    <row r="975" ht="15" customHeight="1" s="62">
      <c r="A975" s="107" t="n"/>
      <c r="B975" s="107" t="n"/>
      <c r="C975" s="110">
        <f>IFERROR(IF(OR($A975="",$B975=""),"",INDEX(tblCalisan[Brüt Ücret (₺)],MATCH($A975,tblCalisan[Çalışan Adı],0))*IF($B975="5 Puan İndirimi",BesPuanOrani,IF($B975="İlave İstihdam",IlaveIstihdamOrani,IF($B975="Kadın/Genç",KadinGencOrani,IF($B975="Engelli",EngelliOrani,GencGirisimciOrani))))),"")</f>
        <v/>
      </c>
      <c r="D975" s="110">
        <f>IF($C975="","",$C975*AySayisi)</f>
        <v/>
      </c>
      <c r="E975" s="107" t="n"/>
    </row>
    <row r="976" ht="15" customHeight="1" s="62">
      <c r="A976" s="107" t="n"/>
      <c r="B976" s="107" t="n"/>
      <c r="C976" s="110">
        <f>IFERROR(IF(OR($A976="",$B976=""),"",INDEX(tblCalisan[Brüt Ücret (₺)],MATCH($A976,tblCalisan[Çalışan Adı],0))*IF($B976="5 Puan İndirimi",BesPuanOrani,IF($B976="İlave İstihdam",IlaveIstihdamOrani,IF($B976="Kadın/Genç",KadinGencOrani,IF($B976="Engelli",EngelliOrani,GencGirisimciOrani))))),"")</f>
        <v/>
      </c>
      <c r="D976" s="110">
        <f>IF($C976="","",$C976*AySayisi)</f>
        <v/>
      </c>
      <c r="E976" s="107" t="n"/>
    </row>
    <row r="977" ht="15" customHeight="1" s="62">
      <c r="A977" s="107" t="n"/>
      <c r="B977" s="107" t="n"/>
      <c r="C977" s="110">
        <f>IFERROR(IF(OR($A977="",$B977=""),"",INDEX(tblCalisan[Brüt Ücret (₺)],MATCH($A977,tblCalisan[Çalışan Adı],0))*IF($B977="5 Puan İndirimi",BesPuanOrani,IF($B977="İlave İstihdam",IlaveIstihdamOrani,IF($B977="Kadın/Genç",KadinGencOrani,IF($B977="Engelli",EngelliOrani,GencGirisimciOrani))))),"")</f>
        <v/>
      </c>
      <c r="D977" s="110">
        <f>IF($C977="","",$C977*AySayisi)</f>
        <v/>
      </c>
      <c r="E977" s="107" t="n"/>
    </row>
    <row r="978" ht="15" customHeight="1" s="62">
      <c r="A978" s="107" t="n"/>
      <c r="B978" s="107" t="n"/>
      <c r="C978" s="110">
        <f>IFERROR(IF(OR($A978="",$B978=""),"",INDEX(tblCalisan[Brüt Ücret (₺)],MATCH($A978,tblCalisan[Çalışan Adı],0))*IF($B978="5 Puan İndirimi",BesPuanOrani,IF($B978="İlave İstihdam",IlaveIstihdamOrani,IF($B978="Kadın/Genç",KadinGencOrani,IF($B978="Engelli",EngelliOrani,GencGirisimciOrani))))),"")</f>
        <v/>
      </c>
      <c r="D978" s="110">
        <f>IF($C978="","",$C978*AySayisi)</f>
        <v/>
      </c>
      <c r="E978" s="107" t="n"/>
    </row>
    <row r="979" ht="15" customHeight="1" s="62">
      <c r="A979" s="107" t="n"/>
      <c r="B979" s="107" t="n"/>
      <c r="C979" s="110">
        <f>IFERROR(IF(OR($A979="",$B979=""),"",INDEX(tblCalisan[Brüt Ücret (₺)],MATCH($A979,tblCalisan[Çalışan Adı],0))*IF($B979="5 Puan İndirimi",BesPuanOrani,IF($B979="İlave İstihdam",IlaveIstihdamOrani,IF($B979="Kadın/Genç",KadinGencOrani,IF($B979="Engelli",EngelliOrani,GencGirisimciOrani))))),"")</f>
        <v/>
      </c>
      <c r="D979" s="110">
        <f>IF($C979="","",$C979*AySayisi)</f>
        <v/>
      </c>
      <c r="E979" s="107" t="n"/>
    </row>
    <row r="980" ht="15" customHeight="1" s="62">
      <c r="A980" s="107" t="n"/>
      <c r="B980" s="107" t="n"/>
      <c r="C980" s="110">
        <f>IFERROR(IF(OR($A980="",$B980=""),"",INDEX(tblCalisan[Brüt Ücret (₺)],MATCH($A980,tblCalisan[Çalışan Adı],0))*IF($B980="5 Puan İndirimi",BesPuanOrani,IF($B980="İlave İstihdam",IlaveIstihdamOrani,IF($B980="Kadın/Genç",KadinGencOrani,IF($B980="Engelli",EngelliOrani,GencGirisimciOrani))))),"")</f>
        <v/>
      </c>
      <c r="D980" s="110">
        <f>IF($C980="","",$C980*AySayisi)</f>
        <v/>
      </c>
      <c r="E980" s="107" t="n"/>
    </row>
    <row r="981" ht="15" customHeight="1" s="62">
      <c r="A981" s="107" t="n"/>
      <c r="B981" s="107" t="n"/>
      <c r="C981" s="110">
        <f>IFERROR(IF(OR($A981="",$B981=""),"",INDEX(tblCalisan[Brüt Ücret (₺)],MATCH($A981,tblCalisan[Çalışan Adı],0))*IF($B981="5 Puan İndirimi",BesPuanOrani,IF($B981="İlave İstihdam",IlaveIstihdamOrani,IF($B981="Kadın/Genç",KadinGencOrani,IF($B981="Engelli",EngelliOrani,GencGirisimciOrani))))),"")</f>
        <v/>
      </c>
      <c r="D981" s="110">
        <f>IF($C981="","",$C981*AySayisi)</f>
        <v/>
      </c>
      <c r="E981" s="107" t="n"/>
    </row>
    <row r="982" ht="15" customHeight="1" s="62">
      <c r="A982" s="107" t="n"/>
      <c r="B982" s="107" t="n"/>
      <c r="C982" s="110">
        <f>IFERROR(IF(OR($A982="",$B982=""),"",INDEX(tblCalisan[Brüt Ücret (₺)],MATCH($A982,tblCalisan[Çalışan Adı],0))*IF($B982="5 Puan İndirimi",BesPuanOrani,IF($B982="İlave İstihdam",IlaveIstihdamOrani,IF($B982="Kadın/Genç",KadinGencOrani,IF($B982="Engelli",EngelliOrani,GencGirisimciOrani))))),"")</f>
        <v/>
      </c>
      <c r="D982" s="110">
        <f>IF($C982="","",$C982*AySayisi)</f>
        <v/>
      </c>
      <c r="E982" s="107" t="n"/>
    </row>
    <row r="983" ht="15" customHeight="1" s="62">
      <c r="A983" s="107" t="n"/>
      <c r="B983" s="107" t="n"/>
      <c r="C983" s="110">
        <f>IFERROR(IF(OR($A983="",$B983=""),"",INDEX(tblCalisan[Brüt Ücret (₺)],MATCH($A983,tblCalisan[Çalışan Adı],0))*IF($B983="5 Puan İndirimi",BesPuanOrani,IF($B983="İlave İstihdam",IlaveIstihdamOrani,IF($B983="Kadın/Genç",KadinGencOrani,IF($B983="Engelli",EngelliOrani,GencGirisimciOrani))))),"")</f>
        <v/>
      </c>
      <c r="D983" s="110">
        <f>IF($C983="","",$C983*AySayisi)</f>
        <v/>
      </c>
      <c r="E983" s="107" t="n"/>
    </row>
    <row r="984" ht="15" customHeight="1" s="62">
      <c r="A984" s="107" t="n"/>
      <c r="B984" s="107" t="n"/>
      <c r="C984" s="110">
        <f>IFERROR(IF(OR($A984="",$B984=""),"",INDEX(tblCalisan[Brüt Ücret (₺)],MATCH($A984,tblCalisan[Çalışan Adı],0))*IF($B984="5 Puan İndirimi",BesPuanOrani,IF($B984="İlave İstihdam",IlaveIstihdamOrani,IF($B984="Kadın/Genç",KadinGencOrani,IF($B984="Engelli",EngelliOrani,GencGirisimciOrani))))),"")</f>
        <v/>
      </c>
      <c r="D984" s="110">
        <f>IF($C984="","",$C984*AySayisi)</f>
        <v/>
      </c>
      <c r="E984" s="107" t="n"/>
    </row>
    <row r="985" ht="15" customHeight="1" s="62">
      <c r="A985" s="107" t="n"/>
      <c r="B985" s="107" t="n"/>
      <c r="C985" s="110">
        <f>IFERROR(IF(OR($A985="",$B985=""),"",INDEX(tblCalisan[Brüt Ücret (₺)],MATCH($A985,tblCalisan[Çalışan Adı],0))*IF($B985="5 Puan İndirimi",BesPuanOrani,IF($B985="İlave İstihdam",IlaveIstihdamOrani,IF($B985="Kadın/Genç",KadinGencOrani,IF($B985="Engelli",EngelliOrani,GencGirisimciOrani))))),"")</f>
        <v/>
      </c>
      <c r="D985" s="110">
        <f>IF($C985="","",$C985*AySayisi)</f>
        <v/>
      </c>
      <c r="E985" s="107" t="n"/>
    </row>
    <row r="986" ht="15" customHeight="1" s="62">
      <c r="A986" s="107" t="n"/>
      <c r="B986" s="107" t="n"/>
      <c r="C986" s="110">
        <f>IFERROR(IF(OR($A986="",$B986=""),"",INDEX(tblCalisan[Brüt Ücret (₺)],MATCH($A986,tblCalisan[Çalışan Adı],0))*IF($B986="5 Puan İndirimi",BesPuanOrani,IF($B986="İlave İstihdam",IlaveIstihdamOrani,IF($B986="Kadın/Genç",KadinGencOrani,IF($B986="Engelli",EngelliOrani,GencGirisimciOrani))))),"")</f>
        <v/>
      </c>
      <c r="D986" s="110">
        <f>IF($C986="","",$C986*AySayisi)</f>
        <v/>
      </c>
      <c r="E986" s="107" t="n"/>
    </row>
    <row r="987" ht="15" customHeight="1" s="62">
      <c r="A987" s="107" t="n"/>
      <c r="B987" s="107" t="n"/>
      <c r="C987" s="110">
        <f>IFERROR(IF(OR($A987="",$B987=""),"",INDEX(tblCalisan[Brüt Ücret (₺)],MATCH($A987,tblCalisan[Çalışan Adı],0))*IF($B987="5 Puan İndirimi",BesPuanOrani,IF($B987="İlave İstihdam",IlaveIstihdamOrani,IF($B987="Kadın/Genç",KadinGencOrani,IF($B987="Engelli",EngelliOrani,GencGirisimciOrani))))),"")</f>
        <v/>
      </c>
      <c r="D987" s="110">
        <f>IF($C987="","",$C987*AySayisi)</f>
        <v/>
      </c>
      <c r="E987" s="107" t="n"/>
    </row>
    <row r="988" ht="15" customHeight="1" s="62">
      <c r="A988" s="107" t="n"/>
      <c r="B988" s="107" t="n"/>
      <c r="C988" s="110">
        <f>IFERROR(IF(OR($A988="",$B988=""),"",INDEX(tblCalisan[Brüt Ücret (₺)],MATCH($A988,tblCalisan[Çalışan Adı],0))*IF($B988="5 Puan İndirimi",BesPuanOrani,IF($B988="İlave İstihdam",IlaveIstihdamOrani,IF($B988="Kadın/Genç",KadinGencOrani,IF($B988="Engelli",EngelliOrani,GencGirisimciOrani))))),"")</f>
        <v/>
      </c>
      <c r="D988" s="110">
        <f>IF($C988="","",$C988*AySayisi)</f>
        <v/>
      </c>
      <c r="E988" s="107" t="n"/>
    </row>
    <row r="989" ht="15" customHeight="1" s="62">
      <c r="A989" s="107" t="n"/>
      <c r="B989" s="107" t="n"/>
      <c r="C989" s="110">
        <f>IFERROR(IF(OR($A989="",$B989=""),"",INDEX(tblCalisan[Brüt Ücret (₺)],MATCH($A989,tblCalisan[Çalışan Adı],0))*IF($B989="5 Puan İndirimi",BesPuanOrani,IF($B989="İlave İstihdam",IlaveIstihdamOrani,IF($B989="Kadın/Genç",KadinGencOrani,IF($B989="Engelli",EngelliOrani,GencGirisimciOrani))))),"")</f>
        <v/>
      </c>
      <c r="D989" s="110">
        <f>IF($C989="","",$C989*AySayisi)</f>
        <v/>
      </c>
      <c r="E989" s="107" t="n"/>
    </row>
    <row r="990" ht="15" customHeight="1" s="62">
      <c r="A990" s="107" t="n"/>
      <c r="B990" s="107" t="n"/>
      <c r="C990" s="110">
        <f>IFERROR(IF(OR($A990="",$B990=""),"",INDEX(tblCalisan[Brüt Ücret (₺)],MATCH($A990,tblCalisan[Çalışan Adı],0))*IF($B990="5 Puan İndirimi",BesPuanOrani,IF($B990="İlave İstihdam",IlaveIstihdamOrani,IF($B990="Kadın/Genç",KadinGencOrani,IF($B990="Engelli",EngelliOrani,GencGirisimciOrani))))),"")</f>
        <v/>
      </c>
      <c r="D990" s="110">
        <f>IF($C990="","",$C990*AySayisi)</f>
        <v/>
      </c>
      <c r="E990" s="107" t="n"/>
    </row>
    <row r="991" ht="15" customHeight="1" s="62">
      <c r="A991" s="107" t="n"/>
      <c r="B991" s="107" t="n"/>
      <c r="C991" s="110">
        <f>IFERROR(IF(OR($A991="",$B991=""),"",INDEX(tblCalisan[Brüt Ücret (₺)],MATCH($A991,tblCalisan[Çalışan Adı],0))*IF($B991="5 Puan İndirimi",BesPuanOrani,IF($B991="İlave İstihdam",IlaveIstihdamOrani,IF($B991="Kadın/Genç",KadinGencOrani,IF($B991="Engelli",EngelliOrani,GencGirisimciOrani))))),"")</f>
        <v/>
      </c>
      <c r="D991" s="110">
        <f>IF($C991="","",$C991*AySayisi)</f>
        <v/>
      </c>
      <c r="E991" s="107" t="n"/>
    </row>
    <row r="992" ht="15" customHeight="1" s="62">
      <c r="A992" s="107" t="n"/>
      <c r="B992" s="107" t="n"/>
      <c r="C992" s="110">
        <f>IFERROR(IF(OR($A992="",$B992=""),"",INDEX(tblCalisan[Brüt Ücret (₺)],MATCH($A992,tblCalisan[Çalışan Adı],0))*IF($B992="5 Puan İndirimi",BesPuanOrani,IF($B992="İlave İstihdam",IlaveIstihdamOrani,IF($B992="Kadın/Genç",KadinGencOrani,IF($B992="Engelli",EngelliOrani,GencGirisimciOrani))))),"")</f>
        <v/>
      </c>
      <c r="D992" s="110">
        <f>IF($C992="","",$C992*AySayisi)</f>
        <v/>
      </c>
      <c r="E992" s="107" t="n"/>
    </row>
    <row r="993" ht="15" customHeight="1" s="62">
      <c r="A993" s="107" t="n"/>
      <c r="B993" s="107" t="n"/>
      <c r="C993" s="110">
        <f>IFERROR(IF(OR($A993="",$B993=""),"",INDEX(tblCalisan[Brüt Ücret (₺)],MATCH($A993,tblCalisan[Çalışan Adı],0))*IF($B993="5 Puan İndirimi",BesPuanOrani,IF($B993="İlave İstihdam",IlaveIstihdamOrani,IF($B993="Kadın/Genç",KadinGencOrani,IF($B993="Engelli",EngelliOrani,GencGirisimciOrani))))),"")</f>
        <v/>
      </c>
      <c r="D993" s="110">
        <f>IF($C993="","",$C993*AySayisi)</f>
        <v/>
      </c>
      <c r="E993" s="107" t="n"/>
    </row>
    <row r="994" ht="15" customHeight="1" s="62">
      <c r="A994" s="107" t="n"/>
      <c r="B994" s="107" t="n"/>
      <c r="C994" s="110">
        <f>IFERROR(IF(OR($A994="",$B994=""),"",INDEX(tblCalisan[Brüt Ücret (₺)],MATCH($A994,tblCalisan[Çalışan Adı],0))*IF($B994="5 Puan İndirimi",BesPuanOrani,IF($B994="İlave İstihdam",IlaveIstihdamOrani,IF($B994="Kadın/Genç",KadinGencOrani,IF($B994="Engelli",EngelliOrani,GencGirisimciOrani))))),"")</f>
        <v/>
      </c>
      <c r="D994" s="110">
        <f>IF($C994="","",$C994*AySayisi)</f>
        <v/>
      </c>
      <c r="E994" s="107" t="n"/>
    </row>
    <row r="995" ht="15" customHeight="1" s="62">
      <c r="A995" s="107" t="n"/>
      <c r="B995" s="107" t="n"/>
      <c r="C995" s="110">
        <f>IFERROR(IF(OR($A995="",$B995=""),"",INDEX(tblCalisan[Brüt Ücret (₺)],MATCH($A995,tblCalisan[Çalışan Adı],0))*IF($B995="5 Puan İndirimi",BesPuanOrani,IF($B995="İlave İstihdam",IlaveIstihdamOrani,IF($B995="Kadın/Genç",KadinGencOrani,IF($B995="Engelli",EngelliOrani,GencGirisimciOrani))))),"")</f>
        <v/>
      </c>
      <c r="D995" s="110">
        <f>IF($C995="","",$C995*AySayisi)</f>
        <v/>
      </c>
      <c r="E995" s="107" t="n"/>
    </row>
    <row r="996" ht="15" customHeight="1" s="62">
      <c r="A996" s="107" t="n"/>
      <c r="B996" s="107" t="n"/>
      <c r="C996" s="110">
        <f>IFERROR(IF(OR($A996="",$B996=""),"",INDEX(tblCalisan[Brüt Ücret (₺)],MATCH($A996,tblCalisan[Çalışan Adı],0))*IF($B996="5 Puan İndirimi",BesPuanOrani,IF($B996="İlave İstihdam",IlaveIstihdamOrani,IF($B996="Kadın/Genç",KadinGencOrani,IF($B996="Engelli",EngelliOrani,GencGirisimciOrani))))),"")</f>
        <v/>
      </c>
      <c r="D996" s="110">
        <f>IF($C996="","",$C996*AySayisi)</f>
        <v/>
      </c>
      <c r="E996" s="107" t="n"/>
    </row>
    <row r="997" ht="15" customHeight="1" s="62">
      <c r="A997" s="107" t="n"/>
      <c r="B997" s="107" t="n"/>
      <c r="C997" s="110">
        <f>IFERROR(IF(OR($A997="",$B997=""),"",INDEX(tblCalisan[Brüt Ücret (₺)],MATCH($A997,tblCalisan[Çalışan Adı],0))*IF($B997="5 Puan İndirimi",BesPuanOrani,IF($B997="İlave İstihdam",IlaveIstihdamOrani,IF($B997="Kadın/Genç",KadinGencOrani,IF($B997="Engelli",EngelliOrani,GencGirisimciOrani))))),"")</f>
        <v/>
      </c>
      <c r="D997" s="110">
        <f>IF($C997="","",$C997*AySayisi)</f>
        <v/>
      </c>
      <c r="E997" s="107" t="n"/>
    </row>
    <row r="998" ht="15" customHeight="1" s="62">
      <c r="A998" s="107" t="n"/>
      <c r="B998" s="107" t="n"/>
      <c r="C998" s="110">
        <f>IFERROR(IF(OR($A998="",$B998=""),"",INDEX(tblCalisan[Brüt Ücret (₺)],MATCH($A998,tblCalisan[Çalışan Adı],0))*IF($B998="5 Puan İndirimi",BesPuanOrani,IF($B998="İlave İstihdam",IlaveIstihdamOrani,IF($B998="Kadın/Genç",KadinGencOrani,IF($B998="Engelli",EngelliOrani,GencGirisimciOrani))))),"")</f>
        <v/>
      </c>
      <c r="D998" s="110">
        <f>IF($C998="","",$C998*AySayisi)</f>
        <v/>
      </c>
      <c r="E998" s="107" t="n"/>
    </row>
    <row r="999" ht="15" customHeight="1" s="62">
      <c r="A999" s="107" t="n"/>
      <c r="B999" s="107" t="n"/>
      <c r="C999" s="110">
        <f>IFERROR(IF(OR($A999="",$B999=""),"",INDEX(tblCalisan[Brüt Ücret (₺)],MATCH($A999,tblCalisan[Çalışan Adı],0))*IF($B999="5 Puan İndirimi",BesPuanOrani,IF($B999="İlave İstihdam",IlaveIstihdamOrani,IF($B999="Kadın/Genç",KadinGencOrani,IF($B999="Engelli",EngelliOrani,GencGirisimciOrani))))),"")</f>
        <v/>
      </c>
      <c r="D999" s="110">
        <f>IF($C999="","",$C999*AySayisi)</f>
        <v/>
      </c>
      <c r="E999" s="107" t="n"/>
    </row>
    <row r="1000" ht="15" customHeight="1" s="62">
      <c r="A1000" s="107" t="n"/>
      <c r="B1000" s="107" t="n"/>
      <c r="C1000" s="110">
        <f>IFERROR(IF(OR($A1000="",$B1000=""),"",INDEX(tblCalisan[Brüt Ücret (₺)],MATCH($A1000,tblCalisan[Çalışan Adı],0))*IF($B1000="5 Puan İndirimi",BesPuanOrani,IF($B1000="İlave İstihdam",IlaveIstihdamOrani,IF($B1000="Kadın/Genç",KadinGencOrani,IF($B1000="Engelli",EngelliOrani,GencGirisimciOrani))))),"")</f>
        <v/>
      </c>
      <c r="D1000" s="110">
        <f>IF($C1000="","",$C1000*AySayisi)</f>
        <v/>
      </c>
      <c r="E1000" s="107" t="n"/>
    </row>
    <row r="1001" ht="15" customHeight="1" s="62">
      <c r="A1001" s="107" t="n"/>
      <c r="B1001" s="107" t="n"/>
      <c r="C1001" s="110">
        <f>IFERROR(IF(OR($A1001="",$B1001=""),"",INDEX(tblCalisan[Brüt Ücret (₺)],MATCH($A1001,tblCalisan[Çalışan Adı],0))*IF($B1001="5 Puan İndirimi",BesPuanOrani,IF($B1001="İlave İstihdam",IlaveIstihdamOrani,IF($B1001="Kadın/Genç",KadinGencOrani,IF($B1001="Engelli",EngelliOrani,GencGirisimciOrani))))),"")</f>
        <v/>
      </c>
      <c r="D1001" s="110">
        <f>IF($C1001="","",$C1001*AySayisi)</f>
        <v/>
      </c>
      <c r="E1001" s="107" t="n"/>
    </row>
    <row r="1002" ht="15" customHeight="1" s="62">
      <c r="A1002" s="107" t="n"/>
      <c r="B1002" s="107" t="n"/>
      <c r="C1002" s="110">
        <f>IFERROR(IF(OR($A1002="",$B1002=""),"",INDEX(tblCalisan[Brüt Ücret (₺)],MATCH($A1002,tblCalisan[Çalışan Adı],0))*IF($B1002="5 Puan İndirimi",BesPuanOrani,IF($B1002="İlave İstihdam",IlaveIstihdamOrani,IF($B1002="Kadın/Genç",KadinGencOrani,IF($B1002="Engelli",EngelliOrani,GencGirisimciOrani))))),"")</f>
        <v/>
      </c>
      <c r="D1002" s="110">
        <f>IF($C1002="","",$C1002*AySayisi)</f>
        <v/>
      </c>
      <c r="E1002" s="107" t="n"/>
    </row>
    <row r="1003" ht="19.5" customHeight="1" s="62">
      <c r="A1003" s="111" t="inlineStr">
        <is>
          <t>Teşvik oranları AYARLAR sayfasından beslenir; tür adları LISTELER'den gelir.</t>
        </is>
      </c>
      <c r="B1003" s="112" t="n"/>
      <c r="C1003" s="112" t="n"/>
      <c r="D1003" s="112" t="n"/>
      <c r="E1003" s="112" t="n"/>
      <c r="F1003" s="112" t="n"/>
      <c r="G1003" s="112" t="n"/>
      <c r="H1003" s="112" t="n"/>
      <c r="I1003" s="112" t="n"/>
      <c r="J1003" s="112" t="n"/>
      <c r="K1003" s="112" t="n"/>
      <c r="L1003" s="112" t="n"/>
      <c r="M1003" s="112" t="n"/>
      <c r="N1003" s="112" t="n"/>
      <c r="O1003" s="112" t="n"/>
      <c r="P1003" s="112" t="n"/>
      <c r="Q1003" s="112" t="n"/>
      <c r="R1003" s="112" t="n"/>
      <c r="S1003" s="112" t="n"/>
      <c r="T1003" s="112" t="n"/>
      <c r="U1003" s="112" t="n"/>
      <c r="V1003" s="112" t="n"/>
      <c r="W1003" s="112" t="n"/>
      <c r="X1003" s="112" t="n"/>
      <c r="Y1003" s="112" t="n"/>
      <c r="Z1003" s="112" t="n"/>
      <c r="AA1003" s="112" t="n"/>
      <c r="AB1003" s="112" t="n"/>
      <c r="AC1003" s="112" t="n"/>
      <c r="AD1003" s="112" t="n"/>
      <c r="AE1003" s="112" t="n"/>
      <c r="AF1003" s="112" t="n"/>
      <c r="AG1003" s="112" t="n"/>
      <c r="AH1003" s="112" t="n"/>
      <c r="AI1003" s="112" t="n"/>
      <c r="AJ1003" s="112" t="n"/>
      <c r="AK1003" s="112" t="n"/>
      <c r="AL1003" s="112" t="n"/>
      <c r="AM1003" s="112" t="n"/>
      <c r="AN1003" s="112" t="n"/>
    </row>
    <row r="1004" ht="15" customHeight="1" s="62">
      <c r="A1004" s="107" t="n"/>
      <c r="B1004" s="107" t="n"/>
      <c r="C1004" s="110">
        <f>IFERROR(IF(OR($A1004="",$B1004=""),"",INDEX(tblCalisan[Brüt Ücret (₺)],MATCH($A1004,tblCalisan[Çalışan Adı],0))*IF($B1004="5 Puan İndirimi",BesPuanOrani,IF($B1004="İlave İstihdam",IlaveIstihdamOrani,IF($B1004="Kadın/Genç",KadinGencOrani,IF($B1004="Engelli",EngelliOrani,GencGirisimciOrani))))),"")</f>
        <v/>
      </c>
      <c r="D1004" s="110">
        <f>IF($C1004="","",$C1004*AySayisi)</f>
        <v/>
      </c>
      <c r="E1004" s="107" t="n"/>
    </row>
    <row r="1005" ht="15" customHeight="1" s="62">
      <c r="A1005" s="107" t="n"/>
      <c r="B1005" s="107" t="n"/>
      <c r="C1005" s="110">
        <f>IFERROR(IF(OR($A1005="",$B1005=""),"",INDEX(tblCalisan[Brüt Ücret (₺)],MATCH($A1005,tblCalisan[Çalışan Adı],0))*IF($B1005="5 Puan İndirimi",BesPuanOrani,IF($B1005="İlave İstihdam",IlaveIstihdamOrani,IF($B1005="Kadın/Genç",KadinGencOrani,IF($B1005="Engelli",EngelliOrani,GencGirisimciOrani))))),"")</f>
        <v/>
      </c>
      <c r="D1005" s="110">
        <f>IF($C1005="","",$C1005*AySayisi)</f>
        <v/>
      </c>
      <c r="E1005" s="107" t="n"/>
    </row>
    <row r="1006" ht="15" customHeight="1" s="62">
      <c r="A1006" s="107" t="n"/>
      <c r="B1006" s="107" t="n"/>
      <c r="C1006" s="110">
        <f>IFERROR(IF(OR($A1006="",$B1006=""),"",INDEX(tblCalisan[Brüt Ücret (₺)],MATCH($A1006,tblCalisan[Çalışan Adı],0))*IF($B1006="5 Puan İndirimi",BesPuanOrani,IF($B1006="İlave İstihdam",IlaveIstihdamOrani,IF($B1006="Kadın/Genç",KadinGencOrani,IF($B1006="Engelli",EngelliOrani,GencGirisimciOrani))))),"")</f>
        <v/>
      </c>
      <c r="D1006" s="110">
        <f>IF($C1006="","",$C1006*AySayisi)</f>
        <v/>
      </c>
      <c r="E1006" s="107" t="n"/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003:AN1003"/>
    <mergeCell ref="A4:E4"/>
    <mergeCell ref="A1:AD1"/>
  </mergeCells>
  <conditionalFormatting sqref="D7">
    <cfRule type="cellIs" rank="0" priority="2" equalAverage="0" operator="greaterThan" aboveAverage="0" dxfId="8" text="" percent="0" bottom="0">
      <formula>0</formula>
    </cfRule>
  </conditionalFormatting>
  <conditionalFormatting sqref="E7">
    <cfRule type="cellIs" rank="0" priority="3" equalAverage="0" operator="equal" aboveAverage="0" dxfId="10" text="" percent="0" bottom="0">
      <formula>"Evet"</formula>
    </cfRule>
  </conditionalFormatting>
  <conditionalFormatting sqref="D8">
    <cfRule type="cellIs" rank="0" priority="4" equalAverage="0" operator="greaterThan" aboveAverage="0" dxfId="8" text="" percent="0" bottom="0">
      <formula>0</formula>
    </cfRule>
  </conditionalFormatting>
  <conditionalFormatting sqref="E8">
    <cfRule type="cellIs" rank="0" priority="5" equalAverage="0" operator="equal" aboveAverage="0" dxfId="10" text="" percent="0" bottom="0">
      <formula>"Evet"</formula>
    </cfRule>
  </conditionalFormatting>
  <conditionalFormatting sqref="D9">
    <cfRule type="cellIs" rank="0" priority="6" equalAverage="0" operator="greaterThan" aboveAverage="0" dxfId="8" text="" percent="0" bottom="0">
      <formula>0</formula>
    </cfRule>
  </conditionalFormatting>
  <conditionalFormatting sqref="E9">
    <cfRule type="cellIs" rank="0" priority="7" equalAverage="0" operator="equal" aboveAverage="0" dxfId="10" text="" percent="0" bottom="0">
      <formula>"Evet"</formula>
    </cfRule>
  </conditionalFormatting>
  <conditionalFormatting sqref="D10">
    <cfRule type="cellIs" rank="0" priority="8" equalAverage="0" operator="greaterThan" aboveAverage="0" dxfId="8" text="" percent="0" bottom="0">
      <formula>0</formula>
    </cfRule>
  </conditionalFormatting>
  <conditionalFormatting sqref="E10">
    <cfRule type="cellIs" rank="0" priority="9" equalAverage="0" operator="equal" aboveAverage="0" dxfId="10" text="" percent="0" bottom="0">
      <formula>"Evet"</formula>
    </cfRule>
  </conditionalFormatting>
  <conditionalFormatting sqref="D11">
    <cfRule type="cellIs" rank="0" priority="10" equalAverage="0" operator="greaterThan" aboveAverage="0" dxfId="8" text="" percent="0" bottom="0">
      <formula>0</formula>
    </cfRule>
  </conditionalFormatting>
  <conditionalFormatting sqref="E11">
    <cfRule type="cellIs" rank="0" priority="11" equalAverage="0" operator="equal" aboveAverage="0" dxfId="10" text="" percent="0" bottom="0">
      <formula>"Evet"</formula>
    </cfRule>
  </conditionalFormatting>
  <conditionalFormatting sqref="D12">
    <cfRule type="cellIs" rank="0" priority="12" equalAverage="0" operator="greaterThan" aboveAverage="0" dxfId="8" text="" percent="0" bottom="0">
      <formula>0</formula>
    </cfRule>
  </conditionalFormatting>
  <conditionalFormatting sqref="E12">
    <cfRule type="cellIs" rank="0" priority="13" equalAverage="0" operator="equal" aboveAverage="0" dxfId="10" text="" percent="0" bottom="0">
      <formula>"Evet"</formula>
    </cfRule>
  </conditionalFormatting>
  <conditionalFormatting sqref="D13">
    <cfRule type="cellIs" rank="0" priority="14" equalAverage="0" operator="greaterThan" aboveAverage="0" dxfId="8" text="" percent="0" bottom="0">
      <formula>0</formula>
    </cfRule>
  </conditionalFormatting>
  <conditionalFormatting sqref="E13">
    <cfRule type="cellIs" rank="0" priority="15" equalAverage="0" operator="equal" aboveAverage="0" dxfId="10" text="" percent="0" bottom="0">
      <formula>"Evet"</formula>
    </cfRule>
  </conditionalFormatting>
  <conditionalFormatting sqref="D14">
    <cfRule type="cellIs" rank="0" priority="16" equalAverage="0" operator="greaterThan" aboveAverage="0" dxfId="8" text="" percent="0" bottom="0">
      <formula>0</formula>
    </cfRule>
  </conditionalFormatting>
  <conditionalFormatting sqref="E14">
    <cfRule type="cellIs" rank="0" priority="17" equalAverage="0" operator="equal" aboveAverage="0" dxfId="10" text="" percent="0" bottom="0">
      <formula>"Evet"</formula>
    </cfRule>
  </conditionalFormatting>
  <conditionalFormatting sqref="D15">
    <cfRule type="cellIs" rank="0" priority="18" equalAverage="0" operator="greaterThan" aboveAverage="0" dxfId="8" text="" percent="0" bottom="0">
      <formula>0</formula>
    </cfRule>
  </conditionalFormatting>
  <conditionalFormatting sqref="E15">
    <cfRule type="cellIs" rank="0" priority="19" equalAverage="0" operator="equal" aboveAverage="0" dxfId="10" text="" percent="0" bottom="0">
      <formula>"Evet"</formula>
    </cfRule>
  </conditionalFormatting>
  <conditionalFormatting sqref="D16">
    <cfRule type="cellIs" rank="0" priority="20" equalAverage="0" operator="greaterThan" aboveAverage="0" dxfId="8" text="" percent="0" bottom="0">
      <formula>0</formula>
    </cfRule>
  </conditionalFormatting>
  <conditionalFormatting sqref="E16">
    <cfRule type="cellIs" rank="0" priority="21" equalAverage="0" operator="equal" aboveAverage="0" dxfId="10" text="" percent="0" bottom="0">
      <formula>"Evet"</formula>
    </cfRule>
  </conditionalFormatting>
  <conditionalFormatting sqref="D17">
    <cfRule type="cellIs" rank="0" priority="22" equalAverage="0" operator="greaterThan" aboveAverage="0" dxfId="8" text="" percent="0" bottom="0">
      <formula>0</formula>
    </cfRule>
  </conditionalFormatting>
  <conditionalFormatting sqref="E17">
    <cfRule type="cellIs" rank="0" priority="23" equalAverage="0" operator="equal" aboveAverage="0" dxfId="10" text="" percent="0" bottom="0">
      <formula>"Evet"</formula>
    </cfRule>
  </conditionalFormatting>
  <conditionalFormatting sqref="D18">
    <cfRule type="cellIs" rank="0" priority="24" equalAverage="0" operator="greaterThan" aboveAverage="0" dxfId="8" text="" percent="0" bottom="0">
      <formula>0</formula>
    </cfRule>
  </conditionalFormatting>
  <conditionalFormatting sqref="E18">
    <cfRule type="cellIs" rank="0" priority="25" equalAverage="0" operator="equal" aboveAverage="0" dxfId="10" text="" percent="0" bottom="0">
      <formula>"Evet"</formula>
    </cfRule>
  </conditionalFormatting>
  <conditionalFormatting sqref="D19">
    <cfRule type="cellIs" rank="0" priority="26" equalAverage="0" operator="greaterThan" aboveAverage="0" dxfId="8" text="" percent="0" bottom="0">
      <formula>0</formula>
    </cfRule>
  </conditionalFormatting>
  <conditionalFormatting sqref="E19">
    <cfRule type="cellIs" rank="0" priority="27" equalAverage="0" operator="equal" aboveAverage="0" dxfId="10" text="" percent="0" bottom="0">
      <formula>"Evet"</formula>
    </cfRule>
  </conditionalFormatting>
  <conditionalFormatting sqref="D20">
    <cfRule type="cellIs" rank="0" priority="28" equalAverage="0" operator="greaterThan" aboveAverage="0" dxfId="8" text="" percent="0" bottom="0">
      <formula>0</formula>
    </cfRule>
  </conditionalFormatting>
  <conditionalFormatting sqref="E20">
    <cfRule type="cellIs" rank="0" priority="29" equalAverage="0" operator="equal" aboveAverage="0" dxfId="10" text="" percent="0" bottom="0">
      <formula>"Evet"</formula>
    </cfRule>
  </conditionalFormatting>
  <conditionalFormatting sqref="D21">
    <cfRule type="cellIs" rank="0" priority="30" equalAverage="0" operator="greaterThan" aboveAverage="0" dxfId="8" text="" percent="0" bottom="0">
      <formula>0</formula>
    </cfRule>
  </conditionalFormatting>
  <conditionalFormatting sqref="E21">
    <cfRule type="cellIs" rank="0" priority="31" equalAverage="0" operator="equal" aboveAverage="0" dxfId="10" text="" percent="0" bottom="0">
      <formula>"Evet"</formula>
    </cfRule>
  </conditionalFormatting>
  <conditionalFormatting sqref="D22">
    <cfRule type="cellIs" rank="0" priority="32" equalAverage="0" operator="greaterThan" aboveAverage="0" dxfId="8" text="" percent="0" bottom="0">
      <formula>0</formula>
    </cfRule>
  </conditionalFormatting>
  <conditionalFormatting sqref="E22">
    <cfRule type="cellIs" rank="0" priority="33" equalAverage="0" operator="equal" aboveAverage="0" dxfId="10" text="" percent="0" bottom="0">
      <formula>"Evet"</formula>
    </cfRule>
  </conditionalFormatting>
  <conditionalFormatting sqref="D23">
    <cfRule type="cellIs" rank="0" priority="34" equalAverage="0" operator="greaterThan" aboveAverage="0" dxfId="8" text="" percent="0" bottom="0">
      <formula>0</formula>
    </cfRule>
  </conditionalFormatting>
  <conditionalFormatting sqref="E23">
    <cfRule type="cellIs" rank="0" priority="35" equalAverage="0" operator="equal" aboveAverage="0" dxfId="10" text="" percent="0" bottom="0">
      <formula>"Evet"</formula>
    </cfRule>
  </conditionalFormatting>
  <conditionalFormatting sqref="D24">
    <cfRule type="cellIs" rank="0" priority="36" equalAverage="0" operator="greaterThan" aboveAverage="0" dxfId="8" text="" percent="0" bottom="0">
      <formula>0</formula>
    </cfRule>
  </conditionalFormatting>
  <conditionalFormatting sqref="E24">
    <cfRule type="cellIs" rank="0" priority="37" equalAverage="0" operator="equal" aboveAverage="0" dxfId="10" text="" percent="0" bottom="0">
      <formula>"Evet"</formula>
    </cfRule>
  </conditionalFormatting>
  <conditionalFormatting sqref="D25">
    <cfRule type="cellIs" rank="0" priority="38" equalAverage="0" operator="greaterThan" aboveAverage="0" dxfId="8" text="" percent="0" bottom="0">
      <formula>0</formula>
    </cfRule>
  </conditionalFormatting>
  <conditionalFormatting sqref="E25">
    <cfRule type="cellIs" rank="0" priority="39" equalAverage="0" operator="equal" aboveAverage="0" dxfId="10" text="" percent="0" bottom="0">
      <formula>"Evet"</formula>
    </cfRule>
  </conditionalFormatting>
  <conditionalFormatting sqref="D26">
    <cfRule type="cellIs" rank="0" priority="40" equalAverage="0" operator="greaterThan" aboveAverage="0" dxfId="8" text="" percent="0" bottom="0">
      <formula>0</formula>
    </cfRule>
  </conditionalFormatting>
  <conditionalFormatting sqref="E26">
    <cfRule type="cellIs" rank="0" priority="41" equalAverage="0" operator="equal" aboveAverage="0" dxfId="10" text="" percent="0" bottom="0">
      <formula>"Evet"</formula>
    </cfRule>
  </conditionalFormatting>
  <conditionalFormatting sqref="D27">
    <cfRule type="cellIs" rank="0" priority="42" equalAverage="0" operator="greaterThan" aboveAverage="0" dxfId="8" text="" percent="0" bottom="0">
      <formula>0</formula>
    </cfRule>
  </conditionalFormatting>
  <conditionalFormatting sqref="E27">
    <cfRule type="cellIs" rank="0" priority="43" equalAverage="0" operator="equal" aboveAverage="0" dxfId="10" text="" percent="0" bottom="0">
      <formula>"Evet"</formula>
    </cfRule>
  </conditionalFormatting>
  <conditionalFormatting sqref="D28">
    <cfRule type="cellIs" rank="0" priority="44" equalAverage="0" operator="greaterThan" aboveAverage="0" dxfId="8" text="" percent="0" bottom="0">
      <formula>0</formula>
    </cfRule>
  </conditionalFormatting>
  <conditionalFormatting sqref="E28">
    <cfRule type="cellIs" rank="0" priority="45" equalAverage="0" operator="equal" aboveAverage="0" dxfId="10" text="" percent="0" bottom="0">
      <formula>"Evet"</formula>
    </cfRule>
  </conditionalFormatting>
  <conditionalFormatting sqref="D29">
    <cfRule type="cellIs" rank="0" priority="46" equalAverage="0" operator="greaterThan" aboveAverage="0" dxfId="8" text="" percent="0" bottom="0">
      <formula>0</formula>
    </cfRule>
  </conditionalFormatting>
  <conditionalFormatting sqref="E29">
    <cfRule type="cellIs" rank="0" priority="47" equalAverage="0" operator="equal" aboveAverage="0" dxfId="10" text="" percent="0" bottom="0">
      <formula>"Evet"</formula>
    </cfRule>
  </conditionalFormatting>
  <conditionalFormatting sqref="D30">
    <cfRule type="cellIs" rank="0" priority="48" equalAverage="0" operator="greaterThan" aboveAverage="0" dxfId="8" text="" percent="0" bottom="0">
      <formula>0</formula>
    </cfRule>
  </conditionalFormatting>
  <conditionalFormatting sqref="E30">
    <cfRule type="cellIs" rank="0" priority="49" equalAverage="0" operator="equal" aboveAverage="0" dxfId="10" text="" percent="0" bottom="0">
      <formula>"Evet"</formula>
    </cfRule>
  </conditionalFormatting>
  <conditionalFormatting sqref="D31">
    <cfRule type="cellIs" rank="0" priority="50" equalAverage="0" operator="greaterThan" aboveAverage="0" dxfId="8" text="" percent="0" bottom="0">
      <formula>0</formula>
    </cfRule>
  </conditionalFormatting>
  <conditionalFormatting sqref="E31">
    <cfRule type="cellIs" rank="0" priority="51" equalAverage="0" operator="equal" aboveAverage="0" dxfId="10" text="" percent="0" bottom="0">
      <formula>"Evet"</formula>
    </cfRule>
  </conditionalFormatting>
  <conditionalFormatting sqref="D32">
    <cfRule type="cellIs" rank="0" priority="52" equalAverage="0" operator="greaterThan" aboveAverage="0" dxfId="8" text="" percent="0" bottom="0">
      <formula>0</formula>
    </cfRule>
  </conditionalFormatting>
  <conditionalFormatting sqref="E32">
    <cfRule type="cellIs" rank="0" priority="53" equalAverage="0" operator="equal" aboveAverage="0" dxfId="10" text="" percent="0" bottom="0">
      <formula>"Evet"</formula>
    </cfRule>
  </conditionalFormatting>
  <conditionalFormatting sqref="D33">
    <cfRule type="cellIs" rank="0" priority="54" equalAverage="0" operator="greaterThan" aboveAverage="0" dxfId="8" text="" percent="0" bottom="0">
      <formula>0</formula>
    </cfRule>
  </conditionalFormatting>
  <conditionalFormatting sqref="E33">
    <cfRule type="cellIs" rank="0" priority="55" equalAverage="0" operator="equal" aboveAverage="0" dxfId="10" text="" percent="0" bottom="0">
      <formula>"Evet"</formula>
    </cfRule>
  </conditionalFormatting>
  <conditionalFormatting sqref="D34">
    <cfRule type="cellIs" rank="0" priority="56" equalAverage="0" operator="greaterThan" aboveAverage="0" dxfId="8" text="" percent="0" bottom="0">
      <formula>0</formula>
    </cfRule>
  </conditionalFormatting>
  <conditionalFormatting sqref="E34">
    <cfRule type="cellIs" rank="0" priority="57" equalAverage="0" operator="equal" aboveAverage="0" dxfId="10" text="" percent="0" bottom="0">
      <formula>"Evet"</formula>
    </cfRule>
  </conditionalFormatting>
  <conditionalFormatting sqref="D35">
    <cfRule type="cellIs" rank="0" priority="58" equalAverage="0" operator="greaterThan" aboveAverage="0" dxfId="8" text="" percent="0" bottom="0">
      <formula>0</formula>
    </cfRule>
  </conditionalFormatting>
  <conditionalFormatting sqref="E35">
    <cfRule type="cellIs" rank="0" priority="59" equalAverage="0" operator="equal" aboveAverage="0" dxfId="10" text="" percent="0" bottom="0">
      <formula>"Evet"</formula>
    </cfRule>
  </conditionalFormatting>
  <conditionalFormatting sqref="D36">
    <cfRule type="cellIs" rank="0" priority="60" equalAverage="0" operator="greaterThan" aboveAverage="0" dxfId="8" text="" percent="0" bottom="0">
      <formula>0</formula>
    </cfRule>
  </conditionalFormatting>
  <conditionalFormatting sqref="E36">
    <cfRule type="cellIs" rank="0" priority="61" equalAverage="0" operator="equal" aboveAverage="0" dxfId="10" text="" percent="0" bottom="0">
      <formula>"Evet"</formula>
    </cfRule>
  </conditionalFormatting>
  <conditionalFormatting sqref="D37">
    <cfRule type="cellIs" rank="0" priority="62" equalAverage="0" operator="greaterThan" aboveAverage="0" dxfId="8" text="" percent="0" bottom="0">
      <formula>0</formula>
    </cfRule>
  </conditionalFormatting>
  <conditionalFormatting sqref="E37">
    <cfRule type="cellIs" rank="0" priority="63" equalAverage="0" operator="equal" aboveAverage="0" dxfId="10" text="" percent="0" bottom="0">
      <formula>"Evet"</formula>
    </cfRule>
  </conditionalFormatting>
  <conditionalFormatting sqref="D38">
    <cfRule type="cellIs" rank="0" priority="64" equalAverage="0" operator="greaterThan" aboveAverage="0" dxfId="8" text="" percent="0" bottom="0">
      <formula>0</formula>
    </cfRule>
  </conditionalFormatting>
  <conditionalFormatting sqref="E38">
    <cfRule type="cellIs" rank="0" priority="65" equalAverage="0" operator="equal" aboveAverage="0" dxfId="10" text="" percent="0" bottom="0">
      <formula>"Evet"</formula>
    </cfRule>
  </conditionalFormatting>
  <conditionalFormatting sqref="D39">
    <cfRule type="cellIs" rank="0" priority="66" equalAverage="0" operator="greaterThan" aboveAverage="0" dxfId="8" text="" percent="0" bottom="0">
      <formula>0</formula>
    </cfRule>
  </conditionalFormatting>
  <conditionalFormatting sqref="E39">
    <cfRule type="cellIs" rank="0" priority="67" equalAverage="0" operator="equal" aboveAverage="0" dxfId="10" text="" percent="0" bottom="0">
      <formula>"Evet"</formula>
    </cfRule>
  </conditionalFormatting>
  <conditionalFormatting sqref="D40">
    <cfRule type="cellIs" rank="0" priority="68" equalAverage="0" operator="greaterThan" aboveAverage="0" dxfId="8" text="" percent="0" bottom="0">
      <formula>0</formula>
    </cfRule>
  </conditionalFormatting>
  <conditionalFormatting sqref="E40">
    <cfRule type="cellIs" rank="0" priority="69" equalAverage="0" operator="equal" aboveAverage="0" dxfId="10" text="" percent="0" bottom="0">
      <formula>"Evet"</formula>
    </cfRule>
  </conditionalFormatting>
  <conditionalFormatting sqref="D41">
    <cfRule type="cellIs" rank="0" priority="70" equalAverage="0" operator="greaterThan" aboveAverage="0" dxfId="8" text="" percent="0" bottom="0">
      <formula>0</formula>
    </cfRule>
  </conditionalFormatting>
  <conditionalFormatting sqref="E41">
    <cfRule type="cellIs" rank="0" priority="71" equalAverage="0" operator="equal" aboveAverage="0" dxfId="10" text="" percent="0" bottom="0">
      <formula>"Evet"</formula>
    </cfRule>
  </conditionalFormatting>
  <conditionalFormatting sqref="D42">
    <cfRule type="cellIs" rank="0" priority="72" equalAverage="0" operator="greaterThan" aboveAverage="0" dxfId="8" text="" percent="0" bottom="0">
      <formula>0</formula>
    </cfRule>
  </conditionalFormatting>
  <conditionalFormatting sqref="E42">
    <cfRule type="cellIs" rank="0" priority="73" equalAverage="0" operator="equal" aboveAverage="0" dxfId="10" text="" percent="0" bottom="0">
      <formula>"Evet"</formula>
    </cfRule>
  </conditionalFormatting>
  <conditionalFormatting sqref="D43">
    <cfRule type="cellIs" rank="0" priority="74" equalAverage="0" operator="greaterThan" aboveAverage="0" dxfId="8" text="" percent="0" bottom="0">
      <formula>0</formula>
    </cfRule>
  </conditionalFormatting>
  <conditionalFormatting sqref="E43">
    <cfRule type="cellIs" rank="0" priority="75" equalAverage="0" operator="equal" aboveAverage="0" dxfId="10" text="" percent="0" bottom="0">
      <formula>"Evet"</formula>
    </cfRule>
  </conditionalFormatting>
  <conditionalFormatting sqref="D44">
    <cfRule type="cellIs" rank="0" priority="76" equalAverage="0" operator="greaterThan" aboveAverage="0" dxfId="8" text="" percent="0" bottom="0">
      <formula>0</formula>
    </cfRule>
  </conditionalFormatting>
  <conditionalFormatting sqref="E44">
    <cfRule type="cellIs" rank="0" priority="77" equalAverage="0" operator="equal" aboveAverage="0" dxfId="10" text="" percent="0" bottom="0">
      <formula>"Evet"</formula>
    </cfRule>
  </conditionalFormatting>
  <conditionalFormatting sqref="D45">
    <cfRule type="cellIs" rank="0" priority="78" equalAverage="0" operator="greaterThan" aboveAverage="0" dxfId="8" text="" percent="0" bottom="0">
      <formula>0</formula>
    </cfRule>
  </conditionalFormatting>
  <conditionalFormatting sqref="E45">
    <cfRule type="cellIs" rank="0" priority="79" equalAverage="0" operator="equal" aboveAverage="0" dxfId="10" text="" percent="0" bottom="0">
      <formula>"Evet"</formula>
    </cfRule>
  </conditionalFormatting>
  <conditionalFormatting sqref="D46">
    <cfRule type="cellIs" rank="0" priority="80" equalAverage="0" operator="greaterThan" aboveAverage="0" dxfId="8" text="" percent="0" bottom="0">
      <formula>0</formula>
    </cfRule>
  </conditionalFormatting>
  <conditionalFormatting sqref="E46">
    <cfRule type="cellIs" rank="0" priority="81" equalAverage="0" operator="equal" aboveAverage="0" dxfId="10" text="" percent="0" bottom="0">
      <formula>"Evet"</formula>
    </cfRule>
  </conditionalFormatting>
  <conditionalFormatting sqref="D47">
    <cfRule type="cellIs" rank="0" priority="82" equalAverage="0" operator="greaterThan" aboveAverage="0" dxfId="8" text="" percent="0" bottom="0">
      <formula>0</formula>
    </cfRule>
  </conditionalFormatting>
  <conditionalFormatting sqref="E47">
    <cfRule type="cellIs" rank="0" priority="83" equalAverage="0" operator="equal" aboveAverage="0" dxfId="10" text="" percent="0" bottom="0">
      <formula>"Evet"</formula>
    </cfRule>
  </conditionalFormatting>
  <conditionalFormatting sqref="D48">
    <cfRule type="cellIs" rank="0" priority="84" equalAverage="0" operator="greaterThan" aboveAverage="0" dxfId="8" text="" percent="0" bottom="0">
      <formula>0</formula>
    </cfRule>
  </conditionalFormatting>
  <conditionalFormatting sqref="E48">
    <cfRule type="cellIs" rank="0" priority="85" equalAverage="0" operator="equal" aboveAverage="0" dxfId="10" text="" percent="0" bottom="0">
      <formula>"Evet"</formula>
    </cfRule>
  </conditionalFormatting>
  <conditionalFormatting sqref="D49">
    <cfRule type="cellIs" rank="0" priority="86" equalAverage="0" operator="greaterThan" aboveAverage="0" dxfId="8" text="" percent="0" bottom="0">
      <formula>0</formula>
    </cfRule>
  </conditionalFormatting>
  <conditionalFormatting sqref="E49">
    <cfRule type="cellIs" rank="0" priority="87" equalAverage="0" operator="equal" aboveAverage="0" dxfId="10" text="" percent="0" bottom="0">
      <formula>"Evet"</formula>
    </cfRule>
  </conditionalFormatting>
  <conditionalFormatting sqref="D50">
    <cfRule type="cellIs" rank="0" priority="88" equalAverage="0" operator="greaterThan" aboveAverage="0" dxfId="8" text="" percent="0" bottom="0">
      <formula>0</formula>
    </cfRule>
  </conditionalFormatting>
  <conditionalFormatting sqref="E50">
    <cfRule type="cellIs" rank="0" priority="89" equalAverage="0" operator="equal" aboveAverage="0" dxfId="10" text="" percent="0" bottom="0">
      <formula>"Evet"</formula>
    </cfRule>
  </conditionalFormatting>
  <conditionalFormatting sqref="D51">
    <cfRule type="cellIs" rank="0" priority="90" equalAverage="0" operator="greaterThan" aboveAverage="0" dxfId="8" text="" percent="0" bottom="0">
      <formula>0</formula>
    </cfRule>
  </conditionalFormatting>
  <conditionalFormatting sqref="E51">
    <cfRule type="cellIs" rank="0" priority="91" equalAverage="0" operator="equal" aboveAverage="0" dxfId="10" text="" percent="0" bottom="0">
      <formula>"Evet"</formula>
    </cfRule>
  </conditionalFormatting>
  <conditionalFormatting sqref="D52">
    <cfRule type="cellIs" rank="0" priority="92" equalAverage="0" operator="greaterThan" aboveAverage="0" dxfId="8" text="" percent="0" bottom="0">
      <formula>0</formula>
    </cfRule>
  </conditionalFormatting>
  <conditionalFormatting sqref="E52">
    <cfRule type="cellIs" rank="0" priority="93" equalAverage="0" operator="equal" aboveAverage="0" dxfId="10" text="" percent="0" bottom="0">
      <formula>"Evet"</formula>
    </cfRule>
  </conditionalFormatting>
  <conditionalFormatting sqref="D53">
    <cfRule type="cellIs" rank="0" priority="94" equalAverage="0" operator="greaterThan" aboveAverage="0" dxfId="8" text="" percent="0" bottom="0">
      <formula>0</formula>
    </cfRule>
  </conditionalFormatting>
  <conditionalFormatting sqref="E53">
    <cfRule type="cellIs" rank="0" priority="95" equalAverage="0" operator="equal" aboveAverage="0" dxfId="10" text="" percent="0" bottom="0">
      <formula>"Evet"</formula>
    </cfRule>
  </conditionalFormatting>
  <conditionalFormatting sqref="D54">
    <cfRule type="cellIs" rank="0" priority="96" equalAverage="0" operator="greaterThan" aboveAverage="0" dxfId="8" text="" percent="0" bottom="0">
      <formula>0</formula>
    </cfRule>
  </conditionalFormatting>
  <conditionalFormatting sqref="E54">
    <cfRule type="cellIs" rank="0" priority="97" equalAverage="0" operator="equal" aboveAverage="0" dxfId="10" text="" percent="0" bottom="0">
      <formula>"Evet"</formula>
    </cfRule>
  </conditionalFormatting>
  <conditionalFormatting sqref="D55">
    <cfRule type="cellIs" rank="0" priority="98" equalAverage="0" operator="greaterThan" aboveAverage="0" dxfId="8" text="" percent="0" bottom="0">
      <formula>0</formula>
    </cfRule>
  </conditionalFormatting>
  <conditionalFormatting sqref="E55">
    <cfRule type="cellIs" rank="0" priority="99" equalAverage="0" operator="equal" aboveAverage="0" dxfId="10" text="" percent="0" bottom="0">
      <formula>"Evet"</formula>
    </cfRule>
  </conditionalFormatting>
  <conditionalFormatting sqref="D56">
    <cfRule type="cellIs" rank="0" priority="100" equalAverage="0" operator="greaterThan" aboveAverage="0" dxfId="8" text="" percent="0" bottom="0">
      <formula>0</formula>
    </cfRule>
  </conditionalFormatting>
  <conditionalFormatting sqref="E56">
    <cfRule type="cellIs" rank="0" priority="101" equalAverage="0" operator="equal" aboveAverage="0" dxfId="10" text="" percent="0" bottom="0">
      <formula>"Evet"</formula>
    </cfRule>
  </conditionalFormatting>
  <conditionalFormatting sqref="D57">
    <cfRule type="cellIs" rank="0" priority="102" equalAverage="0" operator="greaterThan" aboveAverage="0" dxfId="8" text="" percent="0" bottom="0">
      <formula>0</formula>
    </cfRule>
  </conditionalFormatting>
  <conditionalFormatting sqref="E57">
    <cfRule type="cellIs" rank="0" priority="103" equalAverage="0" operator="equal" aboveAverage="0" dxfId="10" text="" percent="0" bottom="0">
      <formula>"Evet"</formula>
    </cfRule>
  </conditionalFormatting>
  <conditionalFormatting sqref="D58">
    <cfRule type="cellIs" rank="0" priority="104" equalAverage="0" operator="greaterThan" aboveAverage="0" dxfId="8" text="" percent="0" bottom="0">
      <formula>0</formula>
    </cfRule>
  </conditionalFormatting>
  <conditionalFormatting sqref="E58">
    <cfRule type="cellIs" rank="0" priority="105" equalAverage="0" operator="equal" aboveAverage="0" dxfId="10" text="" percent="0" bottom="0">
      <formula>"Evet"</formula>
    </cfRule>
  </conditionalFormatting>
  <conditionalFormatting sqref="D59">
    <cfRule type="cellIs" rank="0" priority="106" equalAverage="0" operator="greaterThan" aboveAverage="0" dxfId="8" text="" percent="0" bottom="0">
      <formula>0</formula>
    </cfRule>
  </conditionalFormatting>
  <conditionalFormatting sqref="E59">
    <cfRule type="cellIs" rank="0" priority="107" equalAverage="0" operator="equal" aboveAverage="0" dxfId="10" text="" percent="0" bottom="0">
      <formula>"Evet"</formula>
    </cfRule>
  </conditionalFormatting>
  <conditionalFormatting sqref="D60">
    <cfRule type="cellIs" rank="0" priority="108" equalAverage="0" operator="greaterThan" aboveAverage="0" dxfId="8" text="" percent="0" bottom="0">
      <formula>0</formula>
    </cfRule>
  </conditionalFormatting>
  <conditionalFormatting sqref="E60">
    <cfRule type="cellIs" rank="0" priority="109" equalAverage="0" operator="equal" aboveAverage="0" dxfId="10" text="" percent="0" bottom="0">
      <formula>"Evet"</formula>
    </cfRule>
  </conditionalFormatting>
  <conditionalFormatting sqref="D61">
    <cfRule type="cellIs" rank="0" priority="110" equalAverage="0" operator="greaterThan" aboveAverage="0" dxfId="8" text="" percent="0" bottom="0">
      <formula>0</formula>
    </cfRule>
  </conditionalFormatting>
  <conditionalFormatting sqref="E61">
    <cfRule type="cellIs" rank="0" priority="111" equalAverage="0" operator="equal" aboveAverage="0" dxfId="10" text="" percent="0" bottom="0">
      <formula>"Evet"</formula>
    </cfRule>
  </conditionalFormatting>
  <conditionalFormatting sqref="D62">
    <cfRule type="cellIs" rank="0" priority="112" equalAverage="0" operator="greaterThan" aboveAverage="0" dxfId="8" text="" percent="0" bottom="0">
      <formula>0</formula>
    </cfRule>
  </conditionalFormatting>
  <conditionalFormatting sqref="E62">
    <cfRule type="cellIs" rank="0" priority="113" equalAverage="0" operator="equal" aboveAverage="0" dxfId="10" text="" percent="0" bottom="0">
      <formula>"Evet"</formula>
    </cfRule>
  </conditionalFormatting>
  <conditionalFormatting sqref="D63">
    <cfRule type="cellIs" rank="0" priority="114" equalAverage="0" operator="greaterThan" aboveAverage="0" dxfId="8" text="" percent="0" bottom="0">
      <formula>0</formula>
    </cfRule>
  </conditionalFormatting>
  <conditionalFormatting sqref="E63">
    <cfRule type="cellIs" rank="0" priority="115" equalAverage="0" operator="equal" aboveAverage="0" dxfId="10" text="" percent="0" bottom="0">
      <formula>"Evet"</formula>
    </cfRule>
  </conditionalFormatting>
  <conditionalFormatting sqref="D64">
    <cfRule type="cellIs" rank="0" priority="116" equalAverage="0" operator="greaterThan" aboveAverage="0" dxfId="8" text="" percent="0" bottom="0">
      <formula>0</formula>
    </cfRule>
  </conditionalFormatting>
  <conditionalFormatting sqref="E64">
    <cfRule type="cellIs" rank="0" priority="117" equalAverage="0" operator="equal" aboveAverage="0" dxfId="10" text="" percent="0" bottom="0">
      <formula>"Evet"</formula>
    </cfRule>
  </conditionalFormatting>
  <conditionalFormatting sqref="D65">
    <cfRule type="cellIs" rank="0" priority="118" equalAverage="0" operator="greaterThan" aboveAverage="0" dxfId="8" text="" percent="0" bottom="0">
      <formula>0</formula>
    </cfRule>
  </conditionalFormatting>
  <conditionalFormatting sqref="E65">
    <cfRule type="cellIs" rank="0" priority="119" equalAverage="0" operator="equal" aboveAverage="0" dxfId="10" text="" percent="0" bottom="0">
      <formula>"Evet"</formula>
    </cfRule>
  </conditionalFormatting>
  <conditionalFormatting sqref="D66">
    <cfRule type="cellIs" rank="0" priority="120" equalAverage="0" operator="greaterThan" aboveAverage="0" dxfId="8" text="" percent="0" bottom="0">
      <formula>0</formula>
    </cfRule>
  </conditionalFormatting>
  <conditionalFormatting sqref="E66">
    <cfRule type="cellIs" rank="0" priority="121" equalAverage="0" operator="equal" aboveAverage="0" dxfId="10" text="" percent="0" bottom="0">
      <formula>"Evet"</formula>
    </cfRule>
  </conditionalFormatting>
  <conditionalFormatting sqref="D67">
    <cfRule type="cellIs" rank="0" priority="122" equalAverage="0" operator="greaterThan" aboveAverage="0" dxfId="8" text="" percent="0" bottom="0">
      <formula>0</formula>
    </cfRule>
  </conditionalFormatting>
  <conditionalFormatting sqref="E67">
    <cfRule type="cellIs" rank="0" priority="123" equalAverage="0" operator="equal" aboveAverage="0" dxfId="10" text="" percent="0" bottom="0">
      <formula>"Evet"</formula>
    </cfRule>
  </conditionalFormatting>
  <conditionalFormatting sqref="D68">
    <cfRule type="cellIs" rank="0" priority="124" equalAverage="0" operator="greaterThan" aboveAverage="0" dxfId="8" text="" percent="0" bottom="0">
      <formula>0</formula>
    </cfRule>
  </conditionalFormatting>
  <conditionalFormatting sqref="E68">
    <cfRule type="cellIs" rank="0" priority="125" equalAverage="0" operator="equal" aboveAverage="0" dxfId="10" text="" percent="0" bottom="0">
      <formula>"Evet"</formula>
    </cfRule>
  </conditionalFormatting>
  <conditionalFormatting sqref="D69">
    <cfRule type="cellIs" rank="0" priority="126" equalAverage="0" operator="greaterThan" aboveAverage="0" dxfId="8" text="" percent="0" bottom="0">
      <formula>0</formula>
    </cfRule>
  </conditionalFormatting>
  <conditionalFormatting sqref="E69">
    <cfRule type="cellIs" rank="0" priority="127" equalAverage="0" operator="equal" aboveAverage="0" dxfId="10" text="" percent="0" bottom="0">
      <formula>"Evet"</formula>
    </cfRule>
  </conditionalFormatting>
  <conditionalFormatting sqref="D70">
    <cfRule type="cellIs" rank="0" priority="128" equalAverage="0" operator="greaterThan" aboveAverage="0" dxfId="8" text="" percent="0" bottom="0">
      <formula>0</formula>
    </cfRule>
  </conditionalFormatting>
  <conditionalFormatting sqref="E70">
    <cfRule type="cellIs" rank="0" priority="129" equalAverage="0" operator="equal" aboveAverage="0" dxfId="10" text="" percent="0" bottom="0">
      <formula>"Evet"</formula>
    </cfRule>
  </conditionalFormatting>
  <conditionalFormatting sqref="D71">
    <cfRule type="cellIs" rank="0" priority="130" equalAverage="0" operator="greaterThan" aboveAverage="0" dxfId="8" text="" percent="0" bottom="0">
      <formula>0</formula>
    </cfRule>
  </conditionalFormatting>
  <conditionalFormatting sqref="E71">
    <cfRule type="cellIs" rank="0" priority="131" equalAverage="0" operator="equal" aboveAverage="0" dxfId="10" text="" percent="0" bottom="0">
      <formula>"Evet"</formula>
    </cfRule>
  </conditionalFormatting>
  <conditionalFormatting sqref="D72">
    <cfRule type="cellIs" rank="0" priority="132" equalAverage="0" operator="greaterThan" aboveAverage="0" dxfId="8" text="" percent="0" bottom="0">
      <formula>0</formula>
    </cfRule>
  </conditionalFormatting>
  <conditionalFormatting sqref="E72">
    <cfRule type="cellIs" rank="0" priority="133" equalAverage="0" operator="equal" aboveAverage="0" dxfId="10" text="" percent="0" bottom="0">
      <formula>"Evet"</formula>
    </cfRule>
  </conditionalFormatting>
  <conditionalFormatting sqref="D73">
    <cfRule type="cellIs" rank="0" priority="134" equalAverage="0" operator="greaterThan" aboveAverage="0" dxfId="8" text="" percent="0" bottom="0">
      <formula>0</formula>
    </cfRule>
  </conditionalFormatting>
  <conditionalFormatting sqref="E73">
    <cfRule type="cellIs" rank="0" priority="135" equalAverage="0" operator="equal" aboveAverage="0" dxfId="10" text="" percent="0" bottom="0">
      <formula>"Evet"</formula>
    </cfRule>
  </conditionalFormatting>
  <conditionalFormatting sqref="D74">
    <cfRule type="cellIs" rank="0" priority="136" equalAverage="0" operator="greaterThan" aboveAverage="0" dxfId="8" text="" percent="0" bottom="0">
      <formula>0</formula>
    </cfRule>
  </conditionalFormatting>
  <conditionalFormatting sqref="E74">
    <cfRule type="cellIs" rank="0" priority="137" equalAverage="0" operator="equal" aboveAverage="0" dxfId="10" text="" percent="0" bottom="0">
      <formula>"Evet"</formula>
    </cfRule>
  </conditionalFormatting>
  <conditionalFormatting sqref="D75">
    <cfRule type="cellIs" rank="0" priority="138" equalAverage="0" operator="greaterThan" aboveAverage="0" dxfId="8" text="" percent="0" bottom="0">
      <formula>0</formula>
    </cfRule>
  </conditionalFormatting>
  <conditionalFormatting sqref="E75">
    <cfRule type="cellIs" rank="0" priority="139" equalAverage="0" operator="equal" aboveAverage="0" dxfId="10" text="" percent="0" bottom="0">
      <formula>"Evet"</formula>
    </cfRule>
  </conditionalFormatting>
  <conditionalFormatting sqref="D76">
    <cfRule type="cellIs" rank="0" priority="140" equalAverage="0" operator="greaterThan" aboveAverage="0" dxfId="8" text="" percent="0" bottom="0">
      <formula>0</formula>
    </cfRule>
  </conditionalFormatting>
  <conditionalFormatting sqref="E76">
    <cfRule type="cellIs" rank="0" priority="141" equalAverage="0" operator="equal" aboveAverage="0" dxfId="10" text="" percent="0" bottom="0">
      <formula>"Evet"</formula>
    </cfRule>
  </conditionalFormatting>
  <conditionalFormatting sqref="D77">
    <cfRule type="cellIs" rank="0" priority="142" equalAverage="0" operator="greaterThan" aboveAverage="0" dxfId="8" text="" percent="0" bottom="0">
      <formula>0</formula>
    </cfRule>
  </conditionalFormatting>
  <conditionalFormatting sqref="E77">
    <cfRule type="cellIs" rank="0" priority="143" equalAverage="0" operator="equal" aboveAverage="0" dxfId="10" text="" percent="0" bottom="0">
      <formula>"Evet"</formula>
    </cfRule>
  </conditionalFormatting>
  <conditionalFormatting sqref="D78">
    <cfRule type="cellIs" rank="0" priority="144" equalAverage="0" operator="greaterThan" aboveAverage="0" dxfId="8" text="" percent="0" bottom="0">
      <formula>0</formula>
    </cfRule>
  </conditionalFormatting>
  <conditionalFormatting sqref="E78">
    <cfRule type="cellIs" rank="0" priority="145" equalAverage="0" operator="equal" aboveAverage="0" dxfId="10" text="" percent="0" bottom="0">
      <formula>"Evet"</formula>
    </cfRule>
  </conditionalFormatting>
  <conditionalFormatting sqref="D79">
    <cfRule type="cellIs" rank="0" priority="146" equalAverage="0" operator="greaterThan" aboveAverage="0" dxfId="8" text="" percent="0" bottom="0">
      <formula>0</formula>
    </cfRule>
  </conditionalFormatting>
  <conditionalFormatting sqref="E79">
    <cfRule type="cellIs" rank="0" priority="147" equalAverage="0" operator="equal" aboveAverage="0" dxfId="10" text="" percent="0" bottom="0">
      <formula>"Evet"</formula>
    </cfRule>
  </conditionalFormatting>
  <conditionalFormatting sqref="D80">
    <cfRule type="cellIs" rank="0" priority="148" equalAverage="0" operator="greaterThan" aboveAverage="0" dxfId="8" text="" percent="0" bottom="0">
      <formula>0</formula>
    </cfRule>
  </conditionalFormatting>
  <conditionalFormatting sqref="E80">
    <cfRule type="cellIs" rank="0" priority="149" equalAverage="0" operator="equal" aboveAverage="0" dxfId="10" text="" percent="0" bottom="0">
      <formula>"Evet"</formula>
    </cfRule>
  </conditionalFormatting>
  <conditionalFormatting sqref="D81">
    <cfRule type="cellIs" rank="0" priority="150" equalAverage="0" operator="greaterThan" aboveAverage="0" dxfId="8" text="" percent="0" bottom="0">
      <formula>0</formula>
    </cfRule>
  </conditionalFormatting>
  <conditionalFormatting sqref="E81">
    <cfRule type="cellIs" rank="0" priority="151" equalAverage="0" operator="equal" aboveAverage="0" dxfId="10" text="" percent="0" bottom="0">
      <formula>"Evet"</formula>
    </cfRule>
  </conditionalFormatting>
  <conditionalFormatting sqref="D82">
    <cfRule type="cellIs" rank="0" priority="152" equalAverage="0" operator="greaterThan" aboveAverage="0" dxfId="8" text="" percent="0" bottom="0">
      <formula>0</formula>
    </cfRule>
  </conditionalFormatting>
  <conditionalFormatting sqref="E82">
    <cfRule type="cellIs" rank="0" priority="153" equalAverage="0" operator="equal" aboveAverage="0" dxfId="10" text="" percent="0" bottom="0">
      <formula>"Evet"</formula>
    </cfRule>
  </conditionalFormatting>
  <conditionalFormatting sqref="D83">
    <cfRule type="cellIs" rank="0" priority="154" equalAverage="0" operator="greaterThan" aboveAverage="0" dxfId="8" text="" percent="0" bottom="0">
      <formula>0</formula>
    </cfRule>
  </conditionalFormatting>
  <conditionalFormatting sqref="E83">
    <cfRule type="cellIs" rank="0" priority="155" equalAverage="0" operator="equal" aboveAverage="0" dxfId="10" text="" percent="0" bottom="0">
      <formula>"Evet"</formula>
    </cfRule>
  </conditionalFormatting>
  <conditionalFormatting sqref="D84">
    <cfRule type="cellIs" rank="0" priority="156" equalAverage="0" operator="greaterThan" aboveAverage="0" dxfId="8" text="" percent="0" bottom="0">
      <formula>0</formula>
    </cfRule>
  </conditionalFormatting>
  <conditionalFormatting sqref="E84">
    <cfRule type="cellIs" rank="0" priority="157" equalAverage="0" operator="equal" aboveAverage="0" dxfId="10" text="" percent="0" bottom="0">
      <formula>"Evet"</formula>
    </cfRule>
  </conditionalFormatting>
  <conditionalFormatting sqref="D85">
    <cfRule type="cellIs" rank="0" priority="158" equalAverage="0" operator="greaterThan" aboveAverage="0" dxfId="8" text="" percent="0" bottom="0">
      <formula>0</formula>
    </cfRule>
  </conditionalFormatting>
  <conditionalFormatting sqref="E85">
    <cfRule type="cellIs" rank="0" priority="159" equalAverage="0" operator="equal" aboveAverage="0" dxfId="10" text="" percent="0" bottom="0">
      <formula>"Evet"</formula>
    </cfRule>
  </conditionalFormatting>
  <conditionalFormatting sqref="D86">
    <cfRule type="cellIs" rank="0" priority="160" equalAverage="0" operator="greaterThan" aboveAverage="0" dxfId="8" text="" percent="0" bottom="0">
      <formula>0</formula>
    </cfRule>
  </conditionalFormatting>
  <conditionalFormatting sqref="E86">
    <cfRule type="cellIs" rank="0" priority="161" equalAverage="0" operator="equal" aboveAverage="0" dxfId="10" text="" percent="0" bottom="0">
      <formula>"Evet"</formula>
    </cfRule>
  </conditionalFormatting>
  <conditionalFormatting sqref="D87">
    <cfRule type="cellIs" rank="0" priority="162" equalAverage="0" operator="greaterThan" aboveAverage="0" dxfId="8" text="" percent="0" bottom="0">
      <formula>0</formula>
    </cfRule>
  </conditionalFormatting>
  <conditionalFormatting sqref="E87">
    <cfRule type="cellIs" rank="0" priority="163" equalAverage="0" operator="equal" aboveAverage="0" dxfId="10" text="" percent="0" bottom="0">
      <formula>"Evet"</formula>
    </cfRule>
  </conditionalFormatting>
  <conditionalFormatting sqref="D88">
    <cfRule type="cellIs" rank="0" priority="164" equalAverage="0" operator="greaterThan" aboveAverage="0" dxfId="8" text="" percent="0" bottom="0">
      <formula>0</formula>
    </cfRule>
  </conditionalFormatting>
  <conditionalFormatting sqref="E88">
    <cfRule type="cellIs" rank="0" priority="165" equalAverage="0" operator="equal" aboveAverage="0" dxfId="10" text="" percent="0" bottom="0">
      <formula>"Evet"</formula>
    </cfRule>
  </conditionalFormatting>
  <conditionalFormatting sqref="D89">
    <cfRule type="cellIs" rank="0" priority="166" equalAverage="0" operator="greaterThan" aboveAverage="0" dxfId="8" text="" percent="0" bottom="0">
      <formula>0</formula>
    </cfRule>
  </conditionalFormatting>
  <conditionalFormatting sqref="E89">
    <cfRule type="cellIs" rank="0" priority="167" equalAverage="0" operator="equal" aboveAverage="0" dxfId="10" text="" percent="0" bottom="0">
      <formula>"Evet"</formula>
    </cfRule>
  </conditionalFormatting>
  <conditionalFormatting sqref="D90">
    <cfRule type="cellIs" rank="0" priority="168" equalAverage="0" operator="greaterThan" aboveAverage="0" dxfId="8" text="" percent="0" bottom="0">
      <formula>0</formula>
    </cfRule>
  </conditionalFormatting>
  <conditionalFormatting sqref="E90">
    <cfRule type="cellIs" rank="0" priority="169" equalAverage="0" operator="equal" aboveAverage="0" dxfId="10" text="" percent="0" bottom="0">
      <formula>"Evet"</formula>
    </cfRule>
  </conditionalFormatting>
  <conditionalFormatting sqref="D91">
    <cfRule type="cellIs" rank="0" priority="170" equalAverage="0" operator="greaterThan" aboveAverage="0" dxfId="8" text="" percent="0" bottom="0">
      <formula>0</formula>
    </cfRule>
  </conditionalFormatting>
  <conditionalFormatting sqref="E91">
    <cfRule type="cellIs" rank="0" priority="171" equalAverage="0" operator="equal" aboveAverage="0" dxfId="10" text="" percent="0" bottom="0">
      <formula>"Evet"</formula>
    </cfRule>
  </conditionalFormatting>
  <conditionalFormatting sqref="D92">
    <cfRule type="cellIs" rank="0" priority="172" equalAverage="0" operator="greaterThan" aboveAverage="0" dxfId="8" text="" percent="0" bottom="0">
      <formula>0</formula>
    </cfRule>
  </conditionalFormatting>
  <conditionalFormatting sqref="E92">
    <cfRule type="cellIs" rank="0" priority="173" equalAverage="0" operator="equal" aboveAverage="0" dxfId="10" text="" percent="0" bottom="0">
      <formula>"Evet"</formula>
    </cfRule>
  </conditionalFormatting>
  <conditionalFormatting sqref="D93">
    <cfRule type="cellIs" rank="0" priority="174" equalAverage="0" operator="greaterThan" aboveAverage="0" dxfId="8" text="" percent="0" bottom="0">
      <formula>0</formula>
    </cfRule>
  </conditionalFormatting>
  <conditionalFormatting sqref="E93">
    <cfRule type="cellIs" rank="0" priority="175" equalAverage="0" operator="equal" aboveAverage="0" dxfId="10" text="" percent="0" bottom="0">
      <formula>"Evet"</formula>
    </cfRule>
  </conditionalFormatting>
  <conditionalFormatting sqref="D94">
    <cfRule type="cellIs" rank="0" priority="176" equalAverage="0" operator="greaterThan" aboveAverage="0" dxfId="8" text="" percent="0" bottom="0">
      <formula>0</formula>
    </cfRule>
  </conditionalFormatting>
  <conditionalFormatting sqref="E94">
    <cfRule type="cellIs" rank="0" priority="177" equalAverage="0" operator="equal" aboveAverage="0" dxfId="10" text="" percent="0" bottom="0">
      <formula>"Evet"</formula>
    </cfRule>
  </conditionalFormatting>
  <conditionalFormatting sqref="D95">
    <cfRule type="cellIs" rank="0" priority="178" equalAverage="0" operator="greaterThan" aboveAverage="0" dxfId="8" text="" percent="0" bottom="0">
      <formula>0</formula>
    </cfRule>
  </conditionalFormatting>
  <conditionalFormatting sqref="E95">
    <cfRule type="cellIs" rank="0" priority="179" equalAverage="0" operator="equal" aboveAverage="0" dxfId="10" text="" percent="0" bottom="0">
      <formula>"Evet"</formula>
    </cfRule>
  </conditionalFormatting>
  <conditionalFormatting sqref="D96">
    <cfRule type="cellIs" rank="0" priority="180" equalAverage="0" operator="greaterThan" aboveAverage="0" dxfId="8" text="" percent="0" bottom="0">
      <formula>0</formula>
    </cfRule>
  </conditionalFormatting>
  <conditionalFormatting sqref="E96">
    <cfRule type="cellIs" rank="0" priority="181" equalAverage="0" operator="equal" aboveAverage="0" dxfId="10" text="" percent="0" bottom="0">
      <formula>"Evet"</formula>
    </cfRule>
  </conditionalFormatting>
  <conditionalFormatting sqref="D97">
    <cfRule type="cellIs" rank="0" priority="182" equalAverage="0" operator="greaterThan" aboveAverage="0" dxfId="8" text="" percent="0" bottom="0">
      <formula>0</formula>
    </cfRule>
  </conditionalFormatting>
  <conditionalFormatting sqref="E97">
    <cfRule type="cellIs" rank="0" priority="183" equalAverage="0" operator="equal" aboveAverage="0" dxfId="10" text="" percent="0" bottom="0">
      <formula>"Evet"</formula>
    </cfRule>
  </conditionalFormatting>
  <conditionalFormatting sqref="D98">
    <cfRule type="cellIs" rank="0" priority="184" equalAverage="0" operator="greaterThan" aboveAverage="0" dxfId="8" text="" percent="0" bottom="0">
      <formula>0</formula>
    </cfRule>
  </conditionalFormatting>
  <conditionalFormatting sqref="E98">
    <cfRule type="cellIs" rank="0" priority="185" equalAverage="0" operator="equal" aboveAverage="0" dxfId="10" text="" percent="0" bottom="0">
      <formula>"Evet"</formula>
    </cfRule>
  </conditionalFormatting>
  <conditionalFormatting sqref="D99">
    <cfRule type="cellIs" rank="0" priority="186" equalAverage="0" operator="greaterThan" aboveAverage="0" dxfId="8" text="" percent="0" bottom="0">
      <formula>0</formula>
    </cfRule>
  </conditionalFormatting>
  <conditionalFormatting sqref="E99">
    <cfRule type="cellIs" rank="0" priority="187" equalAverage="0" operator="equal" aboveAverage="0" dxfId="10" text="" percent="0" bottom="0">
      <formula>"Evet"</formula>
    </cfRule>
  </conditionalFormatting>
  <conditionalFormatting sqref="D100">
    <cfRule type="cellIs" rank="0" priority="188" equalAverage="0" operator="greaterThan" aboveAverage="0" dxfId="8" text="" percent="0" bottom="0">
      <formula>0</formula>
    </cfRule>
  </conditionalFormatting>
  <conditionalFormatting sqref="E100">
    <cfRule type="cellIs" rank="0" priority="189" equalAverage="0" operator="equal" aboveAverage="0" dxfId="10" text="" percent="0" bottom="0">
      <formula>"Evet"</formula>
    </cfRule>
  </conditionalFormatting>
  <conditionalFormatting sqref="D101">
    <cfRule type="cellIs" rank="0" priority="190" equalAverage="0" operator="greaterThan" aboveAverage="0" dxfId="8" text="" percent="0" bottom="0">
      <formula>0</formula>
    </cfRule>
  </conditionalFormatting>
  <conditionalFormatting sqref="E101">
    <cfRule type="cellIs" rank="0" priority="191" equalAverage="0" operator="equal" aboveAverage="0" dxfId="10" text="" percent="0" bottom="0">
      <formula>"Evet"</formula>
    </cfRule>
  </conditionalFormatting>
  <conditionalFormatting sqref="D102">
    <cfRule type="cellIs" rank="0" priority="192" equalAverage="0" operator="greaterThan" aboveAverage="0" dxfId="8" text="" percent="0" bottom="0">
      <formula>0</formula>
    </cfRule>
  </conditionalFormatting>
  <conditionalFormatting sqref="E102">
    <cfRule type="cellIs" rank="0" priority="193" equalAverage="0" operator="equal" aboveAverage="0" dxfId="10" text="" percent="0" bottom="0">
      <formula>"Evet"</formula>
    </cfRule>
  </conditionalFormatting>
  <conditionalFormatting sqref="D103">
    <cfRule type="cellIs" rank="0" priority="194" equalAverage="0" operator="greaterThan" aboveAverage="0" dxfId="8" text="" percent="0" bottom="0">
      <formula>0</formula>
    </cfRule>
  </conditionalFormatting>
  <conditionalFormatting sqref="E103">
    <cfRule type="cellIs" rank="0" priority="195" equalAverage="0" operator="equal" aboveAverage="0" dxfId="10" text="" percent="0" bottom="0">
      <formula>"Evet"</formula>
    </cfRule>
  </conditionalFormatting>
  <conditionalFormatting sqref="D104">
    <cfRule type="cellIs" rank="0" priority="196" equalAverage="0" operator="greaterThan" aboveAverage="0" dxfId="8" text="" percent="0" bottom="0">
      <formula>0</formula>
    </cfRule>
  </conditionalFormatting>
  <conditionalFormatting sqref="E104">
    <cfRule type="cellIs" rank="0" priority="197" equalAverage="0" operator="equal" aboveAverage="0" dxfId="10" text="" percent="0" bottom="0">
      <formula>"Evet"</formula>
    </cfRule>
  </conditionalFormatting>
  <conditionalFormatting sqref="D105">
    <cfRule type="cellIs" rank="0" priority="198" equalAverage="0" operator="greaterThan" aboveAverage="0" dxfId="8" text="" percent="0" bottom="0">
      <formula>0</formula>
    </cfRule>
  </conditionalFormatting>
  <conditionalFormatting sqref="E105">
    <cfRule type="cellIs" rank="0" priority="199" equalAverage="0" operator="equal" aboveAverage="0" dxfId="10" text="" percent="0" bottom="0">
      <formula>"Evet"</formula>
    </cfRule>
  </conditionalFormatting>
  <conditionalFormatting sqref="D106">
    <cfRule type="cellIs" rank="0" priority="200" equalAverage="0" operator="greaterThan" aboveAverage="0" dxfId="8" text="" percent="0" bottom="0">
      <formula>0</formula>
    </cfRule>
  </conditionalFormatting>
  <conditionalFormatting sqref="E106">
    <cfRule type="cellIs" rank="0" priority="201" equalAverage="0" operator="equal" aboveAverage="0" dxfId="10" text="" percent="0" bottom="0">
      <formula>"Evet"</formula>
    </cfRule>
  </conditionalFormatting>
  <conditionalFormatting sqref="D107">
    <cfRule type="cellIs" rank="0" priority="202" equalAverage="0" operator="greaterThan" aboveAverage="0" dxfId="8" text="" percent="0" bottom="0">
      <formula>0</formula>
    </cfRule>
  </conditionalFormatting>
  <conditionalFormatting sqref="E107">
    <cfRule type="cellIs" rank="0" priority="203" equalAverage="0" operator="equal" aboveAverage="0" dxfId="10" text="" percent="0" bottom="0">
      <formula>"Evet"</formula>
    </cfRule>
  </conditionalFormatting>
  <conditionalFormatting sqref="D108">
    <cfRule type="cellIs" rank="0" priority="204" equalAverage="0" operator="greaterThan" aboveAverage="0" dxfId="8" text="" percent="0" bottom="0">
      <formula>0</formula>
    </cfRule>
  </conditionalFormatting>
  <conditionalFormatting sqref="E108">
    <cfRule type="cellIs" rank="0" priority="205" equalAverage="0" operator="equal" aboveAverage="0" dxfId="10" text="" percent="0" bottom="0">
      <formula>"Evet"</formula>
    </cfRule>
  </conditionalFormatting>
  <conditionalFormatting sqref="D109">
    <cfRule type="cellIs" rank="0" priority="206" equalAverage="0" operator="greaterThan" aboveAverage="0" dxfId="8" text="" percent="0" bottom="0">
      <formula>0</formula>
    </cfRule>
  </conditionalFormatting>
  <conditionalFormatting sqref="E109">
    <cfRule type="cellIs" rank="0" priority="207" equalAverage="0" operator="equal" aboveAverage="0" dxfId="10" text="" percent="0" bottom="0">
      <formula>"Evet"</formula>
    </cfRule>
  </conditionalFormatting>
  <conditionalFormatting sqref="D110">
    <cfRule type="cellIs" rank="0" priority="208" equalAverage="0" operator="greaterThan" aboveAverage="0" dxfId="8" text="" percent="0" bottom="0">
      <formula>0</formula>
    </cfRule>
  </conditionalFormatting>
  <conditionalFormatting sqref="E110">
    <cfRule type="cellIs" rank="0" priority="209" equalAverage="0" operator="equal" aboveAverage="0" dxfId="10" text="" percent="0" bottom="0">
      <formula>"Evet"</formula>
    </cfRule>
  </conditionalFormatting>
  <conditionalFormatting sqref="D111">
    <cfRule type="cellIs" rank="0" priority="210" equalAverage="0" operator="greaterThan" aboveAverage="0" dxfId="8" text="" percent="0" bottom="0">
      <formula>0</formula>
    </cfRule>
  </conditionalFormatting>
  <conditionalFormatting sqref="E111">
    <cfRule type="cellIs" rank="0" priority="211" equalAverage="0" operator="equal" aboveAverage="0" dxfId="10" text="" percent="0" bottom="0">
      <formula>"Evet"</formula>
    </cfRule>
  </conditionalFormatting>
  <conditionalFormatting sqref="D112">
    <cfRule type="cellIs" rank="0" priority="212" equalAverage="0" operator="greaterThan" aboveAverage="0" dxfId="8" text="" percent="0" bottom="0">
      <formula>0</formula>
    </cfRule>
  </conditionalFormatting>
  <conditionalFormatting sqref="E112">
    <cfRule type="cellIs" rank="0" priority="213" equalAverage="0" operator="equal" aboveAverage="0" dxfId="10" text="" percent="0" bottom="0">
      <formula>"Evet"</formula>
    </cfRule>
  </conditionalFormatting>
  <conditionalFormatting sqref="D113">
    <cfRule type="cellIs" rank="0" priority="214" equalAverage="0" operator="greaterThan" aboveAverage="0" dxfId="8" text="" percent="0" bottom="0">
      <formula>0</formula>
    </cfRule>
  </conditionalFormatting>
  <conditionalFormatting sqref="E113">
    <cfRule type="cellIs" rank="0" priority="215" equalAverage="0" operator="equal" aboveAverage="0" dxfId="10" text="" percent="0" bottom="0">
      <formula>"Evet"</formula>
    </cfRule>
  </conditionalFormatting>
  <conditionalFormatting sqref="D114">
    <cfRule type="cellIs" rank="0" priority="216" equalAverage="0" operator="greaterThan" aboveAverage="0" dxfId="8" text="" percent="0" bottom="0">
      <formula>0</formula>
    </cfRule>
  </conditionalFormatting>
  <conditionalFormatting sqref="E114">
    <cfRule type="cellIs" rank="0" priority="217" equalAverage="0" operator="equal" aboveAverage="0" dxfId="10" text="" percent="0" bottom="0">
      <formula>"Evet"</formula>
    </cfRule>
  </conditionalFormatting>
  <conditionalFormatting sqref="D115">
    <cfRule type="cellIs" rank="0" priority="218" equalAverage="0" operator="greaterThan" aboveAverage="0" dxfId="8" text="" percent="0" bottom="0">
      <formula>0</formula>
    </cfRule>
  </conditionalFormatting>
  <conditionalFormatting sqref="E115">
    <cfRule type="cellIs" rank="0" priority="219" equalAverage="0" operator="equal" aboveAverage="0" dxfId="10" text="" percent="0" bottom="0">
      <formula>"Evet"</formula>
    </cfRule>
  </conditionalFormatting>
  <conditionalFormatting sqref="D116">
    <cfRule type="cellIs" rank="0" priority="220" equalAverage="0" operator="greaterThan" aboveAverage="0" dxfId="8" text="" percent="0" bottom="0">
      <formula>0</formula>
    </cfRule>
  </conditionalFormatting>
  <conditionalFormatting sqref="E116">
    <cfRule type="cellIs" rank="0" priority="221" equalAverage="0" operator="equal" aboveAverage="0" dxfId="10" text="" percent="0" bottom="0">
      <formula>"Evet"</formula>
    </cfRule>
  </conditionalFormatting>
  <conditionalFormatting sqref="D117">
    <cfRule type="cellIs" rank="0" priority="222" equalAverage="0" operator="greaterThan" aboveAverage="0" dxfId="8" text="" percent="0" bottom="0">
      <formula>0</formula>
    </cfRule>
  </conditionalFormatting>
  <conditionalFormatting sqref="E117">
    <cfRule type="cellIs" rank="0" priority="223" equalAverage="0" operator="equal" aboveAverage="0" dxfId="10" text="" percent="0" bottom="0">
      <formula>"Evet"</formula>
    </cfRule>
  </conditionalFormatting>
  <conditionalFormatting sqref="D118">
    <cfRule type="cellIs" rank="0" priority="224" equalAverage="0" operator="greaterThan" aboveAverage="0" dxfId="8" text="" percent="0" bottom="0">
      <formula>0</formula>
    </cfRule>
  </conditionalFormatting>
  <conditionalFormatting sqref="E118">
    <cfRule type="cellIs" rank="0" priority="225" equalAverage="0" operator="equal" aboveAverage="0" dxfId="10" text="" percent="0" bottom="0">
      <formula>"Evet"</formula>
    </cfRule>
  </conditionalFormatting>
  <conditionalFormatting sqref="D119">
    <cfRule type="cellIs" rank="0" priority="226" equalAverage="0" operator="greaterThan" aboveAverage="0" dxfId="8" text="" percent="0" bottom="0">
      <formula>0</formula>
    </cfRule>
  </conditionalFormatting>
  <conditionalFormatting sqref="E119">
    <cfRule type="cellIs" rank="0" priority="227" equalAverage="0" operator="equal" aboveAverage="0" dxfId="10" text="" percent="0" bottom="0">
      <formula>"Evet"</formula>
    </cfRule>
  </conditionalFormatting>
  <conditionalFormatting sqref="D120">
    <cfRule type="cellIs" rank="0" priority="228" equalAverage="0" operator="greaterThan" aboveAverage="0" dxfId="8" text="" percent="0" bottom="0">
      <formula>0</formula>
    </cfRule>
  </conditionalFormatting>
  <conditionalFormatting sqref="E120">
    <cfRule type="cellIs" rank="0" priority="229" equalAverage="0" operator="equal" aboveAverage="0" dxfId="10" text="" percent="0" bottom="0">
      <formula>"Evet"</formula>
    </cfRule>
  </conditionalFormatting>
  <conditionalFormatting sqref="D121">
    <cfRule type="cellIs" rank="0" priority="230" equalAverage="0" operator="greaterThan" aboveAverage="0" dxfId="8" text="" percent="0" bottom="0">
      <formula>0</formula>
    </cfRule>
  </conditionalFormatting>
  <conditionalFormatting sqref="E121">
    <cfRule type="cellIs" rank="0" priority="231" equalAverage="0" operator="equal" aboveAverage="0" dxfId="10" text="" percent="0" bottom="0">
      <formula>"Evet"</formula>
    </cfRule>
  </conditionalFormatting>
  <conditionalFormatting sqref="D122">
    <cfRule type="cellIs" rank="0" priority="232" equalAverage="0" operator="greaterThan" aboveAverage="0" dxfId="8" text="" percent="0" bottom="0">
      <formula>0</formula>
    </cfRule>
  </conditionalFormatting>
  <conditionalFormatting sqref="E122">
    <cfRule type="cellIs" rank="0" priority="233" equalAverage="0" operator="equal" aboveAverage="0" dxfId="10" text="" percent="0" bottom="0">
      <formula>"Evet"</formula>
    </cfRule>
  </conditionalFormatting>
  <conditionalFormatting sqref="D123">
    <cfRule type="cellIs" rank="0" priority="234" equalAverage="0" operator="greaterThan" aboveAverage="0" dxfId="8" text="" percent="0" bottom="0">
      <formula>0</formula>
    </cfRule>
  </conditionalFormatting>
  <conditionalFormatting sqref="E123">
    <cfRule type="cellIs" rank="0" priority="235" equalAverage="0" operator="equal" aboveAverage="0" dxfId="10" text="" percent="0" bottom="0">
      <formula>"Evet"</formula>
    </cfRule>
  </conditionalFormatting>
  <conditionalFormatting sqref="D124">
    <cfRule type="cellIs" rank="0" priority="236" equalAverage="0" operator="greaterThan" aboveAverage="0" dxfId="8" text="" percent="0" bottom="0">
      <formula>0</formula>
    </cfRule>
  </conditionalFormatting>
  <conditionalFormatting sqref="E124">
    <cfRule type="cellIs" rank="0" priority="237" equalAverage="0" operator="equal" aboveAverage="0" dxfId="10" text="" percent="0" bottom="0">
      <formula>"Evet"</formula>
    </cfRule>
  </conditionalFormatting>
  <conditionalFormatting sqref="D125">
    <cfRule type="cellIs" rank="0" priority="238" equalAverage="0" operator="greaterThan" aboveAverage="0" dxfId="8" text="" percent="0" bottom="0">
      <formula>0</formula>
    </cfRule>
  </conditionalFormatting>
  <conditionalFormatting sqref="E125">
    <cfRule type="cellIs" rank="0" priority="239" equalAverage="0" operator="equal" aboveAverage="0" dxfId="10" text="" percent="0" bottom="0">
      <formula>"Evet"</formula>
    </cfRule>
  </conditionalFormatting>
  <conditionalFormatting sqref="D126">
    <cfRule type="cellIs" rank="0" priority="240" equalAverage="0" operator="greaterThan" aboveAverage="0" dxfId="8" text="" percent="0" bottom="0">
      <formula>0</formula>
    </cfRule>
  </conditionalFormatting>
  <conditionalFormatting sqref="E126">
    <cfRule type="cellIs" rank="0" priority="241" equalAverage="0" operator="equal" aboveAverage="0" dxfId="10" text="" percent="0" bottom="0">
      <formula>"Evet"</formula>
    </cfRule>
  </conditionalFormatting>
  <conditionalFormatting sqref="D127">
    <cfRule type="cellIs" rank="0" priority="242" equalAverage="0" operator="greaterThan" aboveAverage="0" dxfId="8" text="" percent="0" bottom="0">
      <formula>0</formula>
    </cfRule>
  </conditionalFormatting>
  <conditionalFormatting sqref="E127">
    <cfRule type="cellIs" rank="0" priority="243" equalAverage="0" operator="equal" aboveAverage="0" dxfId="10" text="" percent="0" bottom="0">
      <formula>"Evet"</formula>
    </cfRule>
  </conditionalFormatting>
  <conditionalFormatting sqref="D128">
    <cfRule type="cellIs" rank="0" priority="244" equalAverage="0" operator="greaterThan" aboveAverage="0" dxfId="8" text="" percent="0" bottom="0">
      <formula>0</formula>
    </cfRule>
  </conditionalFormatting>
  <conditionalFormatting sqref="E128">
    <cfRule type="cellIs" rank="0" priority="245" equalAverage="0" operator="equal" aboveAverage="0" dxfId="10" text="" percent="0" bottom="0">
      <formula>"Evet"</formula>
    </cfRule>
  </conditionalFormatting>
  <conditionalFormatting sqref="D129">
    <cfRule type="cellIs" rank="0" priority="246" equalAverage="0" operator="greaterThan" aboveAverage="0" dxfId="8" text="" percent="0" bottom="0">
      <formula>0</formula>
    </cfRule>
  </conditionalFormatting>
  <conditionalFormatting sqref="E129">
    <cfRule type="cellIs" rank="0" priority="247" equalAverage="0" operator="equal" aboveAverage="0" dxfId="10" text="" percent="0" bottom="0">
      <formula>"Evet"</formula>
    </cfRule>
  </conditionalFormatting>
  <conditionalFormatting sqref="D130">
    <cfRule type="cellIs" rank="0" priority="248" equalAverage="0" operator="greaterThan" aboveAverage="0" dxfId="8" text="" percent="0" bottom="0">
      <formula>0</formula>
    </cfRule>
  </conditionalFormatting>
  <conditionalFormatting sqref="E130">
    <cfRule type="cellIs" rank="0" priority="249" equalAverage="0" operator="equal" aboveAverage="0" dxfId="10" text="" percent="0" bottom="0">
      <formula>"Evet"</formula>
    </cfRule>
  </conditionalFormatting>
  <conditionalFormatting sqref="D131">
    <cfRule type="cellIs" rank="0" priority="250" equalAverage="0" operator="greaterThan" aboveAverage="0" dxfId="8" text="" percent="0" bottom="0">
      <formula>0</formula>
    </cfRule>
  </conditionalFormatting>
  <conditionalFormatting sqref="E131">
    <cfRule type="cellIs" rank="0" priority="251" equalAverage="0" operator="equal" aboveAverage="0" dxfId="10" text="" percent="0" bottom="0">
      <formula>"Evet"</formula>
    </cfRule>
  </conditionalFormatting>
  <conditionalFormatting sqref="D132">
    <cfRule type="cellIs" rank="0" priority="252" equalAverage="0" operator="greaterThan" aboveAverage="0" dxfId="8" text="" percent="0" bottom="0">
      <formula>0</formula>
    </cfRule>
  </conditionalFormatting>
  <conditionalFormatting sqref="E132">
    <cfRule type="cellIs" rank="0" priority="253" equalAverage="0" operator="equal" aboveAverage="0" dxfId="10" text="" percent="0" bottom="0">
      <formula>"Evet"</formula>
    </cfRule>
  </conditionalFormatting>
  <conditionalFormatting sqref="D133">
    <cfRule type="cellIs" rank="0" priority="254" equalAverage="0" operator="greaterThan" aboveAverage="0" dxfId="8" text="" percent="0" bottom="0">
      <formula>0</formula>
    </cfRule>
  </conditionalFormatting>
  <conditionalFormatting sqref="E133">
    <cfRule type="cellIs" rank="0" priority="255" equalAverage="0" operator="equal" aboveAverage="0" dxfId="10" text="" percent="0" bottom="0">
      <formula>"Evet"</formula>
    </cfRule>
  </conditionalFormatting>
  <conditionalFormatting sqref="D134">
    <cfRule type="cellIs" rank="0" priority="256" equalAverage="0" operator="greaterThan" aboveAverage="0" dxfId="8" text="" percent="0" bottom="0">
      <formula>0</formula>
    </cfRule>
  </conditionalFormatting>
  <conditionalFormatting sqref="E134">
    <cfRule type="cellIs" rank="0" priority="257" equalAverage="0" operator="equal" aboveAverage="0" dxfId="10" text="" percent="0" bottom="0">
      <formula>"Evet"</formula>
    </cfRule>
  </conditionalFormatting>
  <conditionalFormatting sqref="D135">
    <cfRule type="cellIs" rank="0" priority="258" equalAverage="0" operator="greaterThan" aboveAverage="0" dxfId="8" text="" percent="0" bottom="0">
      <formula>0</formula>
    </cfRule>
  </conditionalFormatting>
  <conditionalFormatting sqref="E135">
    <cfRule type="cellIs" rank="0" priority="259" equalAverage="0" operator="equal" aboveAverage="0" dxfId="10" text="" percent="0" bottom="0">
      <formula>"Evet"</formula>
    </cfRule>
  </conditionalFormatting>
  <conditionalFormatting sqref="D136">
    <cfRule type="cellIs" rank="0" priority="260" equalAverage="0" operator="greaterThan" aboveAverage="0" dxfId="8" text="" percent="0" bottom="0">
      <formula>0</formula>
    </cfRule>
  </conditionalFormatting>
  <conditionalFormatting sqref="E136">
    <cfRule type="cellIs" rank="0" priority="261" equalAverage="0" operator="equal" aboveAverage="0" dxfId="10" text="" percent="0" bottom="0">
      <formula>"Evet"</formula>
    </cfRule>
  </conditionalFormatting>
  <conditionalFormatting sqref="D137">
    <cfRule type="cellIs" rank="0" priority="262" equalAverage="0" operator="greaterThan" aboveAverage="0" dxfId="8" text="" percent="0" bottom="0">
      <formula>0</formula>
    </cfRule>
  </conditionalFormatting>
  <conditionalFormatting sqref="E137">
    <cfRule type="cellIs" rank="0" priority="263" equalAverage="0" operator="equal" aboveAverage="0" dxfId="10" text="" percent="0" bottom="0">
      <formula>"Evet"</formula>
    </cfRule>
  </conditionalFormatting>
  <conditionalFormatting sqref="D138">
    <cfRule type="cellIs" rank="0" priority="264" equalAverage="0" operator="greaterThan" aboveAverage="0" dxfId="8" text="" percent="0" bottom="0">
      <formula>0</formula>
    </cfRule>
  </conditionalFormatting>
  <conditionalFormatting sqref="E138">
    <cfRule type="cellIs" rank="0" priority="265" equalAverage="0" operator="equal" aboveAverage="0" dxfId="10" text="" percent="0" bottom="0">
      <formula>"Evet"</formula>
    </cfRule>
  </conditionalFormatting>
  <conditionalFormatting sqref="D139">
    <cfRule type="cellIs" rank="0" priority="266" equalAverage="0" operator="greaterThan" aboveAverage="0" dxfId="8" text="" percent="0" bottom="0">
      <formula>0</formula>
    </cfRule>
  </conditionalFormatting>
  <conditionalFormatting sqref="E139">
    <cfRule type="cellIs" rank="0" priority="267" equalAverage="0" operator="equal" aboveAverage="0" dxfId="10" text="" percent="0" bottom="0">
      <formula>"Evet"</formula>
    </cfRule>
  </conditionalFormatting>
  <conditionalFormatting sqref="D140">
    <cfRule type="cellIs" rank="0" priority="268" equalAverage="0" operator="greaterThan" aboveAverage="0" dxfId="8" text="" percent="0" bottom="0">
      <formula>0</formula>
    </cfRule>
  </conditionalFormatting>
  <conditionalFormatting sqref="E140">
    <cfRule type="cellIs" rank="0" priority="269" equalAverage="0" operator="equal" aboveAverage="0" dxfId="10" text="" percent="0" bottom="0">
      <formula>"Evet"</formula>
    </cfRule>
  </conditionalFormatting>
  <conditionalFormatting sqref="D141">
    <cfRule type="cellIs" rank="0" priority="270" equalAverage="0" operator="greaterThan" aboveAverage="0" dxfId="8" text="" percent="0" bottom="0">
      <formula>0</formula>
    </cfRule>
  </conditionalFormatting>
  <conditionalFormatting sqref="E141">
    <cfRule type="cellIs" rank="0" priority="271" equalAverage="0" operator="equal" aboveAverage="0" dxfId="10" text="" percent="0" bottom="0">
      <formula>"Evet"</formula>
    </cfRule>
  </conditionalFormatting>
  <conditionalFormatting sqref="D142">
    <cfRule type="cellIs" rank="0" priority="272" equalAverage="0" operator="greaterThan" aboveAverage="0" dxfId="8" text="" percent="0" bottom="0">
      <formula>0</formula>
    </cfRule>
  </conditionalFormatting>
  <conditionalFormatting sqref="E142">
    <cfRule type="cellIs" rank="0" priority="273" equalAverage="0" operator="equal" aboveAverage="0" dxfId="10" text="" percent="0" bottom="0">
      <formula>"Evet"</formula>
    </cfRule>
  </conditionalFormatting>
  <conditionalFormatting sqref="D143">
    <cfRule type="cellIs" rank="0" priority="274" equalAverage="0" operator="greaterThan" aboveAverage="0" dxfId="8" text="" percent="0" bottom="0">
      <formula>0</formula>
    </cfRule>
  </conditionalFormatting>
  <conditionalFormatting sqref="E143">
    <cfRule type="cellIs" rank="0" priority="275" equalAverage="0" operator="equal" aboveAverage="0" dxfId="10" text="" percent="0" bottom="0">
      <formula>"Evet"</formula>
    </cfRule>
  </conditionalFormatting>
  <conditionalFormatting sqref="D144">
    <cfRule type="cellIs" rank="0" priority="276" equalAverage="0" operator="greaterThan" aboveAverage="0" dxfId="8" text="" percent="0" bottom="0">
      <formula>0</formula>
    </cfRule>
  </conditionalFormatting>
  <conditionalFormatting sqref="E144">
    <cfRule type="cellIs" rank="0" priority="277" equalAverage="0" operator="equal" aboveAverage="0" dxfId="10" text="" percent="0" bottom="0">
      <formula>"Evet"</formula>
    </cfRule>
  </conditionalFormatting>
  <conditionalFormatting sqref="D145">
    <cfRule type="cellIs" rank="0" priority="278" equalAverage="0" operator="greaterThan" aboveAverage="0" dxfId="8" text="" percent="0" bottom="0">
      <formula>0</formula>
    </cfRule>
  </conditionalFormatting>
  <conditionalFormatting sqref="E145">
    <cfRule type="cellIs" rank="0" priority="279" equalAverage="0" operator="equal" aboveAverage="0" dxfId="10" text="" percent="0" bottom="0">
      <formula>"Evet"</formula>
    </cfRule>
  </conditionalFormatting>
  <conditionalFormatting sqref="D146">
    <cfRule type="cellIs" rank="0" priority="280" equalAverage="0" operator="greaterThan" aboveAverage="0" dxfId="8" text="" percent="0" bottom="0">
      <formula>0</formula>
    </cfRule>
  </conditionalFormatting>
  <conditionalFormatting sqref="E146">
    <cfRule type="cellIs" rank="0" priority="281" equalAverage="0" operator="equal" aboveAverage="0" dxfId="10" text="" percent="0" bottom="0">
      <formula>"Evet"</formula>
    </cfRule>
  </conditionalFormatting>
  <conditionalFormatting sqref="D147">
    <cfRule type="cellIs" rank="0" priority="282" equalAverage="0" operator="greaterThan" aboveAverage="0" dxfId="8" text="" percent="0" bottom="0">
      <formula>0</formula>
    </cfRule>
  </conditionalFormatting>
  <conditionalFormatting sqref="E147">
    <cfRule type="cellIs" rank="0" priority="283" equalAverage="0" operator="equal" aboveAverage="0" dxfId="10" text="" percent="0" bottom="0">
      <formula>"Evet"</formula>
    </cfRule>
  </conditionalFormatting>
  <conditionalFormatting sqref="D148">
    <cfRule type="cellIs" rank="0" priority="284" equalAverage="0" operator="greaterThan" aboveAverage="0" dxfId="8" text="" percent="0" bottom="0">
      <formula>0</formula>
    </cfRule>
  </conditionalFormatting>
  <conditionalFormatting sqref="E148">
    <cfRule type="cellIs" rank="0" priority="285" equalAverage="0" operator="equal" aboveAverage="0" dxfId="10" text="" percent="0" bottom="0">
      <formula>"Evet"</formula>
    </cfRule>
  </conditionalFormatting>
  <conditionalFormatting sqref="D149">
    <cfRule type="cellIs" rank="0" priority="286" equalAverage="0" operator="greaterThan" aboveAverage="0" dxfId="8" text="" percent="0" bottom="0">
      <formula>0</formula>
    </cfRule>
  </conditionalFormatting>
  <conditionalFormatting sqref="E149">
    <cfRule type="cellIs" rank="0" priority="287" equalAverage="0" operator="equal" aboveAverage="0" dxfId="10" text="" percent="0" bottom="0">
      <formula>"Evet"</formula>
    </cfRule>
  </conditionalFormatting>
  <conditionalFormatting sqref="D150">
    <cfRule type="cellIs" rank="0" priority="288" equalAverage="0" operator="greaterThan" aboveAverage="0" dxfId="8" text="" percent="0" bottom="0">
      <formula>0</formula>
    </cfRule>
  </conditionalFormatting>
  <conditionalFormatting sqref="E150">
    <cfRule type="cellIs" rank="0" priority="289" equalAverage="0" operator="equal" aboveAverage="0" dxfId="10" text="" percent="0" bottom="0">
      <formula>"Evet"</formula>
    </cfRule>
  </conditionalFormatting>
  <conditionalFormatting sqref="D151">
    <cfRule type="cellIs" rank="0" priority="290" equalAverage="0" operator="greaterThan" aboveAverage="0" dxfId="8" text="" percent="0" bottom="0">
      <formula>0</formula>
    </cfRule>
  </conditionalFormatting>
  <conditionalFormatting sqref="E151">
    <cfRule type="cellIs" rank="0" priority="291" equalAverage="0" operator="equal" aboveAverage="0" dxfId="10" text="" percent="0" bottom="0">
      <formula>"Evet"</formula>
    </cfRule>
  </conditionalFormatting>
  <conditionalFormatting sqref="D152">
    <cfRule type="cellIs" rank="0" priority="292" equalAverage="0" operator="greaterThan" aboveAverage="0" dxfId="8" text="" percent="0" bottom="0">
      <formula>0</formula>
    </cfRule>
  </conditionalFormatting>
  <conditionalFormatting sqref="E152">
    <cfRule type="cellIs" rank="0" priority="293" equalAverage="0" operator="equal" aboveAverage="0" dxfId="10" text="" percent="0" bottom="0">
      <formula>"Evet"</formula>
    </cfRule>
  </conditionalFormatting>
  <conditionalFormatting sqref="D153">
    <cfRule type="cellIs" rank="0" priority="294" equalAverage="0" operator="greaterThan" aboveAverage="0" dxfId="8" text="" percent="0" bottom="0">
      <formula>0</formula>
    </cfRule>
  </conditionalFormatting>
  <conditionalFormatting sqref="E153">
    <cfRule type="cellIs" rank="0" priority="295" equalAverage="0" operator="equal" aboveAverage="0" dxfId="10" text="" percent="0" bottom="0">
      <formula>"Evet"</formula>
    </cfRule>
  </conditionalFormatting>
  <conditionalFormatting sqref="D154">
    <cfRule type="cellIs" rank="0" priority="296" equalAverage="0" operator="greaterThan" aboveAverage="0" dxfId="8" text="" percent="0" bottom="0">
      <formula>0</formula>
    </cfRule>
  </conditionalFormatting>
  <conditionalFormatting sqref="E154">
    <cfRule type="cellIs" rank="0" priority="297" equalAverage="0" operator="equal" aboveAverage="0" dxfId="10" text="" percent="0" bottom="0">
      <formula>"Evet"</formula>
    </cfRule>
  </conditionalFormatting>
  <conditionalFormatting sqref="D155">
    <cfRule type="cellIs" rank="0" priority="298" equalAverage="0" operator="greaterThan" aboveAverage="0" dxfId="8" text="" percent="0" bottom="0">
      <formula>0</formula>
    </cfRule>
  </conditionalFormatting>
  <conditionalFormatting sqref="E155">
    <cfRule type="cellIs" rank="0" priority="299" equalAverage="0" operator="equal" aboveAverage="0" dxfId="10" text="" percent="0" bottom="0">
      <formula>"Evet"</formula>
    </cfRule>
  </conditionalFormatting>
  <conditionalFormatting sqref="D156">
    <cfRule type="cellIs" rank="0" priority="300" equalAverage="0" operator="greaterThan" aboveAverage="0" dxfId="8" text="" percent="0" bottom="0">
      <formula>0</formula>
    </cfRule>
  </conditionalFormatting>
  <conditionalFormatting sqref="E156">
    <cfRule type="cellIs" rank="0" priority="301" equalAverage="0" operator="equal" aboveAverage="0" dxfId="10" text="" percent="0" bottom="0">
      <formula>"Evet"</formula>
    </cfRule>
  </conditionalFormatting>
  <conditionalFormatting sqref="D157">
    <cfRule type="cellIs" rank="0" priority="302" equalAverage="0" operator="greaterThan" aboveAverage="0" dxfId="8" text="" percent="0" bottom="0">
      <formula>0</formula>
    </cfRule>
  </conditionalFormatting>
  <conditionalFormatting sqref="E157">
    <cfRule type="cellIs" rank="0" priority="303" equalAverage="0" operator="equal" aboveAverage="0" dxfId="10" text="" percent="0" bottom="0">
      <formula>"Evet"</formula>
    </cfRule>
  </conditionalFormatting>
  <conditionalFormatting sqref="D158">
    <cfRule type="cellIs" rank="0" priority="304" equalAverage="0" operator="greaterThan" aboveAverage="0" dxfId="8" text="" percent="0" bottom="0">
      <formula>0</formula>
    </cfRule>
  </conditionalFormatting>
  <conditionalFormatting sqref="E158">
    <cfRule type="cellIs" rank="0" priority="305" equalAverage="0" operator="equal" aboveAverage="0" dxfId="10" text="" percent="0" bottom="0">
      <formula>"Evet"</formula>
    </cfRule>
  </conditionalFormatting>
  <conditionalFormatting sqref="D159">
    <cfRule type="cellIs" rank="0" priority="306" equalAverage="0" operator="greaterThan" aboveAverage="0" dxfId="8" text="" percent="0" bottom="0">
      <formula>0</formula>
    </cfRule>
  </conditionalFormatting>
  <conditionalFormatting sqref="E159">
    <cfRule type="cellIs" rank="0" priority="307" equalAverage="0" operator="equal" aboveAverage="0" dxfId="10" text="" percent="0" bottom="0">
      <formula>"Evet"</formula>
    </cfRule>
  </conditionalFormatting>
  <conditionalFormatting sqref="D160">
    <cfRule type="cellIs" rank="0" priority="308" equalAverage="0" operator="greaterThan" aboveAverage="0" dxfId="8" text="" percent="0" bottom="0">
      <formula>0</formula>
    </cfRule>
  </conditionalFormatting>
  <conditionalFormatting sqref="E160">
    <cfRule type="cellIs" rank="0" priority="309" equalAverage="0" operator="equal" aboveAverage="0" dxfId="10" text="" percent="0" bottom="0">
      <formula>"Evet"</formula>
    </cfRule>
  </conditionalFormatting>
  <conditionalFormatting sqref="D161">
    <cfRule type="cellIs" rank="0" priority="310" equalAverage="0" operator="greaterThan" aboveAverage="0" dxfId="8" text="" percent="0" bottom="0">
      <formula>0</formula>
    </cfRule>
  </conditionalFormatting>
  <conditionalFormatting sqref="E161">
    <cfRule type="cellIs" rank="0" priority="311" equalAverage="0" operator="equal" aboveAverage="0" dxfId="10" text="" percent="0" bottom="0">
      <formula>"Evet"</formula>
    </cfRule>
  </conditionalFormatting>
  <conditionalFormatting sqref="D162">
    <cfRule type="cellIs" rank="0" priority="312" equalAverage="0" operator="greaterThan" aboveAverage="0" dxfId="8" text="" percent="0" bottom="0">
      <formula>0</formula>
    </cfRule>
  </conditionalFormatting>
  <conditionalFormatting sqref="E162">
    <cfRule type="cellIs" rank="0" priority="313" equalAverage="0" operator="equal" aboveAverage="0" dxfId="10" text="" percent="0" bottom="0">
      <formula>"Evet"</formula>
    </cfRule>
  </conditionalFormatting>
  <conditionalFormatting sqref="D163">
    <cfRule type="cellIs" rank="0" priority="314" equalAverage="0" operator="greaterThan" aboveAverage="0" dxfId="8" text="" percent="0" bottom="0">
      <formula>0</formula>
    </cfRule>
  </conditionalFormatting>
  <conditionalFormatting sqref="E163">
    <cfRule type="cellIs" rank="0" priority="315" equalAverage="0" operator="equal" aboveAverage="0" dxfId="10" text="" percent="0" bottom="0">
      <formula>"Evet"</formula>
    </cfRule>
  </conditionalFormatting>
  <conditionalFormatting sqref="D164">
    <cfRule type="cellIs" rank="0" priority="316" equalAverage="0" operator="greaterThan" aboveAverage="0" dxfId="8" text="" percent="0" bottom="0">
      <formula>0</formula>
    </cfRule>
  </conditionalFormatting>
  <conditionalFormatting sqref="E164">
    <cfRule type="cellIs" rank="0" priority="317" equalAverage="0" operator="equal" aboveAverage="0" dxfId="10" text="" percent="0" bottom="0">
      <formula>"Evet"</formula>
    </cfRule>
  </conditionalFormatting>
  <conditionalFormatting sqref="D165">
    <cfRule type="cellIs" rank="0" priority="318" equalAverage="0" operator="greaterThan" aboveAverage="0" dxfId="8" text="" percent="0" bottom="0">
      <formula>0</formula>
    </cfRule>
  </conditionalFormatting>
  <conditionalFormatting sqref="E165">
    <cfRule type="cellIs" rank="0" priority="319" equalAverage="0" operator="equal" aboveAverage="0" dxfId="10" text="" percent="0" bottom="0">
      <formula>"Evet"</formula>
    </cfRule>
  </conditionalFormatting>
  <conditionalFormatting sqref="D166">
    <cfRule type="cellIs" rank="0" priority="320" equalAverage="0" operator="greaterThan" aboveAverage="0" dxfId="8" text="" percent="0" bottom="0">
      <formula>0</formula>
    </cfRule>
  </conditionalFormatting>
  <conditionalFormatting sqref="E166">
    <cfRule type="cellIs" rank="0" priority="321" equalAverage="0" operator="equal" aboveAverage="0" dxfId="10" text="" percent="0" bottom="0">
      <formula>"Evet"</formula>
    </cfRule>
  </conditionalFormatting>
  <conditionalFormatting sqref="D167">
    <cfRule type="cellIs" rank="0" priority="322" equalAverage="0" operator="greaterThan" aboveAverage="0" dxfId="8" text="" percent="0" bottom="0">
      <formula>0</formula>
    </cfRule>
  </conditionalFormatting>
  <conditionalFormatting sqref="E167">
    <cfRule type="cellIs" rank="0" priority="323" equalAverage="0" operator="equal" aboveAverage="0" dxfId="10" text="" percent="0" bottom="0">
      <formula>"Evet"</formula>
    </cfRule>
  </conditionalFormatting>
  <conditionalFormatting sqref="D168">
    <cfRule type="cellIs" rank="0" priority="324" equalAverage="0" operator="greaterThan" aboveAverage="0" dxfId="8" text="" percent="0" bottom="0">
      <formula>0</formula>
    </cfRule>
  </conditionalFormatting>
  <conditionalFormatting sqref="E168">
    <cfRule type="cellIs" rank="0" priority="325" equalAverage="0" operator="equal" aboveAverage="0" dxfId="10" text="" percent="0" bottom="0">
      <formula>"Evet"</formula>
    </cfRule>
  </conditionalFormatting>
  <conditionalFormatting sqref="D169">
    <cfRule type="cellIs" rank="0" priority="326" equalAverage="0" operator="greaterThan" aboveAverage="0" dxfId="8" text="" percent="0" bottom="0">
      <formula>0</formula>
    </cfRule>
  </conditionalFormatting>
  <conditionalFormatting sqref="E169">
    <cfRule type="cellIs" rank="0" priority="327" equalAverage="0" operator="equal" aboveAverage="0" dxfId="10" text="" percent="0" bottom="0">
      <formula>"Evet"</formula>
    </cfRule>
  </conditionalFormatting>
  <conditionalFormatting sqref="D170">
    <cfRule type="cellIs" rank="0" priority="328" equalAverage="0" operator="greaterThan" aboveAverage="0" dxfId="8" text="" percent="0" bottom="0">
      <formula>0</formula>
    </cfRule>
  </conditionalFormatting>
  <conditionalFormatting sqref="E170">
    <cfRule type="cellIs" rank="0" priority="329" equalAverage="0" operator="equal" aboveAverage="0" dxfId="10" text="" percent="0" bottom="0">
      <formula>"Evet"</formula>
    </cfRule>
  </conditionalFormatting>
  <conditionalFormatting sqref="D171">
    <cfRule type="cellIs" rank="0" priority="330" equalAverage="0" operator="greaterThan" aboveAverage="0" dxfId="8" text="" percent="0" bottom="0">
      <formula>0</formula>
    </cfRule>
  </conditionalFormatting>
  <conditionalFormatting sqref="E171">
    <cfRule type="cellIs" rank="0" priority="331" equalAverage="0" operator="equal" aboveAverage="0" dxfId="10" text="" percent="0" bottom="0">
      <formula>"Evet"</formula>
    </cfRule>
  </conditionalFormatting>
  <conditionalFormatting sqref="D172">
    <cfRule type="cellIs" rank="0" priority="332" equalAverage="0" operator="greaterThan" aboveAverage="0" dxfId="8" text="" percent="0" bottom="0">
      <formula>0</formula>
    </cfRule>
  </conditionalFormatting>
  <conditionalFormatting sqref="E172">
    <cfRule type="cellIs" rank="0" priority="333" equalAverage="0" operator="equal" aboveAverage="0" dxfId="10" text="" percent="0" bottom="0">
      <formula>"Evet"</formula>
    </cfRule>
  </conditionalFormatting>
  <conditionalFormatting sqref="D173">
    <cfRule type="cellIs" rank="0" priority="334" equalAverage="0" operator="greaterThan" aboveAverage="0" dxfId="8" text="" percent="0" bottom="0">
      <formula>0</formula>
    </cfRule>
  </conditionalFormatting>
  <conditionalFormatting sqref="E173">
    <cfRule type="cellIs" rank="0" priority="335" equalAverage="0" operator="equal" aboveAverage="0" dxfId="10" text="" percent="0" bottom="0">
      <formula>"Evet"</formula>
    </cfRule>
  </conditionalFormatting>
  <conditionalFormatting sqref="D174">
    <cfRule type="cellIs" rank="0" priority="336" equalAverage="0" operator="greaterThan" aboveAverage="0" dxfId="8" text="" percent="0" bottom="0">
      <formula>0</formula>
    </cfRule>
  </conditionalFormatting>
  <conditionalFormatting sqref="E174">
    <cfRule type="cellIs" rank="0" priority="337" equalAverage="0" operator="equal" aboveAverage="0" dxfId="10" text="" percent="0" bottom="0">
      <formula>"Evet"</formula>
    </cfRule>
  </conditionalFormatting>
  <conditionalFormatting sqref="D175">
    <cfRule type="cellIs" rank="0" priority="338" equalAverage="0" operator="greaterThan" aboveAverage="0" dxfId="8" text="" percent="0" bottom="0">
      <formula>0</formula>
    </cfRule>
  </conditionalFormatting>
  <conditionalFormatting sqref="E175">
    <cfRule type="cellIs" rank="0" priority="339" equalAverage="0" operator="equal" aboveAverage="0" dxfId="10" text="" percent="0" bottom="0">
      <formula>"Evet"</formula>
    </cfRule>
  </conditionalFormatting>
  <conditionalFormatting sqref="D176">
    <cfRule type="cellIs" rank="0" priority="340" equalAverage="0" operator="greaterThan" aboveAverage="0" dxfId="8" text="" percent="0" bottom="0">
      <formula>0</formula>
    </cfRule>
  </conditionalFormatting>
  <conditionalFormatting sqref="E176">
    <cfRule type="cellIs" rank="0" priority="341" equalAverage="0" operator="equal" aboveAverage="0" dxfId="10" text="" percent="0" bottom="0">
      <formula>"Evet"</formula>
    </cfRule>
  </conditionalFormatting>
  <conditionalFormatting sqref="D177">
    <cfRule type="cellIs" rank="0" priority="342" equalAverage="0" operator="greaterThan" aboveAverage="0" dxfId="8" text="" percent="0" bottom="0">
      <formula>0</formula>
    </cfRule>
  </conditionalFormatting>
  <conditionalFormatting sqref="E177">
    <cfRule type="cellIs" rank="0" priority="343" equalAverage="0" operator="equal" aboveAverage="0" dxfId="10" text="" percent="0" bottom="0">
      <formula>"Evet"</formula>
    </cfRule>
  </conditionalFormatting>
  <conditionalFormatting sqref="D178">
    <cfRule type="cellIs" rank="0" priority="344" equalAverage="0" operator="greaterThan" aboveAverage="0" dxfId="8" text="" percent="0" bottom="0">
      <formula>0</formula>
    </cfRule>
  </conditionalFormatting>
  <conditionalFormatting sqref="E178">
    <cfRule type="cellIs" rank="0" priority="345" equalAverage="0" operator="equal" aboveAverage="0" dxfId="10" text="" percent="0" bottom="0">
      <formula>"Evet"</formula>
    </cfRule>
  </conditionalFormatting>
  <conditionalFormatting sqref="D179">
    <cfRule type="cellIs" rank="0" priority="346" equalAverage="0" operator="greaterThan" aboveAverage="0" dxfId="8" text="" percent="0" bottom="0">
      <formula>0</formula>
    </cfRule>
  </conditionalFormatting>
  <conditionalFormatting sqref="E179">
    <cfRule type="cellIs" rank="0" priority="347" equalAverage="0" operator="equal" aboveAverage="0" dxfId="10" text="" percent="0" bottom="0">
      <formula>"Evet"</formula>
    </cfRule>
  </conditionalFormatting>
  <conditionalFormatting sqref="D180">
    <cfRule type="cellIs" rank="0" priority="348" equalAverage="0" operator="greaterThan" aboveAverage="0" dxfId="8" text="" percent="0" bottom="0">
      <formula>0</formula>
    </cfRule>
  </conditionalFormatting>
  <conditionalFormatting sqref="E180">
    <cfRule type="cellIs" rank="0" priority="349" equalAverage="0" operator="equal" aboveAverage="0" dxfId="10" text="" percent="0" bottom="0">
      <formula>"Evet"</formula>
    </cfRule>
  </conditionalFormatting>
  <conditionalFormatting sqref="D181">
    <cfRule type="cellIs" rank="0" priority="350" equalAverage="0" operator="greaterThan" aboveAverage="0" dxfId="8" text="" percent="0" bottom="0">
      <formula>0</formula>
    </cfRule>
  </conditionalFormatting>
  <conditionalFormatting sqref="E181">
    <cfRule type="cellIs" rank="0" priority="351" equalAverage="0" operator="equal" aboveAverage="0" dxfId="10" text="" percent="0" bottom="0">
      <formula>"Evet"</formula>
    </cfRule>
  </conditionalFormatting>
  <conditionalFormatting sqref="D182">
    <cfRule type="cellIs" rank="0" priority="352" equalAverage="0" operator="greaterThan" aboveAverage="0" dxfId="8" text="" percent="0" bottom="0">
      <formula>0</formula>
    </cfRule>
  </conditionalFormatting>
  <conditionalFormatting sqref="E182">
    <cfRule type="cellIs" rank="0" priority="353" equalAverage="0" operator="equal" aboveAverage="0" dxfId="10" text="" percent="0" bottom="0">
      <formula>"Evet"</formula>
    </cfRule>
  </conditionalFormatting>
  <conditionalFormatting sqref="D183">
    <cfRule type="cellIs" rank="0" priority="354" equalAverage="0" operator="greaterThan" aboveAverage="0" dxfId="8" text="" percent="0" bottom="0">
      <formula>0</formula>
    </cfRule>
  </conditionalFormatting>
  <conditionalFormatting sqref="E183">
    <cfRule type="cellIs" rank="0" priority="355" equalAverage="0" operator="equal" aboveAverage="0" dxfId="10" text="" percent="0" bottom="0">
      <formula>"Evet"</formula>
    </cfRule>
  </conditionalFormatting>
  <conditionalFormatting sqref="D184">
    <cfRule type="cellIs" rank="0" priority="356" equalAverage="0" operator="greaterThan" aboveAverage="0" dxfId="8" text="" percent="0" bottom="0">
      <formula>0</formula>
    </cfRule>
  </conditionalFormatting>
  <conditionalFormatting sqref="E184">
    <cfRule type="cellIs" rank="0" priority="357" equalAverage="0" operator="equal" aboveAverage="0" dxfId="10" text="" percent="0" bottom="0">
      <formula>"Evet"</formula>
    </cfRule>
  </conditionalFormatting>
  <conditionalFormatting sqref="D185">
    <cfRule type="cellIs" rank="0" priority="358" equalAverage="0" operator="greaterThan" aboveAverage="0" dxfId="8" text="" percent="0" bottom="0">
      <formula>0</formula>
    </cfRule>
  </conditionalFormatting>
  <conditionalFormatting sqref="E185">
    <cfRule type="cellIs" rank="0" priority="359" equalAverage="0" operator="equal" aboveAverage="0" dxfId="10" text="" percent="0" bottom="0">
      <formula>"Evet"</formula>
    </cfRule>
  </conditionalFormatting>
  <conditionalFormatting sqref="D186">
    <cfRule type="cellIs" rank="0" priority="360" equalAverage="0" operator="greaterThan" aboveAverage="0" dxfId="8" text="" percent="0" bottom="0">
      <formula>0</formula>
    </cfRule>
  </conditionalFormatting>
  <conditionalFormatting sqref="E186">
    <cfRule type="cellIs" rank="0" priority="361" equalAverage="0" operator="equal" aboveAverage="0" dxfId="10" text="" percent="0" bottom="0">
      <formula>"Evet"</formula>
    </cfRule>
  </conditionalFormatting>
  <conditionalFormatting sqref="D187">
    <cfRule type="cellIs" rank="0" priority="362" equalAverage="0" operator="greaterThan" aboveAverage="0" dxfId="8" text="" percent="0" bottom="0">
      <formula>0</formula>
    </cfRule>
  </conditionalFormatting>
  <conditionalFormatting sqref="E187">
    <cfRule type="cellIs" rank="0" priority="363" equalAverage="0" operator="equal" aboveAverage="0" dxfId="10" text="" percent="0" bottom="0">
      <formula>"Evet"</formula>
    </cfRule>
  </conditionalFormatting>
  <conditionalFormatting sqref="D188">
    <cfRule type="cellIs" rank="0" priority="364" equalAverage="0" operator="greaterThan" aboveAverage="0" dxfId="8" text="" percent="0" bottom="0">
      <formula>0</formula>
    </cfRule>
  </conditionalFormatting>
  <conditionalFormatting sqref="E188">
    <cfRule type="cellIs" rank="0" priority="365" equalAverage="0" operator="equal" aboveAverage="0" dxfId="10" text="" percent="0" bottom="0">
      <formula>"Evet"</formula>
    </cfRule>
  </conditionalFormatting>
  <conditionalFormatting sqref="D189">
    <cfRule type="cellIs" rank="0" priority="366" equalAverage="0" operator="greaterThan" aboveAverage="0" dxfId="8" text="" percent="0" bottom="0">
      <formula>0</formula>
    </cfRule>
  </conditionalFormatting>
  <conditionalFormatting sqref="E189">
    <cfRule type="cellIs" rank="0" priority="367" equalAverage="0" operator="equal" aboveAverage="0" dxfId="10" text="" percent="0" bottom="0">
      <formula>"Evet"</formula>
    </cfRule>
  </conditionalFormatting>
  <conditionalFormatting sqref="D190">
    <cfRule type="cellIs" rank="0" priority="368" equalAverage="0" operator="greaterThan" aboveAverage="0" dxfId="8" text="" percent="0" bottom="0">
      <formula>0</formula>
    </cfRule>
  </conditionalFormatting>
  <conditionalFormatting sqref="E190">
    <cfRule type="cellIs" rank="0" priority="369" equalAverage="0" operator="equal" aboveAverage="0" dxfId="10" text="" percent="0" bottom="0">
      <formula>"Evet"</formula>
    </cfRule>
  </conditionalFormatting>
  <conditionalFormatting sqref="D191">
    <cfRule type="cellIs" rank="0" priority="370" equalAverage="0" operator="greaterThan" aboveAverage="0" dxfId="8" text="" percent="0" bottom="0">
      <formula>0</formula>
    </cfRule>
  </conditionalFormatting>
  <conditionalFormatting sqref="E191">
    <cfRule type="cellIs" rank="0" priority="371" equalAverage="0" operator="equal" aboveAverage="0" dxfId="10" text="" percent="0" bottom="0">
      <formula>"Evet"</formula>
    </cfRule>
  </conditionalFormatting>
  <conditionalFormatting sqref="D192">
    <cfRule type="cellIs" rank="0" priority="372" equalAverage="0" operator="greaterThan" aboveAverage="0" dxfId="8" text="" percent="0" bottom="0">
      <formula>0</formula>
    </cfRule>
  </conditionalFormatting>
  <conditionalFormatting sqref="E192">
    <cfRule type="cellIs" rank="0" priority="373" equalAverage="0" operator="equal" aboveAverage="0" dxfId="10" text="" percent="0" bottom="0">
      <formula>"Evet"</formula>
    </cfRule>
  </conditionalFormatting>
  <conditionalFormatting sqref="D193">
    <cfRule type="cellIs" rank="0" priority="374" equalAverage="0" operator="greaterThan" aboveAverage="0" dxfId="8" text="" percent="0" bottom="0">
      <formula>0</formula>
    </cfRule>
  </conditionalFormatting>
  <conditionalFormatting sqref="E193">
    <cfRule type="cellIs" rank="0" priority="375" equalAverage="0" operator="equal" aboveAverage="0" dxfId="10" text="" percent="0" bottom="0">
      <formula>"Evet"</formula>
    </cfRule>
  </conditionalFormatting>
  <conditionalFormatting sqref="D194">
    <cfRule type="cellIs" rank="0" priority="376" equalAverage="0" operator="greaterThan" aboveAverage="0" dxfId="8" text="" percent="0" bottom="0">
      <formula>0</formula>
    </cfRule>
  </conditionalFormatting>
  <conditionalFormatting sqref="E194">
    <cfRule type="cellIs" rank="0" priority="377" equalAverage="0" operator="equal" aboveAverage="0" dxfId="10" text="" percent="0" bottom="0">
      <formula>"Evet"</formula>
    </cfRule>
  </conditionalFormatting>
  <conditionalFormatting sqref="D195">
    <cfRule type="cellIs" rank="0" priority="378" equalAverage="0" operator="greaterThan" aboveAverage="0" dxfId="8" text="" percent="0" bottom="0">
      <formula>0</formula>
    </cfRule>
  </conditionalFormatting>
  <conditionalFormatting sqref="E195">
    <cfRule type="cellIs" rank="0" priority="379" equalAverage="0" operator="equal" aboveAverage="0" dxfId="10" text="" percent="0" bottom="0">
      <formula>"Evet"</formula>
    </cfRule>
  </conditionalFormatting>
  <conditionalFormatting sqref="D196">
    <cfRule type="cellIs" rank="0" priority="380" equalAverage="0" operator="greaterThan" aboveAverage="0" dxfId="8" text="" percent="0" bottom="0">
      <formula>0</formula>
    </cfRule>
  </conditionalFormatting>
  <conditionalFormatting sqref="E196">
    <cfRule type="cellIs" rank="0" priority="381" equalAverage="0" operator="equal" aboveAverage="0" dxfId="10" text="" percent="0" bottom="0">
      <formula>"Evet"</formula>
    </cfRule>
  </conditionalFormatting>
  <conditionalFormatting sqref="D197">
    <cfRule type="cellIs" rank="0" priority="382" equalAverage="0" operator="greaterThan" aboveAverage="0" dxfId="8" text="" percent="0" bottom="0">
      <formula>0</formula>
    </cfRule>
  </conditionalFormatting>
  <conditionalFormatting sqref="E197">
    <cfRule type="cellIs" rank="0" priority="383" equalAverage="0" operator="equal" aboveAverage="0" dxfId="10" text="" percent="0" bottom="0">
      <formula>"Evet"</formula>
    </cfRule>
  </conditionalFormatting>
  <conditionalFormatting sqref="D198">
    <cfRule type="cellIs" rank="0" priority="384" equalAverage="0" operator="greaterThan" aboveAverage="0" dxfId="8" text="" percent="0" bottom="0">
      <formula>0</formula>
    </cfRule>
  </conditionalFormatting>
  <conditionalFormatting sqref="E198">
    <cfRule type="cellIs" rank="0" priority="385" equalAverage="0" operator="equal" aboveAverage="0" dxfId="10" text="" percent="0" bottom="0">
      <formula>"Evet"</formula>
    </cfRule>
  </conditionalFormatting>
  <conditionalFormatting sqref="D199">
    <cfRule type="cellIs" rank="0" priority="386" equalAverage="0" operator="greaterThan" aboveAverage="0" dxfId="8" text="" percent="0" bottom="0">
      <formula>0</formula>
    </cfRule>
  </conditionalFormatting>
  <conditionalFormatting sqref="E199">
    <cfRule type="cellIs" rank="0" priority="387" equalAverage="0" operator="equal" aboveAverage="0" dxfId="10" text="" percent="0" bottom="0">
      <formula>"Evet"</formula>
    </cfRule>
  </conditionalFormatting>
  <conditionalFormatting sqref="D200">
    <cfRule type="cellIs" rank="0" priority="388" equalAverage="0" operator="greaterThan" aboveAverage="0" dxfId="8" text="" percent="0" bottom="0">
      <formula>0</formula>
    </cfRule>
  </conditionalFormatting>
  <conditionalFormatting sqref="E200">
    <cfRule type="cellIs" rank="0" priority="389" equalAverage="0" operator="equal" aboveAverage="0" dxfId="10" text="" percent="0" bottom="0">
      <formula>"Evet"</formula>
    </cfRule>
  </conditionalFormatting>
  <conditionalFormatting sqref="D201">
    <cfRule type="cellIs" rank="0" priority="390" equalAverage="0" operator="greaterThan" aboveAverage="0" dxfId="8" text="" percent="0" bottom="0">
      <formula>0</formula>
    </cfRule>
  </conditionalFormatting>
  <conditionalFormatting sqref="E201">
    <cfRule type="cellIs" rank="0" priority="391" equalAverage="0" operator="equal" aboveAverage="0" dxfId="10" text="" percent="0" bottom="0">
      <formula>"Evet"</formula>
    </cfRule>
  </conditionalFormatting>
  <conditionalFormatting sqref="D202">
    <cfRule type="cellIs" rank="0" priority="392" equalAverage="0" operator="greaterThan" aboveAverage="0" dxfId="8" text="" percent="0" bottom="0">
      <formula>0</formula>
    </cfRule>
  </conditionalFormatting>
  <conditionalFormatting sqref="E202">
    <cfRule type="cellIs" rank="0" priority="393" equalAverage="0" operator="equal" aboveAverage="0" dxfId="10" text="" percent="0" bottom="0">
      <formula>"Evet"</formula>
    </cfRule>
  </conditionalFormatting>
  <conditionalFormatting sqref="D203">
    <cfRule type="cellIs" rank="0" priority="394" equalAverage="0" operator="greaterThan" aboveAverage="0" dxfId="8" text="" percent="0" bottom="0">
      <formula>0</formula>
    </cfRule>
  </conditionalFormatting>
  <conditionalFormatting sqref="E203">
    <cfRule type="cellIs" rank="0" priority="395" equalAverage="0" operator="equal" aboveAverage="0" dxfId="10" text="" percent="0" bottom="0">
      <formula>"Evet"</formula>
    </cfRule>
  </conditionalFormatting>
  <conditionalFormatting sqref="D204">
    <cfRule type="cellIs" rank="0" priority="396" equalAverage="0" operator="greaterThan" aboveAverage="0" dxfId="8" text="" percent="0" bottom="0">
      <formula>0</formula>
    </cfRule>
  </conditionalFormatting>
  <conditionalFormatting sqref="E204">
    <cfRule type="cellIs" rank="0" priority="397" equalAverage="0" operator="equal" aboveAverage="0" dxfId="10" text="" percent="0" bottom="0">
      <formula>"Evet"</formula>
    </cfRule>
  </conditionalFormatting>
  <conditionalFormatting sqref="D205">
    <cfRule type="cellIs" rank="0" priority="398" equalAverage="0" operator="greaterThan" aboveAverage="0" dxfId="8" text="" percent="0" bottom="0">
      <formula>0</formula>
    </cfRule>
  </conditionalFormatting>
  <conditionalFormatting sqref="E205">
    <cfRule type="cellIs" rank="0" priority="399" equalAverage="0" operator="equal" aboveAverage="0" dxfId="10" text="" percent="0" bottom="0">
      <formula>"Evet"</formula>
    </cfRule>
  </conditionalFormatting>
  <conditionalFormatting sqref="D206">
    <cfRule type="cellIs" rank="0" priority="400" equalAverage="0" operator="greaterThan" aboveAverage="0" dxfId="8" text="" percent="0" bottom="0">
      <formula>0</formula>
    </cfRule>
  </conditionalFormatting>
  <conditionalFormatting sqref="E206">
    <cfRule type="cellIs" rank="0" priority="401" equalAverage="0" operator="equal" aboveAverage="0" dxfId="10" text="" percent="0" bottom="0">
      <formula>"Evet"</formula>
    </cfRule>
  </conditionalFormatting>
  <conditionalFormatting sqref="D207">
    <cfRule type="cellIs" rank="0" priority="402" equalAverage="0" operator="greaterThan" aboveAverage="0" dxfId="8" text="" percent="0" bottom="0">
      <formula>0</formula>
    </cfRule>
  </conditionalFormatting>
  <conditionalFormatting sqref="E207">
    <cfRule type="cellIs" rank="0" priority="403" equalAverage="0" operator="equal" aboveAverage="0" dxfId="10" text="" percent="0" bottom="0">
      <formula>"Evet"</formula>
    </cfRule>
  </conditionalFormatting>
  <conditionalFormatting sqref="D208">
    <cfRule type="cellIs" rank="0" priority="404" equalAverage="0" operator="greaterThan" aboveAverage="0" dxfId="8" text="" percent="0" bottom="0">
      <formula>0</formula>
    </cfRule>
  </conditionalFormatting>
  <conditionalFormatting sqref="E208">
    <cfRule type="cellIs" rank="0" priority="405" equalAverage="0" operator="equal" aboveAverage="0" dxfId="10" text="" percent="0" bottom="0">
      <formula>"Evet"</formula>
    </cfRule>
  </conditionalFormatting>
  <conditionalFormatting sqref="D209">
    <cfRule type="cellIs" rank="0" priority="406" equalAverage="0" operator="greaterThan" aboveAverage="0" dxfId="8" text="" percent="0" bottom="0">
      <formula>0</formula>
    </cfRule>
  </conditionalFormatting>
  <conditionalFormatting sqref="E209">
    <cfRule type="cellIs" rank="0" priority="407" equalAverage="0" operator="equal" aboveAverage="0" dxfId="10" text="" percent="0" bottom="0">
      <formula>"Evet"</formula>
    </cfRule>
  </conditionalFormatting>
  <conditionalFormatting sqref="D210">
    <cfRule type="cellIs" rank="0" priority="408" equalAverage="0" operator="greaterThan" aboveAverage="0" dxfId="8" text="" percent="0" bottom="0">
      <formula>0</formula>
    </cfRule>
  </conditionalFormatting>
  <conditionalFormatting sqref="E210">
    <cfRule type="cellIs" rank="0" priority="409" equalAverage="0" operator="equal" aboveAverage="0" dxfId="10" text="" percent="0" bottom="0">
      <formula>"Evet"</formula>
    </cfRule>
  </conditionalFormatting>
  <conditionalFormatting sqref="D211">
    <cfRule type="cellIs" rank="0" priority="410" equalAverage="0" operator="greaterThan" aboveAverage="0" dxfId="8" text="" percent="0" bottom="0">
      <formula>0</formula>
    </cfRule>
  </conditionalFormatting>
  <conditionalFormatting sqref="E211">
    <cfRule type="cellIs" rank="0" priority="411" equalAverage="0" operator="equal" aboveAverage="0" dxfId="10" text="" percent="0" bottom="0">
      <formula>"Evet"</formula>
    </cfRule>
  </conditionalFormatting>
  <conditionalFormatting sqref="D212">
    <cfRule type="cellIs" rank="0" priority="412" equalAverage="0" operator="greaterThan" aboveAverage="0" dxfId="8" text="" percent="0" bottom="0">
      <formula>0</formula>
    </cfRule>
  </conditionalFormatting>
  <conditionalFormatting sqref="E212">
    <cfRule type="cellIs" rank="0" priority="413" equalAverage="0" operator="equal" aboveAverage="0" dxfId="10" text="" percent="0" bottom="0">
      <formula>"Evet"</formula>
    </cfRule>
  </conditionalFormatting>
  <conditionalFormatting sqref="D213">
    <cfRule type="cellIs" rank="0" priority="414" equalAverage="0" operator="greaterThan" aboveAverage="0" dxfId="8" text="" percent="0" bottom="0">
      <formula>0</formula>
    </cfRule>
  </conditionalFormatting>
  <conditionalFormatting sqref="E213">
    <cfRule type="cellIs" rank="0" priority="415" equalAverage="0" operator="equal" aboveAverage="0" dxfId="10" text="" percent="0" bottom="0">
      <formula>"Evet"</formula>
    </cfRule>
  </conditionalFormatting>
  <conditionalFormatting sqref="D214">
    <cfRule type="cellIs" rank="0" priority="416" equalAverage="0" operator="greaterThan" aboveAverage="0" dxfId="8" text="" percent="0" bottom="0">
      <formula>0</formula>
    </cfRule>
  </conditionalFormatting>
  <conditionalFormatting sqref="E214">
    <cfRule type="cellIs" rank="0" priority="417" equalAverage="0" operator="equal" aboveAverage="0" dxfId="10" text="" percent="0" bottom="0">
      <formula>"Evet"</formula>
    </cfRule>
  </conditionalFormatting>
  <conditionalFormatting sqref="D215">
    <cfRule type="cellIs" rank="0" priority="418" equalAverage="0" operator="greaterThan" aboveAverage="0" dxfId="8" text="" percent="0" bottom="0">
      <formula>0</formula>
    </cfRule>
  </conditionalFormatting>
  <conditionalFormatting sqref="E215">
    <cfRule type="cellIs" rank="0" priority="419" equalAverage="0" operator="equal" aboveAverage="0" dxfId="10" text="" percent="0" bottom="0">
      <formula>"Evet"</formula>
    </cfRule>
  </conditionalFormatting>
  <conditionalFormatting sqref="D216">
    <cfRule type="cellIs" rank="0" priority="420" equalAverage="0" operator="greaterThan" aboveAverage="0" dxfId="8" text="" percent="0" bottom="0">
      <formula>0</formula>
    </cfRule>
  </conditionalFormatting>
  <conditionalFormatting sqref="E216">
    <cfRule type="cellIs" rank="0" priority="421" equalAverage="0" operator="equal" aboveAverage="0" dxfId="10" text="" percent="0" bottom="0">
      <formula>"Evet"</formula>
    </cfRule>
  </conditionalFormatting>
  <conditionalFormatting sqref="D217">
    <cfRule type="cellIs" rank="0" priority="422" equalAverage="0" operator="greaterThan" aboveAverage="0" dxfId="8" text="" percent="0" bottom="0">
      <formula>0</formula>
    </cfRule>
  </conditionalFormatting>
  <conditionalFormatting sqref="E217">
    <cfRule type="cellIs" rank="0" priority="423" equalAverage="0" operator="equal" aboveAverage="0" dxfId="10" text="" percent="0" bottom="0">
      <formula>"Evet"</formula>
    </cfRule>
  </conditionalFormatting>
  <conditionalFormatting sqref="D218">
    <cfRule type="cellIs" rank="0" priority="424" equalAverage="0" operator="greaterThan" aboveAverage="0" dxfId="8" text="" percent="0" bottom="0">
      <formula>0</formula>
    </cfRule>
  </conditionalFormatting>
  <conditionalFormatting sqref="E218">
    <cfRule type="cellIs" rank="0" priority="425" equalAverage="0" operator="equal" aboveAverage="0" dxfId="10" text="" percent="0" bottom="0">
      <formula>"Evet"</formula>
    </cfRule>
  </conditionalFormatting>
  <conditionalFormatting sqref="D219">
    <cfRule type="cellIs" rank="0" priority="426" equalAverage="0" operator="greaterThan" aboveAverage="0" dxfId="8" text="" percent="0" bottom="0">
      <formula>0</formula>
    </cfRule>
  </conditionalFormatting>
  <conditionalFormatting sqref="E219">
    <cfRule type="cellIs" rank="0" priority="427" equalAverage="0" operator="equal" aboveAverage="0" dxfId="10" text="" percent="0" bottom="0">
      <formula>"Evet"</formula>
    </cfRule>
  </conditionalFormatting>
  <conditionalFormatting sqref="D220">
    <cfRule type="cellIs" rank="0" priority="428" equalAverage="0" operator="greaterThan" aboveAverage="0" dxfId="8" text="" percent="0" bottom="0">
      <formula>0</formula>
    </cfRule>
  </conditionalFormatting>
  <conditionalFormatting sqref="E220">
    <cfRule type="cellIs" rank="0" priority="429" equalAverage="0" operator="equal" aboveAverage="0" dxfId="10" text="" percent="0" bottom="0">
      <formula>"Evet"</formula>
    </cfRule>
  </conditionalFormatting>
  <conditionalFormatting sqref="D221">
    <cfRule type="cellIs" rank="0" priority="430" equalAverage="0" operator="greaterThan" aboveAverage="0" dxfId="8" text="" percent="0" bottom="0">
      <formula>0</formula>
    </cfRule>
  </conditionalFormatting>
  <conditionalFormatting sqref="E221">
    <cfRule type="cellIs" rank="0" priority="431" equalAverage="0" operator="equal" aboveAverage="0" dxfId="10" text="" percent="0" bottom="0">
      <formula>"Evet"</formula>
    </cfRule>
  </conditionalFormatting>
  <conditionalFormatting sqref="D222">
    <cfRule type="cellIs" rank="0" priority="432" equalAverage="0" operator="greaterThan" aboveAverage="0" dxfId="8" text="" percent="0" bottom="0">
      <formula>0</formula>
    </cfRule>
  </conditionalFormatting>
  <conditionalFormatting sqref="E222">
    <cfRule type="cellIs" rank="0" priority="433" equalAverage="0" operator="equal" aboveAverage="0" dxfId="10" text="" percent="0" bottom="0">
      <formula>"Evet"</formula>
    </cfRule>
  </conditionalFormatting>
  <conditionalFormatting sqref="D223">
    <cfRule type="cellIs" rank="0" priority="434" equalAverage="0" operator="greaterThan" aboveAverage="0" dxfId="8" text="" percent="0" bottom="0">
      <formula>0</formula>
    </cfRule>
  </conditionalFormatting>
  <conditionalFormatting sqref="E223">
    <cfRule type="cellIs" rank="0" priority="435" equalAverage="0" operator="equal" aboveAverage="0" dxfId="10" text="" percent="0" bottom="0">
      <formula>"Evet"</formula>
    </cfRule>
  </conditionalFormatting>
  <conditionalFormatting sqref="D224">
    <cfRule type="cellIs" rank="0" priority="436" equalAverage="0" operator="greaterThan" aboveAverage="0" dxfId="8" text="" percent="0" bottom="0">
      <formula>0</formula>
    </cfRule>
  </conditionalFormatting>
  <conditionalFormatting sqref="E224">
    <cfRule type="cellIs" rank="0" priority="437" equalAverage="0" operator="equal" aboveAverage="0" dxfId="10" text="" percent="0" bottom="0">
      <formula>"Evet"</formula>
    </cfRule>
  </conditionalFormatting>
  <conditionalFormatting sqref="D225">
    <cfRule type="cellIs" rank="0" priority="438" equalAverage="0" operator="greaterThan" aboveAverage="0" dxfId="8" text="" percent="0" bottom="0">
      <formula>0</formula>
    </cfRule>
  </conditionalFormatting>
  <conditionalFormatting sqref="E225">
    <cfRule type="cellIs" rank="0" priority="439" equalAverage="0" operator="equal" aboveAverage="0" dxfId="10" text="" percent="0" bottom="0">
      <formula>"Evet"</formula>
    </cfRule>
  </conditionalFormatting>
  <conditionalFormatting sqref="D226">
    <cfRule type="cellIs" rank="0" priority="440" equalAverage="0" operator="greaterThan" aboveAverage="0" dxfId="8" text="" percent="0" bottom="0">
      <formula>0</formula>
    </cfRule>
  </conditionalFormatting>
  <conditionalFormatting sqref="E226">
    <cfRule type="cellIs" rank="0" priority="441" equalAverage="0" operator="equal" aboveAverage="0" dxfId="10" text="" percent="0" bottom="0">
      <formula>"Evet"</formula>
    </cfRule>
  </conditionalFormatting>
  <conditionalFormatting sqref="D227">
    <cfRule type="cellIs" rank="0" priority="442" equalAverage="0" operator="greaterThan" aboveAverage="0" dxfId="8" text="" percent="0" bottom="0">
      <formula>0</formula>
    </cfRule>
  </conditionalFormatting>
  <conditionalFormatting sqref="E227">
    <cfRule type="cellIs" rank="0" priority="443" equalAverage="0" operator="equal" aboveAverage="0" dxfId="10" text="" percent="0" bottom="0">
      <formula>"Evet"</formula>
    </cfRule>
  </conditionalFormatting>
  <conditionalFormatting sqref="D228">
    <cfRule type="cellIs" rank="0" priority="444" equalAverage="0" operator="greaterThan" aboveAverage="0" dxfId="8" text="" percent="0" bottom="0">
      <formula>0</formula>
    </cfRule>
  </conditionalFormatting>
  <conditionalFormatting sqref="E228">
    <cfRule type="cellIs" rank="0" priority="445" equalAverage="0" operator="equal" aboveAverage="0" dxfId="10" text="" percent="0" bottom="0">
      <formula>"Evet"</formula>
    </cfRule>
  </conditionalFormatting>
  <conditionalFormatting sqref="D229">
    <cfRule type="cellIs" rank="0" priority="446" equalAverage="0" operator="greaterThan" aboveAverage="0" dxfId="8" text="" percent="0" bottom="0">
      <formula>0</formula>
    </cfRule>
  </conditionalFormatting>
  <conditionalFormatting sqref="E229">
    <cfRule type="cellIs" rank="0" priority="447" equalAverage="0" operator="equal" aboveAverage="0" dxfId="10" text="" percent="0" bottom="0">
      <formula>"Evet"</formula>
    </cfRule>
  </conditionalFormatting>
  <conditionalFormatting sqref="D230">
    <cfRule type="cellIs" rank="0" priority="448" equalAverage="0" operator="greaterThan" aboveAverage="0" dxfId="8" text="" percent="0" bottom="0">
      <formula>0</formula>
    </cfRule>
  </conditionalFormatting>
  <conditionalFormatting sqref="E230">
    <cfRule type="cellIs" rank="0" priority="449" equalAverage="0" operator="equal" aboveAverage="0" dxfId="10" text="" percent="0" bottom="0">
      <formula>"Evet"</formula>
    </cfRule>
  </conditionalFormatting>
  <conditionalFormatting sqref="D231">
    <cfRule type="cellIs" rank="0" priority="450" equalAverage="0" operator="greaterThan" aboveAverage="0" dxfId="8" text="" percent="0" bottom="0">
      <formula>0</formula>
    </cfRule>
  </conditionalFormatting>
  <conditionalFormatting sqref="E231">
    <cfRule type="cellIs" rank="0" priority="451" equalAverage="0" operator="equal" aboveAverage="0" dxfId="10" text="" percent="0" bottom="0">
      <formula>"Evet"</formula>
    </cfRule>
  </conditionalFormatting>
  <conditionalFormatting sqref="D232">
    <cfRule type="cellIs" rank="0" priority="452" equalAverage="0" operator="greaterThan" aboveAverage="0" dxfId="8" text="" percent="0" bottom="0">
      <formula>0</formula>
    </cfRule>
  </conditionalFormatting>
  <conditionalFormatting sqref="E232">
    <cfRule type="cellIs" rank="0" priority="453" equalAverage="0" operator="equal" aboveAverage="0" dxfId="10" text="" percent="0" bottom="0">
      <formula>"Evet"</formula>
    </cfRule>
  </conditionalFormatting>
  <conditionalFormatting sqref="D233">
    <cfRule type="cellIs" rank="0" priority="454" equalAverage="0" operator="greaterThan" aboveAverage="0" dxfId="8" text="" percent="0" bottom="0">
      <formula>0</formula>
    </cfRule>
  </conditionalFormatting>
  <conditionalFormatting sqref="E233">
    <cfRule type="cellIs" rank="0" priority="455" equalAverage="0" operator="equal" aboveAverage="0" dxfId="10" text="" percent="0" bottom="0">
      <formula>"Evet"</formula>
    </cfRule>
  </conditionalFormatting>
  <conditionalFormatting sqref="D234">
    <cfRule type="cellIs" rank="0" priority="456" equalAverage="0" operator="greaterThan" aboveAverage="0" dxfId="8" text="" percent="0" bottom="0">
      <formula>0</formula>
    </cfRule>
  </conditionalFormatting>
  <conditionalFormatting sqref="E234">
    <cfRule type="cellIs" rank="0" priority="457" equalAverage="0" operator="equal" aboveAverage="0" dxfId="10" text="" percent="0" bottom="0">
      <formula>"Evet"</formula>
    </cfRule>
  </conditionalFormatting>
  <conditionalFormatting sqref="D235">
    <cfRule type="cellIs" rank="0" priority="458" equalAverage="0" operator="greaterThan" aboveAverage="0" dxfId="8" text="" percent="0" bottom="0">
      <formula>0</formula>
    </cfRule>
  </conditionalFormatting>
  <conditionalFormatting sqref="E235">
    <cfRule type="cellIs" rank="0" priority="459" equalAverage="0" operator="equal" aboveAverage="0" dxfId="10" text="" percent="0" bottom="0">
      <formula>"Evet"</formula>
    </cfRule>
  </conditionalFormatting>
  <conditionalFormatting sqref="D236">
    <cfRule type="cellIs" rank="0" priority="460" equalAverage="0" operator="greaterThan" aboveAverage="0" dxfId="8" text="" percent="0" bottom="0">
      <formula>0</formula>
    </cfRule>
  </conditionalFormatting>
  <conditionalFormatting sqref="E236">
    <cfRule type="cellIs" rank="0" priority="461" equalAverage="0" operator="equal" aboveAverage="0" dxfId="10" text="" percent="0" bottom="0">
      <formula>"Evet"</formula>
    </cfRule>
  </conditionalFormatting>
  <conditionalFormatting sqref="D237">
    <cfRule type="cellIs" rank="0" priority="462" equalAverage="0" operator="greaterThan" aboveAverage="0" dxfId="8" text="" percent="0" bottom="0">
      <formula>0</formula>
    </cfRule>
  </conditionalFormatting>
  <conditionalFormatting sqref="E237">
    <cfRule type="cellIs" rank="0" priority="463" equalAverage="0" operator="equal" aboveAverage="0" dxfId="10" text="" percent="0" bottom="0">
      <formula>"Evet"</formula>
    </cfRule>
  </conditionalFormatting>
  <conditionalFormatting sqref="D238">
    <cfRule type="cellIs" rank="0" priority="464" equalAverage="0" operator="greaterThan" aboveAverage="0" dxfId="8" text="" percent="0" bottom="0">
      <formula>0</formula>
    </cfRule>
  </conditionalFormatting>
  <conditionalFormatting sqref="E238">
    <cfRule type="cellIs" rank="0" priority="465" equalAverage="0" operator="equal" aboveAverage="0" dxfId="10" text="" percent="0" bottom="0">
      <formula>"Evet"</formula>
    </cfRule>
  </conditionalFormatting>
  <conditionalFormatting sqref="D239">
    <cfRule type="cellIs" rank="0" priority="466" equalAverage="0" operator="greaterThan" aboveAverage="0" dxfId="8" text="" percent="0" bottom="0">
      <formula>0</formula>
    </cfRule>
  </conditionalFormatting>
  <conditionalFormatting sqref="E239">
    <cfRule type="cellIs" rank="0" priority="467" equalAverage="0" operator="equal" aboveAverage="0" dxfId="10" text="" percent="0" bottom="0">
      <formula>"Evet"</formula>
    </cfRule>
  </conditionalFormatting>
  <conditionalFormatting sqref="D240">
    <cfRule type="cellIs" rank="0" priority="468" equalAverage="0" operator="greaterThan" aboveAverage="0" dxfId="8" text="" percent="0" bottom="0">
      <formula>0</formula>
    </cfRule>
  </conditionalFormatting>
  <conditionalFormatting sqref="E240">
    <cfRule type="cellIs" rank="0" priority="469" equalAverage="0" operator="equal" aboveAverage="0" dxfId="10" text="" percent="0" bottom="0">
      <formula>"Evet"</formula>
    </cfRule>
  </conditionalFormatting>
  <conditionalFormatting sqref="D241">
    <cfRule type="cellIs" rank="0" priority="470" equalAverage="0" operator="greaterThan" aboveAverage="0" dxfId="8" text="" percent="0" bottom="0">
      <formula>0</formula>
    </cfRule>
  </conditionalFormatting>
  <conditionalFormatting sqref="E241">
    <cfRule type="cellIs" rank="0" priority="471" equalAverage="0" operator="equal" aboveAverage="0" dxfId="10" text="" percent="0" bottom="0">
      <formula>"Evet"</formula>
    </cfRule>
  </conditionalFormatting>
  <conditionalFormatting sqref="D242">
    <cfRule type="cellIs" rank="0" priority="472" equalAverage="0" operator="greaterThan" aboveAverage="0" dxfId="8" text="" percent="0" bottom="0">
      <formula>0</formula>
    </cfRule>
  </conditionalFormatting>
  <conditionalFormatting sqref="E242">
    <cfRule type="cellIs" rank="0" priority="473" equalAverage="0" operator="equal" aboveAverage="0" dxfId="10" text="" percent="0" bottom="0">
      <formula>"Evet"</formula>
    </cfRule>
  </conditionalFormatting>
  <conditionalFormatting sqref="D243">
    <cfRule type="cellIs" rank="0" priority="474" equalAverage="0" operator="greaterThan" aboveAverage="0" dxfId="8" text="" percent="0" bottom="0">
      <formula>0</formula>
    </cfRule>
  </conditionalFormatting>
  <conditionalFormatting sqref="E243">
    <cfRule type="cellIs" rank="0" priority="475" equalAverage="0" operator="equal" aboveAverage="0" dxfId="10" text="" percent="0" bottom="0">
      <formula>"Evet"</formula>
    </cfRule>
  </conditionalFormatting>
  <conditionalFormatting sqref="D244">
    <cfRule type="cellIs" rank="0" priority="476" equalAverage="0" operator="greaterThan" aboveAverage="0" dxfId="8" text="" percent="0" bottom="0">
      <formula>0</formula>
    </cfRule>
  </conditionalFormatting>
  <conditionalFormatting sqref="E244">
    <cfRule type="cellIs" rank="0" priority="477" equalAverage="0" operator="equal" aboveAverage="0" dxfId="10" text="" percent="0" bottom="0">
      <formula>"Evet"</formula>
    </cfRule>
  </conditionalFormatting>
  <conditionalFormatting sqref="D245">
    <cfRule type="cellIs" rank="0" priority="478" equalAverage="0" operator="greaterThan" aboveAverage="0" dxfId="8" text="" percent="0" bottom="0">
      <formula>0</formula>
    </cfRule>
  </conditionalFormatting>
  <conditionalFormatting sqref="E245">
    <cfRule type="cellIs" rank="0" priority="479" equalAverage="0" operator="equal" aboveAverage="0" dxfId="10" text="" percent="0" bottom="0">
      <formula>"Evet"</formula>
    </cfRule>
  </conditionalFormatting>
  <conditionalFormatting sqref="D246">
    <cfRule type="cellIs" rank="0" priority="480" equalAverage="0" operator="greaterThan" aboveAverage="0" dxfId="8" text="" percent="0" bottom="0">
      <formula>0</formula>
    </cfRule>
  </conditionalFormatting>
  <conditionalFormatting sqref="E246">
    <cfRule type="cellIs" rank="0" priority="481" equalAverage="0" operator="equal" aboveAverage="0" dxfId="10" text="" percent="0" bottom="0">
      <formula>"Evet"</formula>
    </cfRule>
  </conditionalFormatting>
  <conditionalFormatting sqref="D247">
    <cfRule type="cellIs" rank="0" priority="482" equalAverage="0" operator="greaterThan" aboveAverage="0" dxfId="8" text="" percent="0" bottom="0">
      <formula>0</formula>
    </cfRule>
  </conditionalFormatting>
  <conditionalFormatting sqref="E247">
    <cfRule type="cellIs" rank="0" priority="483" equalAverage="0" operator="equal" aboveAverage="0" dxfId="10" text="" percent="0" bottom="0">
      <formula>"Evet"</formula>
    </cfRule>
  </conditionalFormatting>
  <conditionalFormatting sqref="D248">
    <cfRule type="cellIs" rank="0" priority="484" equalAverage="0" operator="greaterThan" aboveAverage="0" dxfId="8" text="" percent="0" bottom="0">
      <formula>0</formula>
    </cfRule>
  </conditionalFormatting>
  <conditionalFormatting sqref="E248">
    <cfRule type="cellIs" rank="0" priority="485" equalAverage="0" operator="equal" aboveAverage="0" dxfId="10" text="" percent="0" bottom="0">
      <formula>"Evet"</formula>
    </cfRule>
  </conditionalFormatting>
  <conditionalFormatting sqref="D249">
    <cfRule type="cellIs" rank="0" priority="486" equalAverage="0" operator="greaterThan" aboveAverage="0" dxfId="8" text="" percent="0" bottom="0">
      <formula>0</formula>
    </cfRule>
  </conditionalFormatting>
  <conditionalFormatting sqref="E249">
    <cfRule type="cellIs" rank="0" priority="487" equalAverage="0" operator="equal" aboveAverage="0" dxfId="10" text="" percent="0" bottom="0">
      <formula>"Evet"</formula>
    </cfRule>
  </conditionalFormatting>
  <conditionalFormatting sqref="D250">
    <cfRule type="cellIs" rank="0" priority="488" equalAverage="0" operator="greaterThan" aboveAverage="0" dxfId="8" text="" percent="0" bottom="0">
      <formula>0</formula>
    </cfRule>
  </conditionalFormatting>
  <conditionalFormatting sqref="E250">
    <cfRule type="cellIs" rank="0" priority="489" equalAverage="0" operator="equal" aboveAverage="0" dxfId="10" text="" percent="0" bottom="0">
      <formula>"Evet"</formula>
    </cfRule>
  </conditionalFormatting>
  <conditionalFormatting sqref="D251">
    <cfRule type="cellIs" rank="0" priority="490" equalAverage="0" operator="greaterThan" aboveAverage="0" dxfId="8" text="" percent="0" bottom="0">
      <formula>0</formula>
    </cfRule>
  </conditionalFormatting>
  <conditionalFormatting sqref="E251">
    <cfRule type="cellIs" rank="0" priority="491" equalAverage="0" operator="equal" aboveAverage="0" dxfId="10" text="" percent="0" bottom="0">
      <formula>"Evet"</formula>
    </cfRule>
  </conditionalFormatting>
  <conditionalFormatting sqref="D252">
    <cfRule type="cellIs" rank="0" priority="492" equalAverage="0" operator="greaterThan" aboveAverage="0" dxfId="8" text="" percent="0" bottom="0">
      <formula>0</formula>
    </cfRule>
  </conditionalFormatting>
  <conditionalFormatting sqref="E252">
    <cfRule type="cellIs" rank="0" priority="493" equalAverage="0" operator="equal" aboveAverage="0" dxfId="10" text="" percent="0" bottom="0">
      <formula>"Evet"</formula>
    </cfRule>
  </conditionalFormatting>
  <conditionalFormatting sqref="D253">
    <cfRule type="cellIs" rank="0" priority="494" equalAverage="0" operator="greaterThan" aboveAverage="0" dxfId="8" text="" percent="0" bottom="0">
      <formula>0</formula>
    </cfRule>
  </conditionalFormatting>
  <conditionalFormatting sqref="E253">
    <cfRule type="cellIs" rank="0" priority="495" equalAverage="0" operator="equal" aboveAverage="0" dxfId="10" text="" percent="0" bottom="0">
      <formula>"Evet"</formula>
    </cfRule>
  </conditionalFormatting>
  <conditionalFormatting sqref="D254">
    <cfRule type="cellIs" rank="0" priority="496" equalAverage="0" operator="greaterThan" aboveAverage="0" dxfId="8" text="" percent="0" bottom="0">
      <formula>0</formula>
    </cfRule>
  </conditionalFormatting>
  <conditionalFormatting sqref="E254">
    <cfRule type="cellIs" rank="0" priority="497" equalAverage="0" operator="equal" aboveAverage="0" dxfId="10" text="" percent="0" bottom="0">
      <formula>"Evet"</formula>
    </cfRule>
  </conditionalFormatting>
  <conditionalFormatting sqref="D255">
    <cfRule type="cellIs" rank="0" priority="498" equalAverage="0" operator="greaterThan" aboveAverage="0" dxfId="8" text="" percent="0" bottom="0">
      <formula>0</formula>
    </cfRule>
  </conditionalFormatting>
  <conditionalFormatting sqref="E255">
    <cfRule type="cellIs" rank="0" priority="499" equalAverage="0" operator="equal" aboveAverage="0" dxfId="10" text="" percent="0" bottom="0">
      <formula>"Evet"</formula>
    </cfRule>
  </conditionalFormatting>
  <conditionalFormatting sqref="D256">
    <cfRule type="cellIs" rank="0" priority="500" equalAverage="0" operator="greaterThan" aboveAverage="0" dxfId="8" text="" percent="0" bottom="0">
      <formula>0</formula>
    </cfRule>
  </conditionalFormatting>
  <conditionalFormatting sqref="E256">
    <cfRule type="cellIs" rank="0" priority="501" equalAverage="0" operator="equal" aboveAverage="0" dxfId="10" text="" percent="0" bottom="0">
      <formula>"Evet"</formula>
    </cfRule>
  </conditionalFormatting>
  <conditionalFormatting sqref="D257">
    <cfRule type="cellIs" rank="0" priority="502" equalAverage="0" operator="greaterThan" aboveAverage="0" dxfId="8" text="" percent="0" bottom="0">
      <formula>0</formula>
    </cfRule>
  </conditionalFormatting>
  <conditionalFormatting sqref="E257">
    <cfRule type="cellIs" rank="0" priority="503" equalAverage="0" operator="equal" aboveAverage="0" dxfId="10" text="" percent="0" bottom="0">
      <formula>"Evet"</formula>
    </cfRule>
  </conditionalFormatting>
  <conditionalFormatting sqref="D258">
    <cfRule type="cellIs" rank="0" priority="504" equalAverage="0" operator="greaterThan" aboveAverage="0" dxfId="8" text="" percent="0" bottom="0">
      <formula>0</formula>
    </cfRule>
  </conditionalFormatting>
  <conditionalFormatting sqref="E258">
    <cfRule type="cellIs" rank="0" priority="505" equalAverage="0" operator="equal" aboveAverage="0" dxfId="10" text="" percent="0" bottom="0">
      <formula>"Evet"</formula>
    </cfRule>
  </conditionalFormatting>
  <conditionalFormatting sqref="D259">
    <cfRule type="cellIs" rank="0" priority="506" equalAverage="0" operator="greaterThan" aboveAverage="0" dxfId="8" text="" percent="0" bottom="0">
      <formula>0</formula>
    </cfRule>
  </conditionalFormatting>
  <conditionalFormatting sqref="E259">
    <cfRule type="cellIs" rank="0" priority="507" equalAverage="0" operator="equal" aboveAverage="0" dxfId="10" text="" percent="0" bottom="0">
      <formula>"Evet"</formula>
    </cfRule>
  </conditionalFormatting>
  <conditionalFormatting sqref="D260">
    <cfRule type="cellIs" rank="0" priority="508" equalAverage="0" operator="greaterThan" aboveAverage="0" dxfId="8" text="" percent="0" bottom="0">
      <formula>0</formula>
    </cfRule>
  </conditionalFormatting>
  <conditionalFormatting sqref="E260">
    <cfRule type="cellIs" rank="0" priority="509" equalAverage="0" operator="equal" aboveAverage="0" dxfId="10" text="" percent="0" bottom="0">
      <formula>"Evet"</formula>
    </cfRule>
  </conditionalFormatting>
  <conditionalFormatting sqref="D261">
    <cfRule type="cellIs" rank="0" priority="510" equalAverage="0" operator="greaterThan" aboveAverage="0" dxfId="8" text="" percent="0" bottom="0">
      <formula>0</formula>
    </cfRule>
  </conditionalFormatting>
  <conditionalFormatting sqref="E261">
    <cfRule type="cellIs" rank="0" priority="511" equalAverage="0" operator="equal" aboveAverage="0" dxfId="10" text="" percent="0" bottom="0">
      <formula>"Evet"</formula>
    </cfRule>
  </conditionalFormatting>
  <conditionalFormatting sqref="D262">
    <cfRule type="cellIs" rank="0" priority="512" equalAverage="0" operator="greaterThan" aboveAverage="0" dxfId="8" text="" percent="0" bottom="0">
      <formula>0</formula>
    </cfRule>
  </conditionalFormatting>
  <conditionalFormatting sqref="E262">
    <cfRule type="cellIs" rank="0" priority="513" equalAverage="0" operator="equal" aboveAverage="0" dxfId="10" text="" percent="0" bottom="0">
      <formula>"Evet"</formula>
    </cfRule>
  </conditionalFormatting>
  <conditionalFormatting sqref="D263">
    <cfRule type="cellIs" rank="0" priority="514" equalAverage="0" operator="greaterThan" aboveAverage="0" dxfId="8" text="" percent="0" bottom="0">
      <formula>0</formula>
    </cfRule>
  </conditionalFormatting>
  <conditionalFormatting sqref="E263">
    <cfRule type="cellIs" rank="0" priority="515" equalAverage="0" operator="equal" aboveAverage="0" dxfId="10" text="" percent="0" bottom="0">
      <formula>"Evet"</formula>
    </cfRule>
  </conditionalFormatting>
  <conditionalFormatting sqref="D264">
    <cfRule type="cellIs" rank="0" priority="516" equalAverage="0" operator="greaterThan" aboveAverage="0" dxfId="8" text="" percent="0" bottom="0">
      <formula>0</formula>
    </cfRule>
  </conditionalFormatting>
  <conditionalFormatting sqref="E264">
    <cfRule type="cellIs" rank="0" priority="517" equalAverage="0" operator="equal" aboveAverage="0" dxfId="10" text="" percent="0" bottom="0">
      <formula>"Evet"</formula>
    </cfRule>
  </conditionalFormatting>
  <conditionalFormatting sqref="D265">
    <cfRule type="cellIs" rank="0" priority="518" equalAverage="0" operator="greaterThan" aboveAverage="0" dxfId="8" text="" percent="0" bottom="0">
      <formula>0</formula>
    </cfRule>
  </conditionalFormatting>
  <conditionalFormatting sqref="E265">
    <cfRule type="cellIs" rank="0" priority="519" equalAverage="0" operator="equal" aboveAverage="0" dxfId="10" text="" percent="0" bottom="0">
      <formula>"Evet"</formula>
    </cfRule>
  </conditionalFormatting>
  <conditionalFormatting sqref="D266">
    <cfRule type="cellIs" rank="0" priority="520" equalAverage="0" operator="greaterThan" aboveAverage="0" dxfId="8" text="" percent="0" bottom="0">
      <formula>0</formula>
    </cfRule>
  </conditionalFormatting>
  <conditionalFormatting sqref="E266">
    <cfRule type="cellIs" rank="0" priority="521" equalAverage="0" operator="equal" aboveAverage="0" dxfId="10" text="" percent="0" bottom="0">
      <formula>"Evet"</formula>
    </cfRule>
  </conditionalFormatting>
  <conditionalFormatting sqref="D267">
    <cfRule type="cellIs" rank="0" priority="522" equalAverage="0" operator="greaterThan" aboveAverage="0" dxfId="8" text="" percent="0" bottom="0">
      <formula>0</formula>
    </cfRule>
  </conditionalFormatting>
  <conditionalFormatting sqref="E267">
    <cfRule type="cellIs" rank="0" priority="523" equalAverage="0" operator="equal" aboveAverage="0" dxfId="10" text="" percent="0" bottom="0">
      <formula>"Evet"</formula>
    </cfRule>
  </conditionalFormatting>
  <conditionalFormatting sqref="D268">
    <cfRule type="cellIs" rank="0" priority="524" equalAverage="0" operator="greaterThan" aboveAverage="0" dxfId="8" text="" percent="0" bottom="0">
      <formula>0</formula>
    </cfRule>
  </conditionalFormatting>
  <conditionalFormatting sqref="E268">
    <cfRule type="cellIs" rank="0" priority="525" equalAverage="0" operator="equal" aboveAverage="0" dxfId="10" text="" percent="0" bottom="0">
      <formula>"Evet"</formula>
    </cfRule>
  </conditionalFormatting>
  <conditionalFormatting sqref="D269">
    <cfRule type="cellIs" rank="0" priority="526" equalAverage="0" operator="greaterThan" aboveAverage="0" dxfId="8" text="" percent="0" bottom="0">
      <formula>0</formula>
    </cfRule>
  </conditionalFormatting>
  <conditionalFormatting sqref="E269">
    <cfRule type="cellIs" rank="0" priority="527" equalAverage="0" operator="equal" aboveAverage="0" dxfId="10" text="" percent="0" bottom="0">
      <formula>"Evet"</formula>
    </cfRule>
  </conditionalFormatting>
  <conditionalFormatting sqref="D270">
    <cfRule type="cellIs" rank="0" priority="528" equalAverage="0" operator="greaterThan" aboveAverage="0" dxfId="8" text="" percent="0" bottom="0">
      <formula>0</formula>
    </cfRule>
  </conditionalFormatting>
  <conditionalFormatting sqref="E270">
    <cfRule type="cellIs" rank="0" priority="529" equalAverage="0" operator="equal" aboveAverage="0" dxfId="10" text="" percent="0" bottom="0">
      <formula>"Evet"</formula>
    </cfRule>
  </conditionalFormatting>
  <conditionalFormatting sqref="D271">
    <cfRule type="cellIs" rank="0" priority="530" equalAverage="0" operator="greaterThan" aboveAverage="0" dxfId="8" text="" percent="0" bottom="0">
      <formula>0</formula>
    </cfRule>
  </conditionalFormatting>
  <conditionalFormatting sqref="E271">
    <cfRule type="cellIs" rank="0" priority="531" equalAverage="0" operator="equal" aboveAverage="0" dxfId="10" text="" percent="0" bottom="0">
      <formula>"Evet"</formula>
    </cfRule>
  </conditionalFormatting>
  <conditionalFormatting sqref="D272">
    <cfRule type="cellIs" rank="0" priority="532" equalAverage="0" operator="greaterThan" aboveAverage="0" dxfId="8" text="" percent="0" bottom="0">
      <formula>0</formula>
    </cfRule>
  </conditionalFormatting>
  <conditionalFormatting sqref="E272">
    <cfRule type="cellIs" rank="0" priority="533" equalAverage="0" operator="equal" aboveAverage="0" dxfId="10" text="" percent="0" bottom="0">
      <formula>"Evet"</formula>
    </cfRule>
  </conditionalFormatting>
  <conditionalFormatting sqref="D273">
    <cfRule type="cellIs" rank="0" priority="534" equalAverage="0" operator="greaterThan" aboveAverage="0" dxfId="8" text="" percent="0" bottom="0">
      <formula>0</formula>
    </cfRule>
  </conditionalFormatting>
  <conditionalFormatting sqref="E273">
    <cfRule type="cellIs" rank="0" priority="535" equalAverage="0" operator="equal" aboveAverage="0" dxfId="10" text="" percent="0" bottom="0">
      <formula>"Evet"</formula>
    </cfRule>
  </conditionalFormatting>
  <conditionalFormatting sqref="D274">
    <cfRule type="cellIs" rank="0" priority="536" equalAverage="0" operator="greaterThan" aboveAverage="0" dxfId="8" text="" percent="0" bottom="0">
      <formula>0</formula>
    </cfRule>
  </conditionalFormatting>
  <conditionalFormatting sqref="E274">
    <cfRule type="cellIs" rank="0" priority="537" equalAverage="0" operator="equal" aboveAverage="0" dxfId="10" text="" percent="0" bottom="0">
      <formula>"Evet"</formula>
    </cfRule>
  </conditionalFormatting>
  <conditionalFormatting sqref="D275">
    <cfRule type="cellIs" rank="0" priority="538" equalAverage="0" operator="greaterThan" aboveAverage="0" dxfId="8" text="" percent="0" bottom="0">
      <formula>0</formula>
    </cfRule>
  </conditionalFormatting>
  <conditionalFormatting sqref="E275">
    <cfRule type="cellIs" rank="0" priority="539" equalAverage="0" operator="equal" aboveAverage="0" dxfId="10" text="" percent="0" bottom="0">
      <formula>"Evet"</formula>
    </cfRule>
  </conditionalFormatting>
  <conditionalFormatting sqref="D276">
    <cfRule type="cellIs" rank="0" priority="540" equalAverage="0" operator="greaterThan" aboveAverage="0" dxfId="8" text="" percent="0" bottom="0">
      <formula>0</formula>
    </cfRule>
  </conditionalFormatting>
  <conditionalFormatting sqref="E276">
    <cfRule type="cellIs" rank="0" priority="541" equalAverage="0" operator="equal" aboveAverage="0" dxfId="10" text="" percent="0" bottom="0">
      <formula>"Evet"</formula>
    </cfRule>
  </conditionalFormatting>
  <conditionalFormatting sqref="D277">
    <cfRule type="cellIs" rank="0" priority="542" equalAverage="0" operator="greaterThan" aboveAverage="0" dxfId="8" text="" percent="0" bottom="0">
      <formula>0</formula>
    </cfRule>
  </conditionalFormatting>
  <conditionalFormatting sqref="E277">
    <cfRule type="cellIs" rank="0" priority="543" equalAverage="0" operator="equal" aboveAverage="0" dxfId="10" text="" percent="0" bottom="0">
      <formula>"Evet"</formula>
    </cfRule>
  </conditionalFormatting>
  <conditionalFormatting sqref="D278">
    <cfRule type="cellIs" rank="0" priority="544" equalAverage="0" operator="greaterThan" aboveAverage="0" dxfId="8" text="" percent="0" bottom="0">
      <formula>0</formula>
    </cfRule>
  </conditionalFormatting>
  <conditionalFormatting sqref="E278">
    <cfRule type="cellIs" rank="0" priority="545" equalAverage="0" operator="equal" aboveAverage="0" dxfId="10" text="" percent="0" bottom="0">
      <formula>"Evet"</formula>
    </cfRule>
  </conditionalFormatting>
  <conditionalFormatting sqref="D279">
    <cfRule type="cellIs" rank="0" priority="546" equalAverage="0" operator="greaterThan" aboveAverage="0" dxfId="8" text="" percent="0" bottom="0">
      <formula>0</formula>
    </cfRule>
  </conditionalFormatting>
  <conditionalFormatting sqref="E279">
    <cfRule type="cellIs" rank="0" priority="547" equalAverage="0" operator="equal" aboveAverage="0" dxfId="10" text="" percent="0" bottom="0">
      <formula>"Evet"</formula>
    </cfRule>
  </conditionalFormatting>
  <conditionalFormatting sqref="D280">
    <cfRule type="cellIs" rank="0" priority="548" equalAverage="0" operator="greaterThan" aboveAverage="0" dxfId="8" text="" percent="0" bottom="0">
      <formula>0</formula>
    </cfRule>
  </conditionalFormatting>
  <conditionalFormatting sqref="E280">
    <cfRule type="cellIs" rank="0" priority="549" equalAverage="0" operator="equal" aboveAverage="0" dxfId="10" text="" percent="0" bottom="0">
      <formula>"Evet"</formula>
    </cfRule>
  </conditionalFormatting>
  <conditionalFormatting sqref="D281">
    <cfRule type="cellIs" rank="0" priority="550" equalAverage="0" operator="greaterThan" aboveAverage="0" dxfId="8" text="" percent="0" bottom="0">
      <formula>0</formula>
    </cfRule>
  </conditionalFormatting>
  <conditionalFormatting sqref="E281">
    <cfRule type="cellIs" rank="0" priority="551" equalAverage="0" operator="equal" aboveAverage="0" dxfId="10" text="" percent="0" bottom="0">
      <formula>"Evet"</formula>
    </cfRule>
  </conditionalFormatting>
  <conditionalFormatting sqref="D282">
    <cfRule type="cellIs" rank="0" priority="552" equalAverage="0" operator="greaterThan" aboveAverage="0" dxfId="8" text="" percent="0" bottom="0">
      <formula>0</formula>
    </cfRule>
  </conditionalFormatting>
  <conditionalFormatting sqref="E282">
    <cfRule type="cellIs" rank="0" priority="553" equalAverage="0" operator="equal" aboveAverage="0" dxfId="10" text="" percent="0" bottom="0">
      <formula>"Evet"</formula>
    </cfRule>
  </conditionalFormatting>
  <conditionalFormatting sqref="D283">
    <cfRule type="cellIs" rank="0" priority="554" equalAverage="0" operator="greaterThan" aboveAverage="0" dxfId="8" text="" percent="0" bottom="0">
      <formula>0</formula>
    </cfRule>
  </conditionalFormatting>
  <conditionalFormatting sqref="E283">
    <cfRule type="cellIs" rank="0" priority="555" equalAverage="0" operator="equal" aboveAverage="0" dxfId="10" text="" percent="0" bottom="0">
      <formula>"Evet"</formula>
    </cfRule>
  </conditionalFormatting>
  <conditionalFormatting sqref="D284">
    <cfRule type="cellIs" rank="0" priority="556" equalAverage="0" operator="greaterThan" aboveAverage="0" dxfId="8" text="" percent="0" bottom="0">
      <formula>0</formula>
    </cfRule>
  </conditionalFormatting>
  <conditionalFormatting sqref="E284">
    <cfRule type="cellIs" rank="0" priority="557" equalAverage="0" operator="equal" aboveAverage="0" dxfId="10" text="" percent="0" bottom="0">
      <formula>"Evet"</formula>
    </cfRule>
  </conditionalFormatting>
  <conditionalFormatting sqref="D285">
    <cfRule type="cellIs" rank="0" priority="558" equalAverage="0" operator="greaterThan" aboveAverage="0" dxfId="8" text="" percent="0" bottom="0">
      <formula>0</formula>
    </cfRule>
  </conditionalFormatting>
  <conditionalFormatting sqref="E285">
    <cfRule type="cellIs" rank="0" priority="559" equalAverage="0" operator="equal" aboveAverage="0" dxfId="10" text="" percent="0" bottom="0">
      <formula>"Evet"</formula>
    </cfRule>
  </conditionalFormatting>
  <conditionalFormatting sqref="D286">
    <cfRule type="cellIs" rank="0" priority="560" equalAverage="0" operator="greaterThan" aboveAverage="0" dxfId="8" text="" percent="0" bottom="0">
      <formula>0</formula>
    </cfRule>
  </conditionalFormatting>
  <conditionalFormatting sqref="E286">
    <cfRule type="cellIs" rank="0" priority="561" equalAverage="0" operator="equal" aboveAverage="0" dxfId="10" text="" percent="0" bottom="0">
      <formula>"Evet"</formula>
    </cfRule>
  </conditionalFormatting>
  <conditionalFormatting sqref="D287">
    <cfRule type="cellIs" rank="0" priority="562" equalAverage="0" operator="greaterThan" aboveAverage="0" dxfId="8" text="" percent="0" bottom="0">
      <formula>0</formula>
    </cfRule>
  </conditionalFormatting>
  <conditionalFormatting sqref="E287">
    <cfRule type="cellIs" rank="0" priority="563" equalAverage="0" operator="equal" aboveAverage="0" dxfId="10" text="" percent="0" bottom="0">
      <formula>"Evet"</formula>
    </cfRule>
  </conditionalFormatting>
  <conditionalFormatting sqref="D288">
    <cfRule type="cellIs" rank="0" priority="564" equalAverage="0" operator="greaterThan" aboveAverage="0" dxfId="8" text="" percent="0" bottom="0">
      <formula>0</formula>
    </cfRule>
  </conditionalFormatting>
  <conditionalFormatting sqref="E288">
    <cfRule type="cellIs" rank="0" priority="565" equalAverage="0" operator="equal" aboveAverage="0" dxfId="10" text="" percent="0" bottom="0">
      <formula>"Evet"</formula>
    </cfRule>
  </conditionalFormatting>
  <conditionalFormatting sqref="D289">
    <cfRule type="cellIs" rank="0" priority="566" equalAverage="0" operator="greaterThan" aboveAverage="0" dxfId="8" text="" percent="0" bottom="0">
      <formula>0</formula>
    </cfRule>
  </conditionalFormatting>
  <conditionalFormatting sqref="E289">
    <cfRule type="cellIs" rank="0" priority="567" equalAverage="0" operator="equal" aboveAverage="0" dxfId="10" text="" percent="0" bottom="0">
      <formula>"Evet"</formula>
    </cfRule>
  </conditionalFormatting>
  <conditionalFormatting sqref="D290">
    <cfRule type="cellIs" rank="0" priority="568" equalAverage="0" operator="greaterThan" aboveAverage="0" dxfId="8" text="" percent="0" bottom="0">
      <formula>0</formula>
    </cfRule>
  </conditionalFormatting>
  <conditionalFormatting sqref="E290">
    <cfRule type="cellIs" rank="0" priority="569" equalAverage="0" operator="equal" aboveAverage="0" dxfId="10" text="" percent="0" bottom="0">
      <formula>"Evet"</formula>
    </cfRule>
  </conditionalFormatting>
  <conditionalFormatting sqref="D291">
    <cfRule type="cellIs" rank="0" priority="570" equalAverage="0" operator="greaterThan" aboveAverage="0" dxfId="8" text="" percent="0" bottom="0">
      <formula>0</formula>
    </cfRule>
  </conditionalFormatting>
  <conditionalFormatting sqref="E291">
    <cfRule type="cellIs" rank="0" priority="571" equalAverage="0" operator="equal" aboveAverage="0" dxfId="10" text="" percent="0" bottom="0">
      <formula>"Evet"</formula>
    </cfRule>
  </conditionalFormatting>
  <conditionalFormatting sqref="D292">
    <cfRule type="cellIs" rank="0" priority="572" equalAverage="0" operator="greaterThan" aboveAverage="0" dxfId="8" text="" percent="0" bottom="0">
      <formula>0</formula>
    </cfRule>
  </conditionalFormatting>
  <conditionalFormatting sqref="E292">
    <cfRule type="cellIs" rank="0" priority="573" equalAverage="0" operator="equal" aboveAverage="0" dxfId="10" text="" percent="0" bottom="0">
      <formula>"Evet"</formula>
    </cfRule>
  </conditionalFormatting>
  <conditionalFormatting sqref="D293">
    <cfRule type="cellIs" rank="0" priority="574" equalAverage="0" operator="greaterThan" aboveAverage="0" dxfId="8" text="" percent="0" bottom="0">
      <formula>0</formula>
    </cfRule>
  </conditionalFormatting>
  <conditionalFormatting sqref="E293">
    <cfRule type="cellIs" rank="0" priority="575" equalAverage="0" operator="equal" aboveAverage="0" dxfId="10" text="" percent="0" bottom="0">
      <formula>"Evet"</formula>
    </cfRule>
  </conditionalFormatting>
  <conditionalFormatting sqref="D294">
    <cfRule type="cellIs" rank="0" priority="576" equalAverage="0" operator="greaterThan" aboveAverage="0" dxfId="8" text="" percent="0" bottom="0">
      <formula>0</formula>
    </cfRule>
  </conditionalFormatting>
  <conditionalFormatting sqref="E294">
    <cfRule type="cellIs" rank="0" priority="577" equalAverage="0" operator="equal" aboveAverage="0" dxfId="10" text="" percent="0" bottom="0">
      <formula>"Evet"</formula>
    </cfRule>
  </conditionalFormatting>
  <conditionalFormatting sqref="D295">
    <cfRule type="cellIs" rank="0" priority="578" equalAverage="0" operator="greaterThan" aboveAverage="0" dxfId="8" text="" percent="0" bottom="0">
      <formula>0</formula>
    </cfRule>
  </conditionalFormatting>
  <conditionalFormatting sqref="E295">
    <cfRule type="cellIs" rank="0" priority="579" equalAverage="0" operator="equal" aboveAverage="0" dxfId="10" text="" percent="0" bottom="0">
      <formula>"Evet"</formula>
    </cfRule>
  </conditionalFormatting>
  <conditionalFormatting sqref="D296">
    <cfRule type="cellIs" rank="0" priority="580" equalAverage="0" operator="greaterThan" aboveAverage="0" dxfId="8" text="" percent="0" bottom="0">
      <formula>0</formula>
    </cfRule>
  </conditionalFormatting>
  <conditionalFormatting sqref="E296">
    <cfRule type="cellIs" rank="0" priority="581" equalAverage="0" operator="equal" aboveAverage="0" dxfId="10" text="" percent="0" bottom="0">
      <formula>"Evet"</formula>
    </cfRule>
  </conditionalFormatting>
  <conditionalFormatting sqref="D297">
    <cfRule type="cellIs" rank="0" priority="582" equalAverage="0" operator="greaterThan" aboveAverage="0" dxfId="8" text="" percent="0" bottom="0">
      <formula>0</formula>
    </cfRule>
  </conditionalFormatting>
  <conditionalFormatting sqref="E297">
    <cfRule type="cellIs" rank="0" priority="583" equalAverage="0" operator="equal" aboveAverage="0" dxfId="10" text="" percent="0" bottom="0">
      <formula>"Evet"</formula>
    </cfRule>
  </conditionalFormatting>
  <conditionalFormatting sqref="D298">
    <cfRule type="cellIs" rank="0" priority="584" equalAverage="0" operator="greaterThan" aboveAverage="0" dxfId="8" text="" percent="0" bottom="0">
      <formula>0</formula>
    </cfRule>
  </conditionalFormatting>
  <conditionalFormatting sqref="E298">
    <cfRule type="cellIs" rank="0" priority="585" equalAverage="0" operator="equal" aboveAverage="0" dxfId="10" text="" percent="0" bottom="0">
      <formula>"Evet"</formula>
    </cfRule>
  </conditionalFormatting>
  <conditionalFormatting sqref="D299">
    <cfRule type="cellIs" rank="0" priority="586" equalAverage="0" operator="greaterThan" aboveAverage="0" dxfId="8" text="" percent="0" bottom="0">
      <formula>0</formula>
    </cfRule>
  </conditionalFormatting>
  <conditionalFormatting sqref="E299">
    <cfRule type="cellIs" rank="0" priority="587" equalAverage="0" operator="equal" aboveAverage="0" dxfId="10" text="" percent="0" bottom="0">
      <formula>"Evet"</formula>
    </cfRule>
  </conditionalFormatting>
  <conditionalFormatting sqref="D300">
    <cfRule type="cellIs" rank="0" priority="588" equalAverage="0" operator="greaterThan" aboveAverage="0" dxfId="8" text="" percent="0" bottom="0">
      <formula>0</formula>
    </cfRule>
  </conditionalFormatting>
  <conditionalFormatting sqref="E300">
    <cfRule type="cellIs" rank="0" priority="589" equalAverage="0" operator="equal" aboveAverage="0" dxfId="10" text="" percent="0" bottom="0">
      <formula>"Evet"</formula>
    </cfRule>
  </conditionalFormatting>
  <conditionalFormatting sqref="D301">
    <cfRule type="cellIs" rank="0" priority="590" equalAverage="0" operator="greaterThan" aboveAverage="0" dxfId="8" text="" percent="0" bottom="0">
      <formula>0</formula>
    </cfRule>
  </conditionalFormatting>
  <conditionalFormatting sqref="E301">
    <cfRule type="cellIs" rank="0" priority="591" equalAverage="0" operator="equal" aboveAverage="0" dxfId="10" text="" percent="0" bottom="0">
      <formula>"Evet"</formula>
    </cfRule>
  </conditionalFormatting>
  <conditionalFormatting sqref="D302">
    <cfRule type="cellIs" rank="0" priority="592" equalAverage="0" operator="greaterThan" aboveAverage="0" dxfId="8" text="" percent="0" bottom="0">
      <formula>0</formula>
    </cfRule>
  </conditionalFormatting>
  <conditionalFormatting sqref="E302">
    <cfRule type="cellIs" rank="0" priority="593" equalAverage="0" operator="equal" aboveAverage="0" dxfId="10" text="" percent="0" bottom="0">
      <formula>"Evet"</formula>
    </cfRule>
  </conditionalFormatting>
  <conditionalFormatting sqref="D303">
    <cfRule type="cellIs" rank="0" priority="594" equalAverage="0" operator="greaterThan" aboveAverage="0" dxfId="8" text="" percent="0" bottom="0">
      <formula>0</formula>
    </cfRule>
  </conditionalFormatting>
  <conditionalFormatting sqref="E303">
    <cfRule type="cellIs" rank="0" priority="595" equalAverage="0" operator="equal" aboveAverage="0" dxfId="10" text="" percent="0" bottom="0">
      <formula>"Evet"</formula>
    </cfRule>
  </conditionalFormatting>
  <conditionalFormatting sqref="D304">
    <cfRule type="cellIs" rank="0" priority="596" equalAverage="0" operator="greaterThan" aboveAverage="0" dxfId="8" text="" percent="0" bottom="0">
      <formula>0</formula>
    </cfRule>
  </conditionalFormatting>
  <conditionalFormatting sqref="E304">
    <cfRule type="cellIs" rank="0" priority="597" equalAverage="0" operator="equal" aboveAverage="0" dxfId="10" text="" percent="0" bottom="0">
      <formula>"Evet"</formula>
    </cfRule>
  </conditionalFormatting>
  <conditionalFormatting sqref="D305">
    <cfRule type="cellIs" rank="0" priority="598" equalAverage="0" operator="greaterThan" aboveAverage="0" dxfId="8" text="" percent="0" bottom="0">
      <formula>0</formula>
    </cfRule>
  </conditionalFormatting>
  <conditionalFormatting sqref="E305">
    <cfRule type="cellIs" rank="0" priority="599" equalAverage="0" operator="equal" aboveAverage="0" dxfId="10" text="" percent="0" bottom="0">
      <formula>"Evet"</formula>
    </cfRule>
  </conditionalFormatting>
  <conditionalFormatting sqref="D306">
    <cfRule type="cellIs" rank="0" priority="600" equalAverage="0" operator="greaterThan" aboveAverage="0" dxfId="8" text="" percent="0" bottom="0">
      <formula>0</formula>
    </cfRule>
  </conditionalFormatting>
  <conditionalFormatting sqref="E306">
    <cfRule type="cellIs" rank="0" priority="601" equalAverage="0" operator="equal" aboveAverage="0" dxfId="10" text="" percent="0" bottom="0">
      <formula>"Evet"</formula>
    </cfRule>
  </conditionalFormatting>
  <conditionalFormatting sqref="D307">
    <cfRule type="cellIs" rank="0" priority="602" equalAverage="0" operator="greaterThan" aboveAverage="0" dxfId="8" text="" percent="0" bottom="0">
      <formula>0</formula>
    </cfRule>
  </conditionalFormatting>
  <conditionalFormatting sqref="E307">
    <cfRule type="cellIs" rank="0" priority="603" equalAverage="0" operator="equal" aboveAverage="0" dxfId="10" text="" percent="0" bottom="0">
      <formula>"Evet"</formula>
    </cfRule>
  </conditionalFormatting>
  <conditionalFormatting sqref="D308">
    <cfRule type="cellIs" rank="0" priority="604" equalAverage="0" operator="greaterThan" aboveAverage="0" dxfId="8" text="" percent="0" bottom="0">
      <formula>0</formula>
    </cfRule>
  </conditionalFormatting>
  <conditionalFormatting sqref="E308">
    <cfRule type="cellIs" rank="0" priority="605" equalAverage="0" operator="equal" aboveAverage="0" dxfId="10" text="" percent="0" bottom="0">
      <formula>"Evet"</formula>
    </cfRule>
  </conditionalFormatting>
  <conditionalFormatting sqref="D309">
    <cfRule type="cellIs" rank="0" priority="606" equalAverage="0" operator="greaterThan" aboveAverage="0" dxfId="8" text="" percent="0" bottom="0">
      <formula>0</formula>
    </cfRule>
  </conditionalFormatting>
  <conditionalFormatting sqref="E309">
    <cfRule type="cellIs" rank="0" priority="607" equalAverage="0" operator="equal" aboveAverage="0" dxfId="10" text="" percent="0" bottom="0">
      <formula>"Evet"</formula>
    </cfRule>
  </conditionalFormatting>
  <conditionalFormatting sqref="D310">
    <cfRule type="cellIs" rank="0" priority="608" equalAverage="0" operator="greaterThan" aboveAverage="0" dxfId="8" text="" percent="0" bottom="0">
      <formula>0</formula>
    </cfRule>
  </conditionalFormatting>
  <conditionalFormatting sqref="E310">
    <cfRule type="cellIs" rank="0" priority="609" equalAverage="0" operator="equal" aboveAverage="0" dxfId="10" text="" percent="0" bottom="0">
      <formula>"Evet"</formula>
    </cfRule>
  </conditionalFormatting>
  <conditionalFormatting sqref="D311">
    <cfRule type="cellIs" rank="0" priority="610" equalAverage="0" operator="greaterThan" aboveAverage="0" dxfId="8" text="" percent="0" bottom="0">
      <formula>0</formula>
    </cfRule>
  </conditionalFormatting>
  <conditionalFormatting sqref="E311">
    <cfRule type="cellIs" rank="0" priority="611" equalAverage="0" operator="equal" aboveAverage="0" dxfId="10" text="" percent="0" bottom="0">
      <formula>"Evet"</formula>
    </cfRule>
  </conditionalFormatting>
  <conditionalFormatting sqref="D312">
    <cfRule type="cellIs" rank="0" priority="612" equalAverage="0" operator="greaterThan" aboveAverage="0" dxfId="8" text="" percent="0" bottom="0">
      <formula>0</formula>
    </cfRule>
  </conditionalFormatting>
  <conditionalFormatting sqref="E312">
    <cfRule type="cellIs" rank="0" priority="613" equalAverage="0" operator="equal" aboveAverage="0" dxfId="10" text="" percent="0" bottom="0">
      <formula>"Evet"</formula>
    </cfRule>
  </conditionalFormatting>
  <conditionalFormatting sqref="D313">
    <cfRule type="cellIs" rank="0" priority="614" equalAverage="0" operator="greaterThan" aboveAverage="0" dxfId="8" text="" percent="0" bottom="0">
      <formula>0</formula>
    </cfRule>
  </conditionalFormatting>
  <conditionalFormatting sqref="E313">
    <cfRule type="cellIs" rank="0" priority="615" equalAverage="0" operator="equal" aboveAverage="0" dxfId="10" text="" percent="0" bottom="0">
      <formula>"Evet"</formula>
    </cfRule>
  </conditionalFormatting>
  <conditionalFormatting sqref="D314">
    <cfRule type="cellIs" rank="0" priority="616" equalAverage="0" operator="greaterThan" aboveAverage="0" dxfId="8" text="" percent="0" bottom="0">
      <formula>0</formula>
    </cfRule>
  </conditionalFormatting>
  <conditionalFormatting sqref="E314">
    <cfRule type="cellIs" rank="0" priority="617" equalAverage="0" operator="equal" aboveAverage="0" dxfId="10" text="" percent="0" bottom="0">
      <formula>"Evet"</formula>
    </cfRule>
  </conditionalFormatting>
  <conditionalFormatting sqref="D315">
    <cfRule type="cellIs" rank="0" priority="618" equalAverage="0" operator="greaterThan" aboveAverage="0" dxfId="8" text="" percent="0" bottom="0">
      <formula>0</formula>
    </cfRule>
  </conditionalFormatting>
  <conditionalFormatting sqref="E315">
    <cfRule type="cellIs" rank="0" priority="619" equalAverage="0" operator="equal" aboveAverage="0" dxfId="10" text="" percent="0" bottom="0">
      <formula>"Evet"</formula>
    </cfRule>
  </conditionalFormatting>
  <conditionalFormatting sqref="D316">
    <cfRule type="cellIs" rank="0" priority="620" equalAverage="0" operator="greaterThan" aboveAverage="0" dxfId="8" text="" percent="0" bottom="0">
      <formula>0</formula>
    </cfRule>
  </conditionalFormatting>
  <conditionalFormatting sqref="E316">
    <cfRule type="cellIs" rank="0" priority="621" equalAverage="0" operator="equal" aboveAverage="0" dxfId="10" text="" percent="0" bottom="0">
      <formula>"Evet"</formula>
    </cfRule>
  </conditionalFormatting>
  <conditionalFormatting sqref="D317">
    <cfRule type="cellIs" rank="0" priority="622" equalAverage="0" operator="greaterThan" aboveAverage="0" dxfId="8" text="" percent="0" bottom="0">
      <formula>0</formula>
    </cfRule>
  </conditionalFormatting>
  <conditionalFormatting sqref="E317">
    <cfRule type="cellIs" rank="0" priority="623" equalAverage="0" operator="equal" aboveAverage="0" dxfId="10" text="" percent="0" bottom="0">
      <formula>"Evet"</formula>
    </cfRule>
  </conditionalFormatting>
  <conditionalFormatting sqref="D318">
    <cfRule type="cellIs" rank="0" priority="624" equalAverage="0" operator="greaterThan" aboveAverage="0" dxfId="8" text="" percent="0" bottom="0">
      <formula>0</formula>
    </cfRule>
  </conditionalFormatting>
  <conditionalFormatting sqref="E318">
    <cfRule type="cellIs" rank="0" priority="625" equalAverage="0" operator="equal" aboveAverage="0" dxfId="10" text="" percent="0" bottom="0">
      <formula>"Evet"</formula>
    </cfRule>
  </conditionalFormatting>
  <conditionalFormatting sqref="D319">
    <cfRule type="cellIs" rank="0" priority="626" equalAverage="0" operator="greaterThan" aboveAverage="0" dxfId="8" text="" percent="0" bottom="0">
      <formula>0</formula>
    </cfRule>
  </conditionalFormatting>
  <conditionalFormatting sqref="E319">
    <cfRule type="cellIs" rank="0" priority="627" equalAverage="0" operator="equal" aboveAverage="0" dxfId="10" text="" percent="0" bottom="0">
      <formula>"Evet"</formula>
    </cfRule>
  </conditionalFormatting>
  <conditionalFormatting sqref="D320">
    <cfRule type="cellIs" rank="0" priority="628" equalAverage="0" operator="greaterThan" aboveAverage="0" dxfId="8" text="" percent="0" bottom="0">
      <formula>0</formula>
    </cfRule>
  </conditionalFormatting>
  <conditionalFormatting sqref="E320">
    <cfRule type="cellIs" rank="0" priority="629" equalAverage="0" operator="equal" aboveAverage="0" dxfId="10" text="" percent="0" bottom="0">
      <formula>"Evet"</formula>
    </cfRule>
  </conditionalFormatting>
  <conditionalFormatting sqref="D321">
    <cfRule type="cellIs" rank="0" priority="630" equalAverage="0" operator="greaterThan" aboveAverage="0" dxfId="8" text="" percent="0" bottom="0">
      <formula>0</formula>
    </cfRule>
  </conditionalFormatting>
  <conditionalFormatting sqref="E321">
    <cfRule type="cellIs" rank="0" priority="631" equalAverage="0" operator="equal" aboveAverage="0" dxfId="10" text="" percent="0" bottom="0">
      <formula>"Evet"</formula>
    </cfRule>
  </conditionalFormatting>
  <conditionalFormatting sqref="D322">
    <cfRule type="cellIs" rank="0" priority="632" equalAverage="0" operator="greaterThan" aboveAverage="0" dxfId="8" text="" percent="0" bottom="0">
      <formula>0</formula>
    </cfRule>
  </conditionalFormatting>
  <conditionalFormatting sqref="E322">
    <cfRule type="cellIs" rank="0" priority="633" equalAverage="0" operator="equal" aboveAverage="0" dxfId="10" text="" percent="0" bottom="0">
      <formula>"Evet"</formula>
    </cfRule>
  </conditionalFormatting>
  <conditionalFormatting sqref="D323">
    <cfRule type="cellIs" rank="0" priority="634" equalAverage="0" operator="greaterThan" aboveAverage="0" dxfId="8" text="" percent="0" bottom="0">
      <formula>0</formula>
    </cfRule>
  </conditionalFormatting>
  <conditionalFormatting sqref="E323">
    <cfRule type="cellIs" rank="0" priority="635" equalAverage="0" operator="equal" aboveAverage="0" dxfId="10" text="" percent="0" bottom="0">
      <formula>"Evet"</formula>
    </cfRule>
  </conditionalFormatting>
  <conditionalFormatting sqref="D324">
    <cfRule type="cellIs" rank="0" priority="636" equalAverage="0" operator="greaterThan" aboveAverage="0" dxfId="8" text="" percent="0" bottom="0">
      <formula>0</formula>
    </cfRule>
  </conditionalFormatting>
  <conditionalFormatting sqref="E324">
    <cfRule type="cellIs" rank="0" priority="637" equalAverage="0" operator="equal" aboveAverage="0" dxfId="10" text="" percent="0" bottom="0">
      <formula>"Evet"</formula>
    </cfRule>
  </conditionalFormatting>
  <conditionalFormatting sqref="D325">
    <cfRule type="cellIs" rank="0" priority="638" equalAverage="0" operator="greaterThan" aboveAverage="0" dxfId="8" text="" percent="0" bottom="0">
      <formula>0</formula>
    </cfRule>
  </conditionalFormatting>
  <conditionalFormatting sqref="E325">
    <cfRule type="cellIs" rank="0" priority="639" equalAverage="0" operator="equal" aboveAverage="0" dxfId="10" text="" percent="0" bottom="0">
      <formula>"Evet"</formula>
    </cfRule>
  </conditionalFormatting>
  <conditionalFormatting sqref="D326">
    <cfRule type="cellIs" rank="0" priority="640" equalAverage="0" operator="greaterThan" aboveAverage="0" dxfId="8" text="" percent="0" bottom="0">
      <formula>0</formula>
    </cfRule>
  </conditionalFormatting>
  <conditionalFormatting sqref="E326">
    <cfRule type="cellIs" rank="0" priority="641" equalAverage="0" operator="equal" aboveAverage="0" dxfId="10" text="" percent="0" bottom="0">
      <formula>"Evet"</formula>
    </cfRule>
  </conditionalFormatting>
  <conditionalFormatting sqref="D327">
    <cfRule type="cellIs" rank="0" priority="642" equalAverage="0" operator="greaterThan" aboveAverage="0" dxfId="8" text="" percent="0" bottom="0">
      <formula>0</formula>
    </cfRule>
  </conditionalFormatting>
  <conditionalFormatting sqref="E327">
    <cfRule type="cellIs" rank="0" priority="643" equalAverage="0" operator="equal" aboveAverage="0" dxfId="10" text="" percent="0" bottom="0">
      <formula>"Evet"</formula>
    </cfRule>
  </conditionalFormatting>
  <conditionalFormatting sqref="D328">
    <cfRule type="cellIs" rank="0" priority="644" equalAverage="0" operator="greaterThan" aboveAverage="0" dxfId="8" text="" percent="0" bottom="0">
      <formula>0</formula>
    </cfRule>
  </conditionalFormatting>
  <conditionalFormatting sqref="E328">
    <cfRule type="cellIs" rank="0" priority="645" equalAverage="0" operator="equal" aboveAverage="0" dxfId="10" text="" percent="0" bottom="0">
      <formula>"Evet"</formula>
    </cfRule>
  </conditionalFormatting>
  <conditionalFormatting sqref="D329">
    <cfRule type="cellIs" rank="0" priority="646" equalAverage="0" operator="greaterThan" aboveAverage="0" dxfId="8" text="" percent="0" bottom="0">
      <formula>0</formula>
    </cfRule>
  </conditionalFormatting>
  <conditionalFormatting sqref="E329">
    <cfRule type="cellIs" rank="0" priority="647" equalAverage="0" operator="equal" aboveAverage="0" dxfId="10" text="" percent="0" bottom="0">
      <formula>"Evet"</formula>
    </cfRule>
  </conditionalFormatting>
  <conditionalFormatting sqref="D330">
    <cfRule type="cellIs" rank="0" priority="648" equalAverage="0" operator="greaterThan" aboveAverage="0" dxfId="8" text="" percent="0" bottom="0">
      <formula>0</formula>
    </cfRule>
  </conditionalFormatting>
  <conditionalFormatting sqref="E330">
    <cfRule type="cellIs" rank="0" priority="649" equalAverage="0" operator="equal" aboveAverage="0" dxfId="10" text="" percent="0" bottom="0">
      <formula>"Evet"</formula>
    </cfRule>
  </conditionalFormatting>
  <conditionalFormatting sqref="D331">
    <cfRule type="cellIs" rank="0" priority="650" equalAverage="0" operator="greaterThan" aboveAverage="0" dxfId="8" text="" percent="0" bottom="0">
      <formula>0</formula>
    </cfRule>
  </conditionalFormatting>
  <conditionalFormatting sqref="E331">
    <cfRule type="cellIs" rank="0" priority="651" equalAverage="0" operator="equal" aboveAverage="0" dxfId="10" text="" percent="0" bottom="0">
      <formula>"Evet"</formula>
    </cfRule>
  </conditionalFormatting>
  <conditionalFormatting sqref="D332">
    <cfRule type="cellIs" rank="0" priority="652" equalAverage="0" operator="greaterThan" aboveAverage="0" dxfId="8" text="" percent="0" bottom="0">
      <formula>0</formula>
    </cfRule>
  </conditionalFormatting>
  <conditionalFormatting sqref="E332">
    <cfRule type="cellIs" rank="0" priority="653" equalAverage="0" operator="equal" aboveAverage="0" dxfId="10" text="" percent="0" bottom="0">
      <formula>"Evet"</formula>
    </cfRule>
  </conditionalFormatting>
  <conditionalFormatting sqref="D333">
    <cfRule type="cellIs" rank="0" priority="654" equalAverage="0" operator="greaterThan" aboveAverage="0" dxfId="8" text="" percent="0" bottom="0">
      <formula>0</formula>
    </cfRule>
  </conditionalFormatting>
  <conditionalFormatting sqref="E333">
    <cfRule type="cellIs" rank="0" priority="655" equalAverage="0" operator="equal" aboveAverage="0" dxfId="10" text="" percent="0" bottom="0">
      <formula>"Evet"</formula>
    </cfRule>
  </conditionalFormatting>
  <conditionalFormatting sqref="D334">
    <cfRule type="cellIs" rank="0" priority="656" equalAverage="0" operator="greaterThan" aboveAverage="0" dxfId="8" text="" percent="0" bottom="0">
      <formula>0</formula>
    </cfRule>
  </conditionalFormatting>
  <conditionalFormatting sqref="E334">
    <cfRule type="cellIs" rank="0" priority="657" equalAverage="0" operator="equal" aboveAverage="0" dxfId="10" text="" percent="0" bottom="0">
      <formula>"Evet"</formula>
    </cfRule>
  </conditionalFormatting>
  <conditionalFormatting sqref="D335">
    <cfRule type="cellIs" rank="0" priority="658" equalAverage="0" operator="greaterThan" aboveAverage="0" dxfId="8" text="" percent="0" bottom="0">
      <formula>0</formula>
    </cfRule>
  </conditionalFormatting>
  <conditionalFormatting sqref="E335">
    <cfRule type="cellIs" rank="0" priority="659" equalAverage="0" operator="equal" aboveAverage="0" dxfId="10" text="" percent="0" bottom="0">
      <formula>"Evet"</formula>
    </cfRule>
  </conditionalFormatting>
  <conditionalFormatting sqref="D336">
    <cfRule type="cellIs" rank="0" priority="660" equalAverage="0" operator="greaterThan" aboveAverage="0" dxfId="8" text="" percent="0" bottom="0">
      <formula>0</formula>
    </cfRule>
  </conditionalFormatting>
  <conditionalFormatting sqref="E336">
    <cfRule type="cellIs" rank="0" priority="661" equalAverage="0" operator="equal" aboveAverage="0" dxfId="10" text="" percent="0" bottom="0">
      <formula>"Evet"</formula>
    </cfRule>
  </conditionalFormatting>
  <conditionalFormatting sqref="D337">
    <cfRule type="cellIs" rank="0" priority="662" equalAverage="0" operator="greaterThan" aboveAverage="0" dxfId="8" text="" percent="0" bottom="0">
      <formula>0</formula>
    </cfRule>
  </conditionalFormatting>
  <conditionalFormatting sqref="E337">
    <cfRule type="cellIs" rank="0" priority="663" equalAverage="0" operator="equal" aboveAverage="0" dxfId="10" text="" percent="0" bottom="0">
      <formula>"Evet"</formula>
    </cfRule>
  </conditionalFormatting>
  <conditionalFormatting sqref="D338">
    <cfRule type="cellIs" rank="0" priority="664" equalAverage="0" operator="greaterThan" aboveAverage="0" dxfId="8" text="" percent="0" bottom="0">
      <formula>0</formula>
    </cfRule>
  </conditionalFormatting>
  <conditionalFormatting sqref="E338">
    <cfRule type="cellIs" rank="0" priority="665" equalAverage="0" operator="equal" aboveAverage="0" dxfId="10" text="" percent="0" bottom="0">
      <formula>"Evet"</formula>
    </cfRule>
  </conditionalFormatting>
  <conditionalFormatting sqref="D339">
    <cfRule type="cellIs" rank="0" priority="666" equalAverage="0" operator="greaterThan" aboveAverage="0" dxfId="8" text="" percent="0" bottom="0">
      <formula>0</formula>
    </cfRule>
  </conditionalFormatting>
  <conditionalFormatting sqref="E339">
    <cfRule type="cellIs" rank="0" priority="667" equalAverage="0" operator="equal" aboveAverage="0" dxfId="10" text="" percent="0" bottom="0">
      <formula>"Evet"</formula>
    </cfRule>
  </conditionalFormatting>
  <conditionalFormatting sqref="D340">
    <cfRule type="cellIs" rank="0" priority="668" equalAverage="0" operator="greaterThan" aboveAverage="0" dxfId="8" text="" percent="0" bottom="0">
      <formula>0</formula>
    </cfRule>
  </conditionalFormatting>
  <conditionalFormatting sqref="E340">
    <cfRule type="cellIs" rank="0" priority="669" equalAverage="0" operator="equal" aboveAverage="0" dxfId="10" text="" percent="0" bottom="0">
      <formula>"Evet"</formula>
    </cfRule>
  </conditionalFormatting>
  <conditionalFormatting sqref="D341">
    <cfRule type="cellIs" rank="0" priority="670" equalAverage="0" operator="greaterThan" aboveAverage="0" dxfId="8" text="" percent="0" bottom="0">
      <formula>0</formula>
    </cfRule>
  </conditionalFormatting>
  <conditionalFormatting sqref="E341">
    <cfRule type="cellIs" rank="0" priority="671" equalAverage="0" operator="equal" aboveAverage="0" dxfId="10" text="" percent="0" bottom="0">
      <formula>"Evet"</formula>
    </cfRule>
  </conditionalFormatting>
  <conditionalFormatting sqref="D342">
    <cfRule type="cellIs" rank="0" priority="672" equalAverage="0" operator="greaterThan" aboveAverage="0" dxfId="8" text="" percent="0" bottom="0">
      <formula>0</formula>
    </cfRule>
  </conditionalFormatting>
  <conditionalFormatting sqref="E342">
    <cfRule type="cellIs" rank="0" priority="673" equalAverage="0" operator="equal" aboveAverage="0" dxfId="10" text="" percent="0" bottom="0">
      <formula>"Evet"</formula>
    </cfRule>
  </conditionalFormatting>
  <conditionalFormatting sqref="D343">
    <cfRule type="cellIs" rank="0" priority="674" equalAverage="0" operator="greaterThan" aboveAverage="0" dxfId="8" text="" percent="0" bottom="0">
      <formula>0</formula>
    </cfRule>
  </conditionalFormatting>
  <conditionalFormatting sqref="E343">
    <cfRule type="cellIs" rank="0" priority="675" equalAverage="0" operator="equal" aboveAverage="0" dxfId="10" text="" percent="0" bottom="0">
      <formula>"Evet"</formula>
    </cfRule>
  </conditionalFormatting>
  <conditionalFormatting sqref="D344">
    <cfRule type="cellIs" rank="0" priority="676" equalAverage="0" operator="greaterThan" aboveAverage="0" dxfId="8" text="" percent="0" bottom="0">
      <formula>0</formula>
    </cfRule>
  </conditionalFormatting>
  <conditionalFormatting sqref="E344">
    <cfRule type="cellIs" rank="0" priority="677" equalAverage="0" operator="equal" aboveAverage="0" dxfId="10" text="" percent="0" bottom="0">
      <formula>"Evet"</formula>
    </cfRule>
  </conditionalFormatting>
  <conditionalFormatting sqref="D345">
    <cfRule type="cellIs" rank="0" priority="678" equalAverage="0" operator="greaterThan" aboveAverage="0" dxfId="8" text="" percent="0" bottom="0">
      <formula>0</formula>
    </cfRule>
  </conditionalFormatting>
  <conditionalFormatting sqref="E345">
    <cfRule type="cellIs" rank="0" priority="679" equalAverage="0" operator="equal" aboveAverage="0" dxfId="10" text="" percent="0" bottom="0">
      <formula>"Evet"</formula>
    </cfRule>
  </conditionalFormatting>
  <conditionalFormatting sqref="D346">
    <cfRule type="cellIs" rank="0" priority="680" equalAverage="0" operator="greaterThan" aboveAverage="0" dxfId="8" text="" percent="0" bottom="0">
      <formula>0</formula>
    </cfRule>
  </conditionalFormatting>
  <conditionalFormatting sqref="E346">
    <cfRule type="cellIs" rank="0" priority="681" equalAverage="0" operator="equal" aboveAverage="0" dxfId="10" text="" percent="0" bottom="0">
      <formula>"Evet"</formula>
    </cfRule>
  </conditionalFormatting>
  <conditionalFormatting sqref="D347">
    <cfRule type="cellIs" rank="0" priority="682" equalAverage="0" operator="greaterThan" aboveAverage="0" dxfId="8" text="" percent="0" bottom="0">
      <formula>0</formula>
    </cfRule>
  </conditionalFormatting>
  <conditionalFormatting sqref="E347">
    <cfRule type="cellIs" rank="0" priority="683" equalAverage="0" operator="equal" aboveAverage="0" dxfId="10" text="" percent="0" bottom="0">
      <formula>"Evet"</formula>
    </cfRule>
  </conditionalFormatting>
  <conditionalFormatting sqref="D348">
    <cfRule type="cellIs" rank="0" priority="684" equalAverage="0" operator="greaterThan" aboveAverage="0" dxfId="8" text="" percent="0" bottom="0">
      <formula>0</formula>
    </cfRule>
  </conditionalFormatting>
  <conditionalFormatting sqref="E348">
    <cfRule type="cellIs" rank="0" priority="685" equalAverage="0" operator="equal" aboveAverage="0" dxfId="10" text="" percent="0" bottom="0">
      <formula>"Evet"</formula>
    </cfRule>
  </conditionalFormatting>
  <conditionalFormatting sqref="D349">
    <cfRule type="cellIs" rank="0" priority="686" equalAverage="0" operator="greaterThan" aboveAverage="0" dxfId="8" text="" percent="0" bottom="0">
      <formula>0</formula>
    </cfRule>
  </conditionalFormatting>
  <conditionalFormatting sqref="E349">
    <cfRule type="cellIs" rank="0" priority="687" equalAverage="0" operator="equal" aboveAverage="0" dxfId="10" text="" percent="0" bottom="0">
      <formula>"Evet"</formula>
    </cfRule>
  </conditionalFormatting>
  <conditionalFormatting sqref="D350">
    <cfRule type="cellIs" rank="0" priority="688" equalAverage="0" operator="greaterThan" aboveAverage="0" dxfId="8" text="" percent="0" bottom="0">
      <formula>0</formula>
    </cfRule>
  </conditionalFormatting>
  <conditionalFormatting sqref="E350">
    <cfRule type="cellIs" rank="0" priority="689" equalAverage="0" operator="equal" aboveAverage="0" dxfId="10" text="" percent="0" bottom="0">
      <formula>"Evet"</formula>
    </cfRule>
  </conditionalFormatting>
  <conditionalFormatting sqref="D351">
    <cfRule type="cellIs" rank="0" priority="690" equalAverage="0" operator="greaterThan" aboveAverage="0" dxfId="8" text="" percent="0" bottom="0">
      <formula>0</formula>
    </cfRule>
  </conditionalFormatting>
  <conditionalFormatting sqref="E351">
    <cfRule type="cellIs" rank="0" priority="691" equalAverage="0" operator="equal" aboveAverage="0" dxfId="10" text="" percent="0" bottom="0">
      <formula>"Evet"</formula>
    </cfRule>
  </conditionalFormatting>
  <conditionalFormatting sqref="D352">
    <cfRule type="cellIs" rank="0" priority="692" equalAverage="0" operator="greaterThan" aboveAverage="0" dxfId="8" text="" percent="0" bottom="0">
      <formula>0</formula>
    </cfRule>
  </conditionalFormatting>
  <conditionalFormatting sqref="E352">
    <cfRule type="cellIs" rank="0" priority="693" equalAverage="0" operator="equal" aboveAverage="0" dxfId="10" text="" percent="0" bottom="0">
      <formula>"Evet"</formula>
    </cfRule>
  </conditionalFormatting>
  <conditionalFormatting sqref="D353">
    <cfRule type="cellIs" rank="0" priority="694" equalAverage="0" operator="greaterThan" aboveAverage="0" dxfId="8" text="" percent="0" bottom="0">
      <formula>0</formula>
    </cfRule>
  </conditionalFormatting>
  <conditionalFormatting sqref="E353">
    <cfRule type="cellIs" rank="0" priority="695" equalAverage="0" operator="equal" aboveAverage="0" dxfId="10" text="" percent="0" bottom="0">
      <formula>"Evet"</formula>
    </cfRule>
  </conditionalFormatting>
  <conditionalFormatting sqref="D354">
    <cfRule type="cellIs" rank="0" priority="696" equalAverage="0" operator="greaterThan" aboveAverage="0" dxfId="8" text="" percent="0" bottom="0">
      <formula>0</formula>
    </cfRule>
  </conditionalFormatting>
  <conditionalFormatting sqref="E354">
    <cfRule type="cellIs" rank="0" priority="697" equalAverage="0" operator="equal" aboveAverage="0" dxfId="10" text="" percent="0" bottom="0">
      <formula>"Evet"</formula>
    </cfRule>
  </conditionalFormatting>
  <conditionalFormatting sqref="D355">
    <cfRule type="cellIs" rank="0" priority="698" equalAverage="0" operator="greaterThan" aboveAverage="0" dxfId="8" text="" percent="0" bottom="0">
      <formula>0</formula>
    </cfRule>
  </conditionalFormatting>
  <conditionalFormatting sqref="E355">
    <cfRule type="cellIs" rank="0" priority="699" equalAverage="0" operator="equal" aboveAverage="0" dxfId="10" text="" percent="0" bottom="0">
      <formula>"Evet"</formula>
    </cfRule>
  </conditionalFormatting>
  <conditionalFormatting sqref="D356">
    <cfRule type="cellIs" rank="0" priority="700" equalAverage="0" operator="greaterThan" aboveAverage="0" dxfId="8" text="" percent="0" bottom="0">
      <formula>0</formula>
    </cfRule>
  </conditionalFormatting>
  <conditionalFormatting sqref="E356">
    <cfRule type="cellIs" rank="0" priority="701" equalAverage="0" operator="equal" aboveAverage="0" dxfId="10" text="" percent="0" bottom="0">
      <formula>"Evet"</formula>
    </cfRule>
  </conditionalFormatting>
  <conditionalFormatting sqref="D357">
    <cfRule type="cellIs" rank="0" priority="702" equalAverage="0" operator="greaterThan" aboveAverage="0" dxfId="8" text="" percent="0" bottom="0">
      <formula>0</formula>
    </cfRule>
  </conditionalFormatting>
  <conditionalFormatting sqref="E357">
    <cfRule type="cellIs" rank="0" priority="703" equalAverage="0" operator="equal" aboveAverage="0" dxfId="10" text="" percent="0" bottom="0">
      <formula>"Evet"</formula>
    </cfRule>
  </conditionalFormatting>
  <conditionalFormatting sqref="D358">
    <cfRule type="cellIs" rank="0" priority="704" equalAverage="0" operator="greaterThan" aboveAverage="0" dxfId="8" text="" percent="0" bottom="0">
      <formula>0</formula>
    </cfRule>
  </conditionalFormatting>
  <conditionalFormatting sqref="E358">
    <cfRule type="cellIs" rank="0" priority="705" equalAverage="0" operator="equal" aboveAverage="0" dxfId="10" text="" percent="0" bottom="0">
      <formula>"Evet"</formula>
    </cfRule>
  </conditionalFormatting>
  <conditionalFormatting sqref="D359">
    <cfRule type="cellIs" rank="0" priority="706" equalAverage="0" operator="greaterThan" aboveAverage="0" dxfId="8" text="" percent="0" bottom="0">
      <formula>0</formula>
    </cfRule>
  </conditionalFormatting>
  <conditionalFormatting sqref="E359">
    <cfRule type="cellIs" rank="0" priority="707" equalAverage="0" operator="equal" aboveAverage="0" dxfId="10" text="" percent="0" bottom="0">
      <formula>"Evet"</formula>
    </cfRule>
  </conditionalFormatting>
  <conditionalFormatting sqref="D360">
    <cfRule type="cellIs" rank="0" priority="708" equalAverage="0" operator="greaterThan" aboveAverage="0" dxfId="8" text="" percent="0" bottom="0">
      <formula>0</formula>
    </cfRule>
  </conditionalFormatting>
  <conditionalFormatting sqref="E360">
    <cfRule type="cellIs" rank="0" priority="709" equalAverage="0" operator="equal" aboveAverage="0" dxfId="10" text="" percent="0" bottom="0">
      <formula>"Evet"</formula>
    </cfRule>
  </conditionalFormatting>
  <conditionalFormatting sqref="D361">
    <cfRule type="cellIs" rank="0" priority="710" equalAverage="0" operator="greaterThan" aboveAverage="0" dxfId="8" text="" percent="0" bottom="0">
      <formula>0</formula>
    </cfRule>
  </conditionalFormatting>
  <conditionalFormatting sqref="E361">
    <cfRule type="cellIs" rank="0" priority="711" equalAverage="0" operator="equal" aboveAverage="0" dxfId="10" text="" percent="0" bottom="0">
      <formula>"Evet"</formula>
    </cfRule>
  </conditionalFormatting>
  <conditionalFormatting sqref="D362">
    <cfRule type="cellIs" rank="0" priority="712" equalAverage="0" operator="greaterThan" aboveAverage="0" dxfId="8" text="" percent="0" bottom="0">
      <formula>0</formula>
    </cfRule>
  </conditionalFormatting>
  <conditionalFormatting sqref="E362">
    <cfRule type="cellIs" rank="0" priority="713" equalAverage="0" operator="equal" aboveAverage="0" dxfId="10" text="" percent="0" bottom="0">
      <formula>"Evet"</formula>
    </cfRule>
  </conditionalFormatting>
  <conditionalFormatting sqref="D363">
    <cfRule type="cellIs" rank="0" priority="714" equalAverage="0" operator="greaterThan" aboveAverage="0" dxfId="8" text="" percent="0" bottom="0">
      <formula>0</formula>
    </cfRule>
  </conditionalFormatting>
  <conditionalFormatting sqref="E363">
    <cfRule type="cellIs" rank="0" priority="715" equalAverage="0" operator="equal" aboveAverage="0" dxfId="10" text="" percent="0" bottom="0">
      <formula>"Evet"</formula>
    </cfRule>
  </conditionalFormatting>
  <conditionalFormatting sqref="D364">
    <cfRule type="cellIs" rank="0" priority="716" equalAverage="0" operator="greaterThan" aboveAverage="0" dxfId="8" text="" percent="0" bottom="0">
      <formula>0</formula>
    </cfRule>
  </conditionalFormatting>
  <conditionalFormatting sqref="E364">
    <cfRule type="cellIs" rank="0" priority="717" equalAverage="0" operator="equal" aboveAverage="0" dxfId="10" text="" percent="0" bottom="0">
      <formula>"Evet"</formula>
    </cfRule>
  </conditionalFormatting>
  <conditionalFormatting sqref="D365">
    <cfRule type="cellIs" rank="0" priority="718" equalAverage="0" operator="greaterThan" aboveAverage="0" dxfId="8" text="" percent="0" bottom="0">
      <formula>0</formula>
    </cfRule>
  </conditionalFormatting>
  <conditionalFormatting sqref="E365">
    <cfRule type="cellIs" rank="0" priority="719" equalAverage="0" operator="equal" aboveAverage="0" dxfId="10" text="" percent="0" bottom="0">
      <formula>"Evet"</formula>
    </cfRule>
  </conditionalFormatting>
  <conditionalFormatting sqref="D366">
    <cfRule type="cellIs" rank="0" priority="720" equalAverage="0" operator="greaterThan" aboveAverage="0" dxfId="8" text="" percent="0" bottom="0">
      <formula>0</formula>
    </cfRule>
  </conditionalFormatting>
  <conditionalFormatting sqref="E366">
    <cfRule type="cellIs" rank="0" priority="721" equalAverage="0" operator="equal" aboveAverage="0" dxfId="10" text="" percent="0" bottom="0">
      <formula>"Evet"</formula>
    </cfRule>
  </conditionalFormatting>
  <conditionalFormatting sqref="D367">
    <cfRule type="cellIs" rank="0" priority="722" equalAverage="0" operator="greaterThan" aboveAverage="0" dxfId="8" text="" percent="0" bottom="0">
      <formula>0</formula>
    </cfRule>
  </conditionalFormatting>
  <conditionalFormatting sqref="E367">
    <cfRule type="cellIs" rank="0" priority="723" equalAverage="0" operator="equal" aboveAverage="0" dxfId="10" text="" percent="0" bottom="0">
      <formula>"Evet"</formula>
    </cfRule>
  </conditionalFormatting>
  <conditionalFormatting sqref="D368">
    <cfRule type="cellIs" rank="0" priority="724" equalAverage="0" operator="greaterThan" aboveAverage="0" dxfId="8" text="" percent="0" bottom="0">
      <formula>0</formula>
    </cfRule>
  </conditionalFormatting>
  <conditionalFormatting sqref="E368">
    <cfRule type="cellIs" rank="0" priority="725" equalAverage="0" operator="equal" aboveAverage="0" dxfId="10" text="" percent="0" bottom="0">
      <formula>"Evet"</formula>
    </cfRule>
  </conditionalFormatting>
  <conditionalFormatting sqref="D369">
    <cfRule type="cellIs" rank="0" priority="726" equalAverage="0" operator="greaterThan" aboveAverage="0" dxfId="8" text="" percent="0" bottom="0">
      <formula>0</formula>
    </cfRule>
  </conditionalFormatting>
  <conditionalFormatting sqref="E369">
    <cfRule type="cellIs" rank="0" priority="727" equalAverage="0" operator="equal" aboveAverage="0" dxfId="10" text="" percent="0" bottom="0">
      <formula>"Evet"</formula>
    </cfRule>
  </conditionalFormatting>
  <conditionalFormatting sqref="D370">
    <cfRule type="cellIs" rank="0" priority="728" equalAverage="0" operator="greaterThan" aboveAverage="0" dxfId="8" text="" percent="0" bottom="0">
      <formula>0</formula>
    </cfRule>
  </conditionalFormatting>
  <conditionalFormatting sqref="E370">
    <cfRule type="cellIs" rank="0" priority="729" equalAverage="0" operator="equal" aboveAverage="0" dxfId="10" text="" percent="0" bottom="0">
      <formula>"Evet"</formula>
    </cfRule>
  </conditionalFormatting>
  <conditionalFormatting sqref="D371">
    <cfRule type="cellIs" rank="0" priority="730" equalAverage="0" operator="greaterThan" aboveAverage="0" dxfId="8" text="" percent="0" bottom="0">
      <formula>0</formula>
    </cfRule>
  </conditionalFormatting>
  <conditionalFormatting sqref="E371">
    <cfRule type="cellIs" rank="0" priority="731" equalAverage="0" operator="equal" aboveAverage="0" dxfId="10" text="" percent="0" bottom="0">
      <formula>"Evet"</formula>
    </cfRule>
  </conditionalFormatting>
  <conditionalFormatting sqref="D372">
    <cfRule type="cellIs" rank="0" priority="732" equalAverage="0" operator="greaterThan" aboveAverage="0" dxfId="8" text="" percent="0" bottom="0">
      <formula>0</formula>
    </cfRule>
  </conditionalFormatting>
  <conditionalFormatting sqref="E372">
    <cfRule type="cellIs" rank="0" priority="733" equalAverage="0" operator="equal" aboveAverage="0" dxfId="10" text="" percent="0" bottom="0">
      <formula>"Evet"</formula>
    </cfRule>
  </conditionalFormatting>
  <conditionalFormatting sqref="D373">
    <cfRule type="cellIs" rank="0" priority="734" equalAverage="0" operator="greaterThan" aboveAverage="0" dxfId="8" text="" percent="0" bottom="0">
      <formula>0</formula>
    </cfRule>
  </conditionalFormatting>
  <conditionalFormatting sqref="E373">
    <cfRule type="cellIs" rank="0" priority="735" equalAverage="0" operator="equal" aboveAverage="0" dxfId="10" text="" percent="0" bottom="0">
      <formula>"Evet"</formula>
    </cfRule>
  </conditionalFormatting>
  <conditionalFormatting sqref="D374">
    <cfRule type="cellIs" rank="0" priority="736" equalAverage="0" operator="greaterThan" aboveAverage="0" dxfId="8" text="" percent="0" bottom="0">
      <formula>0</formula>
    </cfRule>
  </conditionalFormatting>
  <conditionalFormatting sqref="E374">
    <cfRule type="cellIs" rank="0" priority="737" equalAverage="0" operator="equal" aboveAverage="0" dxfId="10" text="" percent="0" bottom="0">
      <formula>"Evet"</formula>
    </cfRule>
  </conditionalFormatting>
  <conditionalFormatting sqref="D375">
    <cfRule type="cellIs" rank="0" priority="738" equalAverage="0" operator="greaterThan" aboveAverage="0" dxfId="8" text="" percent="0" bottom="0">
      <formula>0</formula>
    </cfRule>
  </conditionalFormatting>
  <conditionalFormatting sqref="E375">
    <cfRule type="cellIs" rank="0" priority="739" equalAverage="0" operator="equal" aboveAverage="0" dxfId="10" text="" percent="0" bottom="0">
      <formula>"Evet"</formula>
    </cfRule>
  </conditionalFormatting>
  <conditionalFormatting sqref="D376">
    <cfRule type="cellIs" rank="0" priority="740" equalAverage="0" operator="greaterThan" aboveAverage="0" dxfId="8" text="" percent="0" bottom="0">
      <formula>0</formula>
    </cfRule>
  </conditionalFormatting>
  <conditionalFormatting sqref="E376">
    <cfRule type="cellIs" rank="0" priority="741" equalAverage="0" operator="equal" aboveAverage="0" dxfId="10" text="" percent="0" bottom="0">
      <formula>"Evet"</formula>
    </cfRule>
  </conditionalFormatting>
  <conditionalFormatting sqref="D377">
    <cfRule type="cellIs" rank="0" priority="742" equalAverage="0" operator="greaterThan" aboveAverage="0" dxfId="8" text="" percent="0" bottom="0">
      <formula>0</formula>
    </cfRule>
  </conditionalFormatting>
  <conditionalFormatting sqref="E377">
    <cfRule type="cellIs" rank="0" priority="743" equalAverage="0" operator="equal" aboveAverage="0" dxfId="10" text="" percent="0" bottom="0">
      <formula>"Evet"</formula>
    </cfRule>
  </conditionalFormatting>
  <conditionalFormatting sqref="D378">
    <cfRule type="cellIs" rank="0" priority="744" equalAverage="0" operator="greaterThan" aboveAverage="0" dxfId="8" text="" percent="0" bottom="0">
      <formula>0</formula>
    </cfRule>
  </conditionalFormatting>
  <conditionalFormatting sqref="E378">
    <cfRule type="cellIs" rank="0" priority="745" equalAverage="0" operator="equal" aboveAverage="0" dxfId="10" text="" percent="0" bottom="0">
      <formula>"Evet"</formula>
    </cfRule>
  </conditionalFormatting>
  <conditionalFormatting sqref="D379">
    <cfRule type="cellIs" rank="0" priority="746" equalAverage="0" operator="greaterThan" aboveAverage="0" dxfId="8" text="" percent="0" bottom="0">
      <formula>0</formula>
    </cfRule>
  </conditionalFormatting>
  <conditionalFormatting sqref="E379">
    <cfRule type="cellIs" rank="0" priority="747" equalAverage="0" operator="equal" aboveAverage="0" dxfId="10" text="" percent="0" bottom="0">
      <formula>"Evet"</formula>
    </cfRule>
  </conditionalFormatting>
  <conditionalFormatting sqref="D380">
    <cfRule type="cellIs" rank="0" priority="748" equalAverage="0" operator="greaterThan" aboveAverage="0" dxfId="8" text="" percent="0" bottom="0">
      <formula>0</formula>
    </cfRule>
  </conditionalFormatting>
  <conditionalFormatting sqref="E380">
    <cfRule type="cellIs" rank="0" priority="749" equalAverage="0" operator="equal" aboveAverage="0" dxfId="10" text="" percent="0" bottom="0">
      <formula>"Evet"</formula>
    </cfRule>
  </conditionalFormatting>
  <conditionalFormatting sqref="D381">
    <cfRule type="cellIs" rank="0" priority="750" equalAverage="0" operator="greaterThan" aboveAverage="0" dxfId="8" text="" percent="0" bottom="0">
      <formula>0</formula>
    </cfRule>
  </conditionalFormatting>
  <conditionalFormatting sqref="E381">
    <cfRule type="cellIs" rank="0" priority="751" equalAverage="0" operator="equal" aboveAverage="0" dxfId="10" text="" percent="0" bottom="0">
      <formula>"Evet"</formula>
    </cfRule>
  </conditionalFormatting>
  <conditionalFormatting sqref="D382">
    <cfRule type="cellIs" rank="0" priority="752" equalAverage="0" operator="greaterThan" aboveAverage="0" dxfId="8" text="" percent="0" bottom="0">
      <formula>0</formula>
    </cfRule>
  </conditionalFormatting>
  <conditionalFormatting sqref="E382">
    <cfRule type="cellIs" rank="0" priority="753" equalAverage="0" operator="equal" aboveAverage="0" dxfId="10" text="" percent="0" bottom="0">
      <formula>"Evet"</formula>
    </cfRule>
  </conditionalFormatting>
  <conditionalFormatting sqref="D383">
    <cfRule type="cellIs" rank="0" priority="754" equalAverage="0" operator="greaterThan" aboveAverage="0" dxfId="8" text="" percent="0" bottom="0">
      <formula>0</formula>
    </cfRule>
  </conditionalFormatting>
  <conditionalFormatting sqref="E383">
    <cfRule type="cellIs" rank="0" priority="755" equalAverage="0" operator="equal" aboveAverage="0" dxfId="10" text="" percent="0" bottom="0">
      <formula>"Evet"</formula>
    </cfRule>
  </conditionalFormatting>
  <conditionalFormatting sqref="D384">
    <cfRule type="cellIs" rank="0" priority="756" equalAverage="0" operator="greaterThan" aboveAverage="0" dxfId="8" text="" percent="0" bottom="0">
      <formula>0</formula>
    </cfRule>
  </conditionalFormatting>
  <conditionalFormatting sqref="E384">
    <cfRule type="cellIs" rank="0" priority="757" equalAverage="0" operator="equal" aboveAverage="0" dxfId="10" text="" percent="0" bottom="0">
      <formula>"Evet"</formula>
    </cfRule>
  </conditionalFormatting>
  <conditionalFormatting sqref="D385">
    <cfRule type="cellIs" rank="0" priority="758" equalAverage="0" operator="greaterThan" aboveAverage="0" dxfId="8" text="" percent="0" bottom="0">
      <formula>0</formula>
    </cfRule>
  </conditionalFormatting>
  <conditionalFormatting sqref="E385">
    <cfRule type="cellIs" rank="0" priority="759" equalAverage="0" operator="equal" aboveAverage="0" dxfId="10" text="" percent="0" bottom="0">
      <formula>"Evet"</formula>
    </cfRule>
  </conditionalFormatting>
  <conditionalFormatting sqref="D386">
    <cfRule type="cellIs" rank="0" priority="760" equalAverage="0" operator="greaterThan" aboveAverage="0" dxfId="8" text="" percent="0" bottom="0">
      <formula>0</formula>
    </cfRule>
  </conditionalFormatting>
  <conditionalFormatting sqref="E386">
    <cfRule type="cellIs" rank="0" priority="761" equalAverage="0" operator="equal" aboveAverage="0" dxfId="10" text="" percent="0" bottom="0">
      <formula>"Evet"</formula>
    </cfRule>
  </conditionalFormatting>
  <conditionalFormatting sqref="D387">
    <cfRule type="cellIs" rank="0" priority="762" equalAverage="0" operator="greaterThan" aboveAverage="0" dxfId="8" text="" percent="0" bottom="0">
      <formula>0</formula>
    </cfRule>
  </conditionalFormatting>
  <conditionalFormatting sqref="E387">
    <cfRule type="cellIs" rank="0" priority="763" equalAverage="0" operator="equal" aboveAverage="0" dxfId="10" text="" percent="0" bottom="0">
      <formula>"Evet"</formula>
    </cfRule>
  </conditionalFormatting>
  <conditionalFormatting sqref="D388">
    <cfRule type="cellIs" rank="0" priority="764" equalAverage="0" operator="greaterThan" aboveAverage="0" dxfId="8" text="" percent="0" bottom="0">
      <formula>0</formula>
    </cfRule>
  </conditionalFormatting>
  <conditionalFormatting sqref="E388">
    <cfRule type="cellIs" rank="0" priority="765" equalAverage="0" operator="equal" aboveAverage="0" dxfId="10" text="" percent="0" bottom="0">
      <formula>"Evet"</formula>
    </cfRule>
  </conditionalFormatting>
  <conditionalFormatting sqref="D389">
    <cfRule type="cellIs" rank="0" priority="766" equalAverage="0" operator="greaterThan" aboveAverage="0" dxfId="8" text="" percent="0" bottom="0">
      <formula>0</formula>
    </cfRule>
  </conditionalFormatting>
  <conditionalFormatting sqref="E389">
    <cfRule type="cellIs" rank="0" priority="767" equalAverage="0" operator="equal" aboveAverage="0" dxfId="10" text="" percent="0" bottom="0">
      <formula>"Evet"</formula>
    </cfRule>
  </conditionalFormatting>
  <conditionalFormatting sqref="D390">
    <cfRule type="cellIs" rank="0" priority="768" equalAverage="0" operator="greaterThan" aboveAverage="0" dxfId="8" text="" percent="0" bottom="0">
      <formula>0</formula>
    </cfRule>
  </conditionalFormatting>
  <conditionalFormatting sqref="E390">
    <cfRule type="cellIs" rank="0" priority="769" equalAverage="0" operator="equal" aboveAverage="0" dxfId="10" text="" percent="0" bottom="0">
      <formula>"Evet"</formula>
    </cfRule>
  </conditionalFormatting>
  <conditionalFormatting sqref="D391">
    <cfRule type="cellIs" rank="0" priority="770" equalAverage="0" operator="greaterThan" aboveAverage="0" dxfId="8" text="" percent="0" bottom="0">
      <formula>0</formula>
    </cfRule>
  </conditionalFormatting>
  <conditionalFormatting sqref="E391">
    <cfRule type="cellIs" rank="0" priority="771" equalAverage="0" operator="equal" aboveAverage="0" dxfId="10" text="" percent="0" bottom="0">
      <formula>"Evet"</formula>
    </cfRule>
  </conditionalFormatting>
  <conditionalFormatting sqref="D392">
    <cfRule type="cellIs" rank="0" priority="772" equalAverage="0" operator="greaterThan" aboveAverage="0" dxfId="8" text="" percent="0" bottom="0">
      <formula>0</formula>
    </cfRule>
  </conditionalFormatting>
  <conditionalFormatting sqref="E392">
    <cfRule type="cellIs" rank="0" priority="773" equalAverage="0" operator="equal" aboveAverage="0" dxfId="10" text="" percent="0" bottom="0">
      <formula>"Evet"</formula>
    </cfRule>
  </conditionalFormatting>
  <conditionalFormatting sqref="D393">
    <cfRule type="cellIs" rank="0" priority="774" equalAverage="0" operator="greaterThan" aboveAverage="0" dxfId="8" text="" percent="0" bottom="0">
      <formula>0</formula>
    </cfRule>
  </conditionalFormatting>
  <conditionalFormatting sqref="E393">
    <cfRule type="cellIs" rank="0" priority="775" equalAverage="0" operator="equal" aboveAverage="0" dxfId="10" text="" percent="0" bottom="0">
      <formula>"Evet"</formula>
    </cfRule>
  </conditionalFormatting>
  <conditionalFormatting sqref="D394">
    <cfRule type="cellIs" rank="0" priority="776" equalAverage="0" operator="greaterThan" aboveAverage="0" dxfId="8" text="" percent="0" bottom="0">
      <formula>0</formula>
    </cfRule>
  </conditionalFormatting>
  <conditionalFormatting sqref="E394">
    <cfRule type="cellIs" rank="0" priority="777" equalAverage="0" operator="equal" aboveAverage="0" dxfId="10" text="" percent="0" bottom="0">
      <formula>"Evet"</formula>
    </cfRule>
  </conditionalFormatting>
  <conditionalFormatting sqref="D395">
    <cfRule type="cellIs" rank="0" priority="778" equalAverage="0" operator="greaterThan" aboveAverage="0" dxfId="8" text="" percent="0" bottom="0">
      <formula>0</formula>
    </cfRule>
  </conditionalFormatting>
  <conditionalFormatting sqref="E395">
    <cfRule type="cellIs" rank="0" priority="779" equalAverage="0" operator="equal" aboveAverage="0" dxfId="10" text="" percent="0" bottom="0">
      <formula>"Evet"</formula>
    </cfRule>
  </conditionalFormatting>
  <conditionalFormatting sqref="D396">
    <cfRule type="cellIs" rank="0" priority="780" equalAverage="0" operator="greaterThan" aboveAverage="0" dxfId="8" text="" percent="0" bottom="0">
      <formula>0</formula>
    </cfRule>
  </conditionalFormatting>
  <conditionalFormatting sqref="E396">
    <cfRule type="cellIs" rank="0" priority="781" equalAverage="0" operator="equal" aboveAverage="0" dxfId="10" text="" percent="0" bottom="0">
      <formula>"Evet"</formula>
    </cfRule>
  </conditionalFormatting>
  <conditionalFormatting sqref="D397">
    <cfRule type="cellIs" rank="0" priority="782" equalAverage="0" operator="greaterThan" aboveAverage="0" dxfId="8" text="" percent="0" bottom="0">
      <formula>0</formula>
    </cfRule>
  </conditionalFormatting>
  <conditionalFormatting sqref="E397">
    <cfRule type="cellIs" rank="0" priority="783" equalAverage="0" operator="equal" aboveAverage="0" dxfId="10" text="" percent="0" bottom="0">
      <formula>"Evet"</formula>
    </cfRule>
  </conditionalFormatting>
  <conditionalFormatting sqref="D398">
    <cfRule type="cellIs" rank="0" priority="784" equalAverage="0" operator="greaterThan" aboveAverage="0" dxfId="8" text="" percent="0" bottom="0">
      <formula>0</formula>
    </cfRule>
  </conditionalFormatting>
  <conditionalFormatting sqref="E398">
    <cfRule type="cellIs" rank="0" priority="785" equalAverage="0" operator="equal" aboveAverage="0" dxfId="10" text="" percent="0" bottom="0">
      <formula>"Evet"</formula>
    </cfRule>
  </conditionalFormatting>
  <conditionalFormatting sqref="D399">
    <cfRule type="cellIs" rank="0" priority="786" equalAverage="0" operator="greaterThan" aboveAverage="0" dxfId="8" text="" percent="0" bottom="0">
      <formula>0</formula>
    </cfRule>
  </conditionalFormatting>
  <conditionalFormatting sqref="E399">
    <cfRule type="cellIs" rank="0" priority="787" equalAverage="0" operator="equal" aboveAverage="0" dxfId="10" text="" percent="0" bottom="0">
      <formula>"Evet"</formula>
    </cfRule>
  </conditionalFormatting>
  <conditionalFormatting sqref="D400">
    <cfRule type="cellIs" rank="0" priority="788" equalAverage="0" operator="greaterThan" aboveAverage="0" dxfId="8" text="" percent="0" bottom="0">
      <formula>0</formula>
    </cfRule>
  </conditionalFormatting>
  <conditionalFormatting sqref="E400">
    <cfRule type="cellIs" rank="0" priority="789" equalAverage="0" operator="equal" aboveAverage="0" dxfId="10" text="" percent="0" bottom="0">
      <formula>"Evet"</formula>
    </cfRule>
  </conditionalFormatting>
  <conditionalFormatting sqref="D401">
    <cfRule type="cellIs" rank="0" priority="790" equalAverage="0" operator="greaterThan" aboveAverage="0" dxfId="8" text="" percent="0" bottom="0">
      <formula>0</formula>
    </cfRule>
  </conditionalFormatting>
  <conditionalFormatting sqref="E401">
    <cfRule type="cellIs" rank="0" priority="791" equalAverage="0" operator="equal" aboveAverage="0" dxfId="10" text="" percent="0" bottom="0">
      <formula>"Evet"</formula>
    </cfRule>
  </conditionalFormatting>
  <conditionalFormatting sqref="D402">
    <cfRule type="cellIs" rank="0" priority="792" equalAverage="0" operator="greaterThan" aboveAverage="0" dxfId="8" text="" percent="0" bottom="0">
      <formula>0</formula>
    </cfRule>
  </conditionalFormatting>
  <conditionalFormatting sqref="E402">
    <cfRule type="cellIs" rank="0" priority="793" equalAverage="0" operator="equal" aboveAverage="0" dxfId="10" text="" percent="0" bottom="0">
      <formula>"Evet"</formula>
    </cfRule>
  </conditionalFormatting>
  <conditionalFormatting sqref="D403">
    <cfRule type="cellIs" rank="0" priority="794" equalAverage="0" operator="greaterThan" aboveAverage="0" dxfId="8" text="" percent="0" bottom="0">
      <formula>0</formula>
    </cfRule>
  </conditionalFormatting>
  <conditionalFormatting sqref="E403">
    <cfRule type="cellIs" rank="0" priority="795" equalAverage="0" operator="equal" aboveAverage="0" dxfId="10" text="" percent="0" bottom="0">
      <formula>"Evet"</formula>
    </cfRule>
  </conditionalFormatting>
  <conditionalFormatting sqref="D404">
    <cfRule type="cellIs" rank="0" priority="796" equalAverage="0" operator="greaterThan" aboveAverage="0" dxfId="8" text="" percent="0" bottom="0">
      <formula>0</formula>
    </cfRule>
  </conditionalFormatting>
  <conditionalFormatting sqref="E404">
    <cfRule type="cellIs" rank="0" priority="797" equalAverage="0" operator="equal" aboveAverage="0" dxfId="10" text="" percent="0" bottom="0">
      <formula>"Evet"</formula>
    </cfRule>
  </conditionalFormatting>
  <conditionalFormatting sqref="D405">
    <cfRule type="cellIs" rank="0" priority="798" equalAverage="0" operator="greaterThan" aboveAverage="0" dxfId="8" text="" percent="0" bottom="0">
      <formula>0</formula>
    </cfRule>
  </conditionalFormatting>
  <conditionalFormatting sqref="E405">
    <cfRule type="cellIs" rank="0" priority="799" equalAverage="0" operator="equal" aboveAverage="0" dxfId="10" text="" percent="0" bottom="0">
      <formula>"Evet"</formula>
    </cfRule>
  </conditionalFormatting>
  <conditionalFormatting sqref="D406">
    <cfRule type="cellIs" rank="0" priority="800" equalAverage="0" operator="greaterThan" aboveAverage="0" dxfId="8" text="" percent="0" bottom="0">
      <formula>0</formula>
    </cfRule>
  </conditionalFormatting>
  <conditionalFormatting sqref="E406">
    <cfRule type="cellIs" rank="0" priority="801" equalAverage="0" operator="equal" aboveAverage="0" dxfId="10" text="" percent="0" bottom="0">
      <formula>"Evet"</formula>
    </cfRule>
  </conditionalFormatting>
  <conditionalFormatting sqref="D407">
    <cfRule type="cellIs" rank="0" priority="802" equalAverage="0" operator="greaterThan" aboveAverage="0" dxfId="8" text="" percent="0" bottom="0">
      <formula>0</formula>
    </cfRule>
  </conditionalFormatting>
  <conditionalFormatting sqref="E407">
    <cfRule type="cellIs" rank="0" priority="803" equalAverage="0" operator="equal" aboveAverage="0" dxfId="10" text="" percent="0" bottom="0">
      <formula>"Evet"</formula>
    </cfRule>
  </conditionalFormatting>
  <conditionalFormatting sqref="D408">
    <cfRule type="cellIs" rank="0" priority="804" equalAverage="0" operator="greaterThan" aboveAverage="0" dxfId="8" text="" percent="0" bottom="0">
      <formula>0</formula>
    </cfRule>
  </conditionalFormatting>
  <conditionalFormatting sqref="E408">
    <cfRule type="cellIs" rank="0" priority="805" equalAverage="0" operator="equal" aboveAverage="0" dxfId="10" text="" percent="0" bottom="0">
      <formula>"Evet"</formula>
    </cfRule>
  </conditionalFormatting>
  <conditionalFormatting sqref="D409">
    <cfRule type="cellIs" rank="0" priority="806" equalAverage="0" operator="greaterThan" aboveAverage="0" dxfId="8" text="" percent="0" bottom="0">
      <formula>0</formula>
    </cfRule>
  </conditionalFormatting>
  <conditionalFormatting sqref="E409">
    <cfRule type="cellIs" rank="0" priority="807" equalAverage="0" operator="equal" aboveAverage="0" dxfId="10" text="" percent="0" bottom="0">
      <formula>"Evet"</formula>
    </cfRule>
  </conditionalFormatting>
  <conditionalFormatting sqref="D410">
    <cfRule type="cellIs" rank="0" priority="808" equalAverage="0" operator="greaterThan" aboveAverage="0" dxfId="8" text="" percent="0" bottom="0">
      <formula>0</formula>
    </cfRule>
  </conditionalFormatting>
  <conditionalFormatting sqref="E410">
    <cfRule type="cellIs" rank="0" priority="809" equalAverage="0" operator="equal" aboveAverage="0" dxfId="10" text="" percent="0" bottom="0">
      <formula>"Evet"</formula>
    </cfRule>
  </conditionalFormatting>
  <conditionalFormatting sqref="D411">
    <cfRule type="cellIs" rank="0" priority="810" equalAverage="0" operator="greaterThan" aboveAverage="0" dxfId="8" text="" percent="0" bottom="0">
      <formula>0</formula>
    </cfRule>
  </conditionalFormatting>
  <conditionalFormatting sqref="E411">
    <cfRule type="cellIs" rank="0" priority="811" equalAverage="0" operator="equal" aboveAverage="0" dxfId="10" text="" percent="0" bottom="0">
      <formula>"Evet"</formula>
    </cfRule>
  </conditionalFormatting>
  <conditionalFormatting sqref="D412">
    <cfRule type="cellIs" rank="0" priority="812" equalAverage="0" operator="greaterThan" aboveAverage="0" dxfId="8" text="" percent="0" bottom="0">
      <formula>0</formula>
    </cfRule>
  </conditionalFormatting>
  <conditionalFormatting sqref="E412">
    <cfRule type="cellIs" rank="0" priority="813" equalAverage="0" operator="equal" aboveAverage="0" dxfId="10" text="" percent="0" bottom="0">
      <formula>"Evet"</formula>
    </cfRule>
  </conditionalFormatting>
  <conditionalFormatting sqref="D413">
    <cfRule type="cellIs" rank="0" priority="814" equalAverage="0" operator="greaterThan" aboveAverage="0" dxfId="8" text="" percent="0" bottom="0">
      <formula>0</formula>
    </cfRule>
  </conditionalFormatting>
  <conditionalFormatting sqref="E413">
    <cfRule type="cellIs" rank="0" priority="815" equalAverage="0" operator="equal" aboveAverage="0" dxfId="10" text="" percent="0" bottom="0">
      <formula>"Evet"</formula>
    </cfRule>
  </conditionalFormatting>
  <conditionalFormatting sqref="D414">
    <cfRule type="cellIs" rank="0" priority="816" equalAverage="0" operator="greaterThan" aboveAverage="0" dxfId="8" text="" percent="0" bottom="0">
      <formula>0</formula>
    </cfRule>
  </conditionalFormatting>
  <conditionalFormatting sqref="E414">
    <cfRule type="cellIs" rank="0" priority="817" equalAverage="0" operator="equal" aboveAverage="0" dxfId="10" text="" percent="0" bottom="0">
      <formula>"Evet"</formula>
    </cfRule>
  </conditionalFormatting>
  <conditionalFormatting sqref="D415">
    <cfRule type="cellIs" rank="0" priority="818" equalAverage="0" operator="greaterThan" aboveAverage="0" dxfId="8" text="" percent="0" bottom="0">
      <formula>0</formula>
    </cfRule>
  </conditionalFormatting>
  <conditionalFormatting sqref="E415">
    <cfRule type="cellIs" rank="0" priority="819" equalAverage="0" operator="equal" aboveAverage="0" dxfId="10" text="" percent="0" bottom="0">
      <formula>"Evet"</formula>
    </cfRule>
  </conditionalFormatting>
  <conditionalFormatting sqref="D416">
    <cfRule type="cellIs" rank="0" priority="820" equalAverage="0" operator="greaterThan" aboveAverage="0" dxfId="8" text="" percent="0" bottom="0">
      <formula>0</formula>
    </cfRule>
  </conditionalFormatting>
  <conditionalFormatting sqref="E416">
    <cfRule type="cellIs" rank="0" priority="821" equalAverage="0" operator="equal" aboveAverage="0" dxfId="10" text="" percent="0" bottom="0">
      <formula>"Evet"</formula>
    </cfRule>
  </conditionalFormatting>
  <conditionalFormatting sqref="D417">
    <cfRule type="cellIs" rank="0" priority="822" equalAverage="0" operator="greaterThan" aboveAverage="0" dxfId="8" text="" percent="0" bottom="0">
      <formula>0</formula>
    </cfRule>
  </conditionalFormatting>
  <conditionalFormatting sqref="E417">
    <cfRule type="cellIs" rank="0" priority="823" equalAverage="0" operator="equal" aboveAverage="0" dxfId="10" text="" percent="0" bottom="0">
      <formula>"Evet"</formula>
    </cfRule>
  </conditionalFormatting>
  <conditionalFormatting sqref="D418">
    <cfRule type="cellIs" rank="0" priority="824" equalAverage="0" operator="greaterThan" aboveAverage="0" dxfId="8" text="" percent="0" bottom="0">
      <formula>0</formula>
    </cfRule>
  </conditionalFormatting>
  <conditionalFormatting sqref="E418">
    <cfRule type="cellIs" rank="0" priority="825" equalAverage="0" operator="equal" aboveAverage="0" dxfId="10" text="" percent="0" bottom="0">
      <formula>"Evet"</formula>
    </cfRule>
  </conditionalFormatting>
  <conditionalFormatting sqref="D419">
    <cfRule type="cellIs" rank="0" priority="826" equalAverage="0" operator="greaterThan" aboveAverage="0" dxfId="8" text="" percent="0" bottom="0">
      <formula>0</formula>
    </cfRule>
  </conditionalFormatting>
  <conditionalFormatting sqref="E419">
    <cfRule type="cellIs" rank="0" priority="827" equalAverage="0" operator="equal" aboveAverage="0" dxfId="10" text="" percent="0" bottom="0">
      <formula>"Evet"</formula>
    </cfRule>
  </conditionalFormatting>
  <conditionalFormatting sqref="D420">
    <cfRule type="cellIs" rank="0" priority="828" equalAverage="0" operator="greaterThan" aboveAverage="0" dxfId="8" text="" percent="0" bottom="0">
      <formula>0</formula>
    </cfRule>
  </conditionalFormatting>
  <conditionalFormatting sqref="E420">
    <cfRule type="cellIs" rank="0" priority="829" equalAverage="0" operator="equal" aboveAverage="0" dxfId="10" text="" percent="0" bottom="0">
      <formula>"Evet"</formula>
    </cfRule>
  </conditionalFormatting>
  <conditionalFormatting sqref="D421">
    <cfRule type="cellIs" rank="0" priority="830" equalAverage="0" operator="greaterThan" aboveAverage="0" dxfId="8" text="" percent="0" bottom="0">
      <formula>0</formula>
    </cfRule>
  </conditionalFormatting>
  <conditionalFormatting sqref="E421">
    <cfRule type="cellIs" rank="0" priority="831" equalAverage="0" operator="equal" aboveAverage="0" dxfId="10" text="" percent="0" bottom="0">
      <formula>"Evet"</formula>
    </cfRule>
  </conditionalFormatting>
  <conditionalFormatting sqref="D422">
    <cfRule type="cellIs" rank="0" priority="832" equalAverage="0" operator="greaterThan" aboveAverage="0" dxfId="8" text="" percent="0" bottom="0">
      <formula>0</formula>
    </cfRule>
  </conditionalFormatting>
  <conditionalFormatting sqref="E422">
    <cfRule type="cellIs" rank="0" priority="833" equalAverage="0" operator="equal" aboveAverage="0" dxfId="10" text="" percent="0" bottom="0">
      <formula>"Evet"</formula>
    </cfRule>
  </conditionalFormatting>
  <conditionalFormatting sqref="D423">
    <cfRule type="cellIs" rank="0" priority="834" equalAverage="0" operator="greaterThan" aboveAverage="0" dxfId="8" text="" percent="0" bottom="0">
      <formula>0</formula>
    </cfRule>
  </conditionalFormatting>
  <conditionalFormatting sqref="E423">
    <cfRule type="cellIs" rank="0" priority="835" equalAverage="0" operator="equal" aboveAverage="0" dxfId="10" text="" percent="0" bottom="0">
      <formula>"Evet"</formula>
    </cfRule>
  </conditionalFormatting>
  <conditionalFormatting sqref="D424">
    <cfRule type="cellIs" rank="0" priority="836" equalAverage="0" operator="greaterThan" aboveAverage="0" dxfId="8" text="" percent="0" bottom="0">
      <formula>0</formula>
    </cfRule>
  </conditionalFormatting>
  <conditionalFormatting sqref="E424">
    <cfRule type="cellIs" rank="0" priority="837" equalAverage="0" operator="equal" aboveAverage="0" dxfId="10" text="" percent="0" bottom="0">
      <formula>"Evet"</formula>
    </cfRule>
  </conditionalFormatting>
  <conditionalFormatting sqref="D425">
    <cfRule type="cellIs" rank="0" priority="838" equalAverage="0" operator="greaterThan" aboveAverage="0" dxfId="8" text="" percent="0" bottom="0">
      <formula>0</formula>
    </cfRule>
  </conditionalFormatting>
  <conditionalFormatting sqref="E425">
    <cfRule type="cellIs" rank="0" priority="839" equalAverage="0" operator="equal" aboveAverage="0" dxfId="10" text="" percent="0" bottom="0">
      <formula>"Evet"</formula>
    </cfRule>
  </conditionalFormatting>
  <conditionalFormatting sqref="D426">
    <cfRule type="cellIs" rank="0" priority="840" equalAverage="0" operator="greaterThan" aboveAverage="0" dxfId="8" text="" percent="0" bottom="0">
      <formula>0</formula>
    </cfRule>
  </conditionalFormatting>
  <conditionalFormatting sqref="E426">
    <cfRule type="cellIs" rank="0" priority="841" equalAverage="0" operator="equal" aboveAverage="0" dxfId="10" text="" percent="0" bottom="0">
      <formula>"Evet"</formula>
    </cfRule>
  </conditionalFormatting>
  <conditionalFormatting sqref="D427">
    <cfRule type="cellIs" rank="0" priority="842" equalAverage="0" operator="greaterThan" aboveAverage="0" dxfId="8" text="" percent="0" bottom="0">
      <formula>0</formula>
    </cfRule>
  </conditionalFormatting>
  <conditionalFormatting sqref="E427">
    <cfRule type="cellIs" rank="0" priority="843" equalAverage="0" operator="equal" aboveAverage="0" dxfId="10" text="" percent="0" bottom="0">
      <formula>"Evet"</formula>
    </cfRule>
  </conditionalFormatting>
  <conditionalFormatting sqref="D428">
    <cfRule type="cellIs" rank="0" priority="844" equalAverage="0" operator="greaterThan" aboveAverage="0" dxfId="8" text="" percent="0" bottom="0">
      <formula>0</formula>
    </cfRule>
  </conditionalFormatting>
  <conditionalFormatting sqref="E428">
    <cfRule type="cellIs" rank="0" priority="845" equalAverage="0" operator="equal" aboveAverage="0" dxfId="10" text="" percent="0" bottom="0">
      <formula>"Evet"</formula>
    </cfRule>
  </conditionalFormatting>
  <conditionalFormatting sqref="D429">
    <cfRule type="cellIs" rank="0" priority="846" equalAverage="0" operator="greaterThan" aboveAverage="0" dxfId="8" text="" percent="0" bottom="0">
      <formula>0</formula>
    </cfRule>
  </conditionalFormatting>
  <conditionalFormatting sqref="E429">
    <cfRule type="cellIs" rank="0" priority="847" equalAverage="0" operator="equal" aboveAverage="0" dxfId="10" text="" percent="0" bottom="0">
      <formula>"Evet"</formula>
    </cfRule>
  </conditionalFormatting>
  <conditionalFormatting sqref="D430">
    <cfRule type="cellIs" rank="0" priority="848" equalAverage="0" operator="greaterThan" aboveAverage="0" dxfId="8" text="" percent="0" bottom="0">
      <formula>0</formula>
    </cfRule>
  </conditionalFormatting>
  <conditionalFormatting sqref="E430">
    <cfRule type="cellIs" rank="0" priority="849" equalAverage="0" operator="equal" aboveAverage="0" dxfId="10" text="" percent="0" bottom="0">
      <formula>"Evet"</formula>
    </cfRule>
  </conditionalFormatting>
  <conditionalFormatting sqref="D431">
    <cfRule type="cellIs" rank="0" priority="850" equalAverage="0" operator="greaterThan" aboveAverage="0" dxfId="8" text="" percent="0" bottom="0">
      <formula>0</formula>
    </cfRule>
  </conditionalFormatting>
  <conditionalFormatting sqref="E431">
    <cfRule type="cellIs" rank="0" priority="851" equalAverage="0" operator="equal" aboveAverage="0" dxfId="10" text="" percent="0" bottom="0">
      <formula>"Evet"</formula>
    </cfRule>
  </conditionalFormatting>
  <conditionalFormatting sqref="D432">
    <cfRule type="cellIs" rank="0" priority="852" equalAverage="0" operator="greaterThan" aboveAverage="0" dxfId="8" text="" percent="0" bottom="0">
      <formula>0</formula>
    </cfRule>
  </conditionalFormatting>
  <conditionalFormatting sqref="E432">
    <cfRule type="cellIs" rank="0" priority="853" equalAverage="0" operator="equal" aboveAverage="0" dxfId="10" text="" percent="0" bottom="0">
      <formula>"Evet"</formula>
    </cfRule>
  </conditionalFormatting>
  <conditionalFormatting sqref="D433">
    <cfRule type="cellIs" rank="0" priority="854" equalAverage="0" operator="greaterThan" aboveAverage="0" dxfId="8" text="" percent="0" bottom="0">
      <formula>0</formula>
    </cfRule>
  </conditionalFormatting>
  <conditionalFormatting sqref="E433">
    <cfRule type="cellIs" rank="0" priority="855" equalAverage="0" operator="equal" aboveAverage="0" dxfId="10" text="" percent="0" bottom="0">
      <formula>"Evet"</formula>
    </cfRule>
  </conditionalFormatting>
  <conditionalFormatting sqref="D434">
    <cfRule type="cellIs" rank="0" priority="856" equalAverage="0" operator="greaterThan" aboveAverage="0" dxfId="8" text="" percent="0" bottom="0">
      <formula>0</formula>
    </cfRule>
  </conditionalFormatting>
  <conditionalFormatting sqref="E434">
    <cfRule type="cellIs" rank="0" priority="857" equalAverage="0" operator="equal" aboveAverage="0" dxfId="10" text="" percent="0" bottom="0">
      <formula>"Evet"</formula>
    </cfRule>
  </conditionalFormatting>
  <conditionalFormatting sqref="D435">
    <cfRule type="cellIs" rank="0" priority="858" equalAverage="0" operator="greaterThan" aboveAverage="0" dxfId="8" text="" percent="0" bottom="0">
      <formula>0</formula>
    </cfRule>
  </conditionalFormatting>
  <conditionalFormatting sqref="E435">
    <cfRule type="cellIs" rank="0" priority="859" equalAverage="0" operator="equal" aboveAverage="0" dxfId="10" text="" percent="0" bottom="0">
      <formula>"Evet"</formula>
    </cfRule>
  </conditionalFormatting>
  <conditionalFormatting sqref="D436">
    <cfRule type="cellIs" rank="0" priority="860" equalAverage="0" operator="greaterThan" aboveAverage="0" dxfId="8" text="" percent="0" bottom="0">
      <formula>0</formula>
    </cfRule>
  </conditionalFormatting>
  <conditionalFormatting sqref="E436">
    <cfRule type="cellIs" rank="0" priority="861" equalAverage="0" operator="equal" aboveAverage="0" dxfId="10" text="" percent="0" bottom="0">
      <formula>"Evet"</formula>
    </cfRule>
  </conditionalFormatting>
  <conditionalFormatting sqref="D437">
    <cfRule type="cellIs" rank="0" priority="862" equalAverage="0" operator="greaterThan" aboveAverage="0" dxfId="8" text="" percent="0" bottom="0">
      <formula>0</formula>
    </cfRule>
  </conditionalFormatting>
  <conditionalFormatting sqref="E437">
    <cfRule type="cellIs" rank="0" priority="863" equalAverage="0" operator="equal" aboveAverage="0" dxfId="10" text="" percent="0" bottom="0">
      <formula>"Evet"</formula>
    </cfRule>
  </conditionalFormatting>
  <conditionalFormatting sqref="D438">
    <cfRule type="cellIs" rank="0" priority="864" equalAverage="0" operator="greaterThan" aboveAverage="0" dxfId="8" text="" percent="0" bottom="0">
      <formula>0</formula>
    </cfRule>
  </conditionalFormatting>
  <conditionalFormatting sqref="E438">
    <cfRule type="cellIs" rank="0" priority="865" equalAverage="0" operator="equal" aboveAverage="0" dxfId="10" text="" percent="0" bottom="0">
      <formula>"Evet"</formula>
    </cfRule>
  </conditionalFormatting>
  <conditionalFormatting sqref="D439">
    <cfRule type="cellIs" rank="0" priority="866" equalAverage="0" operator="greaterThan" aboveAverage="0" dxfId="8" text="" percent="0" bottom="0">
      <formula>0</formula>
    </cfRule>
  </conditionalFormatting>
  <conditionalFormatting sqref="E439">
    <cfRule type="cellIs" rank="0" priority="867" equalAverage="0" operator="equal" aboveAverage="0" dxfId="10" text="" percent="0" bottom="0">
      <formula>"Evet"</formula>
    </cfRule>
  </conditionalFormatting>
  <conditionalFormatting sqref="D440">
    <cfRule type="cellIs" rank="0" priority="868" equalAverage="0" operator="greaterThan" aboveAverage="0" dxfId="8" text="" percent="0" bottom="0">
      <formula>0</formula>
    </cfRule>
  </conditionalFormatting>
  <conditionalFormatting sqref="E440">
    <cfRule type="cellIs" rank="0" priority="869" equalAverage="0" operator="equal" aboveAverage="0" dxfId="10" text="" percent="0" bottom="0">
      <formula>"Evet"</formula>
    </cfRule>
  </conditionalFormatting>
  <conditionalFormatting sqref="D441">
    <cfRule type="cellIs" rank="0" priority="870" equalAverage="0" operator="greaterThan" aboveAverage="0" dxfId="8" text="" percent="0" bottom="0">
      <formula>0</formula>
    </cfRule>
  </conditionalFormatting>
  <conditionalFormatting sqref="E441">
    <cfRule type="cellIs" rank="0" priority="871" equalAverage="0" operator="equal" aboveAverage="0" dxfId="10" text="" percent="0" bottom="0">
      <formula>"Evet"</formula>
    </cfRule>
  </conditionalFormatting>
  <conditionalFormatting sqref="D442">
    <cfRule type="cellIs" rank="0" priority="872" equalAverage="0" operator="greaterThan" aboveAverage="0" dxfId="8" text="" percent="0" bottom="0">
      <formula>0</formula>
    </cfRule>
  </conditionalFormatting>
  <conditionalFormatting sqref="E442">
    <cfRule type="cellIs" rank="0" priority="873" equalAverage="0" operator="equal" aboveAverage="0" dxfId="10" text="" percent="0" bottom="0">
      <formula>"Evet"</formula>
    </cfRule>
  </conditionalFormatting>
  <conditionalFormatting sqref="D443">
    <cfRule type="cellIs" rank="0" priority="874" equalAverage="0" operator="greaterThan" aboveAverage="0" dxfId="8" text="" percent="0" bottom="0">
      <formula>0</formula>
    </cfRule>
  </conditionalFormatting>
  <conditionalFormatting sqref="E443">
    <cfRule type="cellIs" rank="0" priority="875" equalAverage="0" operator="equal" aboveAverage="0" dxfId="10" text="" percent="0" bottom="0">
      <formula>"Evet"</formula>
    </cfRule>
  </conditionalFormatting>
  <conditionalFormatting sqref="D444">
    <cfRule type="cellIs" rank="0" priority="876" equalAverage="0" operator="greaterThan" aboveAverage="0" dxfId="8" text="" percent="0" bottom="0">
      <formula>0</formula>
    </cfRule>
  </conditionalFormatting>
  <conditionalFormatting sqref="E444">
    <cfRule type="cellIs" rank="0" priority="877" equalAverage="0" operator="equal" aboveAverage="0" dxfId="10" text="" percent="0" bottom="0">
      <formula>"Evet"</formula>
    </cfRule>
  </conditionalFormatting>
  <conditionalFormatting sqref="D445">
    <cfRule type="cellIs" rank="0" priority="878" equalAverage="0" operator="greaterThan" aboveAverage="0" dxfId="8" text="" percent="0" bottom="0">
      <formula>0</formula>
    </cfRule>
  </conditionalFormatting>
  <conditionalFormatting sqref="E445">
    <cfRule type="cellIs" rank="0" priority="879" equalAverage="0" operator="equal" aboveAverage="0" dxfId="10" text="" percent="0" bottom="0">
      <formula>"Evet"</formula>
    </cfRule>
  </conditionalFormatting>
  <conditionalFormatting sqref="D446">
    <cfRule type="cellIs" rank="0" priority="880" equalAverage="0" operator="greaterThan" aboveAverage="0" dxfId="8" text="" percent="0" bottom="0">
      <formula>0</formula>
    </cfRule>
  </conditionalFormatting>
  <conditionalFormatting sqref="E446">
    <cfRule type="cellIs" rank="0" priority="881" equalAverage="0" operator="equal" aboveAverage="0" dxfId="10" text="" percent="0" bottom="0">
      <formula>"Evet"</formula>
    </cfRule>
  </conditionalFormatting>
  <conditionalFormatting sqref="D447">
    <cfRule type="cellIs" rank="0" priority="882" equalAverage="0" operator="greaterThan" aboveAverage="0" dxfId="8" text="" percent="0" bottom="0">
      <formula>0</formula>
    </cfRule>
  </conditionalFormatting>
  <conditionalFormatting sqref="E447">
    <cfRule type="cellIs" rank="0" priority="883" equalAverage="0" operator="equal" aboveAverage="0" dxfId="10" text="" percent="0" bottom="0">
      <formula>"Evet"</formula>
    </cfRule>
  </conditionalFormatting>
  <conditionalFormatting sqref="D448">
    <cfRule type="cellIs" rank="0" priority="884" equalAverage="0" operator="greaterThan" aboveAverage="0" dxfId="8" text="" percent="0" bottom="0">
      <formula>0</formula>
    </cfRule>
  </conditionalFormatting>
  <conditionalFormatting sqref="E448">
    <cfRule type="cellIs" rank="0" priority="885" equalAverage="0" operator="equal" aboveAverage="0" dxfId="10" text="" percent="0" bottom="0">
      <formula>"Evet"</formula>
    </cfRule>
  </conditionalFormatting>
  <conditionalFormatting sqref="D449">
    <cfRule type="cellIs" rank="0" priority="886" equalAverage="0" operator="greaterThan" aboveAverage="0" dxfId="8" text="" percent="0" bottom="0">
      <formula>0</formula>
    </cfRule>
  </conditionalFormatting>
  <conditionalFormatting sqref="E449">
    <cfRule type="cellIs" rank="0" priority="887" equalAverage="0" operator="equal" aboveAverage="0" dxfId="10" text="" percent="0" bottom="0">
      <formula>"Evet"</formula>
    </cfRule>
  </conditionalFormatting>
  <conditionalFormatting sqref="D450">
    <cfRule type="cellIs" rank="0" priority="888" equalAverage="0" operator="greaterThan" aboveAverage="0" dxfId="8" text="" percent="0" bottom="0">
      <formula>0</formula>
    </cfRule>
  </conditionalFormatting>
  <conditionalFormatting sqref="E450">
    <cfRule type="cellIs" rank="0" priority="889" equalAverage="0" operator="equal" aboveAverage="0" dxfId="10" text="" percent="0" bottom="0">
      <formula>"Evet"</formula>
    </cfRule>
  </conditionalFormatting>
  <conditionalFormatting sqref="D451">
    <cfRule type="cellIs" rank="0" priority="890" equalAverage="0" operator="greaterThan" aboveAverage="0" dxfId="8" text="" percent="0" bottom="0">
      <formula>0</formula>
    </cfRule>
  </conditionalFormatting>
  <conditionalFormatting sqref="E451">
    <cfRule type="cellIs" rank="0" priority="891" equalAverage="0" operator="equal" aboveAverage="0" dxfId="10" text="" percent="0" bottom="0">
      <formula>"Evet"</formula>
    </cfRule>
  </conditionalFormatting>
  <conditionalFormatting sqref="D452">
    <cfRule type="cellIs" rank="0" priority="892" equalAverage="0" operator="greaterThan" aboveAverage="0" dxfId="8" text="" percent="0" bottom="0">
      <formula>0</formula>
    </cfRule>
  </conditionalFormatting>
  <conditionalFormatting sqref="E452">
    <cfRule type="cellIs" rank="0" priority="893" equalAverage="0" operator="equal" aboveAverage="0" dxfId="10" text="" percent="0" bottom="0">
      <formula>"Evet"</formula>
    </cfRule>
  </conditionalFormatting>
  <conditionalFormatting sqref="D453">
    <cfRule type="cellIs" rank="0" priority="894" equalAverage="0" operator="greaterThan" aboveAverage="0" dxfId="8" text="" percent="0" bottom="0">
      <formula>0</formula>
    </cfRule>
  </conditionalFormatting>
  <conditionalFormatting sqref="E453">
    <cfRule type="cellIs" rank="0" priority="895" equalAverage="0" operator="equal" aboveAverage="0" dxfId="10" text="" percent="0" bottom="0">
      <formula>"Evet"</formula>
    </cfRule>
  </conditionalFormatting>
  <conditionalFormatting sqref="D454">
    <cfRule type="cellIs" rank="0" priority="896" equalAverage="0" operator="greaterThan" aboveAverage="0" dxfId="8" text="" percent="0" bottom="0">
      <formula>0</formula>
    </cfRule>
  </conditionalFormatting>
  <conditionalFormatting sqref="E454">
    <cfRule type="cellIs" rank="0" priority="897" equalAverage="0" operator="equal" aboveAverage="0" dxfId="10" text="" percent="0" bottom="0">
      <formula>"Evet"</formula>
    </cfRule>
  </conditionalFormatting>
  <conditionalFormatting sqref="D455">
    <cfRule type="cellIs" rank="0" priority="898" equalAverage="0" operator="greaterThan" aboveAverage="0" dxfId="8" text="" percent="0" bottom="0">
      <formula>0</formula>
    </cfRule>
  </conditionalFormatting>
  <conditionalFormatting sqref="E455">
    <cfRule type="cellIs" rank="0" priority="899" equalAverage="0" operator="equal" aboveAverage="0" dxfId="10" text="" percent="0" bottom="0">
      <formula>"Evet"</formula>
    </cfRule>
  </conditionalFormatting>
  <conditionalFormatting sqref="D456">
    <cfRule type="cellIs" rank="0" priority="900" equalAverage="0" operator="greaterThan" aboveAverage="0" dxfId="8" text="" percent="0" bottom="0">
      <formula>0</formula>
    </cfRule>
  </conditionalFormatting>
  <conditionalFormatting sqref="E456">
    <cfRule type="cellIs" rank="0" priority="901" equalAverage="0" operator="equal" aboveAverage="0" dxfId="10" text="" percent="0" bottom="0">
      <formula>"Evet"</formula>
    </cfRule>
  </conditionalFormatting>
  <conditionalFormatting sqref="D457">
    <cfRule type="cellIs" rank="0" priority="902" equalAverage="0" operator="greaterThan" aboveAverage="0" dxfId="8" text="" percent="0" bottom="0">
      <formula>0</formula>
    </cfRule>
  </conditionalFormatting>
  <conditionalFormatting sqref="E457">
    <cfRule type="cellIs" rank="0" priority="903" equalAverage="0" operator="equal" aboveAverage="0" dxfId="10" text="" percent="0" bottom="0">
      <formula>"Evet"</formula>
    </cfRule>
  </conditionalFormatting>
  <conditionalFormatting sqref="D458">
    <cfRule type="cellIs" rank="0" priority="904" equalAverage="0" operator="greaterThan" aboveAverage="0" dxfId="8" text="" percent="0" bottom="0">
      <formula>0</formula>
    </cfRule>
  </conditionalFormatting>
  <conditionalFormatting sqref="E458">
    <cfRule type="cellIs" rank="0" priority="905" equalAverage="0" operator="equal" aboveAverage="0" dxfId="10" text="" percent="0" bottom="0">
      <formula>"Evet"</formula>
    </cfRule>
  </conditionalFormatting>
  <conditionalFormatting sqref="D459">
    <cfRule type="cellIs" rank="0" priority="906" equalAverage="0" operator="greaterThan" aboveAverage="0" dxfId="8" text="" percent="0" bottom="0">
      <formula>0</formula>
    </cfRule>
  </conditionalFormatting>
  <conditionalFormatting sqref="E459">
    <cfRule type="cellIs" rank="0" priority="907" equalAverage="0" operator="equal" aboveAverage="0" dxfId="10" text="" percent="0" bottom="0">
      <formula>"Evet"</formula>
    </cfRule>
  </conditionalFormatting>
  <conditionalFormatting sqref="D460">
    <cfRule type="cellIs" rank="0" priority="908" equalAverage="0" operator="greaterThan" aboveAverage="0" dxfId="8" text="" percent="0" bottom="0">
      <formula>0</formula>
    </cfRule>
  </conditionalFormatting>
  <conditionalFormatting sqref="E460">
    <cfRule type="cellIs" rank="0" priority="909" equalAverage="0" operator="equal" aboveAverage="0" dxfId="10" text="" percent="0" bottom="0">
      <formula>"Evet"</formula>
    </cfRule>
  </conditionalFormatting>
  <conditionalFormatting sqref="D461">
    <cfRule type="cellIs" rank="0" priority="910" equalAverage="0" operator="greaterThan" aboveAverage="0" dxfId="8" text="" percent="0" bottom="0">
      <formula>0</formula>
    </cfRule>
  </conditionalFormatting>
  <conditionalFormatting sqref="E461">
    <cfRule type="cellIs" rank="0" priority="911" equalAverage="0" operator="equal" aboveAverage="0" dxfId="10" text="" percent="0" bottom="0">
      <formula>"Evet"</formula>
    </cfRule>
  </conditionalFormatting>
  <conditionalFormatting sqref="D462">
    <cfRule type="cellIs" rank="0" priority="912" equalAverage="0" operator="greaterThan" aboveAverage="0" dxfId="8" text="" percent="0" bottom="0">
      <formula>0</formula>
    </cfRule>
  </conditionalFormatting>
  <conditionalFormatting sqref="E462">
    <cfRule type="cellIs" rank="0" priority="913" equalAverage="0" operator="equal" aboveAverage="0" dxfId="10" text="" percent="0" bottom="0">
      <formula>"Evet"</formula>
    </cfRule>
  </conditionalFormatting>
  <conditionalFormatting sqref="D463">
    <cfRule type="cellIs" rank="0" priority="914" equalAverage="0" operator="greaterThan" aboveAverage="0" dxfId="8" text="" percent="0" bottom="0">
      <formula>0</formula>
    </cfRule>
  </conditionalFormatting>
  <conditionalFormatting sqref="E463">
    <cfRule type="cellIs" rank="0" priority="915" equalAverage="0" operator="equal" aboveAverage="0" dxfId="10" text="" percent="0" bottom="0">
      <formula>"Evet"</formula>
    </cfRule>
  </conditionalFormatting>
  <conditionalFormatting sqref="D464">
    <cfRule type="cellIs" rank="0" priority="916" equalAverage="0" operator="greaterThan" aboveAverage="0" dxfId="8" text="" percent="0" bottom="0">
      <formula>0</formula>
    </cfRule>
  </conditionalFormatting>
  <conditionalFormatting sqref="E464">
    <cfRule type="cellIs" rank="0" priority="917" equalAverage="0" operator="equal" aboveAverage="0" dxfId="10" text="" percent="0" bottom="0">
      <formula>"Evet"</formula>
    </cfRule>
  </conditionalFormatting>
  <conditionalFormatting sqref="D465">
    <cfRule type="cellIs" rank="0" priority="918" equalAverage="0" operator="greaterThan" aboveAverage="0" dxfId="8" text="" percent="0" bottom="0">
      <formula>0</formula>
    </cfRule>
  </conditionalFormatting>
  <conditionalFormatting sqref="E465">
    <cfRule type="cellIs" rank="0" priority="919" equalAverage="0" operator="equal" aboveAverage="0" dxfId="10" text="" percent="0" bottom="0">
      <formula>"Evet"</formula>
    </cfRule>
  </conditionalFormatting>
  <conditionalFormatting sqref="D466">
    <cfRule type="cellIs" rank="0" priority="920" equalAverage="0" operator="greaterThan" aboveAverage="0" dxfId="8" text="" percent="0" bottom="0">
      <formula>0</formula>
    </cfRule>
  </conditionalFormatting>
  <conditionalFormatting sqref="E466">
    <cfRule type="cellIs" rank="0" priority="921" equalAverage="0" operator="equal" aboveAverage="0" dxfId="10" text="" percent="0" bottom="0">
      <formula>"Evet"</formula>
    </cfRule>
  </conditionalFormatting>
  <conditionalFormatting sqref="D467">
    <cfRule type="cellIs" rank="0" priority="922" equalAverage="0" operator="greaterThan" aboveAverage="0" dxfId="8" text="" percent="0" bottom="0">
      <formula>0</formula>
    </cfRule>
  </conditionalFormatting>
  <conditionalFormatting sqref="E467">
    <cfRule type="cellIs" rank="0" priority="923" equalAverage="0" operator="equal" aboveAverage="0" dxfId="10" text="" percent="0" bottom="0">
      <formula>"Evet"</formula>
    </cfRule>
  </conditionalFormatting>
  <conditionalFormatting sqref="D468">
    <cfRule type="cellIs" rank="0" priority="924" equalAverage="0" operator="greaterThan" aboveAverage="0" dxfId="8" text="" percent="0" bottom="0">
      <formula>0</formula>
    </cfRule>
  </conditionalFormatting>
  <conditionalFormatting sqref="E468">
    <cfRule type="cellIs" rank="0" priority="925" equalAverage="0" operator="equal" aboveAverage="0" dxfId="10" text="" percent="0" bottom="0">
      <formula>"Evet"</formula>
    </cfRule>
  </conditionalFormatting>
  <conditionalFormatting sqref="D469">
    <cfRule type="cellIs" rank="0" priority="926" equalAverage="0" operator="greaterThan" aboveAverage="0" dxfId="8" text="" percent="0" bottom="0">
      <formula>0</formula>
    </cfRule>
  </conditionalFormatting>
  <conditionalFormatting sqref="E469">
    <cfRule type="cellIs" rank="0" priority="927" equalAverage="0" operator="equal" aboveAverage="0" dxfId="10" text="" percent="0" bottom="0">
      <formula>"Evet"</formula>
    </cfRule>
  </conditionalFormatting>
  <conditionalFormatting sqref="D470">
    <cfRule type="cellIs" rank="0" priority="928" equalAverage="0" operator="greaterThan" aboveAverage="0" dxfId="8" text="" percent="0" bottom="0">
      <formula>0</formula>
    </cfRule>
  </conditionalFormatting>
  <conditionalFormatting sqref="E470">
    <cfRule type="cellIs" rank="0" priority="929" equalAverage="0" operator="equal" aboveAverage="0" dxfId="10" text="" percent="0" bottom="0">
      <formula>"Evet"</formula>
    </cfRule>
  </conditionalFormatting>
  <conditionalFormatting sqref="D471">
    <cfRule type="cellIs" rank="0" priority="930" equalAverage="0" operator="greaterThan" aboveAverage="0" dxfId="8" text="" percent="0" bottom="0">
      <formula>0</formula>
    </cfRule>
  </conditionalFormatting>
  <conditionalFormatting sqref="E471">
    <cfRule type="cellIs" rank="0" priority="931" equalAverage="0" operator="equal" aboveAverage="0" dxfId="10" text="" percent="0" bottom="0">
      <formula>"Evet"</formula>
    </cfRule>
  </conditionalFormatting>
  <conditionalFormatting sqref="D472">
    <cfRule type="cellIs" rank="0" priority="932" equalAverage="0" operator="greaterThan" aboveAverage="0" dxfId="8" text="" percent="0" bottom="0">
      <formula>0</formula>
    </cfRule>
  </conditionalFormatting>
  <conditionalFormatting sqref="E472">
    <cfRule type="cellIs" rank="0" priority="933" equalAverage="0" operator="equal" aboveAverage="0" dxfId="10" text="" percent="0" bottom="0">
      <formula>"Evet"</formula>
    </cfRule>
  </conditionalFormatting>
  <conditionalFormatting sqref="D473">
    <cfRule type="cellIs" rank="0" priority="934" equalAverage="0" operator="greaterThan" aboveAverage="0" dxfId="8" text="" percent="0" bottom="0">
      <formula>0</formula>
    </cfRule>
  </conditionalFormatting>
  <conditionalFormatting sqref="E473">
    <cfRule type="cellIs" rank="0" priority="935" equalAverage="0" operator="equal" aboveAverage="0" dxfId="10" text="" percent="0" bottom="0">
      <formula>"Evet"</formula>
    </cfRule>
  </conditionalFormatting>
  <conditionalFormatting sqref="D474">
    <cfRule type="cellIs" rank="0" priority="936" equalAverage="0" operator="greaterThan" aboveAverage="0" dxfId="8" text="" percent="0" bottom="0">
      <formula>0</formula>
    </cfRule>
  </conditionalFormatting>
  <conditionalFormatting sqref="E474">
    <cfRule type="cellIs" rank="0" priority="937" equalAverage="0" operator="equal" aboveAverage="0" dxfId="10" text="" percent="0" bottom="0">
      <formula>"Evet"</formula>
    </cfRule>
  </conditionalFormatting>
  <conditionalFormatting sqref="D475">
    <cfRule type="cellIs" rank="0" priority="938" equalAverage="0" operator="greaterThan" aboveAverage="0" dxfId="8" text="" percent="0" bottom="0">
      <formula>0</formula>
    </cfRule>
  </conditionalFormatting>
  <conditionalFormatting sqref="E475">
    <cfRule type="cellIs" rank="0" priority="939" equalAverage="0" operator="equal" aboveAverage="0" dxfId="10" text="" percent="0" bottom="0">
      <formula>"Evet"</formula>
    </cfRule>
  </conditionalFormatting>
  <conditionalFormatting sqref="D476">
    <cfRule type="cellIs" rank="0" priority="940" equalAverage="0" operator="greaterThan" aboveAverage="0" dxfId="8" text="" percent="0" bottom="0">
      <formula>0</formula>
    </cfRule>
  </conditionalFormatting>
  <conditionalFormatting sqref="E476">
    <cfRule type="cellIs" rank="0" priority="941" equalAverage="0" operator="equal" aboveAverage="0" dxfId="10" text="" percent="0" bottom="0">
      <formula>"Evet"</formula>
    </cfRule>
  </conditionalFormatting>
  <conditionalFormatting sqref="D477">
    <cfRule type="cellIs" rank="0" priority="942" equalAverage="0" operator="greaterThan" aboveAverage="0" dxfId="8" text="" percent="0" bottom="0">
      <formula>0</formula>
    </cfRule>
  </conditionalFormatting>
  <conditionalFormatting sqref="E477">
    <cfRule type="cellIs" rank="0" priority="943" equalAverage="0" operator="equal" aboveAverage="0" dxfId="10" text="" percent="0" bottom="0">
      <formula>"Evet"</formula>
    </cfRule>
  </conditionalFormatting>
  <conditionalFormatting sqref="D478">
    <cfRule type="cellIs" rank="0" priority="944" equalAverage="0" operator="greaterThan" aboveAverage="0" dxfId="8" text="" percent="0" bottom="0">
      <formula>0</formula>
    </cfRule>
  </conditionalFormatting>
  <conditionalFormatting sqref="E478">
    <cfRule type="cellIs" rank="0" priority="945" equalAverage="0" operator="equal" aboveAverage="0" dxfId="10" text="" percent="0" bottom="0">
      <formula>"Evet"</formula>
    </cfRule>
  </conditionalFormatting>
  <conditionalFormatting sqref="D479">
    <cfRule type="cellIs" rank="0" priority="946" equalAverage="0" operator="greaterThan" aboveAverage="0" dxfId="8" text="" percent="0" bottom="0">
      <formula>0</formula>
    </cfRule>
  </conditionalFormatting>
  <conditionalFormatting sqref="E479">
    <cfRule type="cellIs" rank="0" priority="947" equalAverage="0" operator="equal" aboveAverage="0" dxfId="10" text="" percent="0" bottom="0">
      <formula>"Evet"</formula>
    </cfRule>
  </conditionalFormatting>
  <conditionalFormatting sqref="D480">
    <cfRule type="cellIs" rank="0" priority="948" equalAverage="0" operator="greaterThan" aboveAverage="0" dxfId="8" text="" percent="0" bottom="0">
      <formula>0</formula>
    </cfRule>
  </conditionalFormatting>
  <conditionalFormatting sqref="E480">
    <cfRule type="cellIs" rank="0" priority="949" equalAverage="0" operator="equal" aboveAverage="0" dxfId="10" text="" percent="0" bottom="0">
      <formula>"Evet"</formula>
    </cfRule>
  </conditionalFormatting>
  <conditionalFormatting sqref="D481">
    <cfRule type="cellIs" rank="0" priority="950" equalAverage="0" operator="greaterThan" aboveAverage="0" dxfId="8" text="" percent="0" bottom="0">
      <formula>0</formula>
    </cfRule>
  </conditionalFormatting>
  <conditionalFormatting sqref="E481">
    <cfRule type="cellIs" rank="0" priority="951" equalAverage="0" operator="equal" aboveAverage="0" dxfId="10" text="" percent="0" bottom="0">
      <formula>"Evet"</formula>
    </cfRule>
  </conditionalFormatting>
  <conditionalFormatting sqref="D482">
    <cfRule type="cellIs" rank="0" priority="952" equalAverage="0" operator="greaterThan" aboveAverage="0" dxfId="8" text="" percent="0" bottom="0">
      <formula>0</formula>
    </cfRule>
  </conditionalFormatting>
  <conditionalFormatting sqref="E482">
    <cfRule type="cellIs" rank="0" priority="953" equalAverage="0" operator="equal" aboveAverage="0" dxfId="10" text="" percent="0" bottom="0">
      <formula>"Evet"</formula>
    </cfRule>
  </conditionalFormatting>
  <conditionalFormatting sqref="D483">
    <cfRule type="cellIs" rank="0" priority="954" equalAverage="0" operator="greaterThan" aboveAverage="0" dxfId="8" text="" percent="0" bottom="0">
      <formula>0</formula>
    </cfRule>
  </conditionalFormatting>
  <conditionalFormatting sqref="E483">
    <cfRule type="cellIs" rank="0" priority="955" equalAverage="0" operator="equal" aboveAverage="0" dxfId="10" text="" percent="0" bottom="0">
      <formula>"Evet"</formula>
    </cfRule>
  </conditionalFormatting>
  <conditionalFormatting sqref="D484">
    <cfRule type="cellIs" rank="0" priority="956" equalAverage="0" operator="greaterThan" aboveAverage="0" dxfId="8" text="" percent="0" bottom="0">
      <formula>0</formula>
    </cfRule>
  </conditionalFormatting>
  <conditionalFormatting sqref="E484">
    <cfRule type="cellIs" rank="0" priority="957" equalAverage="0" operator="equal" aboveAverage="0" dxfId="10" text="" percent="0" bottom="0">
      <formula>"Evet"</formula>
    </cfRule>
  </conditionalFormatting>
  <conditionalFormatting sqref="D485">
    <cfRule type="cellIs" rank="0" priority="958" equalAverage="0" operator="greaterThan" aboveAverage="0" dxfId="8" text="" percent="0" bottom="0">
      <formula>0</formula>
    </cfRule>
  </conditionalFormatting>
  <conditionalFormatting sqref="E485">
    <cfRule type="cellIs" rank="0" priority="959" equalAverage="0" operator="equal" aboveAverage="0" dxfId="10" text="" percent="0" bottom="0">
      <formula>"Evet"</formula>
    </cfRule>
  </conditionalFormatting>
  <conditionalFormatting sqref="D486">
    <cfRule type="cellIs" rank="0" priority="960" equalAverage="0" operator="greaterThan" aboveAverage="0" dxfId="8" text="" percent="0" bottom="0">
      <formula>0</formula>
    </cfRule>
  </conditionalFormatting>
  <conditionalFormatting sqref="E486">
    <cfRule type="cellIs" rank="0" priority="961" equalAverage="0" operator="equal" aboveAverage="0" dxfId="10" text="" percent="0" bottom="0">
      <formula>"Evet"</formula>
    </cfRule>
  </conditionalFormatting>
  <conditionalFormatting sqref="D487">
    <cfRule type="cellIs" rank="0" priority="962" equalAverage="0" operator="greaterThan" aboveAverage="0" dxfId="8" text="" percent="0" bottom="0">
      <formula>0</formula>
    </cfRule>
  </conditionalFormatting>
  <conditionalFormatting sqref="E487">
    <cfRule type="cellIs" rank="0" priority="963" equalAverage="0" operator="equal" aboveAverage="0" dxfId="10" text="" percent="0" bottom="0">
      <formula>"Evet"</formula>
    </cfRule>
  </conditionalFormatting>
  <conditionalFormatting sqref="D488">
    <cfRule type="cellIs" rank="0" priority="964" equalAverage="0" operator="greaterThan" aboveAverage="0" dxfId="8" text="" percent="0" bottom="0">
      <formula>0</formula>
    </cfRule>
  </conditionalFormatting>
  <conditionalFormatting sqref="E488">
    <cfRule type="cellIs" rank="0" priority="965" equalAverage="0" operator="equal" aboveAverage="0" dxfId="10" text="" percent="0" bottom="0">
      <formula>"Evet"</formula>
    </cfRule>
  </conditionalFormatting>
  <conditionalFormatting sqref="D489">
    <cfRule type="cellIs" rank="0" priority="966" equalAverage="0" operator="greaterThan" aboveAverage="0" dxfId="8" text="" percent="0" bottom="0">
      <formula>0</formula>
    </cfRule>
  </conditionalFormatting>
  <conditionalFormatting sqref="E489">
    <cfRule type="cellIs" rank="0" priority="967" equalAverage="0" operator="equal" aboveAverage="0" dxfId="10" text="" percent="0" bottom="0">
      <formula>"Evet"</formula>
    </cfRule>
  </conditionalFormatting>
  <conditionalFormatting sqref="D490">
    <cfRule type="cellIs" rank="0" priority="968" equalAverage="0" operator="greaterThan" aboveAverage="0" dxfId="8" text="" percent="0" bottom="0">
      <formula>0</formula>
    </cfRule>
  </conditionalFormatting>
  <conditionalFormatting sqref="E490">
    <cfRule type="cellIs" rank="0" priority="969" equalAverage="0" operator="equal" aboveAverage="0" dxfId="10" text="" percent="0" bottom="0">
      <formula>"Evet"</formula>
    </cfRule>
  </conditionalFormatting>
  <conditionalFormatting sqref="D491">
    <cfRule type="cellIs" rank="0" priority="970" equalAverage="0" operator="greaterThan" aboveAverage="0" dxfId="8" text="" percent="0" bottom="0">
      <formula>0</formula>
    </cfRule>
  </conditionalFormatting>
  <conditionalFormatting sqref="E491">
    <cfRule type="cellIs" rank="0" priority="971" equalAverage="0" operator="equal" aboveAverage="0" dxfId="10" text="" percent="0" bottom="0">
      <formula>"Evet"</formula>
    </cfRule>
  </conditionalFormatting>
  <conditionalFormatting sqref="D492">
    <cfRule type="cellIs" rank="0" priority="972" equalAverage="0" operator="greaterThan" aboveAverage="0" dxfId="8" text="" percent="0" bottom="0">
      <formula>0</formula>
    </cfRule>
  </conditionalFormatting>
  <conditionalFormatting sqref="E492">
    <cfRule type="cellIs" rank="0" priority="973" equalAverage="0" operator="equal" aboveAverage="0" dxfId="10" text="" percent="0" bottom="0">
      <formula>"Evet"</formula>
    </cfRule>
  </conditionalFormatting>
  <conditionalFormatting sqref="D493">
    <cfRule type="cellIs" rank="0" priority="974" equalAverage="0" operator="greaterThan" aboveAverage="0" dxfId="8" text="" percent="0" bottom="0">
      <formula>0</formula>
    </cfRule>
  </conditionalFormatting>
  <conditionalFormatting sqref="E493">
    <cfRule type="cellIs" rank="0" priority="975" equalAverage="0" operator="equal" aboveAverage="0" dxfId="10" text="" percent="0" bottom="0">
      <formula>"Evet"</formula>
    </cfRule>
  </conditionalFormatting>
  <conditionalFormatting sqref="D494">
    <cfRule type="cellIs" rank="0" priority="976" equalAverage="0" operator="greaterThan" aboveAverage="0" dxfId="8" text="" percent="0" bottom="0">
      <formula>0</formula>
    </cfRule>
  </conditionalFormatting>
  <conditionalFormatting sqref="E494">
    <cfRule type="cellIs" rank="0" priority="977" equalAverage="0" operator="equal" aboveAverage="0" dxfId="10" text="" percent="0" bottom="0">
      <formula>"Evet"</formula>
    </cfRule>
  </conditionalFormatting>
  <conditionalFormatting sqref="D495">
    <cfRule type="cellIs" rank="0" priority="978" equalAverage="0" operator="greaterThan" aboveAverage="0" dxfId="8" text="" percent="0" bottom="0">
      <formula>0</formula>
    </cfRule>
  </conditionalFormatting>
  <conditionalFormatting sqref="E495">
    <cfRule type="cellIs" rank="0" priority="979" equalAverage="0" operator="equal" aboveAverage="0" dxfId="10" text="" percent="0" bottom="0">
      <formula>"Evet"</formula>
    </cfRule>
  </conditionalFormatting>
  <conditionalFormatting sqref="D496">
    <cfRule type="cellIs" rank="0" priority="980" equalAverage="0" operator="greaterThan" aboveAverage="0" dxfId="8" text="" percent="0" bottom="0">
      <formula>0</formula>
    </cfRule>
  </conditionalFormatting>
  <conditionalFormatting sqref="E496">
    <cfRule type="cellIs" rank="0" priority="981" equalAverage="0" operator="equal" aboveAverage="0" dxfId="10" text="" percent="0" bottom="0">
      <formula>"Evet"</formula>
    </cfRule>
  </conditionalFormatting>
  <conditionalFormatting sqref="D497">
    <cfRule type="cellIs" rank="0" priority="982" equalAverage="0" operator="greaterThan" aboveAverage="0" dxfId="8" text="" percent="0" bottom="0">
      <formula>0</formula>
    </cfRule>
  </conditionalFormatting>
  <conditionalFormatting sqref="E497">
    <cfRule type="cellIs" rank="0" priority="983" equalAverage="0" operator="equal" aboveAverage="0" dxfId="10" text="" percent="0" bottom="0">
      <formula>"Evet"</formula>
    </cfRule>
  </conditionalFormatting>
  <conditionalFormatting sqref="D498">
    <cfRule type="cellIs" rank="0" priority="984" equalAverage="0" operator="greaterThan" aboveAverage="0" dxfId="8" text="" percent="0" bottom="0">
      <formula>0</formula>
    </cfRule>
  </conditionalFormatting>
  <conditionalFormatting sqref="E498">
    <cfRule type="cellIs" rank="0" priority="985" equalAverage="0" operator="equal" aboveAverage="0" dxfId="10" text="" percent="0" bottom="0">
      <formula>"Evet"</formula>
    </cfRule>
  </conditionalFormatting>
  <conditionalFormatting sqref="D499">
    <cfRule type="cellIs" rank="0" priority="986" equalAverage="0" operator="greaterThan" aboveAverage="0" dxfId="8" text="" percent="0" bottom="0">
      <formula>0</formula>
    </cfRule>
  </conditionalFormatting>
  <conditionalFormatting sqref="E499">
    <cfRule type="cellIs" rank="0" priority="987" equalAverage="0" operator="equal" aboveAverage="0" dxfId="10" text="" percent="0" bottom="0">
      <formula>"Evet"</formula>
    </cfRule>
  </conditionalFormatting>
  <conditionalFormatting sqref="D500">
    <cfRule type="cellIs" rank="0" priority="988" equalAverage="0" operator="greaterThan" aboveAverage="0" dxfId="8" text="" percent="0" bottom="0">
      <formula>0</formula>
    </cfRule>
  </conditionalFormatting>
  <conditionalFormatting sqref="E500">
    <cfRule type="cellIs" rank="0" priority="989" equalAverage="0" operator="equal" aboveAverage="0" dxfId="10" text="" percent="0" bottom="0">
      <formula>"Evet"</formula>
    </cfRule>
  </conditionalFormatting>
  <conditionalFormatting sqref="D501">
    <cfRule type="cellIs" rank="0" priority="990" equalAverage="0" operator="greaterThan" aboveAverage="0" dxfId="8" text="" percent="0" bottom="0">
      <formula>0</formula>
    </cfRule>
  </conditionalFormatting>
  <conditionalFormatting sqref="E501">
    <cfRule type="cellIs" rank="0" priority="991" equalAverage="0" operator="equal" aboveAverage="0" dxfId="10" text="" percent="0" bottom="0">
      <formula>"Evet"</formula>
    </cfRule>
  </conditionalFormatting>
  <conditionalFormatting sqref="D502">
    <cfRule type="cellIs" rank="0" priority="992" equalAverage="0" operator="greaterThan" aboveAverage="0" dxfId="8" text="" percent="0" bottom="0">
      <formula>0</formula>
    </cfRule>
  </conditionalFormatting>
  <conditionalFormatting sqref="E502">
    <cfRule type="cellIs" rank="0" priority="993" equalAverage="0" operator="equal" aboveAverage="0" dxfId="10" text="" percent="0" bottom="0">
      <formula>"Evet"</formula>
    </cfRule>
  </conditionalFormatting>
  <conditionalFormatting sqref="D503">
    <cfRule type="cellIs" rank="0" priority="994" equalAverage="0" operator="greaterThan" aboveAverage="0" dxfId="8" text="" percent="0" bottom="0">
      <formula>0</formula>
    </cfRule>
  </conditionalFormatting>
  <conditionalFormatting sqref="E503">
    <cfRule type="cellIs" rank="0" priority="995" equalAverage="0" operator="equal" aboveAverage="0" dxfId="10" text="" percent="0" bottom="0">
      <formula>"Evet"</formula>
    </cfRule>
  </conditionalFormatting>
  <conditionalFormatting sqref="D504">
    <cfRule type="cellIs" rank="0" priority="996" equalAverage="0" operator="greaterThan" aboveAverage="0" dxfId="8" text="" percent="0" bottom="0">
      <formula>0</formula>
    </cfRule>
  </conditionalFormatting>
  <conditionalFormatting sqref="E504">
    <cfRule type="cellIs" rank="0" priority="997" equalAverage="0" operator="equal" aboveAverage="0" dxfId="10" text="" percent="0" bottom="0">
      <formula>"Evet"</formula>
    </cfRule>
  </conditionalFormatting>
  <conditionalFormatting sqref="D505">
    <cfRule type="cellIs" rank="0" priority="998" equalAverage="0" operator="greaterThan" aboveAverage="0" dxfId="8" text="" percent="0" bottom="0">
      <formula>0</formula>
    </cfRule>
  </conditionalFormatting>
  <conditionalFormatting sqref="E505">
    <cfRule type="cellIs" rank="0" priority="999" equalAverage="0" operator="equal" aboveAverage="0" dxfId="10" text="" percent="0" bottom="0">
      <formula>"Evet"</formula>
    </cfRule>
  </conditionalFormatting>
  <conditionalFormatting sqref="D506">
    <cfRule type="cellIs" rank="0" priority="1000" equalAverage="0" operator="greaterThan" aboveAverage="0" dxfId="8" text="" percent="0" bottom="0">
      <formula>0</formula>
    </cfRule>
  </conditionalFormatting>
  <conditionalFormatting sqref="E506">
    <cfRule type="cellIs" rank="0" priority="1001" equalAverage="0" operator="equal" aboveAverage="0" dxfId="10" text="" percent="0" bottom="0">
      <formula>"Evet"</formula>
    </cfRule>
  </conditionalFormatting>
  <conditionalFormatting sqref="D507">
    <cfRule type="cellIs" rank="0" priority="1002" equalAverage="0" operator="greaterThan" aboveAverage="0" dxfId="8" text="" percent="0" bottom="0">
      <formula>0</formula>
    </cfRule>
  </conditionalFormatting>
  <conditionalFormatting sqref="E507">
    <cfRule type="cellIs" rank="0" priority="1003" equalAverage="0" operator="equal" aboveAverage="0" dxfId="10" text="" percent="0" bottom="0">
      <formula>"Evet"</formula>
    </cfRule>
  </conditionalFormatting>
  <conditionalFormatting sqref="D508">
    <cfRule type="cellIs" rank="0" priority="1004" equalAverage="0" operator="greaterThan" aboveAverage="0" dxfId="8" text="" percent="0" bottom="0">
      <formula>0</formula>
    </cfRule>
  </conditionalFormatting>
  <conditionalFormatting sqref="E508">
    <cfRule type="cellIs" rank="0" priority="1005" equalAverage="0" operator="equal" aboveAverage="0" dxfId="10" text="" percent="0" bottom="0">
      <formula>"Evet"</formula>
    </cfRule>
  </conditionalFormatting>
  <conditionalFormatting sqref="D509">
    <cfRule type="cellIs" rank="0" priority="1006" equalAverage="0" operator="greaterThan" aboveAverage="0" dxfId="8" text="" percent="0" bottom="0">
      <formula>0</formula>
    </cfRule>
  </conditionalFormatting>
  <conditionalFormatting sqref="E509">
    <cfRule type="cellIs" rank="0" priority="1007" equalAverage="0" operator="equal" aboveAverage="0" dxfId="10" text="" percent="0" bottom="0">
      <formula>"Evet"</formula>
    </cfRule>
  </conditionalFormatting>
  <conditionalFormatting sqref="D510">
    <cfRule type="cellIs" rank="0" priority="1008" equalAverage="0" operator="greaterThan" aboveAverage="0" dxfId="8" text="" percent="0" bottom="0">
      <formula>0</formula>
    </cfRule>
  </conditionalFormatting>
  <conditionalFormatting sqref="E510">
    <cfRule type="cellIs" rank="0" priority="1009" equalAverage="0" operator="equal" aboveAverage="0" dxfId="10" text="" percent="0" bottom="0">
      <formula>"Evet"</formula>
    </cfRule>
  </conditionalFormatting>
  <conditionalFormatting sqref="D511">
    <cfRule type="cellIs" rank="0" priority="1010" equalAverage="0" operator="greaterThan" aboveAverage="0" dxfId="8" text="" percent="0" bottom="0">
      <formula>0</formula>
    </cfRule>
  </conditionalFormatting>
  <conditionalFormatting sqref="E511">
    <cfRule type="cellIs" rank="0" priority="1011" equalAverage="0" operator="equal" aboveAverage="0" dxfId="10" text="" percent="0" bottom="0">
      <formula>"Evet"</formula>
    </cfRule>
  </conditionalFormatting>
  <conditionalFormatting sqref="D512">
    <cfRule type="cellIs" rank="0" priority="1012" equalAverage="0" operator="greaterThan" aboveAverage="0" dxfId="8" text="" percent="0" bottom="0">
      <formula>0</formula>
    </cfRule>
  </conditionalFormatting>
  <conditionalFormatting sqref="E512">
    <cfRule type="cellIs" rank="0" priority="1013" equalAverage="0" operator="equal" aboveAverage="0" dxfId="10" text="" percent="0" bottom="0">
      <formula>"Evet"</formula>
    </cfRule>
  </conditionalFormatting>
  <conditionalFormatting sqref="D513">
    <cfRule type="cellIs" rank="0" priority="1014" equalAverage="0" operator="greaterThan" aboveAverage="0" dxfId="8" text="" percent="0" bottom="0">
      <formula>0</formula>
    </cfRule>
  </conditionalFormatting>
  <conditionalFormatting sqref="E513">
    <cfRule type="cellIs" rank="0" priority="1015" equalAverage="0" operator="equal" aboveAverage="0" dxfId="10" text="" percent="0" bottom="0">
      <formula>"Evet"</formula>
    </cfRule>
  </conditionalFormatting>
  <conditionalFormatting sqref="D514">
    <cfRule type="cellIs" rank="0" priority="1016" equalAverage="0" operator="greaterThan" aboveAverage="0" dxfId="8" text="" percent="0" bottom="0">
      <formula>0</formula>
    </cfRule>
  </conditionalFormatting>
  <conditionalFormatting sqref="E514">
    <cfRule type="cellIs" rank="0" priority="1017" equalAverage="0" operator="equal" aboveAverage="0" dxfId="10" text="" percent="0" bottom="0">
      <formula>"Evet"</formula>
    </cfRule>
  </conditionalFormatting>
  <conditionalFormatting sqref="D515">
    <cfRule type="cellIs" rank="0" priority="1018" equalAverage="0" operator="greaterThan" aboveAverage="0" dxfId="8" text="" percent="0" bottom="0">
      <formula>0</formula>
    </cfRule>
  </conditionalFormatting>
  <conditionalFormatting sqref="E515">
    <cfRule type="cellIs" rank="0" priority="1019" equalAverage="0" operator="equal" aboveAverage="0" dxfId="10" text="" percent="0" bottom="0">
      <formula>"Evet"</formula>
    </cfRule>
  </conditionalFormatting>
  <conditionalFormatting sqref="D516">
    <cfRule type="cellIs" rank="0" priority="1020" equalAverage="0" operator="greaterThan" aboveAverage="0" dxfId="8" text="" percent="0" bottom="0">
      <formula>0</formula>
    </cfRule>
  </conditionalFormatting>
  <conditionalFormatting sqref="E516">
    <cfRule type="cellIs" rank="0" priority="1021" equalAverage="0" operator="equal" aboveAverage="0" dxfId="10" text="" percent="0" bottom="0">
      <formula>"Evet"</formula>
    </cfRule>
  </conditionalFormatting>
  <conditionalFormatting sqref="D517">
    <cfRule type="cellIs" rank="0" priority="1022" equalAverage="0" operator="greaterThan" aboveAverage="0" dxfId="8" text="" percent="0" bottom="0">
      <formula>0</formula>
    </cfRule>
  </conditionalFormatting>
  <conditionalFormatting sqref="E517">
    <cfRule type="cellIs" rank="0" priority="1023" equalAverage="0" operator="equal" aboveAverage="0" dxfId="10" text="" percent="0" bottom="0">
      <formula>"Evet"</formula>
    </cfRule>
  </conditionalFormatting>
  <conditionalFormatting sqref="D518">
    <cfRule type="cellIs" rank="0" priority="1024" equalAverage="0" operator="greaterThan" aboveAverage="0" dxfId="8" text="" percent="0" bottom="0">
      <formula>0</formula>
    </cfRule>
  </conditionalFormatting>
  <conditionalFormatting sqref="E518">
    <cfRule type="cellIs" rank="0" priority="1025" equalAverage="0" operator="equal" aboveAverage="0" dxfId="10" text="" percent="0" bottom="0">
      <formula>"Evet"</formula>
    </cfRule>
  </conditionalFormatting>
  <conditionalFormatting sqref="D519">
    <cfRule type="cellIs" rank="0" priority="1026" equalAverage="0" operator="greaterThan" aboveAverage="0" dxfId="8" text="" percent="0" bottom="0">
      <formula>0</formula>
    </cfRule>
  </conditionalFormatting>
  <conditionalFormatting sqref="E519">
    <cfRule type="cellIs" rank="0" priority="1027" equalAverage="0" operator="equal" aboveAverage="0" dxfId="10" text="" percent="0" bottom="0">
      <formula>"Evet"</formula>
    </cfRule>
  </conditionalFormatting>
  <conditionalFormatting sqref="D520">
    <cfRule type="cellIs" rank="0" priority="1028" equalAverage="0" operator="greaterThan" aboveAverage="0" dxfId="8" text="" percent="0" bottom="0">
      <formula>0</formula>
    </cfRule>
  </conditionalFormatting>
  <conditionalFormatting sqref="E520">
    <cfRule type="cellIs" rank="0" priority="1029" equalAverage="0" operator="equal" aboveAverage="0" dxfId="10" text="" percent="0" bottom="0">
      <formula>"Evet"</formula>
    </cfRule>
  </conditionalFormatting>
  <conditionalFormatting sqref="D521">
    <cfRule type="cellIs" rank="0" priority="1030" equalAverage="0" operator="greaterThan" aboveAverage="0" dxfId="8" text="" percent="0" bottom="0">
      <formula>0</formula>
    </cfRule>
  </conditionalFormatting>
  <conditionalFormatting sqref="E521">
    <cfRule type="cellIs" rank="0" priority="1031" equalAverage="0" operator="equal" aboveAverage="0" dxfId="10" text="" percent="0" bottom="0">
      <formula>"Evet"</formula>
    </cfRule>
  </conditionalFormatting>
  <conditionalFormatting sqref="D522">
    <cfRule type="cellIs" rank="0" priority="1032" equalAverage="0" operator="greaterThan" aboveAverage="0" dxfId="8" text="" percent="0" bottom="0">
      <formula>0</formula>
    </cfRule>
  </conditionalFormatting>
  <conditionalFormatting sqref="E522">
    <cfRule type="cellIs" rank="0" priority="1033" equalAverage="0" operator="equal" aboveAverage="0" dxfId="10" text="" percent="0" bottom="0">
      <formula>"Evet"</formula>
    </cfRule>
  </conditionalFormatting>
  <conditionalFormatting sqref="D523">
    <cfRule type="cellIs" rank="0" priority="1034" equalAverage="0" operator="greaterThan" aboveAverage="0" dxfId="8" text="" percent="0" bottom="0">
      <formula>0</formula>
    </cfRule>
  </conditionalFormatting>
  <conditionalFormatting sqref="E523">
    <cfRule type="cellIs" rank="0" priority="1035" equalAverage="0" operator="equal" aboveAverage="0" dxfId="10" text="" percent="0" bottom="0">
      <formula>"Evet"</formula>
    </cfRule>
  </conditionalFormatting>
  <conditionalFormatting sqref="D524">
    <cfRule type="cellIs" rank="0" priority="1036" equalAverage="0" operator="greaterThan" aboveAverage="0" dxfId="8" text="" percent="0" bottom="0">
      <formula>0</formula>
    </cfRule>
  </conditionalFormatting>
  <conditionalFormatting sqref="E524">
    <cfRule type="cellIs" rank="0" priority="1037" equalAverage="0" operator="equal" aboveAverage="0" dxfId="10" text="" percent="0" bottom="0">
      <formula>"Evet"</formula>
    </cfRule>
  </conditionalFormatting>
  <conditionalFormatting sqref="D525">
    <cfRule type="cellIs" rank="0" priority="1038" equalAverage="0" operator="greaterThan" aboveAverage="0" dxfId="8" text="" percent="0" bottom="0">
      <formula>0</formula>
    </cfRule>
  </conditionalFormatting>
  <conditionalFormatting sqref="E525">
    <cfRule type="cellIs" rank="0" priority="1039" equalAverage="0" operator="equal" aboveAverage="0" dxfId="10" text="" percent="0" bottom="0">
      <formula>"Evet"</formula>
    </cfRule>
  </conditionalFormatting>
  <conditionalFormatting sqref="D526">
    <cfRule type="cellIs" rank="0" priority="1040" equalAverage="0" operator="greaterThan" aboveAverage="0" dxfId="8" text="" percent="0" bottom="0">
      <formula>0</formula>
    </cfRule>
  </conditionalFormatting>
  <conditionalFormatting sqref="E526">
    <cfRule type="cellIs" rank="0" priority="1041" equalAverage="0" operator="equal" aboveAverage="0" dxfId="10" text="" percent="0" bottom="0">
      <formula>"Evet"</formula>
    </cfRule>
  </conditionalFormatting>
  <conditionalFormatting sqref="D527">
    <cfRule type="cellIs" rank="0" priority="1042" equalAverage="0" operator="greaterThan" aboveAverage="0" dxfId="8" text="" percent="0" bottom="0">
      <formula>0</formula>
    </cfRule>
  </conditionalFormatting>
  <conditionalFormatting sqref="E527">
    <cfRule type="cellIs" rank="0" priority="1043" equalAverage="0" operator="equal" aboveAverage="0" dxfId="10" text="" percent="0" bottom="0">
      <formula>"Evet"</formula>
    </cfRule>
  </conditionalFormatting>
  <conditionalFormatting sqref="D528">
    <cfRule type="cellIs" rank="0" priority="1044" equalAverage="0" operator="greaterThan" aboveAverage="0" dxfId="8" text="" percent="0" bottom="0">
      <formula>0</formula>
    </cfRule>
  </conditionalFormatting>
  <conditionalFormatting sqref="E528">
    <cfRule type="cellIs" rank="0" priority="1045" equalAverage="0" operator="equal" aboveAverage="0" dxfId="10" text="" percent="0" bottom="0">
      <formula>"Evet"</formula>
    </cfRule>
  </conditionalFormatting>
  <conditionalFormatting sqref="D529">
    <cfRule type="cellIs" rank="0" priority="1046" equalAverage="0" operator="greaterThan" aboveAverage="0" dxfId="8" text="" percent="0" bottom="0">
      <formula>0</formula>
    </cfRule>
  </conditionalFormatting>
  <conditionalFormatting sqref="E529">
    <cfRule type="cellIs" rank="0" priority="1047" equalAverage="0" operator="equal" aboveAverage="0" dxfId="10" text="" percent="0" bottom="0">
      <formula>"Evet"</formula>
    </cfRule>
  </conditionalFormatting>
  <conditionalFormatting sqref="D530">
    <cfRule type="cellIs" rank="0" priority="1048" equalAverage="0" operator="greaterThan" aboveAverage="0" dxfId="8" text="" percent="0" bottom="0">
      <formula>0</formula>
    </cfRule>
  </conditionalFormatting>
  <conditionalFormatting sqref="E530">
    <cfRule type="cellIs" rank="0" priority="1049" equalAverage="0" operator="equal" aboveAverage="0" dxfId="10" text="" percent="0" bottom="0">
      <formula>"Evet"</formula>
    </cfRule>
  </conditionalFormatting>
  <conditionalFormatting sqref="D531">
    <cfRule type="cellIs" rank="0" priority="1050" equalAverage="0" operator="greaterThan" aboveAverage="0" dxfId="8" text="" percent="0" bottom="0">
      <formula>0</formula>
    </cfRule>
  </conditionalFormatting>
  <conditionalFormatting sqref="E531">
    <cfRule type="cellIs" rank="0" priority="1051" equalAverage="0" operator="equal" aboveAverage="0" dxfId="10" text="" percent="0" bottom="0">
      <formula>"Evet"</formula>
    </cfRule>
  </conditionalFormatting>
  <conditionalFormatting sqref="D532">
    <cfRule type="cellIs" rank="0" priority="1052" equalAverage="0" operator="greaterThan" aboveAverage="0" dxfId="8" text="" percent="0" bottom="0">
      <formula>0</formula>
    </cfRule>
  </conditionalFormatting>
  <conditionalFormatting sqref="E532">
    <cfRule type="cellIs" rank="0" priority="1053" equalAverage="0" operator="equal" aboveAverage="0" dxfId="10" text="" percent="0" bottom="0">
      <formula>"Evet"</formula>
    </cfRule>
  </conditionalFormatting>
  <conditionalFormatting sqref="D533">
    <cfRule type="cellIs" rank="0" priority="1054" equalAverage="0" operator="greaterThan" aboveAverage="0" dxfId="8" text="" percent="0" bottom="0">
      <formula>0</formula>
    </cfRule>
  </conditionalFormatting>
  <conditionalFormatting sqref="E533">
    <cfRule type="cellIs" rank="0" priority="1055" equalAverage="0" operator="equal" aboveAverage="0" dxfId="10" text="" percent="0" bottom="0">
      <formula>"Evet"</formula>
    </cfRule>
  </conditionalFormatting>
  <conditionalFormatting sqref="D534">
    <cfRule type="cellIs" rank="0" priority="1056" equalAverage="0" operator="greaterThan" aboveAverage="0" dxfId="8" text="" percent="0" bottom="0">
      <formula>0</formula>
    </cfRule>
  </conditionalFormatting>
  <conditionalFormatting sqref="E534">
    <cfRule type="cellIs" rank="0" priority="1057" equalAverage="0" operator="equal" aboveAverage="0" dxfId="10" text="" percent="0" bottom="0">
      <formula>"Evet"</formula>
    </cfRule>
  </conditionalFormatting>
  <conditionalFormatting sqref="D535">
    <cfRule type="cellIs" rank="0" priority="1058" equalAverage="0" operator="greaterThan" aboveAverage="0" dxfId="8" text="" percent="0" bottom="0">
      <formula>0</formula>
    </cfRule>
  </conditionalFormatting>
  <conditionalFormatting sqref="E535">
    <cfRule type="cellIs" rank="0" priority="1059" equalAverage="0" operator="equal" aboveAverage="0" dxfId="10" text="" percent="0" bottom="0">
      <formula>"Evet"</formula>
    </cfRule>
  </conditionalFormatting>
  <conditionalFormatting sqref="D536">
    <cfRule type="cellIs" rank="0" priority="1060" equalAverage="0" operator="greaterThan" aboveAverage="0" dxfId="8" text="" percent="0" bottom="0">
      <formula>0</formula>
    </cfRule>
  </conditionalFormatting>
  <conditionalFormatting sqref="E536">
    <cfRule type="cellIs" rank="0" priority="1061" equalAverage="0" operator="equal" aboveAverage="0" dxfId="10" text="" percent="0" bottom="0">
      <formula>"Evet"</formula>
    </cfRule>
  </conditionalFormatting>
  <conditionalFormatting sqref="D537">
    <cfRule type="cellIs" rank="0" priority="1062" equalAverage="0" operator="greaterThan" aboveAverage="0" dxfId="8" text="" percent="0" bottom="0">
      <formula>0</formula>
    </cfRule>
  </conditionalFormatting>
  <conditionalFormatting sqref="E537">
    <cfRule type="cellIs" rank="0" priority="1063" equalAverage="0" operator="equal" aboveAverage="0" dxfId="10" text="" percent="0" bottom="0">
      <formula>"Evet"</formula>
    </cfRule>
  </conditionalFormatting>
  <conditionalFormatting sqref="D538">
    <cfRule type="cellIs" rank="0" priority="1064" equalAverage="0" operator="greaterThan" aboveAverage="0" dxfId="8" text="" percent="0" bottom="0">
      <formula>0</formula>
    </cfRule>
  </conditionalFormatting>
  <conditionalFormatting sqref="E538">
    <cfRule type="cellIs" rank="0" priority="1065" equalAverage="0" operator="equal" aboveAverage="0" dxfId="10" text="" percent="0" bottom="0">
      <formula>"Evet"</formula>
    </cfRule>
  </conditionalFormatting>
  <conditionalFormatting sqref="D539">
    <cfRule type="cellIs" rank="0" priority="1066" equalAverage="0" operator="greaterThan" aboveAverage="0" dxfId="8" text="" percent="0" bottom="0">
      <formula>0</formula>
    </cfRule>
  </conditionalFormatting>
  <conditionalFormatting sqref="E539">
    <cfRule type="cellIs" rank="0" priority="1067" equalAverage="0" operator="equal" aboveAverage="0" dxfId="10" text="" percent="0" bottom="0">
      <formula>"Evet"</formula>
    </cfRule>
  </conditionalFormatting>
  <conditionalFormatting sqref="D540">
    <cfRule type="cellIs" rank="0" priority="1068" equalAverage="0" operator="greaterThan" aboveAverage="0" dxfId="8" text="" percent="0" bottom="0">
      <formula>0</formula>
    </cfRule>
  </conditionalFormatting>
  <conditionalFormatting sqref="E540">
    <cfRule type="cellIs" rank="0" priority="1069" equalAverage="0" operator="equal" aboveAverage="0" dxfId="10" text="" percent="0" bottom="0">
      <formula>"Evet"</formula>
    </cfRule>
  </conditionalFormatting>
  <conditionalFormatting sqref="D541">
    <cfRule type="cellIs" rank="0" priority="1070" equalAverage="0" operator="greaterThan" aboveAverage="0" dxfId="8" text="" percent="0" bottom="0">
      <formula>0</formula>
    </cfRule>
  </conditionalFormatting>
  <conditionalFormatting sqref="E541">
    <cfRule type="cellIs" rank="0" priority="1071" equalAverage="0" operator="equal" aboveAverage="0" dxfId="10" text="" percent="0" bottom="0">
      <formula>"Evet"</formula>
    </cfRule>
  </conditionalFormatting>
  <conditionalFormatting sqref="D542">
    <cfRule type="cellIs" rank="0" priority="1072" equalAverage="0" operator="greaterThan" aboveAverage="0" dxfId="8" text="" percent="0" bottom="0">
      <formula>0</formula>
    </cfRule>
  </conditionalFormatting>
  <conditionalFormatting sqref="E542">
    <cfRule type="cellIs" rank="0" priority="1073" equalAverage="0" operator="equal" aboveAverage="0" dxfId="10" text="" percent="0" bottom="0">
      <formula>"Evet"</formula>
    </cfRule>
  </conditionalFormatting>
  <conditionalFormatting sqref="D543">
    <cfRule type="cellIs" rank="0" priority="1074" equalAverage="0" operator="greaterThan" aboveAverage="0" dxfId="8" text="" percent="0" bottom="0">
      <formula>0</formula>
    </cfRule>
  </conditionalFormatting>
  <conditionalFormatting sqref="E543">
    <cfRule type="cellIs" rank="0" priority="1075" equalAverage="0" operator="equal" aboveAverage="0" dxfId="10" text="" percent="0" bottom="0">
      <formula>"Evet"</formula>
    </cfRule>
  </conditionalFormatting>
  <conditionalFormatting sqref="D544">
    <cfRule type="cellIs" rank="0" priority="1076" equalAverage="0" operator="greaterThan" aboveAverage="0" dxfId="8" text="" percent="0" bottom="0">
      <formula>0</formula>
    </cfRule>
  </conditionalFormatting>
  <conditionalFormatting sqref="E544">
    <cfRule type="cellIs" rank="0" priority="1077" equalAverage="0" operator="equal" aboveAverage="0" dxfId="10" text="" percent="0" bottom="0">
      <formula>"Evet"</formula>
    </cfRule>
  </conditionalFormatting>
  <conditionalFormatting sqref="D545">
    <cfRule type="cellIs" rank="0" priority="1078" equalAverage="0" operator="greaterThan" aboveAverage="0" dxfId="8" text="" percent="0" bottom="0">
      <formula>0</formula>
    </cfRule>
  </conditionalFormatting>
  <conditionalFormatting sqref="E545">
    <cfRule type="cellIs" rank="0" priority="1079" equalAverage="0" operator="equal" aboveAverage="0" dxfId="10" text="" percent="0" bottom="0">
      <formula>"Evet"</formula>
    </cfRule>
  </conditionalFormatting>
  <conditionalFormatting sqref="D546">
    <cfRule type="cellIs" rank="0" priority="1080" equalAverage="0" operator="greaterThan" aboveAverage="0" dxfId="8" text="" percent="0" bottom="0">
      <formula>0</formula>
    </cfRule>
  </conditionalFormatting>
  <conditionalFormatting sqref="E546">
    <cfRule type="cellIs" rank="0" priority="1081" equalAverage="0" operator="equal" aboveAverage="0" dxfId="10" text="" percent="0" bottom="0">
      <formula>"Evet"</formula>
    </cfRule>
  </conditionalFormatting>
  <conditionalFormatting sqref="D547">
    <cfRule type="cellIs" rank="0" priority="1082" equalAverage="0" operator="greaterThan" aboveAverage="0" dxfId="8" text="" percent="0" bottom="0">
      <formula>0</formula>
    </cfRule>
  </conditionalFormatting>
  <conditionalFormatting sqref="E547">
    <cfRule type="cellIs" rank="0" priority="1083" equalAverage="0" operator="equal" aboveAverage="0" dxfId="10" text="" percent="0" bottom="0">
      <formula>"Evet"</formula>
    </cfRule>
  </conditionalFormatting>
  <conditionalFormatting sqref="D548">
    <cfRule type="cellIs" rank="0" priority="1084" equalAverage="0" operator="greaterThan" aboveAverage="0" dxfId="8" text="" percent="0" bottom="0">
      <formula>0</formula>
    </cfRule>
  </conditionalFormatting>
  <conditionalFormatting sqref="E548">
    <cfRule type="cellIs" rank="0" priority="1085" equalAverage="0" operator="equal" aboveAverage="0" dxfId="10" text="" percent="0" bottom="0">
      <formula>"Evet"</formula>
    </cfRule>
  </conditionalFormatting>
  <conditionalFormatting sqref="D549">
    <cfRule type="cellIs" rank="0" priority="1086" equalAverage="0" operator="greaterThan" aboveAverage="0" dxfId="8" text="" percent="0" bottom="0">
      <formula>0</formula>
    </cfRule>
  </conditionalFormatting>
  <conditionalFormatting sqref="E549">
    <cfRule type="cellIs" rank="0" priority="1087" equalAverage="0" operator="equal" aboveAverage="0" dxfId="10" text="" percent="0" bottom="0">
      <formula>"Evet"</formula>
    </cfRule>
  </conditionalFormatting>
  <conditionalFormatting sqref="D550">
    <cfRule type="cellIs" rank="0" priority="1088" equalAverage="0" operator="greaterThan" aboveAverage="0" dxfId="8" text="" percent="0" bottom="0">
      <formula>0</formula>
    </cfRule>
  </conditionalFormatting>
  <conditionalFormatting sqref="E550">
    <cfRule type="cellIs" rank="0" priority="1089" equalAverage="0" operator="equal" aboveAverage="0" dxfId="10" text="" percent="0" bottom="0">
      <formula>"Evet"</formula>
    </cfRule>
  </conditionalFormatting>
  <conditionalFormatting sqref="D551">
    <cfRule type="cellIs" rank="0" priority="1090" equalAverage="0" operator="greaterThan" aboveAverage="0" dxfId="8" text="" percent="0" bottom="0">
      <formula>0</formula>
    </cfRule>
  </conditionalFormatting>
  <conditionalFormatting sqref="E551">
    <cfRule type="cellIs" rank="0" priority="1091" equalAverage="0" operator="equal" aboveAverage="0" dxfId="10" text="" percent="0" bottom="0">
      <formula>"Evet"</formula>
    </cfRule>
  </conditionalFormatting>
  <conditionalFormatting sqref="D552">
    <cfRule type="cellIs" rank="0" priority="1092" equalAverage="0" operator="greaterThan" aboveAverage="0" dxfId="8" text="" percent="0" bottom="0">
      <formula>0</formula>
    </cfRule>
  </conditionalFormatting>
  <conditionalFormatting sqref="E552">
    <cfRule type="cellIs" rank="0" priority="1093" equalAverage="0" operator="equal" aboveAverage="0" dxfId="10" text="" percent="0" bottom="0">
      <formula>"Evet"</formula>
    </cfRule>
  </conditionalFormatting>
  <conditionalFormatting sqref="D553">
    <cfRule type="cellIs" rank="0" priority="1094" equalAverage="0" operator="greaterThan" aboveAverage="0" dxfId="8" text="" percent="0" bottom="0">
      <formula>0</formula>
    </cfRule>
  </conditionalFormatting>
  <conditionalFormatting sqref="E553">
    <cfRule type="cellIs" rank="0" priority="1095" equalAverage="0" operator="equal" aboveAverage="0" dxfId="10" text="" percent="0" bottom="0">
      <formula>"Evet"</formula>
    </cfRule>
  </conditionalFormatting>
  <conditionalFormatting sqref="D554">
    <cfRule type="cellIs" rank="0" priority="1096" equalAverage="0" operator="greaterThan" aboveAverage="0" dxfId="8" text="" percent="0" bottom="0">
      <formula>0</formula>
    </cfRule>
  </conditionalFormatting>
  <conditionalFormatting sqref="E554">
    <cfRule type="cellIs" rank="0" priority="1097" equalAverage="0" operator="equal" aboveAverage="0" dxfId="10" text="" percent="0" bottom="0">
      <formula>"Evet"</formula>
    </cfRule>
  </conditionalFormatting>
  <conditionalFormatting sqref="D555">
    <cfRule type="cellIs" rank="0" priority="1098" equalAverage="0" operator="greaterThan" aboveAverage="0" dxfId="8" text="" percent="0" bottom="0">
      <formula>0</formula>
    </cfRule>
  </conditionalFormatting>
  <conditionalFormatting sqref="E555">
    <cfRule type="cellIs" rank="0" priority="1099" equalAverage="0" operator="equal" aboveAverage="0" dxfId="10" text="" percent="0" bottom="0">
      <formula>"Evet"</formula>
    </cfRule>
  </conditionalFormatting>
  <conditionalFormatting sqref="D556">
    <cfRule type="cellIs" rank="0" priority="1100" equalAverage="0" operator="greaterThan" aboveAverage="0" dxfId="8" text="" percent="0" bottom="0">
      <formula>0</formula>
    </cfRule>
  </conditionalFormatting>
  <conditionalFormatting sqref="E556">
    <cfRule type="cellIs" rank="0" priority="1101" equalAverage="0" operator="equal" aboveAverage="0" dxfId="10" text="" percent="0" bottom="0">
      <formula>"Evet"</formula>
    </cfRule>
  </conditionalFormatting>
  <conditionalFormatting sqref="D557">
    <cfRule type="cellIs" rank="0" priority="1102" equalAverage="0" operator="greaterThan" aboveAverage="0" dxfId="8" text="" percent="0" bottom="0">
      <formula>0</formula>
    </cfRule>
  </conditionalFormatting>
  <conditionalFormatting sqref="E557">
    <cfRule type="cellIs" rank="0" priority="1103" equalAverage="0" operator="equal" aboveAverage="0" dxfId="10" text="" percent="0" bottom="0">
      <formula>"Evet"</formula>
    </cfRule>
  </conditionalFormatting>
  <conditionalFormatting sqref="D558">
    <cfRule type="cellIs" rank="0" priority="1104" equalAverage="0" operator="greaterThan" aboveAverage="0" dxfId="8" text="" percent="0" bottom="0">
      <formula>0</formula>
    </cfRule>
  </conditionalFormatting>
  <conditionalFormatting sqref="E558">
    <cfRule type="cellIs" rank="0" priority="1105" equalAverage="0" operator="equal" aboveAverage="0" dxfId="10" text="" percent="0" bottom="0">
      <formula>"Evet"</formula>
    </cfRule>
  </conditionalFormatting>
  <conditionalFormatting sqref="D559">
    <cfRule type="cellIs" rank="0" priority="1106" equalAverage="0" operator="greaterThan" aboveAverage="0" dxfId="8" text="" percent="0" bottom="0">
      <formula>0</formula>
    </cfRule>
  </conditionalFormatting>
  <conditionalFormatting sqref="E559">
    <cfRule type="cellIs" rank="0" priority="1107" equalAverage="0" operator="equal" aboveAverage="0" dxfId="10" text="" percent="0" bottom="0">
      <formula>"Evet"</formula>
    </cfRule>
  </conditionalFormatting>
  <conditionalFormatting sqref="D560">
    <cfRule type="cellIs" rank="0" priority="1108" equalAverage="0" operator="greaterThan" aboveAverage="0" dxfId="8" text="" percent="0" bottom="0">
      <formula>0</formula>
    </cfRule>
  </conditionalFormatting>
  <conditionalFormatting sqref="E560">
    <cfRule type="cellIs" rank="0" priority="1109" equalAverage="0" operator="equal" aboveAverage="0" dxfId="10" text="" percent="0" bottom="0">
      <formula>"Evet"</formula>
    </cfRule>
  </conditionalFormatting>
  <conditionalFormatting sqref="D561">
    <cfRule type="cellIs" rank="0" priority="1110" equalAverage="0" operator="greaterThan" aboveAverage="0" dxfId="8" text="" percent="0" bottom="0">
      <formula>0</formula>
    </cfRule>
  </conditionalFormatting>
  <conditionalFormatting sqref="E561">
    <cfRule type="cellIs" rank="0" priority="1111" equalAverage="0" operator="equal" aboveAverage="0" dxfId="10" text="" percent="0" bottom="0">
      <formula>"Evet"</formula>
    </cfRule>
  </conditionalFormatting>
  <conditionalFormatting sqref="D562">
    <cfRule type="cellIs" rank="0" priority="1112" equalAverage="0" operator="greaterThan" aboveAverage="0" dxfId="8" text="" percent="0" bottom="0">
      <formula>0</formula>
    </cfRule>
  </conditionalFormatting>
  <conditionalFormatting sqref="E562">
    <cfRule type="cellIs" rank="0" priority="1113" equalAverage="0" operator="equal" aboveAverage="0" dxfId="10" text="" percent="0" bottom="0">
      <formula>"Evet"</formula>
    </cfRule>
  </conditionalFormatting>
  <conditionalFormatting sqref="D563">
    <cfRule type="cellIs" rank="0" priority="1114" equalAverage="0" operator="greaterThan" aboveAverage="0" dxfId="8" text="" percent="0" bottom="0">
      <formula>0</formula>
    </cfRule>
  </conditionalFormatting>
  <conditionalFormatting sqref="E563">
    <cfRule type="cellIs" rank="0" priority="1115" equalAverage="0" operator="equal" aboveAverage="0" dxfId="10" text="" percent="0" bottom="0">
      <formula>"Evet"</formula>
    </cfRule>
  </conditionalFormatting>
  <conditionalFormatting sqref="D564">
    <cfRule type="cellIs" rank="0" priority="1116" equalAverage="0" operator="greaterThan" aboveAverage="0" dxfId="8" text="" percent="0" bottom="0">
      <formula>0</formula>
    </cfRule>
  </conditionalFormatting>
  <conditionalFormatting sqref="E564">
    <cfRule type="cellIs" rank="0" priority="1117" equalAverage="0" operator="equal" aboveAverage="0" dxfId="10" text="" percent="0" bottom="0">
      <formula>"Evet"</formula>
    </cfRule>
  </conditionalFormatting>
  <conditionalFormatting sqref="D565">
    <cfRule type="cellIs" rank="0" priority="1118" equalAverage="0" operator="greaterThan" aboveAverage="0" dxfId="8" text="" percent="0" bottom="0">
      <formula>0</formula>
    </cfRule>
  </conditionalFormatting>
  <conditionalFormatting sqref="E565">
    <cfRule type="cellIs" rank="0" priority="1119" equalAverage="0" operator="equal" aboveAverage="0" dxfId="10" text="" percent="0" bottom="0">
      <formula>"Evet"</formula>
    </cfRule>
  </conditionalFormatting>
  <conditionalFormatting sqref="D566">
    <cfRule type="cellIs" rank="0" priority="1120" equalAverage="0" operator="greaterThan" aboveAverage="0" dxfId="8" text="" percent="0" bottom="0">
      <formula>0</formula>
    </cfRule>
  </conditionalFormatting>
  <conditionalFormatting sqref="E566">
    <cfRule type="cellIs" rank="0" priority="1121" equalAverage="0" operator="equal" aboveAverage="0" dxfId="10" text="" percent="0" bottom="0">
      <formula>"Evet"</formula>
    </cfRule>
  </conditionalFormatting>
  <conditionalFormatting sqref="D567">
    <cfRule type="cellIs" rank="0" priority="1122" equalAverage="0" operator="greaterThan" aboveAverage="0" dxfId="8" text="" percent="0" bottom="0">
      <formula>0</formula>
    </cfRule>
  </conditionalFormatting>
  <conditionalFormatting sqref="E567">
    <cfRule type="cellIs" rank="0" priority="1123" equalAverage="0" operator="equal" aboveAverage="0" dxfId="10" text="" percent="0" bottom="0">
      <formula>"Evet"</formula>
    </cfRule>
  </conditionalFormatting>
  <conditionalFormatting sqref="D568">
    <cfRule type="cellIs" rank="0" priority="1124" equalAverage="0" operator="greaterThan" aboveAverage="0" dxfId="8" text="" percent="0" bottom="0">
      <formula>0</formula>
    </cfRule>
  </conditionalFormatting>
  <conditionalFormatting sqref="E568">
    <cfRule type="cellIs" rank="0" priority="1125" equalAverage="0" operator="equal" aboveAverage="0" dxfId="10" text="" percent="0" bottom="0">
      <formula>"Evet"</formula>
    </cfRule>
  </conditionalFormatting>
  <conditionalFormatting sqref="D569">
    <cfRule type="cellIs" rank="0" priority="1126" equalAverage="0" operator="greaterThan" aboveAverage="0" dxfId="8" text="" percent="0" bottom="0">
      <formula>0</formula>
    </cfRule>
  </conditionalFormatting>
  <conditionalFormatting sqref="E569">
    <cfRule type="cellIs" rank="0" priority="1127" equalAverage="0" operator="equal" aboveAverage="0" dxfId="10" text="" percent="0" bottom="0">
      <formula>"Evet"</formula>
    </cfRule>
  </conditionalFormatting>
  <conditionalFormatting sqref="D570">
    <cfRule type="cellIs" rank="0" priority="1128" equalAverage="0" operator="greaterThan" aboveAverage="0" dxfId="8" text="" percent="0" bottom="0">
      <formula>0</formula>
    </cfRule>
  </conditionalFormatting>
  <conditionalFormatting sqref="E570">
    <cfRule type="cellIs" rank="0" priority="1129" equalAverage="0" operator="equal" aboveAverage="0" dxfId="10" text="" percent="0" bottom="0">
      <formula>"Evet"</formula>
    </cfRule>
  </conditionalFormatting>
  <conditionalFormatting sqref="D571">
    <cfRule type="cellIs" rank="0" priority="1130" equalAverage="0" operator="greaterThan" aboveAverage="0" dxfId="8" text="" percent="0" bottom="0">
      <formula>0</formula>
    </cfRule>
  </conditionalFormatting>
  <conditionalFormatting sqref="E571">
    <cfRule type="cellIs" rank="0" priority="1131" equalAverage="0" operator="equal" aboveAverage="0" dxfId="10" text="" percent="0" bottom="0">
      <formula>"Evet"</formula>
    </cfRule>
  </conditionalFormatting>
  <conditionalFormatting sqref="D572">
    <cfRule type="cellIs" rank="0" priority="1132" equalAverage="0" operator="greaterThan" aboveAverage="0" dxfId="8" text="" percent="0" bottom="0">
      <formula>0</formula>
    </cfRule>
  </conditionalFormatting>
  <conditionalFormatting sqref="E572">
    <cfRule type="cellIs" rank="0" priority="1133" equalAverage="0" operator="equal" aboveAverage="0" dxfId="10" text="" percent="0" bottom="0">
      <formula>"Evet"</formula>
    </cfRule>
  </conditionalFormatting>
  <conditionalFormatting sqref="D573">
    <cfRule type="cellIs" rank="0" priority="1134" equalAverage="0" operator="greaterThan" aboveAverage="0" dxfId="8" text="" percent="0" bottom="0">
      <formula>0</formula>
    </cfRule>
  </conditionalFormatting>
  <conditionalFormatting sqref="E573">
    <cfRule type="cellIs" rank="0" priority="1135" equalAverage="0" operator="equal" aboveAverage="0" dxfId="10" text="" percent="0" bottom="0">
      <formula>"Evet"</formula>
    </cfRule>
  </conditionalFormatting>
  <conditionalFormatting sqref="D574">
    <cfRule type="cellIs" rank="0" priority="1136" equalAverage="0" operator="greaterThan" aboveAverage="0" dxfId="8" text="" percent="0" bottom="0">
      <formula>0</formula>
    </cfRule>
  </conditionalFormatting>
  <conditionalFormatting sqref="E574">
    <cfRule type="cellIs" rank="0" priority="1137" equalAverage="0" operator="equal" aboveAverage="0" dxfId="10" text="" percent="0" bottom="0">
      <formula>"Evet"</formula>
    </cfRule>
  </conditionalFormatting>
  <conditionalFormatting sqref="D575">
    <cfRule type="cellIs" rank="0" priority="1138" equalAverage="0" operator="greaterThan" aboveAverage="0" dxfId="8" text="" percent="0" bottom="0">
      <formula>0</formula>
    </cfRule>
  </conditionalFormatting>
  <conditionalFormatting sqref="E575">
    <cfRule type="cellIs" rank="0" priority="1139" equalAverage="0" operator="equal" aboveAverage="0" dxfId="10" text="" percent="0" bottom="0">
      <formula>"Evet"</formula>
    </cfRule>
  </conditionalFormatting>
  <conditionalFormatting sqref="D576">
    <cfRule type="cellIs" rank="0" priority="1140" equalAverage="0" operator="greaterThan" aboveAverage="0" dxfId="8" text="" percent="0" bottom="0">
      <formula>0</formula>
    </cfRule>
  </conditionalFormatting>
  <conditionalFormatting sqref="E576">
    <cfRule type="cellIs" rank="0" priority="1141" equalAverage="0" operator="equal" aboveAverage="0" dxfId="10" text="" percent="0" bottom="0">
      <formula>"Evet"</formula>
    </cfRule>
  </conditionalFormatting>
  <conditionalFormatting sqref="D577">
    <cfRule type="cellIs" rank="0" priority="1142" equalAverage="0" operator="greaterThan" aboveAverage="0" dxfId="8" text="" percent="0" bottom="0">
      <formula>0</formula>
    </cfRule>
  </conditionalFormatting>
  <conditionalFormatting sqref="E577">
    <cfRule type="cellIs" rank="0" priority="1143" equalAverage="0" operator="equal" aboveAverage="0" dxfId="10" text="" percent="0" bottom="0">
      <formula>"Evet"</formula>
    </cfRule>
  </conditionalFormatting>
  <conditionalFormatting sqref="D578">
    <cfRule type="cellIs" rank="0" priority="1144" equalAverage="0" operator="greaterThan" aboveAverage="0" dxfId="8" text="" percent="0" bottom="0">
      <formula>0</formula>
    </cfRule>
  </conditionalFormatting>
  <conditionalFormatting sqref="E578">
    <cfRule type="cellIs" rank="0" priority="1145" equalAverage="0" operator="equal" aboveAverage="0" dxfId="10" text="" percent="0" bottom="0">
      <formula>"Evet"</formula>
    </cfRule>
  </conditionalFormatting>
  <conditionalFormatting sqref="D579">
    <cfRule type="cellIs" rank="0" priority="1146" equalAverage="0" operator="greaterThan" aboveAverage="0" dxfId="8" text="" percent="0" bottom="0">
      <formula>0</formula>
    </cfRule>
  </conditionalFormatting>
  <conditionalFormatting sqref="E579">
    <cfRule type="cellIs" rank="0" priority="1147" equalAverage="0" operator="equal" aboveAverage="0" dxfId="10" text="" percent="0" bottom="0">
      <formula>"Evet"</formula>
    </cfRule>
  </conditionalFormatting>
  <conditionalFormatting sqref="D580">
    <cfRule type="cellIs" rank="0" priority="1148" equalAverage="0" operator="greaterThan" aboveAverage="0" dxfId="8" text="" percent="0" bottom="0">
      <formula>0</formula>
    </cfRule>
  </conditionalFormatting>
  <conditionalFormatting sqref="E580">
    <cfRule type="cellIs" rank="0" priority="1149" equalAverage="0" operator="equal" aboveAverage="0" dxfId="10" text="" percent="0" bottom="0">
      <formula>"Evet"</formula>
    </cfRule>
  </conditionalFormatting>
  <conditionalFormatting sqref="D581">
    <cfRule type="cellIs" rank="0" priority="1150" equalAverage="0" operator="greaterThan" aboveAverage="0" dxfId="8" text="" percent="0" bottom="0">
      <formula>0</formula>
    </cfRule>
  </conditionalFormatting>
  <conditionalFormatting sqref="E581">
    <cfRule type="cellIs" rank="0" priority="1151" equalAverage="0" operator="equal" aboveAverage="0" dxfId="10" text="" percent="0" bottom="0">
      <formula>"Evet"</formula>
    </cfRule>
  </conditionalFormatting>
  <conditionalFormatting sqref="D582">
    <cfRule type="cellIs" rank="0" priority="1152" equalAverage="0" operator="greaterThan" aboveAverage="0" dxfId="8" text="" percent="0" bottom="0">
      <formula>0</formula>
    </cfRule>
  </conditionalFormatting>
  <conditionalFormatting sqref="E582">
    <cfRule type="cellIs" rank="0" priority="1153" equalAverage="0" operator="equal" aboveAverage="0" dxfId="10" text="" percent="0" bottom="0">
      <formula>"Evet"</formula>
    </cfRule>
  </conditionalFormatting>
  <conditionalFormatting sqref="D583">
    <cfRule type="cellIs" rank="0" priority="1154" equalAverage="0" operator="greaterThan" aboveAverage="0" dxfId="8" text="" percent="0" bottom="0">
      <formula>0</formula>
    </cfRule>
  </conditionalFormatting>
  <conditionalFormatting sqref="E583">
    <cfRule type="cellIs" rank="0" priority="1155" equalAverage="0" operator="equal" aboveAverage="0" dxfId="10" text="" percent="0" bottom="0">
      <formula>"Evet"</formula>
    </cfRule>
  </conditionalFormatting>
  <conditionalFormatting sqref="D584">
    <cfRule type="cellIs" rank="0" priority="1156" equalAverage="0" operator="greaterThan" aboveAverage="0" dxfId="8" text="" percent="0" bottom="0">
      <formula>0</formula>
    </cfRule>
  </conditionalFormatting>
  <conditionalFormatting sqref="E584">
    <cfRule type="cellIs" rank="0" priority="1157" equalAverage="0" operator="equal" aboveAverage="0" dxfId="10" text="" percent="0" bottom="0">
      <formula>"Evet"</formula>
    </cfRule>
  </conditionalFormatting>
  <conditionalFormatting sqref="D585">
    <cfRule type="cellIs" rank="0" priority="1158" equalAverage="0" operator="greaterThan" aboveAverage="0" dxfId="8" text="" percent="0" bottom="0">
      <formula>0</formula>
    </cfRule>
  </conditionalFormatting>
  <conditionalFormatting sqref="E585">
    <cfRule type="cellIs" rank="0" priority="1159" equalAverage="0" operator="equal" aboveAverage="0" dxfId="10" text="" percent="0" bottom="0">
      <formula>"Evet"</formula>
    </cfRule>
  </conditionalFormatting>
  <conditionalFormatting sqref="D586">
    <cfRule type="cellIs" rank="0" priority="1160" equalAverage="0" operator="greaterThan" aboveAverage="0" dxfId="8" text="" percent="0" bottom="0">
      <formula>0</formula>
    </cfRule>
  </conditionalFormatting>
  <conditionalFormatting sqref="E586">
    <cfRule type="cellIs" rank="0" priority="1161" equalAverage="0" operator="equal" aboveAverage="0" dxfId="10" text="" percent="0" bottom="0">
      <formula>"Evet"</formula>
    </cfRule>
  </conditionalFormatting>
  <conditionalFormatting sqref="D587">
    <cfRule type="cellIs" rank="0" priority="1162" equalAverage="0" operator="greaterThan" aboveAverage="0" dxfId="8" text="" percent="0" bottom="0">
      <formula>0</formula>
    </cfRule>
  </conditionalFormatting>
  <conditionalFormatting sqref="E587">
    <cfRule type="cellIs" rank="0" priority="1163" equalAverage="0" operator="equal" aboveAverage="0" dxfId="10" text="" percent="0" bottom="0">
      <formula>"Evet"</formula>
    </cfRule>
  </conditionalFormatting>
  <conditionalFormatting sqref="D588">
    <cfRule type="cellIs" rank="0" priority="1164" equalAverage="0" operator="greaterThan" aboveAverage="0" dxfId="8" text="" percent="0" bottom="0">
      <formula>0</formula>
    </cfRule>
  </conditionalFormatting>
  <conditionalFormatting sqref="E588">
    <cfRule type="cellIs" rank="0" priority="1165" equalAverage="0" operator="equal" aboveAverage="0" dxfId="10" text="" percent="0" bottom="0">
      <formula>"Evet"</formula>
    </cfRule>
  </conditionalFormatting>
  <conditionalFormatting sqref="D589">
    <cfRule type="cellIs" rank="0" priority="1166" equalAverage="0" operator="greaterThan" aboveAverage="0" dxfId="8" text="" percent="0" bottom="0">
      <formula>0</formula>
    </cfRule>
  </conditionalFormatting>
  <conditionalFormatting sqref="E589">
    <cfRule type="cellIs" rank="0" priority="1167" equalAverage="0" operator="equal" aboveAverage="0" dxfId="10" text="" percent="0" bottom="0">
      <formula>"Evet"</formula>
    </cfRule>
  </conditionalFormatting>
  <conditionalFormatting sqref="D590">
    <cfRule type="cellIs" rank="0" priority="1168" equalAverage="0" operator="greaterThan" aboveAverage="0" dxfId="8" text="" percent="0" bottom="0">
      <formula>0</formula>
    </cfRule>
  </conditionalFormatting>
  <conditionalFormatting sqref="E590">
    <cfRule type="cellIs" rank="0" priority="1169" equalAverage="0" operator="equal" aboveAverage="0" dxfId="10" text="" percent="0" bottom="0">
      <formula>"Evet"</formula>
    </cfRule>
  </conditionalFormatting>
  <conditionalFormatting sqref="D591">
    <cfRule type="cellIs" rank="0" priority="1170" equalAverage="0" operator="greaterThan" aboveAverage="0" dxfId="8" text="" percent="0" bottom="0">
      <formula>0</formula>
    </cfRule>
  </conditionalFormatting>
  <conditionalFormatting sqref="E591">
    <cfRule type="cellIs" rank="0" priority="1171" equalAverage="0" operator="equal" aboveAverage="0" dxfId="10" text="" percent="0" bottom="0">
      <formula>"Evet"</formula>
    </cfRule>
  </conditionalFormatting>
  <conditionalFormatting sqref="D592">
    <cfRule type="cellIs" rank="0" priority="1172" equalAverage="0" operator="greaterThan" aboveAverage="0" dxfId="8" text="" percent="0" bottom="0">
      <formula>0</formula>
    </cfRule>
  </conditionalFormatting>
  <conditionalFormatting sqref="E592">
    <cfRule type="cellIs" rank="0" priority="1173" equalAverage="0" operator="equal" aboveAverage="0" dxfId="10" text="" percent="0" bottom="0">
      <formula>"Evet"</formula>
    </cfRule>
  </conditionalFormatting>
  <conditionalFormatting sqref="D593">
    <cfRule type="cellIs" rank="0" priority="1174" equalAverage="0" operator="greaterThan" aboveAverage="0" dxfId="8" text="" percent="0" bottom="0">
      <formula>0</formula>
    </cfRule>
  </conditionalFormatting>
  <conditionalFormatting sqref="E593">
    <cfRule type="cellIs" rank="0" priority="1175" equalAverage="0" operator="equal" aboveAverage="0" dxfId="10" text="" percent="0" bottom="0">
      <formula>"Evet"</formula>
    </cfRule>
  </conditionalFormatting>
  <conditionalFormatting sqref="D594">
    <cfRule type="cellIs" rank="0" priority="1176" equalAverage="0" operator="greaterThan" aboveAverage="0" dxfId="8" text="" percent="0" bottom="0">
      <formula>0</formula>
    </cfRule>
  </conditionalFormatting>
  <conditionalFormatting sqref="E594">
    <cfRule type="cellIs" rank="0" priority="1177" equalAverage="0" operator="equal" aboveAverage="0" dxfId="10" text="" percent="0" bottom="0">
      <formula>"Evet"</formula>
    </cfRule>
  </conditionalFormatting>
  <conditionalFormatting sqref="D595">
    <cfRule type="cellIs" rank="0" priority="1178" equalAverage="0" operator="greaterThan" aboveAverage="0" dxfId="8" text="" percent="0" bottom="0">
      <formula>0</formula>
    </cfRule>
  </conditionalFormatting>
  <conditionalFormatting sqref="E595">
    <cfRule type="cellIs" rank="0" priority="1179" equalAverage="0" operator="equal" aboveAverage="0" dxfId="10" text="" percent="0" bottom="0">
      <formula>"Evet"</formula>
    </cfRule>
  </conditionalFormatting>
  <conditionalFormatting sqref="D596">
    <cfRule type="cellIs" rank="0" priority="1180" equalAverage="0" operator="greaterThan" aboveAverage="0" dxfId="8" text="" percent="0" bottom="0">
      <formula>0</formula>
    </cfRule>
  </conditionalFormatting>
  <conditionalFormatting sqref="E596">
    <cfRule type="cellIs" rank="0" priority="1181" equalAverage="0" operator="equal" aboveAverage="0" dxfId="10" text="" percent="0" bottom="0">
      <formula>"Evet"</formula>
    </cfRule>
  </conditionalFormatting>
  <conditionalFormatting sqref="D597">
    <cfRule type="cellIs" rank="0" priority="1182" equalAverage="0" operator="greaterThan" aboveAverage="0" dxfId="8" text="" percent="0" bottom="0">
      <formula>0</formula>
    </cfRule>
  </conditionalFormatting>
  <conditionalFormatting sqref="E597">
    <cfRule type="cellIs" rank="0" priority="1183" equalAverage="0" operator="equal" aboveAverage="0" dxfId="10" text="" percent="0" bottom="0">
      <formula>"Evet"</formula>
    </cfRule>
  </conditionalFormatting>
  <conditionalFormatting sqref="D598">
    <cfRule type="cellIs" rank="0" priority="1184" equalAverage="0" operator="greaterThan" aboveAverage="0" dxfId="8" text="" percent="0" bottom="0">
      <formula>0</formula>
    </cfRule>
  </conditionalFormatting>
  <conditionalFormatting sqref="E598">
    <cfRule type="cellIs" rank="0" priority="1185" equalAverage="0" operator="equal" aboveAverage="0" dxfId="10" text="" percent="0" bottom="0">
      <formula>"Evet"</formula>
    </cfRule>
  </conditionalFormatting>
  <conditionalFormatting sqref="D599">
    <cfRule type="cellIs" rank="0" priority="1186" equalAverage="0" operator="greaterThan" aboveAverage="0" dxfId="8" text="" percent="0" bottom="0">
      <formula>0</formula>
    </cfRule>
  </conditionalFormatting>
  <conditionalFormatting sqref="E599">
    <cfRule type="cellIs" rank="0" priority="1187" equalAverage="0" operator="equal" aboveAverage="0" dxfId="10" text="" percent="0" bottom="0">
      <formula>"Evet"</formula>
    </cfRule>
  </conditionalFormatting>
  <conditionalFormatting sqref="D600">
    <cfRule type="cellIs" rank="0" priority="1188" equalAverage="0" operator="greaterThan" aboveAverage="0" dxfId="8" text="" percent="0" bottom="0">
      <formula>0</formula>
    </cfRule>
  </conditionalFormatting>
  <conditionalFormatting sqref="E600">
    <cfRule type="cellIs" rank="0" priority="1189" equalAverage="0" operator="equal" aboveAverage="0" dxfId="10" text="" percent="0" bottom="0">
      <formula>"Evet"</formula>
    </cfRule>
  </conditionalFormatting>
  <conditionalFormatting sqref="D601">
    <cfRule type="cellIs" rank="0" priority="1190" equalAverage="0" operator="greaterThan" aboveAverage="0" dxfId="8" text="" percent="0" bottom="0">
      <formula>0</formula>
    </cfRule>
  </conditionalFormatting>
  <conditionalFormatting sqref="E601">
    <cfRule type="cellIs" rank="0" priority="1191" equalAverage="0" operator="equal" aboveAverage="0" dxfId="10" text="" percent="0" bottom="0">
      <formula>"Evet"</formula>
    </cfRule>
  </conditionalFormatting>
  <conditionalFormatting sqref="D602">
    <cfRule type="cellIs" rank="0" priority="1192" equalAverage="0" operator="greaterThan" aboveAverage="0" dxfId="8" text="" percent="0" bottom="0">
      <formula>0</formula>
    </cfRule>
  </conditionalFormatting>
  <conditionalFormatting sqref="E602">
    <cfRule type="cellIs" rank="0" priority="1193" equalAverage="0" operator="equal" aboveAverage="0" dxfId="10" text="" percent="0" bottom="0">
      <formula>"Evet"</formula>
    </cfRule>
  </conditionalFormatting>
  <conditionalFormatting sqref="D603">
    <cfRule type="cellIs" rank="0" priority="1194" equalAverage="0" operator="greaterThan" aboveAverage="0" dxfId="8" text="" percent="0" bottom="0">
      <formula>0</formula>
    </cfRule>
  </conditionalFormatting>
  <conditionalFormatting sqref="E603">
    <cfRule type="cellIs" rank="0" priority="1195" equalAverage="0" operator="equal" aboveAverage="0" dxfId="10" text="" percent="0" bottom="0">
      <formula>"Evet"</formula>
    </cfRule>
  </conditionalFormatting>
  <conditionalFormatting sqref="D604">
    <cfRule type="cellIs" rank="0" priority="1196" equalAverage="0" operator="greaterThan" aboveAverage="0" dxfId="8" text="" percent="0" bottom="0">
      <formula>0</formula>
    </cfRule>
  </conditionalFormatting>
  <conditionalFormatting sqref="E604">
    <cfRule type="cellIs" rank="0" priority="1197" equalAverage="0" operator="equal" aboveAverage="0" dxfId="10" text="" percent="0" bottom="0">
      <formula>"Evet"</formula>
    </cfRule>
  </conditionalFormatting>
  <conditionalFormatting sqref="D605">
    <cfRule type="cellIs" rank="0" priority="1198" equalAverage="0" operator="greaterThan" aboveAverage="0" dxfId="8" text="" percent="0" bottom="0">
      <formula>0</formula>
    </cfRule>
  </conditionalFormatting>
  <conditionalFormatting sqref="E605">
    <cfRule type="cellIs" rank="0" priority="1199" equalAverage="0" operator="equal" aboveAverage="0" dxfId="10" text="" percent="0" bottom="0">
      <formula>"Evet"</formula>
    </cfRule>
  </conditionalFormatting>
  <conditionalFormatting sqref="D606">
    <cfRule type="cellIs" rank="0" priority="1200" equalAverage="0" operator="greaterThan" aboveAverage="0" dxfId="8" text="" percent="0" bottom="0">
      <formula>0</formula>
    </cfRule>
  </conditionalFormatting>
  <conditionalFormatting sqref="E606">
    <cfRule type="cellIs" rank="0" priority="1201" equalAverage="0" operator="equal" aboveAverage="0" dxfId="10" text="" percent="0" bottom="0">
      <formula>"Evet"</formula>
    </cfRule>
  </conditionalFormatting>
  <conditionalFormatting sqref="D607">
    <cfRule type="cellIs" rank="0" priority="1202" equalAverage="0" operator="greaterThan" aboveAverage="0" dxfId="8" text="" percent="0" bottom="0">
      <formula>0</formula>
    </cfRule>
  </conditionalFormatting>
  <conditionalFormatting sqref="E607">
    <cfRule type="cellIs" rank="0" priority="1203" equalAverage="0" operator="equal" aboveAverage="0" dxfId="10" text="" percent="0" bottom="0">
      <formula>"Evet"</formula>
    </cfRule>
  </conditionalFormatting>
  <conditionalFormatting sqref="D608">
    <cfRule type="cellIs" rank="0" priority="1204" equalAverage="0" operator="greaterThan" aboveAverage="0" dxfId="8" text="" percent="0" bottom="0">
      <formula>0</formula>
    </cfRule>
  </conditionalFormatting>
  <conditionalFormatting sqref="E608">
    <cfRule type="cellIs" rank="0" priority="1205" equalAverage="0" operator="equal" aboveAverage="0" dxfId="10" text="" percent="0" bottom="0">
      <formula>"Evet"</formula>
    </cfRule>
  </conditionalFormatting>
  <conditionalFormatting sqref="D609">
    <cfRule type="cellIs" rank="0" priority="1206" equalAverage="0" operator="greaterThan" aboveAverage="0" dxfId="8" text="" percent="0" bottom="0">
      <formula>0</formula>
    </cfRule>
  </conditionalFormatting>
  <conditionalFormatting sqref="E609">
    <cfRule type="cellIs" rank="0" priority="1207" equalAverage="0" operator="equal" aboveAverage="0" dxfId="10" text="" percent="0" bottom="0">
      <formula>"Evet"</formula>
    </cfRule>
  </conditionalFormatting>
  <conditionalFormatting sqref="D610">
    <cfRule type="cellIs" rank="0" priority="1208" equalAverage="0" operator="greaterThan" aboveAverage="0" dxfId="8" text="" percent="0" bottom="0">
      <formula>0</formula>
    </cfRule>
  </conditionalFormatting>
  <conditionalFormatting sqref="E610">
    <cfRule type="cellIs" rank="0" priority="1209" equalAverage="0" operator="equal" aboveAverage="0" dxfId="10" text="" percent="0" bottom="0">
      <formula>"Evet"</formula>
    </cfRule>
  </conditionalFormatting>
  <conditionalFormatting sqref="D611">
    <cfRule type="cellIs" rank="0" priority="1210" equalAverage="0" operator="greaterThan" aboveAverage="0" dxfId="8" text="" percent="0" bottom="0">
      <formula>0</formula>
    </cfRule>
  </conditionalFormatting>
  <conditionalFormatting sqref="E611">
    <cfRule type="cellIs" rank="0" priority="1211" equalAverage="0" operator="equal" aboveAverage="0" dxfId="10" text="" percent="0" bottom="0">
      <formula>"Evet"</formula>
    </cfRule>
  </conditionalFormatting>
  <conditionalFormatting sqref="D612">
    <cfRule type="cellIs" rank="0" priority="1212" equalAverage="0" operator="greaterThan" aboveAverage="0" dxfId="8" text="" percent="0" bottom="0">
      <formula>0</formula>
    </cfRule>
  </conditionalFormatting>
  <conditionalFormatting sqref="E612">
    <cfRule type="cellIs" rank="0" priority="1213" equalAverage="0" operator="equal" aboveAverage="0" dxfId="10" text="" percent="0" bottom="0">
      <formula>"Evet"</formula>
    </cfRule>
  </conditionalFormatting>
  <conditionalFormatting sqref="D613">
    <cfRule type="cellIs" rank="0" priority="1214" equalAverage="0" operator="greaterThan" aboveAverage="0" dxfId="8" text="" percent="0" bottom="0">
      <formula>0</formula>
    </cfRule>
  </conditionalFormatting>
  <conditionalFormatting sqref="E613">
    <cfRule type="cellIs" rank="0" priority="1215" equalAverage="0" operator="equal" aboveAverage="0" dxfId="10" text="" percent="0" bottom="0">
      <formula>"Evet"</formula>
    </cfRule>
  </conditionalFormatting>
  <conditionalFormatting sqref="D614">
    <cfRule type="cellIs" rank="0" priority="1216" equalAverage="0" operator="greaterThan" aboveAverage="0" dxfId="8" text="" percent="0" bottom="0">
      <formula>0</formula>
    </cfRule>
  </conditionalFormatting>
  <conditionalFormatting sqref="E614">
    <cfRule type="cellIs" rank="0" priority="1217" equalAverage="0" operator="equal" aboveAverage="0" dxfId="10" text="" percent="0" bottom="0">
      <formula>"Evet"</formula>
    </cfRule>
  </conditionalFormatting>
  <conditionalFormatting sqref="D615">
    <cfRule type="cellIs" rank="0" priority="1218" equalAverage="0" operator="greaterThan" aboveAverage="0" dxfId="8" text="" percent="0" bottom="0">
      <formula>0</formula>
    </cfRule>
  </conditionalFormatting>
  <conditionalFormatting sqref="E615">
    <cfRule type="cellIs" rank="0" priority="1219" equalAverage="0" operator="equal" aboveAverage="0" dxfId="10" text="" percent="0" bottom="0">
      <formula>"Evet"</formula>
    </cfRule>
  </conditionalFormatting>
  <conditionalFormatting sqref="D616">
    <cfRule type="cellIs" rank="0" priority="1220" equalAverage="0" operator="greaterThan" aboveAverage="0" dxfId="8" text="" percent="0" bottom="0">
      <formula>0</formula>
    </cfRule>
  </conditionalFormatting>
  <conditionalFormatting sqref="E616">
    <cfRule type="cellIs" rank="0" priority="1221" equalAverage="0" operator="equal" aboveAverage="0" dxfId="10" text="" percent="0" bottom="0">
      <formula>"Evet"</formula>
    </cfRule>
  </conditionalFormatting>
  <conditionalFormatting sqref="D617">
    <cfRule type="cellIs" rank="0" priority="1222" equalAverage="0" operator="greaterThan" aboveAverage="0" dxfId="8" text="" percent="0" bottom="0">
      <formula>0</formula>
    </cfRule>
  </conditionalFormatting>
  <conditionalFormatting sqref="E617">
    <cfRule type="cellIs" rank="0" priority="1223" equalAverage="0" operator="equal" aboveAverage="0" dxfId="10" text="" percent="0" bottom="0">
      <formula>"Evet"</formula>
    </cfRule>
  </conditionalFormatting>
  <conditionalFormatting sqref="D618">
    <cfRule type="cellIs" rank="0" priority="1224" equalAverage="0" operator="greaterThan" aboveAverage="0" dxfId="8" text="" percent="0" bottom="0">
      <formula>0</formula>
    </cfRule>
  </conditionalFormatting>
  <conditionalFormatting sqref="E618">
    <cfRule type="cellIs" rank="0" priority="1225" equalAverage="0" operator="equal" aboveAverage="0" dxfId="10" text="" percent="0" bottom="0">
      <formula>"Evet"</formula>
    </cfRule>
  </conditionalFormatting>
  <conditionalFormatting sqref="D619">
    <cfRule type="cellIs" rank="0" priority="1226" equalAverage="0" operator="greaterThan" aboveAverage="0" dxfId="8" text="" percent="0" bottom="0">
      <formula>0</formula>
    </cfRule>
  </conditionalFormatting>
  <conditionalFormatting sqref="E619">
    <cfRule type="cellIs" rank="0" priority="1227" equalAverage="0" operator="equal" aboveAverage="0" dxfId="10" text="" percent="0" bottom="0">
      <formula>"Evet"</formula>
    </cfRule>
  </conditionalFormatting>
  <conditionalFormatting sqref="D620">
    <cfRule type="cellIs" rank="0" priority="1228" equalAverage="0" operator="greaterThan" aboveAverage="0" dxfId="8" text="" percent="0" bottom="0">
      <formula>0</formula>
    </cfRule>
  </conditionalFormatting>
  <conditionalFormatting sqref="E620">
    <cfRule type="cellIs" rank="0" priority="1229" equalAverage="0" operator="equal" aboveAverage="0" dxfId="10" text="" percent="0" bottom="0">
      <formula>"Evet"</formula>
    </cfRule>
  </conditionalFormatting>
  <conditionalFormatting sqref="D621">
    <cfRule type="cellIs" rank="0" priority="1230" equalAverage="0" operator="greaterThan" aboveAverage="0" dxfId="8" text="" percent="0" bottom="0">
      <formula>0</formula>
    </cfRule>
  </conditionalFormatting>
  <conditionalFormatting sqref="E621">
    <cfRule type="cellIs" rank="0" priority="1231" equalAverage="0" operator="equal" aboveAverage="0" dxfId="10" text="" percent="0" bottom="0">
      <formula>"Evet"</formula>
    </cfRule>
  </conditionalFormatting>
  <conditionalFormatting sqref="D622">
    <cfRule type="cellIs" rank="0" priority="1232" equalAverage="0" operator="greaterThan" aboveAverage="0" dxfId="8" text="" percent="0" bottom="0">
      <formula>0</formula>
    </cfRule>
  </conditionalFormatting>
  <conditionalFormatting sqref="E622">
    <cfRule type="cellIs" rank="0" priority="1233" equalAverage="0" operator="equal" aboveAverage="0" dxfId="10" text="" percent="0" bottom="0">
      <formula>"Evet"</formula>
    </cfRule>
  </conditionalFormatting>
  <conditionalFormatting sqref="D623">
    <cfRule type="cellIs" rank="0" priority="1234" equalAverage="0" operator="greaterThan" aboveAverage="0" dxfId="8" text="" percent="0" bottom="0">
      <formula>0</formula>
    </cfRule>
  </conditionalFormatting>
  <conditionalFormatting sqref="E623">
    <cfRule type="cellIs" rank="0" priority="1235" equalAverage="0" operator="equal" aboveAverage="0" dxfId="10" text="" percent="0" bottom="0">
      <formula>"Evet"</formula>
    </cfRule>
  </conditionalFormatting>
  <conditionalFormatting sqref="D624">
    <cfRule type="cellIs" rank="0" priority="1236" equalAverage="0" operator="greaterThan" aboveAverage="0" dxfId="8" text="" percent="0" bottom="0">
      <formula>0</formula>
    </cfRule>
  </conditionalFormatting>
  <conditionalFormatting sqref="E624">
    <cfRule type="cellIs" rank="0" priority="1237" equalAverage="0" operator="equal" aboveAverage="0" dxfId="10" text="" percent="0" bottom="0">
      <formula>"Evet"</formula>
    </cfRule>
  </conditionalFormatting>
  <conditionalFormatting sqref="D625">
    <cfRule type="cellIs" rank="0" priority="1238" equalAverage="0" operator="greaterThan" aboveAverage="0" dxfId="8" text="" percent="0" bottom="0">
      <formula>0</formula>
    </cfRule>
  </conditionalFormatting>
  <conditionalFormatting sqref="E625">
    <cfRule type="cellIs" rank="0" priority="1239" equalAverage="0" operator="equal" aboveAverage="0" dxfId="10" text="" percent="0" bottom="0">
      <formula>"Evet"</formula>
    </cfRule>
  </conditionalFormatting>
  <conditionalFormatting sqref="D626">
    <cfRule type="cellIs" rank="0" priority="1240" equalAverage="0" operator="greaterThan" aboveAverage="0" dxfId="8" text="" percent="0" bottom="0">
      <formula>0</formula>
    </cfRule>
  </conditionalFormatting>
  <conditionalFormatting sqref="E626">
    <cfRule type="cellIs" rank="0" priority="1241" equalAverage="0" operator="equal" aboveAverage="0" dxfId="10" text="" percent="0" bottom="0">
      <formula>"Evet"</formula>
    </cfRule>
  </conditionalFormatting>
  <conditionalFormatting sqref="D627">
    <cfRule type="cellIs" rank="0" priority="1242" equalAverage="0" operator="greaterThan" aboveAverage="0" dxfId="8" text="" percent="0" bottom="0">
      <formula>0</formula>
    </cfRule>
  </conditionalFormatting>
  <conditionalFormatting sqref="E627">
    <cfRule type="cellIs" rank="0" priority="1243" equalAverage="0" operator="equal" aboveAverage="0" dxfId="10" text="" percent="0" bottom="0">
      <formula>"Evet"</formula>
    </cfRule>
  </conditionalFormatting>
  <conditionalFormatting sqref="D628">
    <cfRule type="cellIs" rank="0" priority="1244" equalAverage="0" operator="greaterThan" aboveAverage="0" dxfId="8" text="" percent="0" bottom="0">
      <formula>0</formula>
    </cfRule>
  </conditionalFormatting>
  <conditionalFormatting sqref="E628">
    <cfRule type="cellIs" rank="0" priority="1245" equalAverage="0" operator="equal" aboveAverage="0" dxfId="10" text="" percent="0" bottom="0">
      <formula>"Evet"</formula>
    </cfRule>
  </conditionalFormatting>
  <conditionalFormatting sqref="D629">
    <cfRule type="cellIs" rank="0" priority="1246" equalAverage="0" operator="greaterThan" aboveAverage="0" dxfId="8" text="" percent="0" bottom="0">
      <formula>0</formula>
    </cfRule>
  </conditionalFormatting>
  <conditionalFormatting sqref="E629">
    <cfRule type="cellIs" rank="0" priority="1247" equalAverage="0" operator="equal" aboveAverage="0" dxfId="10" text="" percent="0" bottom="0">
      <formula>"Evet"</formula>
    </cfRule>
  </conditionalFormatting>
  <conditionalFormatting sqref="D630">
    <cfRule type="cellIs" rank="0" priority="1248" equalAverage="0" operator="greaterThan" aboveAverage="0" dxfId="8" text="" percent="0" bottom="0">
      <formula>0</formula>
    </cfRule>
  </conditionalFormatting>
  <conditionalFormatting sqref="E630">
    <cfRule type="cellIs" rank="0" priority="1249" equalAverage="0" operator="equal" aboveAverage="0" dxfId="10" text="" percent="0" bottom="0">
      <formula>"Evet"</formula>
    </cfRule>
  </conditionalFormatting>
  <conditionalFormatting sqref="D631">
    <cfRule type="cellIs" rank="0" priority="1250" equalAverage="0" operator="greaterThan" aboveAverage="0" dxfId="8" text="" percent="0" bottom="0">
      <formula>0</formula>
    </cfRule>
  </conditionalFormatting>
  <conditionalFormatting sqref="E631">
    <cfRule type="cellIs" rank="0" priority="1251" equalAverage="0" operator="equal" aboveAverage="0" dxfId="10" text="" percent="0" bottom="0">
      <formula>"Evet"</formula>
    </cfRule>
  </conditionalFormatting>
  <conditionalFormatting sqref="D632">
    <cfRule type="cellIs" rank="0" priority="1252" equalAverage="0" operator="greaterThan" aboveAverage="0" dxfId="8" text="" percent="0" bottom="0">
      <formula>0</formula>
    </cfRule>
  </conditionalFormatting>
  <conditionalFormatting sqref="E632">
    <cfRule type="cellIs" rank="0" priority="1253" equalAverage="0" operator="equal" aboveAverage="0" dxfId="10" text="" percent="0" bottom="0">
      <formula>"Evet"</formula>
    </cfRule>
  </conditionalFormatting>
  <conditionalFormatting sqref="D633">
    <cfRule type="cellIs" rank="0" priority="1254" equalAverage="0" operator="greaterThan" aboveAverage="0" dxfId="8" text="" percent="0" bottom="0">
      <formula>0</formula>
    </cfRule>
  </conditionalFormatting>
  <conditionalFormatting sqref="E633">
    <cfRule type="cellIs" rank="0" priority="1255" equalAverage="0" operator="equal" aboveAverage="0" dxfId="10" text="" percent="0" bottom="0">
      <formula>"Evet"</formula>
    </cfRule>
  </conditionalFormatting>
  <conditionalFormatting sqref="D634">
    <cfRule type="cellIs" rank="0" priority="1256" equalAverage="0" operator="greaterThan" aboveAverage="0" dxfId="8" text="" percent="0" bottom="0">
      <formula>0</formula>
    </cfRule>
  </conditionalFormatting>
  <conditionalFormatting sqref="E634">
    <cfRule type="cellIs" rank="0" priority="1257" equalAverage="0" operator="equal" aboveAverage="0" dxfId="10" text="" percent="0" bottom="0">
      <formula>"Evet"</formula>
    </cfRule>
  </conditionalFormatting>
  <conditionalFormatting sqref="D635">
    <cfRule type="cellIs" rank="0" priority="1258" equalAverage="0" operator="greaterThan" aboveAverage="0" dxfId="8" text="" percent="0" bottom="0">
      <formula>0</formula>
    </cfRule>
  </conditionalFormatting>
  <conditionalFormatting sqref="E635">
    <cfRule type="cellIs" rank="0" priority="1259" equalAverage="0" operator="equal" aboveAverage="0" dxfId="10" text="" percent="0" bottom="0">
      <formula>"Evet"</formula>
    </cfRule>
  </conditionalFormatting>
  <conditionalFormatting sqref="D636">
    <cfRule type="cellIs" rank="0" priority="1260" equalAverage="0" operator="greaterThan" aboveAverage="0" dxfId="8" text="" percent="0" bottom="0">
      <formula>0</formula>
    </cfRule>
  </conditionalFormatting>
  <conditionalFormatting sqref="E636">
    <cfRule type="cellIs" rank="0" priority="1261" equalAverage="0" operator="equal" aboveAverage="0" dxfId="10" text="" percent="0" bottom="0">
      <formula>"Evet"</formula>
    </cfRule>
  </conditionalFormatting>
  <conditionalFormatting sqref="D637">
    <cfRule type="cellIs" rank="0" priority="1262" equalAverage="0" operator="greaterThan" aboveAverage="0" dxfId="8" text="" percent="0" bottom="0">
      <formula>0</formula>
    </cfRule>
  </conditionalFormatting>
  <conditionalFormatting sqref="E637">
    <cfRule type="cellIs" rank="0" priority="1263" equalAverage="0" operator="equal" aboveAverage="0" dxfId="10" text="" percent="0" bottom="0">
      <formula>"Evet"</formula>
    </cfRule>
  </conditionalFormatting>
  <conditionalFormatting sqref="D638">
    <cfRule type="cellIs" rank="0" priority="1264" equalAverage="0" operator="greaterThan" aboveAverage="0" dxfId="8" text="" percent="0" bottom="0">
      <formula>0</formula>
    </cfRule>
  </conditionalFormatting>
  <conditionalFormatting sqref="E638">
    <cfRule type="cellIs" rank="0" priority="1265" equalAverage="0" operator="equal" aboveAverage="0" dxfId="10" text="" percent="0" bottom="0">
      <formula>"Evet"</formula>
    </cfRule>
  </conditionalFormatting>
  <conditionalFormatting sqref="D639">
    <cfRule type="cellIs" rank="0" priority="1266" equalAverage="0" operator="greaterThan" aboveAverage="0" dxfId="8" text="" percent="0" bottom="0">
      <formula>0</formula>
    </cfRule>
  </conditionalFormatting>
  <conditionalFormatting sqref="E639">
    <cfRule type="cellIs" rank="0" priority="1267" equalAverage="0" operator="equal" aboveAverage="0" dxfId="10" text="" percent="0" bottom="0">
      <formula>"Evet"</formula>
    </cfRule>
  </conditionalFormatting>
  <conditionalFormatting sqref="D640">
    <cfRule type="cellIs" rank="0" priority="1268" equalAverage="0" operator="greaterThan" aboveAverage="0" dxfId="8" text="" percent="0" bottom="0">
      <formula>0</formula>
    </cfRule>
  </conditionalFormatting>
  <conditionalFormatting sqref="E640">
    <cfRule type="cellIs" rank="0" priority="1269" equalAverage="0" operator="equal" aboveAverage="0" dxfId="10" text="" percent="0" bottom="0">
      <formula>"Evet"</formula>
    </cfRule>
  </conditionalFormatting>
  <conditionalFormatting sqref="D641">
    <cfRule type="cellIs" rank="0" priority="1270" equalAverage="0" operator="greaterThan" aboveAverage="0" dxfId="8" text="" percent="0" bottom="0">
      <formula>0</formula>
    </cfRule>
  </conditionalFormatting>
  <conditionalFormatting sqref="E641">
    <cfRule type="cellIs" rank="0" priority="1271" equalAverage="0" operator="equal" aboveAverage="0" dxfId="10" text="" percent="0" bottom="0">
      <formula>"Evet"</formula>
    </cfRule>
  </conditionalFormatting>
  <conditionalFormatting sqref="D642">
    <cfRule type="cellIs" rank="0" priority="1272" equalAverage="0" operator="greaterThan" aboveAverage="0" dxfId="8" text="" percent="0" bottom="0">
      <formula>0</formula>
    </cfRule>
  </conditionalFormatting>
  <conditionalFormatting sqref="E642">
    <cfRule type="cellIs" rank="0" priority="1273" equalAverage="0" operator="equal" aboveAverage="0" dxfId="10" text="" percent="0" bottom="0">
      <formula>"Evet"</formula>
    </cfRule>
  </conditionalFormatting>
  <conditionalFormatting sqref="D643">
    <cfRule type="cellIs" rank="0" priority="1274" equalAverage="0" operator="greaterThan" aboveAverage="0" dxfId="8" text="" percent="0" bottom="0">
      <formula>0</formula>
    </cfRule>
  </conditionalFormatting>
  <conditionalFormatting sqref="E643">
    <cfRule type="cellIs" rank="0" priority="1275" equalAverage="0" operator="equal" aboveAverage="0" dxfId="10" text="" percent="0" bottom="0">
      <formula>"Evet"</formula>
    </cfRule>
  </conditionalFormatting>
  <conditionalFormatting sqref="D644">
    <cfRule type="cellIs" rank="0" priority="1276" equalAverage="0" operator="greaterThan" aboveAverage="0" dxfId="8" text="" percent="0" bottom="0">
      <formula>0</formula>
    </cfRule>
  </conditionalFormatting>
  <conditionalFormatting sqref="E644">
    <cfRule type="cellIs" rank="0" priority="1277" equalAverage="0" operator="equal" aboveAverage="0" dxfId="10" text="" percent="0" bottom="0">
      <formula>"Evet"</formula>
    </cfRule>
  </conditionalFormatting>
  <conditionalFormatting sqref="D645">
    <cfRule type="cellIs" rank="0" priority="1278" equalAverage="0" operator="greaterThan" aboveAverage="0" dxfId="8" text="" percent="0" bottom="0">
      <formula>0</formula>
    </cfRule>
  </conditionalFormatting>
  <conditionalFormatting sqref="E645">
    <cfRule type="cellIs" rank="0" priority="1279" equalAverage="0" operator="equal" aboveAverage="0" dxfId="10" text="" percent="0" bottom="0">
      <formula>"Evet"</formula>
    </cfRule>
  </conditionalFormatting>
  <conditionalFormatting sqref="D646">
    <cfRule type="cellIs" rank="0" priority="1280" equalAverage="0" operator="greaterThan" aboveAverage="0" dxfId="8" text="" percent="0" bottom="0">
      <formula>0</formula>
    </cfRule>
  </conditionalFormatting>
  <conditionalFormatting sqref="E646">
    <cfRule type="cellIs" rank="0" priority="1281" equalAverage="0" operator="equal" aboveAverage="0" dxfId="10" text="" percent="0" bottom="0">
      <formula>"Evet"</formula>
    </cfRule>
  </conditionalFormatting>
  <conditionalFormatting sqref="D647">
    <cfRule type="cellIs" rank="0" priority="1282" equalAverage="0" operator="greaterThan" aboveAverage="0" dxfId="8" text="" percent="0" bottom="0">
      <formula>0</formula>
    </cfRule>
  </conditionalFormatting>
  <conditionalFormatting sqref="E647">
    <cfRule type="cellIs" rank="0" priority="1283" equalAverage="0" operator="equal" aboveAverage="0" dxfId="10" text="" percent="0" bottom="0">
      <formula>"Evet"</formula>
    </cfRule>
  </conditionalFormatting>
  <conditionalFormatting sqref="D648">
    <cfRule type="cellIs" rank="0" priority="1284" equalAverage="0" operator="greaterThan" aboveAverage="0" dxfId="8" text="" percent="0" bottom="0">
      <formula>0</formula>
    </cfRule>
  </conditionalFormatting>
  <conditionalFormatting sqref="E648">
    <cfRule type="cellIs" rank="0" priority="1285" equalAverage="0" operator="equal" aboveAverage="0" dxfId="10" text="" percent="0" bottom="0">
      <formula>"Evet"</formula>
    </cfRule>
  </conditionalFormatting>
  <conditionalFormatting sqref="D649">
    <cfRule type="cellIs" rank="0" priority="1286" equalAverage="0" operator="greaterThan" aboveAverage="0" dxfId="8" text="" percent="0" bottom="0">
      <formula>0</formula>
    </cfRule>
  </conditionalFormatting>
  <conditionalFormatting sqref="E649">
    <cfRule type="cellIs" rank="0" priority="1287" equalAverage="0" operator="equal" aboveAverage="0" dxfId="10" text="" percent="0" bottom="0">
      <formula>"Evet"</formula>
    </cfRule>
  </conditionalFormatting>
  <conditionalFormatting sqref="D650">
    <cfRule type="cellIs" rank="0" priority="1288" equalAverage="0" operator="greaterThan" aboveAverage="0" dxfId="8" text="" percent="0" bottom="0">
      <formula>0</formula>
    </cfRule>
  </conditionalFormatting>
  <conditionalFormatting sqref="E650">
    <cfRule type="cellIs" rank="0" priority="1289" equalAverage="0" operator="equal" aboveAverage="0" dxfId="10" text="" percent="0" bottom="0">
      <formula>"Evet"</formula>
    </cfRule>
  </conditionalFormatting>
  <conditionalFormatting sqref="D651">
    <cfRule type="cellIs" rank="0" priority="1290" equalAverage="0" operator="greaterThan" aboveAverage="0" dxfId="8" text="" percent="0" bottom="0">
      <formula>0</formula>
    </cfRule>
  </conditionalFormatting>
  <conditionalFormatting sqref="E651">
    <cfRule type="cellIs" rank="0" priority="1291" equalAverage="0" operator="equal" aboveAverage="0" dxfId="10" text="" percent="0" bottom="0">
      <formula>"Evet"</formula>
    </cfRule>
  </conditionalFormatting>
  <conditionalFormatting sqref="D652">
    <cfRule type="cellIs" rank="0" priority="1292" equalAverage="0" operator="greaterThan" aboveAverage="0" dxfId="8" text="" percent="0" bottom="0">
      <formula>0</formula>
    </cfRule>
  </conditionalFormatting>
  <conditionalFormatting sqref="E652">
    <cfRule type="cellIs" rank="0" priority="1293" equalAverage="0" operator="equal" aboveAverage="0" dxfId="10" text="" percent="0" bottom="0">
      <formula>"Evet"</formula>
    </cfRule>
  </conditionalFormatting>
  <conditionalFormatting sqref="D653">
    <cfRule type="cellIs" rank="0" priority="1294" equalAverage="0" operator="greaterThan" aboveAverage="0" dxfId="8" text="" percent="0" bottom="0">
      <formula>0</formula>
    </cfRule>
  </conditionalFormatting>
  <conditionalFormatting sqref="E653">
    <cfRule type="cellIs" rank="0" priority="1295" equalAverage="0" operator="equal" aboveAverage="0" dxfId="10" text="" percent="0" bottom="0">
      <formula>"Evet"</formula>
    </cfRule>
  </conditionalFormatting>
  <conditionalFormatting sqref="D654">
    <cfRule type="cellIs" rank="0" priority="1296" equalAverage="0" operator="greaterThan" aboveAverage="0" dxfId="8" text="" percent="0" bottom="0">
      <formula>0</formula>
    </cfRule>
  </conditionalFormatting>
  <conditionalFormatting sqref="E654">
    <cfRule type="cellIs" rank="0" priority="1297" equalAverage="0" operator="equal" aboveAverage="0" dxfId="10" text="" percent="0" bottom="0">
      <formula>"Evet"</formula>
    </cfRule>
  </conditionalFormatting>
  <conditionalFormatting sqref="D655">
    <cfRule type="cellIs" rank="0" priority="1298" equalAverage="0" operator="greaterThan" aboveAverage="0" dxfId="8" text="" percent="0" bottom="0">
      <formula>0</formula>
    </cfRule>
  </conditionalFormatting>
  <conditionalFormatting sqref="E655">
    <cfRule type="cellIs" rank="0" priority="1299" equalAverage="0" operator="equal" aboveAverage="0" dxfId="10" text="" percent="0" bottom="0">
      <formula>"Evet"</formula>
    </cfRule>
  </conditionalFormatting>
  <conditionalFormatting sqref="D656">
    <cfRule type="cellIs" rank="0" priority="1300" equalAverage="0" operator="greaterThan" aboveAverage="0" dxfId="8" text="" percent="0" bottom="0">
      <formula>0</formula>
    </cfRule>
  </conditionalFormatting>
  <conditionalFormatting sqref="E656">
    <cfRule type="cellIs" rank="0" priority="1301" equalAverage="0" operator="equal" aboveAverage="0" dxfId="10" text="" percent="0" bottom="0">
      <formula>"Evet"</formula>
    </cfRule>
  </conditionalFormatting>
  <conditionalFormatting sqref="D657">
    <cfRule type="cellIs" rank="0" priority="1302" equalAverage="0" operator="greaterThan" aboveAverage="0" dxfId="8" text="" percent="0" bottom="0">
      <formula>0</formula>
    </cfRule>
  </conditionalFormatting>
  <conditionalFormatting sqref="E657">
    <cfRule type="cellIs" rank="0" priority="1303" equalAverage="0" operator="equal" aboveAverage="0" dxfId="10" text="" percent="0" bottom="0">
      <formula>"Evet"</formula>
    </cfRule>
  </conditionalFormatting>
  <conditionalFormatting sqref="D658">
    <cfRule type="cellIs" rank="0" priority="1304" equalAverage="0" operator="greaterThan" aboveAverage="0" dxfId="8" text="" percent="0" bottom="0">
      <formula>0</formula>
    </cfRule>
  </conditionalFormatting>
  <conditionalFormatting sqref="E658">
    <cfRule type="cellIs" rank="0" priority="1305" equalAverage="0" operator="equal" aboveAverage="0" dxfId="10" text="" percent="0" bottom="0">
      <formula>"Evet"</formula>
    </cfRule>
  </conditionalFormatting>
  <conditionalFormatting sqref="D659">
    <cfRule type="cellIs" rank="0" priority="1306" equalAverage="0" operator="greaterThan" aboveAverage="0" dxfId="8" text="" percent="0" bottom="0">
      <formula>0</formula>
    </cfRule>
  </conditionalFormatting>
  <conditionalFormatting sqref="E659">
    <cfRule type="cellIs" rank="0" priority="1307" equalAverage="0" operator="equal" aboveAverage="0" dxfId="10" text="" percent="0" bottom="0">
      <formula>"Evet"</formula>
    </cfRule>
  </conditionalFormatting>
  <conditionalFormatting sqref="D660">
    <cfRule type="cellIs" rank="0" priority="1308" equalAverage="0" operator="greaterThan" aboveAverage="0" dxfId="8" text="" percent="0" bottom="0">
      <formula>0</formula>
    </cfRule>
  </conditionalFormatting>
  <conditionalFormatting sqref="E660">
    <cfRule type="cellIs" rank="0" priority="1309" equalAverage="0" operator="equal" aboveAverage="0" dxfId="10" text="" percent="0" bottom="0">
      <formula>"Evet"</formula>
    </cfRule>
  </conditionalFormatting>
  <conditionalFormatting sqref="D661">
    <cfRule type="cellIs" rank="0" priority="1310" equalAverage="0" operator="greaterThan" aboveAverage="0" dxfId="8" text="" percent="0" bottom="0">
      <formula>0</formula>
    </cfRule>
  </conditionalFormatting>
  <conditionalFormatting sqref="E661">
    <cfRule type="cellIs" rank="0" priority="1311" equalAverage="0" operator="equal" aboveAverage="0" dxfId="10" text="" percent="0" bottom="0">
      <formula>"Evet"</formula>
    </cfRule>
  </conditionalFormatting>
  <conditionalFormatting sqref="D662">
    <cfRule type="cellIs" rank="0" priority="1312" equalAverage="0" operator="greaterThan" aboveAverage="0" dxfId="8" text="" percent="0" bottom="0">
      <formula>0</formula>
    </cfRule>
  </conditionalFormatting>
  <conditionalFormatting sqref="E662">
    <cfRule type="cellIs" rank="0" priority="1313" equalAverage="0" operator="equal" aboveAverage="0" dxfId="10" text="" percent="0" bottom="0">
      <formula>"Evet"</formula>
    </cfRule>
  </conditionalFormatting>
  <conditionalFormatting sqref="D663">
    <cfRule type="cellIs" rank="0" priority="1314" equalAverage="0" operator="greaterThan" aboveAverage="0" dxfId="8" text="" percent="0" bottom="0">
      <formula>0</formula>
    </cfRule>
  </conditionalFormatting>
  <conditionalFormatting sqref="E663">
    <cfRule type="cellIs" rank="0" priority="1315" equalAverage="0" operator="equal" aboveAverage="0" dxfId="10" text="" percent="0" bottom="0">
      <formula>"Evet"</formula>
    </cfRule>
  </conditionalFormatting>
  <conditionalFormatting sqref="D664">
    <cfRule type="cellIs" rank="0" priority="1316" equalAverage="0" operator="greaterThan" aboveAverage="0" dxfId="8" text="" percent="0" bottom="0">
      <formula>0</formula>
    </cfRule>
  </conditionalFormatting>
  <conditionalFormatting sqref="E664">
    <cfRule type="cellIs" rank="0" priority="1317" equalAverage="0" operator="equal" aboveAverage="0" dxfId="10" text="" percent="0" bottom="0">
      <formula>"Evet"</formula>
    </cfRule>
  </conditionalFormatting>
  <conditionalFormatting sqref="D665">
    <cfRule type="cellIs" rank="0" priority="1318" equalAverage="0" operator="greaterThan" aboveAverage="0" dxfId="8" text="" percent="0" bottom="0">
      <formula>0</formula>
    </cfRule>
  </conditionalFormatting>
  <conditionalFormatting sqref="E665">
    <cfRule type="cellIs" rank="0" priority="1319" equalAverage="0" operator="equal" aboveAverage="0" dxfId="10" text="" percent="0" bottom="0">
      <formula>"Evet"</formula>
    </cfRule>
  </conditionalFormatting>
  <conditionalFormatting sqref="D666">
    <cfRule type="cellIs" rank="0" priority="1320" equalAverage="0" operator="greaterThan" aboveAverage="0" dxfId="8" text="" percent="0" bottom="0">
      <formula>0</formula>
    </cfRule>
  </conditionalFormatting>
  <conditionalFormatting sqref="E666">
    <cfRule type="cellIs" rank="0" priority="1321" equalAverage="0" operator="equal" aboveAverage="0" dxfId="10" text="" percent="0" bottom="0">
      <formula>"Evet"</formula>
    </cfRule>
  </conditionalFormatting>
  <conditionalFormatting sqref="D667">
    <cfRule type="cellIs" rank="0" priority="1322" equalAverage="0" operator="greaterThan" aboveAverage="0" dxfId="8" text="" percent="0" bottom="0">
      <formula>0</formula>
    </cfRule>
  </conditionalFormatting>
  <conditionalFormatting sqref="E667">
    <cfRule type="cellIs" rank="0" priority="1323" equalAverage="0" operator="equal" aboveAverage="0" dxfId="10" text="" percent="0" bottom="0">
      <formula>"Evet"</formula>
    </cfRule>
  </conditionalFormatting>
  <conditionalFormatting sqref="D668">
    <cfRule type="cellIs" rank="0" priority="1324" equalAverage="0" operator="greaterThan" aboveAverage="0" dxfId="8" text="" percent="0" bottom="0">
      <formula>0</formula>
    </cfRule>
  </conditionalFormatting>
  <conditionalFormatting sqref="E668">
    <cfRule type="cellIs" rank="0" priority="1325" equalAverage="0" operator="equal" aboveAverage="0" dxfId="10" text="" percent="0" bottom="0">
      <formula>"Evet"</formula>
    </cfRule>
  </conditionalFormatting>
  <conditionalFormatting sqref="D669">
    <cfRule type="cellIs" rank="0" priority="1326" equalAverage="0" operator="greaterThan" aboveAverage="0" dxfId="8" text="" percent="0" bottom="0">
      <formula>0</formula>
    </cfRule>
  </conditionalFormatting>
  <conditionalFormatting sqref="E669">
    <cfRule type="cellIs" rank="0" priority="1327" equalAverage="0" operator="equal" aboveAverage="0" dxfId="10" text="" percent="0" bottom="0">
      <formula>"Evet"</formula>
    </cfRule>
  </conditionalFormatting>
  <conditionalFormatting sqref="D670">
    <cfRule type="cellIs" rank="0" priority="1328" equalAverage="0" operator="greaterThan" aboveAverage="0" dxfId="8" text="" percent="0" bottom="0">
      <formula>0</formula>
    </cfRule>
  </conditionalFormatting>
  <conditionalFormatting sqref="E670">
    <cfRule type="cellIs" rank="0" priority="1329" equalAverage="0" operator="equal" aboveAverage="0" dxfId="10" text="" percent="0" bottom="0">
      <formula>"Evet"</formula>
    </cfRule>
  </conditionalFormatting>
  <conditionalFormatting sqref="D671">
    <cfRule type="cellIs" rank="0" priority="1330" equalAverage="0" operator="greaterThan" aboveAverage="0" dxfId="8" text="" percent="0" bottom="0">
      <formula>0</formula>
    </cfRule>
  </conditionalFormatting>
  <conditionalFormatting sqref="E671">
    <cfRule type="cellIs" rank="0" priority="1331" equalAverage="0" operator="equal" aboveAverage="0" dxfId="10" text="" percent="0" bottom="0">
      <formula>"Evet"</formula>
    </cfRule>
  </conditionalFormatting>
  <conditionalFormatting sqref="D672">
    <cfRule type="cellIs" rank="0" priority="1332" equalAverage="0" operator="greaterThan" aboveAverage="0" dxfId="8" text="" percent="0" bottom="0">
      <formula>0</formula>
    </cfRule>
  </conditionalFormatting>
  <conditionalFormatting sqref="E672">
    <cfRule type="cellIs" rank="0" priority="1333" equalAverage="0" operator="equal" aboveAverage="0" dxfId="10" text="" percent="0" bottom="0">
      <formula>"Evet"</formula>
    </cfRule>
  </conditionalFormatting>
  <conditionalFormatting sqref="D673">
    <cfRule type="cellIs" rank="0" priority="1334" equalAverage="0" operator="greaterThan" aboveAverage="0" dxfId="8" text="" percent="0" bottom="0">
      <formula>0</formula>
    </cfRule>
  </conditionalFormatting>
  <conditionalFormatting sqref="E673">
    <cfRule type="cellIs" rank="0" priority="1335" equalAverage="0" operator="equal" aboveAverage="0" dxfId="10" text="" percent="0" bottom="0">
      <formula>"Evet"</formula>
    </cfRule>
  </conditionalFormatting>
  <conditionalFormatting sqref="D674">
    <cfRule type="cellIs" rank="0" priority="1336" equalAverage="0" operator="greaterThan" aboveAverage="0" dxfId="8" text="" percent="0" bottom="0">
      <formula>0</formula>
    </cfRule>
  </conditionalFormatting>
  <conditionalFormatting sqref="E674">
    <cfRule type="cellIs" rank="0" priority="1337" equalAverage="0" operator="equal" aboveAverage="0" dxfId="10" text="" percent="0" bottom="0">
      <formula>"Evet"</formula>
    </cfRule>
  </conditionalFormatting>
  <conditionalFormatting sqref="D675">
    <cfRule type="cellIs" rank="0" priority="1338" equalAverage="0" operator="greaterThan" aboveAverage="0" dxfId="8" text="" percent="0" bottom="0">
      <formula>0</formula>
    </cfRule>
  </conditionalFormatting>
  <conditionalFormatting sqref="E675">
    <cfRule type="cellIs" rank="0" priority="1339" equalAverage="0" operator="equal" aboveAverage="0" dxfId="10" text="" percent="0" bottom="0">
      <formula>"Evet"</formula>
    </cfRule>
  </conditionalFormatting>
  <conditionalFormatting sqref="D676">
    <cfRule type="cellIs" rank="0" priority="1340" equalAverage="0" operator="greaterThan" aboveAverage="0" dxfId="8" text="" percent="0" bottom="0">
      <formula>0</formula>
    </cfRule>
  </conditionalFormatting>
  <conditionalFormatting sqref="E676">
    <cfRule type="cellIs" rank="0" priority="1341" equalAverage="0" operator="equal" aboveAverage="0" dxfId="10" text="" percent="0" bottom="0">
      <formula>"Evet"</formula>
    </cfRule>
  </conditionalFormatting>
  <conditionalFormatting sqref="D677">
    <cfRule type="cellIs" rank="0" priority="1342" equalAverage="0" operator="greaterThan" aboveAverage="0" dxfId="8" text="" percent="0" bottom="0">
      <formula>0</formula>
    </cfRule>
  </conditionalFormatting>
  <conditionalFormatting sqref="E677">
    <cfRule type="cellIs" rank="0" priority="1343" equalAverage="0" operator="equal" aboveAverage="0" dxfId="10" text="" percent="0" bottom="0">
      <formula>"Evet"</formula>
    </cfRule>
  </conditionalFormatting>
  <conditionalFormatting sqref="D678">
    <cfRule type="cellIs" rank="0" priority="1344" equalAverage="0" operator="greaterThan" aboveAverage="0" dxfId="8" text="" percent="0" bottom="0">
      <formula>0</formula>
    </cfRule>
  </conditionalFormatting>
  <conditionalFormatting sqref="E678">
    <cfRule type="cellIs" rank="0" priority="1345" equalAverage="0" operator="equal" aboveAverage="0" dxfId="10" text="" percent="0" bottom="0">
      <formula>"Evet"</formula>
    </cfRule>
  </conditionalFormatting>
  <conditionalFormatting sqref="D679">
    <cfRule type="cellIs" rank="0" priority="1346" equalAverage="0" operator="greaterThan" aboveAverage="0" dxfId="8" text="" percent="0" bottom="0">
      <formula>0</formula>
    </cfRule>
  </conditionalFormatting>
  <conditionalFormatting sqref="E679">
    <cfRule type="cellIs" rank="0" priority="1347" equalAverage="0" operator="equal" aboveAverage="0" dxfId="10" text="" percent="0" bottom="0">
      <formula>"Evet"</formula>
    </cfRule>
  </conditionalFormatting>
  <conditionalFormatting sqref="D680">
    <cfRule type="cellIs" rank="0" priority="1348" equalAverage="0" operator="greaterThan" aboveAverage="0" dxfId="8" text="" percent="0" bottom="0">
      <formula>0</formula>
    </cfRule>
  </conditionalFormatting>
  <conditionalFormatting sqref="E680">
    <cfRule type="cellIs" rank="0" priority="1349" equalAverage="0" operator="equal" aboveAverage="0" dxfId="10" text="" percent="0" bottom="0">
      <formula>"Evet"</formula>
    </cfRule>
  </conditionalFormatting>
  <conditionalFormatting sqref="D681">
    <cfRule type="cellIs" rank="0" priority="1350" equalAverage="0" operator="greaterThan" aboveAverage="0" dxfId="8" text="" percent="0" bottom="0">
      <formula>0</formula>
    </cfRule>
  </conditionalFormatting>
  <conditionalFormatting sqref="E681">
    <cfRule type="cellIs" rank="0" priority="1351" equalAverage="0" operator="equal" aboveAverage="0" dxfId="10" text="" percent="0" bottom="0">
      <formula>"Evet"</formula>
    </cfRule>
  </conditionalFormatting>
  <conditionalFormatting sqref="D682">
    <cfRule type="cellIs" rank="0" priority="1352" equalAverage="0" operator="greaterThan" aboveAverage="0" dxfId="8" text="" percent="0" bottom="0">
      <formula>0</formula>
    </cfRule>
  </conditionalFormatting>
  <conditionalFormatting sqref="E682">
    <cfRule type="cellIs" rank="0" priority="1353" equalAverage="0" operator="equal" aboveAverage="0" dxfId="10" text="" percent="0" bottom="0">
      <formula>"Evet"</formula>
    </cfRule>
  </conditionalFormatting>
  <conditionalFormatting sqref="D683">
    <cfRule type="cellIs" rank="0" priority="1354" equalAverage="0" operator="greaterThan" aboveAverage="0" dxfId="8" text="" percent="0" bottom="0">
      <formula>0</formula>
    </cfRule>
  </conditionalFormatting>
  <conditionalFormatting sqref="E683">
    <cfRule type="cellIs" rank="0" priority="1355" equalAverage="0" operator="equal" aboveAverage="0" dxfId="10" text="" percent="0" bottom="0">
      <formula>"Evet"</formula>
    </cfRule>
  </conditionalFormatting>
  <conditionalFormatting sqref="D684">
    <cfRule type="cellIs" rank="0" priority="1356" equalAverage="0" operator="greaterThan" aboveAverage="0" dxfId="8" text="" percent="0" bottom="0">
      <formula>0</formula>
    </cfRule>
  </conditionalFormatting>
  <conditionalFormatting sqref="E684">
    <cfRule type="cellIs" rank="0" priority="1357" equalAverage="0" operator="equal" aboveAverage="0" dxfId="10" text="" percent="0" bottom="0">
      <formula>"Evet"</formula>
    </cfRule>
  </conditionalFormatting>
  <conditionalFormatting sqref="D685">
    <cfRule type="cellIs" rank="0" priority="1358" equalAverage="0" operator="greaterThan" aboveAverage="0" dxfId="8" text="" percent="0" bottom="0">
      <formula>0</formula>
    </cfRule>
  </conditionalFormatting>
  <conditionalFormatting sqref="E685">
    <cfRule type="cellIs" rank="0" priority="1359" equalAverage="0" operator="equal" aboveAverage="0" dxfId="10" text="" percent="0" bottom="0">
      <formula>"Evet"</formula>
    </cfRule>
  </conditionalFormatting>
  <conditionalFormatting sqref="D686">
    <cfRule type="cellIs" rank="0" priority="1360" equalAverage="0" operator="greaterThan" aboveAverage="0" dxfId="8" text="" percent="0" bottom="0">
      <formula>0</formula>
    </cfRule>
  </conditionalFormatting>
  <conditionalFormatting sqref="E686">
    <cfRule type="cellIs" rank="0" priority="1361" equalAverage="0" operator="equal" aboveAverage="0" dxfId="10" text="" percent="0" bottom="0">
      <formula>"Evet"</formula>
    </cfRule>
  </conditionalFormatting>
  <conditionalFormatting sqref="D687">
    <cfRule type="cellIs" rank="0" priority="1362" equalAverage="0" operator="greaterThan" aboveAverage="0" dxfId="8" text="" percent="0" bottom="0">
      <formula>0</formula>
    </cfRule>
  </conditionalFormatting>
  <conditionalFormatting sqref="E687">
    <cfRule type="cellIs" rank="0" priority="1363" equalAverage="0" operator="equal" aboveAverage="0" dxfId="10" text="" percent="0" bottom="0">
      <formula>"Evet"</formula>
    </cfRule>
  </conditionalFormatting>
  <conditionalFormatting sqref="D688">
    <cfRule type="cellIs" rank="0" priority="1364" equalAverage="0" operator="greaterThan" aboveAverage="0" dxfId="8" text="" percent="0" bottom="0">
      <formula>0</formula>
    </cfRule>
  </conditionalFormatting>
  <conditionalFormatting sqref="E688">
    <cfRule type="cellIs" rank="0" priority="1365" equalAverage="0" operator="equal" aboveAverage="0" dxfId="10" text="" percent="0" bottom="0">
      <formula>"Evet"</formula>
    </cfRule>
  </conditionalFormatting>
  <conditionalFormatting sqref="D689">
    <cfRule type="cellIs" rank="0" priority="1366" equalAverage="0" operator="greaterThan" aboveAverage="0" dxfId="8" text="" percent="0" bottom="0">
      <formula>0</formula>
    </cfRule>
  </conditionalFormatting>
  <conditionalFormatting sqref="E689">
    <cfRule type="cellIs" rank="0" priority="1367" equalAverage="0" operator="equal" aboveAverage="0" dxfId="10" text="" percent="0" bottom="0">
      <formula>"Evet"</formula>
    </cfRule>
  </conditionalFormatting>
  <conditionalFormatting sqref="D690">
    <cfRule type="cellIs" rank="0" priority="1368" equalAverage="0" operator="greaterThan" aboveAverage="0" dxfId="8" text="" percent="0" bottom="0">
      <formula>0</formula>
    </cfRule>
  </conditionalFormatting>
  <conditionalFormatting sqref="E690">
    <cfRule type="cellIs" rank="0" priority="1369" equalAverage="0" operator="equal" aboveAverage="0" dxfId="10" text="" percent="0" bottom="0">
      <formula>"Evet"</formula>
    </cfRule>
  </conditionalFormatting>
  <conditionalFormatting sqref="D691">
    <cfRule type="cellIs" rank="0" priority="1370" equalAverage="0" operator="greaterThan" aboveAverage="0" dxfId="8" text="" percent="0" bottom="0">
      <formula>0</formula>
    </cfRule>
  </conditionalFormatting>
  <conditionalFormatting sqref="E691">
    <cfRule type="cellIs" rank="0" priority="1371" equalAverage="0" operator="equal" aboveAverage="0" dxfId="10" text="" percent="0" bottom="0">
      <formula>"Evet"</formula>
    </cfRule>
  </conditionalFormatting>
  <conditionalFormatting sqref="D692">
    <cfRule type="cellIs" rank="0" priority="1372" equalAverage="0" operator="greaterThan" aboveAverage="0" dxfId="8" text="" percent="0" bottom="0">
      <formula>0</formula>
    </cfRule>
  </conditionalFormatting>
  <conditionalFormatting sqref="E692">
    <cfRule type="cellIs" rank="0" priority="1373" equalAverage="0" operator="equal" aboveAverage="0" dxfId="10" text="" percent="0" bottom="0">
      <formula>"Evet"</formula>
    </cfRule>
  </conditionalFormatting>
  <conditionalFormatting sqref="D693">
    <cfRule type="cellIs" rank="0" priority="1374" equalAverage="0" operator="greaterThan" aboveAverage="0" dxfId="8" text="" percent="0" bottom="0">
      <formula>0</formula>
    </cfRule>
  </conditionalFormatting>
  <conditionalFormatting sqref="E693">
    <cfRule type="cellIs" rank="0" priority="1375" equalAverage="0" operator="equal" aboveAverage="0" dxfId="10" text="" percent="0" bottom="0">
      <formula>"Evet"</formula>
    </cfRule>
  </conditionalFormatting>
  <conditionalFormatting sqref="D694">
    <cfRule type="cellIs" rank="0" priority="1376" equalAverage="0" operator="greaterThan" aboveAverage="0" dxfId="8" text="" percent="0" bottom="0">
      <formula>0</formula>
    </cfRule>
  </conditionalFormatting>
  <conditionalFormatting sqref="E694">
    <cfRule type="cellIs" rank="0" priority="1377" equalAverage="0" operator="equal" aboveAverage="0" dxfId="10" text="" percent="0" bottom="0">
      <formula>"Evet"</formula>
    </cfRule>
  </conditionalFormatting>
  <conditionalFormatting sqref="D695">
    <cfRule type="cellIs" rank="0" priority="1378" equalAverage="0" operator="greaterThan" aboveAverage="0" dxfId="8" text="" percent="0" bottom="0">
      <formula>0</formula>
    </cfRule>
  </conditionalFormatting>
  <conditionalFormatting sqref="E695">
    <cfRule type="cellIs" rank="0" priority="1379" equalAverage="0" operator="equal" aboveAverage="0" dxfId="10" text="" percent="0" bottom="0">
      <formula>"Evet"</formula>
    </cfRule>
  </conditionalFormatting>
  <conditionalFormatting sqref="D696">
    <cfRule type="cellIs" rank="0" priority="1380" equalAverage="0" operator="greaterThan" aboveAverage="0" dxfId="8" text="" percent="0" bottom="0">
      <formula>0</formula>
    </cfRule>
  </conditionalFormatting>
  <conditionalFormatting sqref="E696">
    <cfRule type="cellIs" rank="0" priority="1381" equalAverage="0" operator="equal" aboveAverage="0" dxfId="10" text="" percent="0" bottom="0">
      <formula>"Evet"</formula>
    </cfRule>
  </conditionalFormatting>
  <conditionalFormatting sqref="D697">
    <cfRule type="cellIs" rank="0" priority="1382" equalAverage="0" operator="greaterThan" aboveAverage="0" dxfId="8" text="" percent="0" bottom="0">
      <formula>0</formula>
    </cfRule>
  </conditionalFormatting>
  <conditionalFormatting sqref="E697">
    <cfRule type="cellIs" rank="0" priority="1383" equalAverage="0" operator="equal" aboveAverage="0" dxfId="10" text="" percent="0" bottom="0">
      <formula>"Evet"</formula>
    </cfRule>
  </conditionalFormatting>
  <conditionalFormatting sqref="D698">
    <cfRule type="cellIs" rank="0" priority="1384" equalAverage="0" operator="greaterThan" aboveAverage="0" dxfId="8" text="" percent="0" bottom="0">
      <formula>0</formula>
    </cfRule>
  </conditionalFormatting>
  <conditionalFormatting sqref="E698">
    <cfRule type="cellIs" rank="0" priority="1385" equalAverage="0" operator="equal" aboveAverage="0" dxfId="10" text="" percent="0" bottom="0">
      <formula>"Evet"</formula>
    </cfRule>
  </conditionalFormatting>
  <conditionalFormatting sqref="D699">
    <cfRule type="cellIs" rank="0" priority="1386" equalAverage="0" operator="greaterThan" aboveAverage="0" dxfId="8" text="" percent="0" bottom="0">
      <formula>0</formula>
    </cfRule>
  </conditionalFormatting>
  <conditionalFormatting sqref="E699">
    <cfRule type="cellIs" rank="0" priority="1387" equalAverage="0" operator="equal" aboveAverage="0" dxfId="10" text="" percent="0" bottom="0">
      <formula>"Evet"</formula>
    </cfRule>
  </conditionalFormatting>
  <conditionalFormatting sqref="D700">
    <cfRule type="cellIs" rank="0" priority="1388" equalAverage="0" operator="greaterThan" aboveAverage="0" dxfId="8" text="" percent="0" bottom="0">
      <formula>0</formula>
    </cfRule>
  </conditionalFormatting>
  <conditionalFormatting sqref="E700">
    <cfRule type="cellIs" rank="0" priority="1389" equalAverage="0" operator="equal" aboveAverage="0" dxfId="10" text="" percent="0" bottom="0">
      <formula>"Evet"</formula>
    </cfRule>
  </conditionalFormatting>
  <conditionalFormatting sqref="D701">
    <cfRule type="cellIs" rank="0" priority="1390" equalAverage="0" operator="greaterThan" aboveAverage="0" dxfId="8" text="" percent="0" bottom="0">
      <formula>0</formula>
    </cfRule>
  </conditionalFormatting>
  <conditionalFormatting sqref="E701">
    <cfRule type="cellIs" rank="0" priority="1391" equalAverage="0" operator="equal" aboveAverage="0" dxfId="10" text="" percent="0" bottom="0">
      <formula>"Evet"</formula>
    </cfRule>
  </conditionalFormatting>
  <conditionalFormatting sqref="D702">
    <cfRule type="cellIs" rank="0" priority="1392" equalAverage="0" operator="greaterThan" aboveAverage="0" dxfId="8" text="" percent="0" bottom="0">
      <formula>0</formula>
    </cfRule>
  </conditionalFormatting>
  <conditionalFormatting sqref="E702">
    <cfRule type="cellIs" rank="0" priority="1393" equalAverage="0" operator="equal" aboveAverage="0" dxfId="10" text="" percent="0" bottom="0">
      <formula>"Evet"</formula>
    </cfRule>
  </conditionalFormatting>
  <conditionalFormatting sqref="D703">
    <cfRule type="cellIs" rank="0" priority="1394" equalAverage="0" operator="greaterThan" aboveAverage="0" dxfId="8" text="" percent="0" bottom="0">
      <formula>0</formula>
    </cfRule>
  </conditionalFormatting>
  <conditionalFormatting sqref="E703">
    <cfRule type="cellIs" rank="0" priority="1395" equalAverage="0" operator="equal" aboveAverage="0" dxfId="10" text="" percent="0" bottom="0">
      <formula>"Evet"</formula>
    </cfRule>
  </conditionalFormatting>
  <conditionalFormatting sqref="D704">
    <cfRule type="cellIs" rank="0" priority="1396" equalAverage="0" operator="greaterThan" aboveAverage="0" dxfId="8" text="" percent="0" bottom="0">
      <formula>0</formula>
    </cfRule>
  </conditionalFormatting>
  <conditionalFormatting sqref="E704">
    <cfRule type="cellIs" rank="0" priority="1397" equalAverage="0" operator="equal" aboveAverage="0" dxfId="10" text="" percent="0" bottom="0">
      <formula>"Evet"</formula>
    </cfRule>
  </conditionalFormatting>
  <conditionalFormatting sqref="D705">
    <cfRule type="cellIs" rank="0" priority="1398" equalAverage="0" operator="greaterThan" aboveAverage="0" dxfId="8" text="" percent="0" bottom="0">
      <formula>0</formula>
    </cfRule>
  </conditionalFormatting>
  <conditionalFormatting sqref="E705">
    <cfRule type="cellIs" rank="0" priority="1399" equalAverage="0" operator="equal" aboveAverage="0" dxfId="10" text="" percent="0" bottom="0">
      <formula>"Evet"</formula>
    </cfRule>
  </conditionalFormatting>
  <conditionalFormatting sqref="D706">
    <cfRule type="cellIs" rank="0" priority="1400" equalAverage="0" operator="greaterThan" aboveAverage="0" dxfId="8" text="" percent="0" bottom="0">
      <formula>0</formula>
    </cfRule>
  </conditionalFormatting>
  <conditionalFormatting sqref="E706">
    <cfRule type="cellIs" rank="0" priority="1401" equalAverage="0" operator="equal" aboveAverage="0" dxfId="10" text="" percent="0" bottom="0">
      <formula>"Evet"</formula>
    </cfRule>
  </conditionalFormatting>
  <conditionalFormatting sqref="D707">
    <cfRule type="cellIs" rank="0" priority="1402" equalAverage="0" operator="greaterThan" aboveAverage="0" dxfId="8" text="" percent="0" bottom="0">
      <formula>0</formula>
    </cfRule>
  </conditionalFormatting>
  <conditionalFormatting sqref="E707">
    <cfRule type="cellIs" rank="0" priority="1403" equalAverage="0" operator="equal" aboveAverage="0" dxfId="10" text="" percent="0" bottom="0">
      <formula>"Evet"</formula>
    </cfRule>
  </conditionalFormatting>
  <conditionalFormatting sqref="D708">
    <cfRule type="cellIs" rank="0" priority="1404" equalAverage="0" operator="greaterThan" aboveAverage="0" dxfId="8" text="" percent="0" bottom="0">
      <formula>0</formula>
    </cfRule>
  </conditionalFormatting>
  <conditionalFormatting sqref="E708">
    <cfRule type="cellIs" rank="0" priority="1405" equalAverage="0" operator="equal" aboveAverage="0" dxfId="10" text="" percent="0" bottom="0">
      <formula>"Evet"</formula>
    </cfRule>
  </conditionalFormatting>
  <conditionalFormatting sqref="D709">
    <cfRule type="cellIs" rank="0" priority="1406" equalAverage="0" operator="greaterThan" aboveAverage="0" dxfId="8" text="" percent="0" bottom="0">
      <formula>0</formula>
    </cfRule>
  </conditionalFormatting>
  <conditionalFormatting sqref="E709">
    <cfRule type="cellIs" rank="0" priority="1407" equalAverage="0" operator="equal" aboveAverage="0" dxfId="10" text="" percent="0" bottom="0">
      <formula>"Evet"</formula>
    </cfRule>
  </conditionalFormatting>
  <conditionalFormatting sqref="D710">
    <cfRule type="cellIs" rank="0" priority="1408" equalAverage="0" operator="greaterThan" aboveAverage="0" dxfId="8" text="" percent="0" bottom="0">
      <formula>0</formula>
    </cfRule>
  </conditionalFormatting>
  <conditionalFormatting sqref="E710">
    <cfRule type="cellIs" rank="0" priority="1409" equalAverage="0" operator="equal" aboveAverage="0" dxfId="10" text="" percent="0" bottom="0">
      <formula>"Evet"</formula>
    </cfRule>
  </conditionalFormatting>
  <conditionalFormatting sqref="D711">
    <cfRule type="cellIs" rank="0" priority="1410" equalAverage="0" operator="greaterThan" aboveAverage="0" dxfId="8" text="" percent="0" bottom="0">
      <formula>0</formula>
    </cfRule>
  </conditionalFormatting>
  <conditionalFormatting sqref="E711">
    <cfRule type="cellIs" rank="0" priority="1411" equalAverage="0" operator="equal" aboveAverage="0" dxfId="10" text="" percent="0" bottom="0">
      <formula>"Evet"</formula>
    </cfRule>
  </conditionalFormatting>
  <conditionalFormatting sqref="D712">
    <cfRule type="cellIs" rank="0" priority="1412" equalAverage="0" operator="greaterThan" aboveAverage="0" dxfId="8" text="" percent="0" bottom="0">
      <formula>0</formula>
    </cfRule>
  </conditionalFormatting>
  <conditionalFormatting sqref="E712">
    <cfRule type="cellIs" rank="0" priority="1413" equalAverage="0" operator="equal" aboveAverage="0" dxfId="10" text="" percent="0" bottom="0">
      <formula>"Evet"</formula>
    </cfRule>
  </conditionalFormatting>
  <conditionalFormatting sqref="D713">
    <cfRule type="cellIs" rank="0" priority="1414" equalAverage="0" operator="greaterThan" aboveAverage="0" dxfId="8" text="" percent="0" bottom="0">
      <formula>0</formula>
    </cfRule>
  </conditionalFormatting>
  <conditionalFormatting sqref="E713">
    <cfRule type="cellIs" rank="0" priority="1415" equalAverage="0" operator="equal" aboveAverage="0" dxfId="10" text="" percent="0" bottom="0">
      <formula>"Evet"</formula>
    </cfRule>
  </conditionalFormatting>
  <conditionalFormatting sqref="D714">
    <cfRule type="cellIs" rank="0" priority="1416" equalAverage="0" operator="greaterThan" aboveAverage="0" dxfId="8" text="" percent="0" bottom="0">
      <formula>0</formula>
    </cfRule>
  </conditionalFormatting>
  <conditionalFormatting sqref="E714">
    <cfRule type="cellIs" rank="0" priority="1417" equalAverage="0" operator="equal" aboveAverage="0" dxfId="10" text="" percent="0" bottom="0">
      <formula>"Evet"</formula>
    </cfRule>
  </conditionalFormatting>
  <conditionalFormatting sqref="D715">
    <cfRule type="cellIs" rank="0" priority="1418" equalAverage="0" operator="greaterThan" aboveAverage="0" dxfId="8" text="" percent="0" bottom="0">
      <formula>0</formula>
    </cfRule>
  </conditionalFormatting>
  <conditionalFormatting sqref="E715">
    <cfRule type="cellIs" rank="0" priority="1419" equalAverage="0" operator="equal" aboveAverage="0" dxfId="10" text="" percent="0" bottom="0">
      <formula>"Evet"</formula>
    </cfRule>
  </conditionalFormatting>
  <conditionalFormatting sqref="D716">
    <cfRule type="cellIs" rank="0" priority="1420" equalAverage="0" operator="greaterThan" aboveAverage="0" dxfId="8" text="" percent="0" bottom="0">
      <formula>0</formula>
    </cfRule>
  </conditionalFormatting>
  <conditionalFormatting sqref="E716">
    <cfRule type="cellIs" rank="0" priority="1421" equalAverage="0" operator="equal" aboveAverage="0" dxfId="10" text="" percent="0" bottom="0">
      <formula>"Evet"</formula>
    </cfRule>
  </conditionalFormatting>
  <conditionalFormatting sqref="D717">
    <cfRule type="cellIs" rank="0" priority="1422" equalAverage="0" operator="greaterThan" aboveAverage="0" dxfId="8" text="" percent="0" bottom="0">
      <formula>0</formula>
    </cfRule>
  </conditionalFormatting>
  <conditionalFormatting sqref="E717">
    <cfRule type="cellIs" rank="0" priority="1423" equalAverage="0" operator="equal" aboveAverage="0" dxfId="10" text="" percent="0" bottom="0">
      <formula>"Evet"</formula>
    </cfRule>
  </conditionalFormatting>
  <conditionalFormatting sqref="D718">
    <cfRule type="cellIs" rank="0" priority="1424" equalAverage="0" operator="greaterThan" aboveAverage="0" dxfId="8" text="" percent="0" bottom="0">
      <formula>0</formula>
    </cfRule>
  </conditionalFormatting>
  <conditionalFormatting sqref="E718">
    <cfRule type="cellIs" rank="0" priority="1425" equalAverage="0" operator="equal" aboveAverage="0" dxfId="10" text="" percent="0" bottom="0">
      <formula>"Evet"</formula>
    </cfRule>
  </conditionalFormatting>
  <conditionalFormatting sqref="D719">
    <cfRule type="cellIs" rank="0" priority="1426" equalAverage="0" operator="greaterThan" aboveAverage="0" dxfId="8" text="" percent="0" bottom="0">
      <formula>0</formula>
    </cfRule>
  </conditionalFormatting>
  <conditionalFormatting sqref="E719">
    <cfRule type="cellIs" rank="0" priority="1427" equalAverage="0" operator="equal" aboveAverage="0" dxfId="10" text="" percent="0" bottom="0">
      <formula>"Evet"</formula>
    </cfRule>
  </conditionalFormatting>
  <conditionalFormatting sqref="D720">
    <cfRule type="cellIs" rank="0" priority="1428" equalAverage="0" operator="greaterThan" aboveAverage="0" dxfId="8" text="" percent="0" bottom="0">
      <formula>0</formula>
    </cfRule>
  </conditionalFormatting>
  <conditionalFormatting sqref="E720">
    <cfRule type="cellIs" rank="0" priority="1429" equalAverage="0" operator="equal" aboveAverage="0" dxfId="10" text="" percent="0" bottom="0">
      <formula>"Evet"</formula>
    </cfRule>
  </conditionalFormatting>
  <conditionalFormatting sqref="D721">
    <cfRule type="cellIs" rank="0" priority="1430" equalAverage="0" operator="greaterThan" aboveAverage="0" dxfId="8" text="" percent="0" bottom="0">
      <formula>0</formula>
    </cfRule>
  </conditionalFormatting>
  <conditionalFormatting sqref="E721">
    <cfRule type="cellIs" rank="0" priority="1431" equalAverage="0" operator="equal" aboveAverage="0" dxfId="10" text="" percent="0" bottom="0">
      <formula>"Evet"</formula>
    </cfRule>
  </conditionalFormatting>
  <conditionalFormatting sqref="D722">
    <cfRule type="cellIs" rank="0" priority="1432" equalAverage="0" operator="greaterThan" aboveAverage="0" dxfId="8" text="" percent="0" bottom="0">
      <formula>0</formula>
    </cfRule>
  </conditionalFormatting>
  <conditionalFormatting sqref="E722">
    <cfRule type="cellIs" rank="0" priority="1433" equalAverage="0" operator="equal" aboveAverage="0" dxfId="10" text="" percent="0" bottom="0">
      <formula>"Evet"</formula>
    </cfRule>
  </conditionalFormatting>
  <conditionalFormatting sqref="D723">
    <cfRule type="cellIs" rank="0" priority="1434" equalAverage="0" operator="greaterThan" aboveAverage="0" dxfId="8" text="" percent="0" bottom="0">
      <formula>0</formula>
    </cfRule>
  </conditionalFormatting>
  <conditionalFormatting sqref="E723">
    <cfRule type="cellIs" rank="0" priority="1435" equalAverage="0" operator="equal" aboveAverage="0" dxfId="10" text="" percent="0" bottom="0">
      <formula>"Evet"</formula>
    </cfRule>
  </conditionalFormatting>
  <conditionalFormatting sqref="D724">
    <cfRule type="cellIs" rank="0" priority="1436" equalAverage="0" operator="greaterThan" aboveAverage="0" dxfId="8" text="" percent="0" bottom="0">
      <formula>0</formula>
    </cfRule>
  </conditionalFormatting>
  <conditionalFormatting sqref="E724">
    <cfRule type="cellIs" rank="0" priority="1437" equalAverage="0" operator="equal" aboveAverage="0" dxfId="10" text="" percent="0" bottom="0">
      <formula>"Evet"</formula>
    </cfRule>
  </conditionalFormatting>
  <conditionalFormatting sqref="D725">
    <cfRule type="cellIs" rank="0" priority="1438" equalAverage="0" operator="greaterThan" aboveAverage="0" dxfId="8" text="" percent="0" bottom="0">
      <formula>0</formula>
    </cfRule>
  </conditionalFormatting>
  <conditionalFormatting sqref="E725">
    <cfRule type="cellIs" rank="0" priority="1439" equalAverage="0" operator="equal" aboveAverage="0" dxfId="10" text="" percent="0" bottom="0">
      <formula>"Evet"</formula>
    </cfRule>
  </conditionalFormatting>
  <conditionalFormatting sqref="D726">
    <cfRule type="cellIs" rank="0" priority="1440" equalAverage="0" operator="greaterThan" aboveAverage="0" dxfId="8" text="" percent="0" bottom="0">
      <formula>0</formula>
    </cfRule>
  </conditionalFormatting>
  <conditionalFormatting sqref="E726">
    <cfRule type="cellIs" rank="0" priority="1441" equalAverage="0" operator="equal" aboveAverage="0" dxfId="10" text="" percent="0" bottom="0">
      <formula>"Evet"</formula>
    </cfRule>
  </conditionalFormatting>
  <conditionalFormatting sqref="D727">
    <cfRule type="cellIs" rank="0" priority="1442" equalAverage="0" operator="greaterThan" aboveAverage="0" dxfId="8" text="" percent="0" bottom="0">
      <formula>0</formula>
    </cfRule>
  </conditionalFormatting>
  <conditionalFormatting sqref="E727">
    <cfRule type="cellIs" rank="0" priority="1443" equalAverage="0" operator="equal" aboveAverage="0" dxfId="10" text="" percent="0" bottom="0">
      <formula>"Evet"</formula>
    </cfRule>
  </conditionalFormatting>
  <conditionalFormatting sqref="D728">
    <cfRule type="cellIs" rank="0" priority="1444" equalAverage="0" operator="greaterThan" aboveAverage="0" dxfId="8" text="" percent="0" bottom="0">
      <formula>0</formula>
    </cfRule>
  </conditionalFormatting>
  <conditionalFormatting sqref="E728">
    <cfRule type="cellIs" rank="0" priority="1445" equalAverage="0" operator="equal" aboveAverage="0" dxfId="10" text="" percent="0" bottom="0">
      <formula>"Evet"</formula>
    </cfRule>
  </conditionalFormatting>
  <conditionalFormatting sqref="D729">
    <cfRule type="cellIs" rank="0" priority="1446" equalAverage="0" operator="greaterThan" aboveAverage="0" dxfId="8" text="" percent="0" bottom="0">
      <formula>0</formula>
    </cfRule>
  </conditionalFormatting>
  <conditionalFormatting sqref="E729">
    <cfRule type="cellIs" rank="0" priority="1447" equalAverage="0" operator="equal" aboveAverage="0" dxfId="10" text="" percent="0" bottom="0">
      <formula>"Evet"</formula>
    </cfRule>
  </conditionalFormatting>
  <conditionalFormatting sqref="D730">
    <cfRule type="cellIs" rank="0" priority="1448" equalAverage="0" operator="greaterThan" aboveAverage="0" dxfId="8" text="" percent="0" bottom="0">
      <formula>0</formula>
    </cfRule>
  </conditionalFormatting>
  <conditionalFormatting sqref="E730">
    <cfRule type="cellIs" rank="0" priority="1449" equalAverage="0" operator="equal" aboveAverage="0" dxfId="10" text="" percent="0" bottom="0">
      <formula>"Evet"</formula>
    </cfRule>
  </conditionalFormatting>
  <conditionalFormatting sqref="D731">
    <cfRule type="cellIs" rank="0" priority="1450" equalAverage="0" operator="greaterThan" aboveAverage="0" dxfId="8" text="" percent="0" bottom="0">
      <formula>0</formula>
    </cfRule>
  </conditionalFormatting>
  <conditionalFormatting sqref="E731">
    <cfRule type="cellIs" rank="0" priority="1451" equalAverage="0" operator="equal" aboveAverage="0" dxfId="10" text="" percent="0" bottom="0">
      <formula>"Evet"</formula>
    </cfRule>
  </conditionalFormatting>
  <conditionalFormatting sqref="D732">
    <cfRule type="cellIs" rank="0" priority="1452" equalAverage="0" operator="greaterThan" aboveAverage="0" dxfId="8" text="" percent="0" bottom="0">
      <formula>0</formula>
    </cfRule>
  </conditionalFormatting>
  <conditionalFormatting sqref="E732">
    <cfRule type="cellIs" rank="0" priority="1453" equalAverage="0" operator="equal" aboveAverage="0" dxfId="10" text="" percent="0" bottom="0">
      <formula>"Evet"</formula>
    </cfRule>
  </conditionalFormatting>
  <conditionalFormatting sqref="D733">
    <cfRule type="cellIs" rank="0" priority="1454" equalAverage="0" operator="greaterThan" aboveAverage="0" dxfId="8" text="" percent="0" bottom="0">
      <formula>0</formula>
    </cfRule>
  </conditionalFormatting>
  <conditionalFormatting sqref="E733">
    <cfRule type="cellIs" rank="0" priority="1455" equalAverage="0" operator="equal" aboveAverage="0" dxfId="10" text="" percent="0" bottom="0">
      <formula>"Evet"</formula>
    </cfRule>
  </conditionalFormatting>
  <conditionalFormatting sqref="D734">
    <cfRule type="cellIs" rank="0" priority="1456" equalAverage="0" operator="greaterThan" aboveAverage="0" dxfId="8" text="" percent="0" bottom="0">
      <formula>0</formula>
    </cfRule>
  </conditionalFormatting>
  <conditionalFormatting sqref="E734">
    <cfRule type="cellIs" rank="0" priority="1457" equalAverage="0" operator="equal" aboveAverage="0" dxfId="10" text="" percent="0" bottom="0">
      <formula>"Evet"</formula>
    </cfRule>
  </conditionalFormatting>
  <conditionalFormatting sqref="D735">
    <cfRule type="cellIs" rank="0" priority="1458" equalAverage="0" operator="greaterThan" aboveAverage="0" dxfId="8" text="" percent="0" bottom="0">
      <formula>0</formula>
    </cfRule>
  </conditionalFormatting>
  <conditionalFormatting sqref="E735">
    <cfRule type="cellIs" rank="0" priority="1459" equalAverage="0" operator="equal" aboveAverage="0" dxfId="10" text="" percent="0" bottom="0">
      <formula>"Evet"</formula>
    </cfRule>
  </conditionalFormatting>
  <conditionalFormatting sqref="D736">
    <cfRule type="cellIs" rank="0" priority="1460" equalAverage="0" operator="greaterThan" aboveAverage="0" dxfId="8" text="" percent="0" bottom="0">
      <formula>0</formula>
    </cfRule>
  </conditionalFormatting>
  <conditionalFormatting sqref="E736">
    <cfRule type="cellIs" rank="0" priority="1461" equalAverage="0" operator="equal" aboveAverage="0" dxfId="10" text="" percent="0" bottom="0">
      <formula>"Evet"</formula>
    </cfRule>
  </conditionalFormatting>
  <conditionalFormatting sqref="D737">
    <cfRule type="cellIs" rank="0" priority="1462" equalAverage="0" operator="greaterThan" aboveAverage="0" dxfId="8" text="" percent="0" bottom="0">
      <formula>0</formula>
    </cfRule>
  </conditionalFormatting>
  <conditionalFormatting sqref="E737">
    <cfRule type="cellIs" rank="0" priority="1463" equalAverage="0" operator="equal" aboveAverage="0" dxfId="10" text="" percent="0" bottom="0">
      <formula>"Evet"</formula>
    </cfRule>
  </conditionalFormatting>
  <conditionalFormatting sqref="D738">
    <cfRule type="cellIs" rank="0" priority="1464" equalAverage="0" operator="greaterThan" aboveAverage="0" dxfId="8" text="" percent="0" bottom="0">
      <formula>0</formula>
    </cfRule>
  </conditionalFormatting>
  <conditionalFormatting sqref="E738">
    <cfRule type="cellIs" rank="0" priority="1465" equalAverage="0" operator="equal" aboveAverage="0" dxfId="10" text="" percent="0" bottom="0">
      <formula>"Evet"</formula>
    </cfRule>
  </conditionalFormatting>
  <conditionalFormatting sqref="D739">
    <cfRule type="cellIs" rank="0" priority="1466" equalAverage="0" operator="greaterThan" aboveAverage="0" dxfId="8" text="" percent="0" bottom="0">
      <formula>0</formula>
    </cfRule>
  </conditionalFormatting>
  <conditionalFormatting sqref="E739">
    <cfRule type="cellIs" rank="0" priority="1467" equalAverage="0" operator="equal" aboveAverage="0" dxfId="10" text="" percent="0" bottom="0">
      <formula>"Evet"</formula>
    </cfRule>
  </conditionalFormatting>
  <conditionalFormatting sqref="D740">
    <cfRule type="cellIs" rank="0" priority="1468" equalAverage="0" operator="greaterThan" aboveAverage="0" dxfId="8" text="" percent="0" bottom="0">
      <formula>0</formula>
    </cfRule>
  </conditionalFormatting>
  <conditionalFormatting sqref="E740">
    <cfRule type="cellIs" rank="0" priority="1469" equalAverage="0" operator="equal" aboveAverage="0" dxfId="10" text="" percent="0" bottom="0">
      <formula>"Evet"</formula>
    </cfRule>
  </conditionalFormatting>
  <conditionalFormatting sqref="D741">
    <cfRule type="cellIs" rank="0" priority="1470" equalAverage="0" operator="greaterThan" aboveAverage="0" dxfId="8" text="" percent="0" bottom="0">
      <formula>0</formula>
    </cfRule>
  </conditionalFormatting>
  <conditionalFormatting sqref="E741">
    <cfRule type="cellIs" rank="0" priority="1471" equalAverage="0" operator="equal" aboveAverage="0" dxfId="10" text="" percent="0" bottom="0">
      <formula>"Evet"</formula>
    </cfRule>
  </conditionalFormatting>
  <conditionalFormatting sqref="D742">
    <cfRule type="cellIs" rank="0" priority="1472" equalAverage="0" operator="greaterThan" aboveAverage="0" dxfId="8" text="" percent="0" bottom="0">
      <formula>0</formula>
    </cfRule>
  </conditionalFormatting>
  <conditionalFormatting sqref="E742">
    <cfRule type="cellIs" rank="0" priority="1473" equalAverage="0" operator="equal" aboveAverage="0" dxfId="10" text="" percent="0" bottom="0">
      <formula>"Evet"</formula>
    </cfRule>
  </conditionalFormatting>
  <conditionalFormatting sqref="D743">
    <cfRule type="cellIs" rank="0" priority="1474" equalAverage="0" operator="greaterThan" aboveAverage="0" dxfId="8" text="" percent="0" bottom="0">
      <formula>0</formula>
    </cfRule>
  </conditionalFormatting>
  <conditionalFormatting sqref="E743">
    <cfRule type="cellIs" rank="0" priority="1475" equalAverage="0" operator="equal" aboveAverage="0" dxfId="10" text="" percent="0" bottom="0">
      <formula>"Evet"</formula>
    </cfRule>
  </conditionalFormatting>
  <conditionalFormatting sqref="D744">
    <cfRule type="cellIs" rank="0" priority="1476" equalAverage="0" operator="greaterThan" aboveAverage="0" dxfId="8" text="" percent="0" bottom="0">
      <formula>0</formula>
    </cfRule>
  </conditionalFormatting>
  <conditionalFormatting sqref="E744">
    <cfRule type="cellIs" rank="0" priority="1477" equalAverage="0" operator="equal" aboveAverage="0" dxfId="10" text="" percent="0" bottom="0">
      <formula>"Evet"</formula>
    </cfRule>
  </conditionalFormatting>
  <conditionalFormatting sqref="D745">
    <cfRule type="cellIs" rank="0" priority="1478" equalAverage="0" operator="greaterThan" aboveAverage="0" dxfId="8" text="" percent="0" bottom="0">
      <formula>0</formula>
    </cfRule>
  </conditionalFormatting>
  <conditionalFormatting sqref="E745">
    <cfRule type="cellIs" rank="0" priority="1479" equalAverage="0" operator="equal" aboveAverage="0" dxfId="10" text="" percent="0" bottom="0">
      <formula>"Evet"</formula>
    </cfRule>
  </conditionalFormatting>
  <conditionalFormatting sqref="D746">
    <cfRule type="cellIs" rank="0" priority="1480" equalAverage="0" operator="greaterThan" aboveAverage="0" dxfId="8" text="" percent="0" bottom="0">
      <formula>0</formula>
    </cfRule>
  </conditionalFormatting>
  <conditionalFormatting sqref="E746">
    <cfRule type="cellIs" rank="0" priority="1481" equalAverage="0" operator="equal" aboveAverage="0" dxfId="10" text="" percent="0" bottom="0">
      <formula>"Evet"</formula>
    </cfRule>
  </conditionalFormatting>
  <conditionalFormatting sqref="D747">
    <cfRule type="cellIs" rank="0" priority="1482" equalAverage="0" operator="greaterThan" aboveAverage="0" dxfId="8" text="" percent="0" bottom="0">
      <formula>0</formula>
    </cfRule>
  </conditionalFormatting>
  <conditionalFormatting sqref="E747">
    <cfRule type="cellIs" rank="0" priority="1483" equalAverage="0" operator="equal" aboveAverage="0" dxfId="10" text="" percent="0" bottom="0">
      <formula>"Evet"</formula>
    </cfRule>
  </conditionalFormatting>
  <conditionalFormatting sqref="D748">
    <cfRule type="cellIs" rank="0" priority="1484" equalAverage="0" operator="greaterThan" aboveAverage="0" dxfId="8" text="" percent="0" bottom="0">
      <formula>0</formula>
    </cfRule>
  </conditionalFormatting>
  <conditionalFormatting sqref="E748">
    <cfRule type="cellIs" rank="0" priority="1485" equalAverage="0" operator="equal" aboveAverage="0" dxfId="10" text="" percent="0" bottom="0">
      <formula>"Evet"</formula>
    </cfRule>
  </conditionalFormatting>
  <conditionalFormatting sqref="D749">
    <cfRule type="cellIs" rank="0" priority="1486" equalAverage="0" operator="greaterThan" aboveAverage="0" dxfId="8" text="" percent="0" bottom="0">
      <formula>0</formula>
    </cfRule>
  </conditionalFormatting>
  <conditionalFormatting sqref="E749">
    <cfRule type="cellIs" rank="0" priority="1487" equalAverage="0" operator="equal" aboveAverage="0" dxfId="10" text="" percent="0" bottom="0">
      <formula>"Evet"</formula>
    </cfRule>
  </conditionalFormatting>
  <conditionalFormatting sqref="D750">
    <cfRule type="cellIs" rank="0" priority="1488" equalAverage="0" operator="greaterThan" aboveAverage="0" dxfId="8" text="" percent="0" bottom="0">
      <formula>0</formula>
    </cfRule>
  </conditionalFormatting>
  <conditionalFormatting sqref="E750">
    <cfRule type="cellIs" rank="0" priority="1489" equalAverage="0" operator="equal" aboveAverage="0" dxfId="10" text="" percent="0" bottom="0">
      <formula>"Evet"</formula>
    </cfRule>
  </conditionalFormatting>
  <conditionalFormatting sqref="D751">
    <cfRule type="cellIs" rank="0" priority="1490" equalAverage="0" operator="greaterThan" aboveAverage="0" dxfId="8" text="" percent="0" bottom="0">
      <formula>0</formula>
    </cfRule>
  </conditionalFormatting>
  <conditionalFormatting sqref="E751">
    <cfRule type="cellIs" rank="0" priority="1491" equalAverage="0" operator="equal" aboveAverage="0" dxfId="10" text="" percent="0" bottom="0">
      <formula>"Evet"</formula>
    </cfRule>
  </conditionalFormatting>
  <conditionalFormatting sqref="D752">
    <cfRule type="cellIs" rank="0" priority="1492" equalAverage="0" operator="greaterThan" aboveAverage="0" dxfId="8" text="" percent="0" bottom="0">
      <formula>0</formula>
    </cfRule>
  </conditionalFormatting>
  <conditionalFormatting sqref="E752">
    <cfRule type="cellIs" rank="0" priority="1493" equalAverage="0" operator="equal" aboveAverage="0" dxfId="10" text="" percent="0" bottom="0">
      <formula>"Evet"</formula>
    </cfRule>
  </conditionalFormatting>
  <conditionalFormatting sqref="D753">
    <cfRule type="cellIs" rank="0" priority="1494" equalAverage="0" operator="greaterThan" aboveAverage="0" dxfId="8" text="" percent="0" bottom="0">
      <formula>0</formula>
    </cfRule>
  </conditionalFormatting>
  <conditionalFormatting sqref="E753">
    <cfRule type="cellIs" rank="0" priority="1495" equalAverage="0" operator="equal" aboveAverage="0" dxfId="10" text="" percent="0" bottom="0">
      <formula>"Evet"</formula>
    </cfRule>
  </conditionalFormatting>
  <conditionalFormatting sqref="D754">
    <cfRule type="cellIs" rank="0" priority="1496" equalAverage="0" operator="greaterThan" aboveAverage="0" dxfId="8" text="" percent="0" bottom="0">
      <formula>0</formula>
    </cfRule>
  </conditionalFormatting>
  <conditionalFormatting sqref="E754">
    <cfRule type="cellIs" rank="0" priority="1497" equalAverage="0" operator="equal" aboveAverage="0" dxfId="10" text="" percent="0" bottom="0">
      <formula>"Evet"</formula>
    </cfRule>
  </conditionalFormatting>
  <conditionalFormatting sqref="D755">
    <cfRule type="cellIs" rank="0" priority="1498" equalAverage="0" operator="greaterThan" aboveAverage="0" dxfId="8" text="" percent="0" bottom="0">
      <formula>0</formula>
    </cfRule>
  </conditionalFormatting>
  <conditionalFormatting sqref="E755">
    <cfRule type="cellIs" rank="0" priority="1499" equalAverage="0" operator="equal" aboveAverage="0" dxfId="10" text="" percent="0" bottom="0">
      <formula>"Evet"</formula>
    </cfRule>
  </conditionalFormatting>
  <conditionalFormatting sqref="D756">
    <cfRule type="cellIs" rank="0" priority="1500" equalAverage="0" operator="greaterThan" aboveAverage="0" dxfId="8" text="" percent="0" bottom="0">
      <formula>0</formula>
    </cfRule>
  </conditionalFormatting>
  <conditionalFormatting sqref="E756">
    <cfRule type="cellIs" rank="0" priority="1501" equalAverage="0" operator="equal" aboveAverage="0" dxfId="10" text="" percent="0" bottom="0">
      <formula>"Evet"</formula>
    </cfRule>
  </conditionalFormatting>
  <conditionalFormatting sqref="D757">
    <cfRule type="cellIs" rank="0" priority="1502" equalAverage="0" operator="greaterThan" aboveAverage="0" dxfId="8" text="" percent="0" bottom="0">
      <formula>0</formula>
    </cfRule>
  </conditionalFormatting>
  <conditionalFormatting sqref="E757">
    <cfRule type="cellIs" rank="0" priority="1503" equalAverage="0" operator="equal" aboveAverage="0" dxfId="10" text="" percent="0" bottom="0">
      <formula>"Evet"</formula>
    </cfRule>
  </conditionalFormatting>
  <conditionalFormatting sqref="D758">
    <cfRule type="cellIs" rank="0" priority="1504" equalAverage="0" operator="greaterThan" aboveAverage="0" dxfId="8" text="" percent="0" bottom="0">
      <formula>0</formula>
    </cfRule>
  </conditionalFormatting>
  <conditionalFormatting sqref="E758">
    <cfRule type="cellIs" rank="0" priority="1505" equalAverage="0" operator="equal" aboveAverage="0" dxfId="10" text="" percent="0" bottom="0">
      <formula>"Evet"</formula>
    </cfRule>
  </conditionalFormatting>
  <conditionalFormatting sqref="D759">
    <cfRule type="cellIs" rank="0" priority="1506" equalAverage="0" operator="greaterThan" aboveAverage="0" dxfId="8" text="" percent="0" bottom="0">
      <formula>0</formula>
    </cfRule>
  </conditionalFormatting>
  <conditionalFormatting sqref="E759">
    <cfRule type="cellIs" rank="0" priority="1507" equalAverage="0" operator="equal" aboveAverage="0" dxfId="10" text="" percent="0" bottom="0">
      <formula>"Evet"</formula>
    </cfRule>
  </conditionalFormatting>
  <conditionalFormatting sqref="D760">
    <cfRule type="cellIs" rank="0" priority="1508" equalAverage="0" operator="greaterThan" aboveAverage="0" dxfId="8" text="" percent="0" bottom="0">
      <formula>0</formula>
    </cfRule>
  </conditionalFormatting>
  <conditionalFormatting sqref="E760">
    <cfRule type="cellIs" rank="0" priority="1509" equalAverage="0" operator="equal" aboveAverage="0" dxfId="10" text="" percent="0" bottom="0">
      <formula>"Evet"</formula>
    </cfRule>
  </conditionalFormatting>
  <conditionalFormatting sqref="D761">
    <cfRule type="cellIs" rank="0" priority="1510" equalAverage="0" operator="greaterThan" aboveAverage="0" dxfId="8" text="" percent="0" bottom="0">
      <formula>0</formula>
    </cfRule>
  </conditionalFormatting>
  <conditionalFormatting sqref="E761">
    <cfRule type="cellIs" rank="0" priority="1511" equalAverage="0" operator="equal" aboveAverage="0" dxfId="10" text="" percent="0" bottom="0">
      <formula>"Evet"</formula>
    </cfRule>
  </conditionalFormatting>
  <conditionalFormatting sqref="D762">
    <cfRule type="cellIs" rank="0" priority="1512" equalAverage="0" operator="greaterThan" aboveAverage="0" dxfId="8" text="" percent="0" bottom="0">
      <formula>0</formula>
    </cfRule>
  </conditionalFormatting>
  <conditionalFormatting sqref="E762">
    <cfRule type="cellIs" rank="0" priority="1513" equalAverage="0" operator="equal" aboveAverage="0" dxfId="10" text="" percent="0" bottom="0">
      <formula>"Evet"</formula>
    </cfRule>
  </conditionalFormatting>
  <conditionalFormatting sqref="D763">
    <cfRule type="cellIs" rank="0" priority="1514" equalAverage="0" operator="greaterThan" aboveAverage="0" dxfId="8" text="" percent="0" bottom="0">
      <formula>0</formula>
    </cfRule>
  </conditionalFormatting>
  <conditionalFormatting sqref="E763">
    <cfRule type="cellIs" rank="0" priority="1515" equalAverage="0" operator="equal" aboveAverage="0" dxfId="10" text="" percent="0" bottom="0">
      <formula>"Evet"</formula>
    </cfRule>
  </conditionalFormatting>
  <conditionalFormatting sqref="D764">
    <cfRule type="cellIs" rank="0" priority="1516" equalAverage="0" operator="greaterThan" aboveAverage="0" dxfId="8" text="" percent="0" bottom="0">
      <formula>0</formula>
    </cfRule>
  </conditionalFormatting>
  <conditionalFormatting sqref="E764">
    <cfRule type="cellIs" rank="0" priority="1517" equalAverage="0" operator="equal" aboveAverage="0" dxfId="10" text="" percent="0" bottom="0">
      <formula>"Evet"</formula>
    </cfRule>
  </conditionalFormatting>
  <conditionalFormatting sqref="D765">
    <cfRule type="cellIs" rank="0" priority="1518" equalAverage="0" operator="greaterThan" aboveAverage="0" dxfId="8" text="" percent="0" bottom="0">
      <formula>0</formula>
    </cfRule>
  </conditionalFormatting>
  <conditionalFormatting sqref="E765">
    <cfRule type="cellIs" rank="0" priority="1519" equalAverage="0" operator="equal" aboveAverage="0" dxfId="10" text="" percent="0" bottom="0">
      <formula>"Evet"</formula>
    </cfRule>
  </conditionalFormatting>
  <conditionalFormatting sqref="D766">
    <cfRule type="cellIs" rank="0" priority="1520" equalAverage="0" operator="greaterThan" aboveAverage="0" dxfId="8" text="" percent="0" bottom="0">
      <formula>0</formula>
    </cfRule>
  </conditionalFormatting>
  <conditionalFormatting sqref="E766">
    <cfRule type="cellIs" rank="0" priority="1521" equalAverage="0" operator="equal" aboveAverage="0" dxfId="10" text="" percent="0" bottom="0">
      <formula>"Evet"</formula>
    </cfRule>
  </conditionalFormatting>
  <conditionalFormatting sqref="D767">
    <cfRule type="cellIs" rank="0" priority="1522" equalAverage="0" operator="greaterThan" aboveAverage="0" dxfId="8" text="" percent="0" bottom="0">
      <formula>0</formula>
    </cfRule>
  </conditionalFormatting>
  <conditionalFormatting sqref="E767">
    <cfRule type="cellIs" rank="0" priority="1523" equalAverage="0" operator="equal" aboveAverage="0" dxfId="10" text="" percent="0" bottom="0">
      <formula>"Evet"</formula>
    </cfRule>
  </conditionalFormatting>
  <conditionalFormatting sqref="D768">
    <cfRule type="cellIs" rank="0" priority="1524" equalAverage="0" operator="greaterThan" aboveAverage="0" dxfId="8" text="" percent="0" bottom="0">
      <formula>0</formula>
    </cfRule>
  </conditionalFormatting>
  <conditionalFormatting sqref="E768">
    <cfRule type="cellIs" rank="0" priority="1525" equalAverage="0" operator="equal" aboveAverage="0" dxfId="10" text="" percent="0" bottom="0">
      <formula>"Evet"</formula>
    </cfRule>
  </conditionalFormatting>
  <conditionalFormatting sqref="D769">
    <cfRule type="cellIs" rank="0" priority="1526" equalAverage="0" operator="greaterThan" aboveAverage="0" dxfId="8" text="" percent="0" bottom="0">
      <formula>0</formula>
    </cfRule>
  </conditionalFormatting>
  <conditionalFormatting sqref="E769">
    <cfRule type="cellIs" rank="0" priority="1527" equalAverage="0" operator="equal" aboveAverage="0" dxfId="10" text="" percent="0" bottom="0">
      <formula>"Evet"</formula>
    </cfRule>
  </conditionalFormatting>
  <conditionalFormatting sqref="D770">
    <cfRule type="cellIs" rank="0" priority="1528" equalAverage="0" operator="greaterThan" aboveAverage="0" dxfId="8" text="" percent="0" bottom="0">
      <formula>0</formula>
    </cfRule>
  </conditionalFormatting>
  <conditionalFormatting sqref="E770">
    <cfRule type="cellIs" rank="0" priority="1529" equalAverage="0" operator="equal" aboveAverage="0" dxfId="10" text="" percent="0" bottom="0">
      <formula>"Evet"</formula>
    </cfRule>
  </conditionalFormatting>
  <conditionalFormatting sqref="D771">
    <cfRule type="cellIs" rank="0" priority="1530" equalAverage="0" operator="greaterThan" aboveAverage="0" dxfId="8" text="" percent="0" bottom="0">
      <formula>0</formula>
    </cfRule>
  </conditionalFormatting>
  <conditionalFormatting sqref="E771">
    <cfRule type="cellIs" rank="0" priority="1531" equalAverage="0" operator="equal" aboveAverage="0" dxfId="10" text="" percent="0" bottom="0">
      <formula>"Evet"</formula>
    </cfRule>
  </conditionalFormatting>
  <conditionalFormatting sqref="D772">
    <cfRule type="cellIs" rank="0" priority="1532" equalAverage="0" operator="greaterThan" aboveAverage="0" dxfId="8" text="" percent="0" bottom="0">
      <formula>0</formula>
    </cfRule>
  </conditionalFormatting>
  <conditionalFormatting sqref="E772">
    <cfRule type="cellIs" rank="0" priority="1533" equalAverage="0" operator="equal" aboveAverage="0" dxfId="10" text="" percent="0" bottom="0">
      <formula>"Evet"</formula>
    </cfRule>
  </conditionalFormatting>
  <conditionalFormatting sqref="D773">
    <cfRule type="cellIs" rank="0" priority="1534" equalAverage="0" operator="greaterThan" aboveAverage="0" dxfId="8" text="" percent="0" bottom="0">
      <formula>0</formula>
    </cfRule>
  </conditionalFormatting>
  <conditionalFormatting sqref="E773">
    <cfRule type="cellIs" rank="0" priority="1535" equalAverage="0" operator="equal" aboveAverage="0" dxfId="10" text="" percent="0" bottom="0">
      <formula>"Evet"</formula>
    </cfRule>
  </conditionalFormatting>
  <conditionalFormatting sqref="D774">
    <cfRule type="cellIs" rank="0" priority="1536" equalAverage="0" operator="greaterThan" aboveAverage="0" dxfId="8" text="" percent="0" bottom="0">
      <formula>0</formula>
    </cfRule>
  </conditionalFormatting>
  <conditionalFormatting sqref="E774">
    <cfRule type="cellIs" rank="0" priority="1537" equalAverage="0" operator="equal" aboveAverage="0" dxfId="10" text="" percent="0" bottom="0">
      <formula>"Evet"</formula>
    </cfRule>
  </conditionalFormatting>
  <conditionalFormatting sqref="D775">
    <cfRule type="cellIs" rank="0" priority="1538" equalAverage="0" operator="greaterThan" aboveAverage="0" dxfId="8" text="" percent="0" bottom="0">
      <formula>0</formula>
    </cfRule>
  </conditionalFormatting>
  <conditionalFormatting sqref="E775">
    <cfRule type="cellIs" rank="0" priority="1539" equalAverage="0" operator="equal" aboveAverage="0" dxfId="10" text="" percent="0" bottom="0">
      <formula>"Evet"</formula>
    </cfRule>
  </conditionalFormatting>
  <conditionalFormatting sqref="D776">
    <cfRule type="cellIs" rank="0" priority="1540" equalAverage="0" operator="greaterThan" aboveAverage="0" dxfId="8" text="" percent="0" bottom="0">
      <formula>0</formula>
    </cfRule>
  </conditionalFormatting>
  <conditionalFormatting sqref="E776">
    <cfRule type="cellIs" rank="0" priority="1541" equalAverage="0" operator="equal" aboveAverage="0" dxfId="10" text="" percent="0" bottom="0">
      <formula>"Evet"</formula>
    </cfRule>
  </conditionalFormatting>
  <conditionalFormatting sqref="D777">
    <cfRule type="cellIs" rank="0" priority="1542" equalAverage="0" operator="greaterThan" aboveAverage="0" dxfId="8" text="" percent="0" bottom="0">
      <formula>0</formula>
    </cfRule>
  </conditionalFormatting>
  <conditionalFormatting sqref="E777">
    <cfRule type="cellIs" rank="0" priority="1543" equalAverage="0" operator="equal" aboveAverage="0" dxfId="10" text="" percent="0" bottom="0">
      <formula>"Evet"</formula>
    </cfRule>
  </conditionalFormatting>
  <conditionalFormatting sqref="D778">
    <cfRule type="cellIs" rank="0" priority="1544" equalAverage="0" operator="greaterThan" aboveAverage="0" dxfId="8" text="" percent="0" bottom="0">
      <formula>0</formula>
    </cfRule>
  </conditionalFormatting>
  <conditionalFormatting sqref="E778">
    <cfRule type="cellIs" rank="0" priority="1545" equalAverage="0" operator="equal" aboveAverage="0" dxfId="10" text="" percent="0" bottom="0">
      <formula>"Evet"</formula>
    </cfRule>
  </conditionalFormatting>
  <conditionalFormatting sqref="D779">
    <cfRule type="cellIs" rank="0" priority="1546" equalAverage="0" operator="greaterThan" aboveAverage="0" dxfId="8" text="" percent="0" bottom="0">
      <formula>0</formula>
    </cfRule>
  </conditionalFormatting>
  <conditionalFormatting sqref="E779">
    <cfRule type="cellIs" rank="0" priority="1547" equalAverage="0" operator="equal" aboveAverage="0" dxfId="10" text="" percent="0" bottom="0">
      <formula>"Evet"</formula>
    </cfRule>
  </conditionalFormatting>
  <conditionalFormatting sqref="D780">
    <cfRule type="cellIs" rank="0" priority="1548" equalAverage="0" operator="greaterThan" aboveAverage="0" dxfId="8" text="" percent="0" bottom="0">
      <formula>0</formula>
    </cfRule>
  </conditionalFormatting>
  <conditionalFormatting sqref="E780">
    <cfRule type="cellIs" rank="0" priority="1549" equalAverage="0" operator="equal" aboveAverage="0" dxfId="10" text="" percent="0" bottom="0">
      <formula>"Evet"</formula>
    </cfRule>
  </conditionalFormatting>
  <conditionalFormatting sqref="D781">
    <cfRule type="cellIs" rank="0" priority="1550" equalAverage="0" operator="greaterThan" aboveAverage="0" dxfId="8" text="" percent="0" bottom="0">
      <formula>0</formula>
    </cfRule>
  </conditionalFormatting>
  <conditionalFormatting sqref="E781">
    <cfRule type="cellIs" rank="0" priority="1551" equalAverage="0" operator="equal" aboveAverage="0" dxfId="10" text="" percent="0" bottom="0">
      <formula>"Evet"</formula>
    </cfRule>
  </conditionalFormatting>
  <conditionalFormatting sqref="D782">
    <cfRule type="cellIs" rank="0" priority="1552" equalAverage="0" operator="greaterThan" aboveAverage="0" dxfId="8" text="" percent="0" bottom="0">
      <formula>0</formula>
    </cfRule>
  </conditionalFormatting>
  <conditionalFormatting sqref="E782">
    <cfRule type="cellIs" rank="0" priority="1553" equalAverage="0" operator="equal" aboveAverage="0" dxfId="10" text="" percent="0" bottom="0">
      <formula>"Evet"</formula>
    </cfRule>
  </conditionalFormatting>
  <conditionalFormatting sqref="D783">
    <cfRule type="cellIs" rank="0" priority="1554" equalAverage="0" operator="greaterThan" aboveAverage="0" dxfId="8" text="" percent="0" bottom="0">
      <formula>0</formula>
    </cfRule>
  </conditionalFormatting>
  <conditionalFormatting sqref="E783">
    <cfRule type="cellIs" rank="0" priority="1555" equalAverage="0" operator="equal" aboveAverage="0" dxfId="10" text="" percent="0" bottom="0">
      <formula>"Evet"</formula>
    </cfRule>
  </conditionalFormatting>
  <conditionalFormatting sqref="D784">
    <cfRule type="cellIs" rank="0" priority="1556" equalAverage="0" operator="greaterThan" aboveAverage="0" dxfId="8" text="" percent="0" bottom="0">
      <formula>0</formula>
    </cfRule>
  </conditionalFormatting>
  <conditionalFormatting sqref="E784">
    <cfRule type="cellIs" rank="0" priority="1557" equalAverage="0" operator="equal" aboveAverage="0" dxfId="10" text="" percent="0" bottom="0">
      <formula>"Evet"</formula>
    </cfRule>
  </conditionalFormatting>
  <conditionalFormatting sqref="D785">
    <cfRule type="cellIs" rank="0" priority="1558" equalAverage="0" operator="greaterThan" aboveAverage="0" dxfId="8" text="" percent="0" bottom="0">
      <formula>0</formula>
    </cfRule>
  </conditionalFormatting>
  <conditionalFormatting sqref="E785">
    <cfRule type="cellIs" rank="0" priority="1559" equalAverage="0" operator="equal" aboveAverage="0" dxfId="10" text="" percent="0" bottom="0">
      <formula>"Evet"</formula>
    </cfRule>
  </conditionalFormatting>
  <conditionalFormatting sqref="D786">
    <cfRule type="cellIs" rank="0" priority="1560" equalAverage="0" operator="greaterThan" aboveAverage="0" dxfId="8" text="" percent="0" bottom="0">
      <formula>0</formula>
    </cfRule>
  </conditionalFormatting>
  <conditionalFormatting sqref="E786">
    <cfRule type="cellIs" rank="0" priority="1561" equalAverage="0" operator="equal" aboveAverage="0" dxfId="10" text="" percent="0" bottom="0">
      <formula>"Evet"</formula>
    </cfRule>
  </conditionalFormatting>
  <conditionalFormatting sqref="D787">
    <cfRule type="cellIs" rank="0" priority="1562" equalAverage="0" operator="greaterThan" aboveAverage="0" dxfId="8" text="" percent="0" bottom="0">
      <formula>0</formula>
    </cfRule>
  </conditionalFormatting>
  <conditionalFormatting sqref="E787">
    <cfRule type="cellIs" rank="0" priority="1563" equalAverage="0" operator="equal" aboveAverage="0" dxfId="10" text="" percent="0" bottom="0">
      <formula>"Evet"</formula>
    </cfRule>
  </conditionalFormatting>
  <conditionalFormatting sqref="D788">
    <cfRule type="cellIs" rank="0" priority="1564" equalAverage="0" operator="greaterThan" aboveAverage="0" dxfId="8" text="" percent="0" bottom="0">
      <formula>0</formula>
    </cfRule>
  </conditionalFormatting>
  <conditionalFormatting sqref="E788">
    <cfRule type="cellIs" rank="0" priority="1565" equalAverage="0" operator="equal" aboveAverage="0" dxfId="10" text="" percent="0" bottom="0">
      <formula>"Evet"</formula>
    </cfRule>
  </conditionalFormatting>
  <conditionalFormatting sqref="D789">
    <cfRule type="cellIs" rank="0" priority="1566" equalAverage="0" operator="greaterThan" aboveAverage="0" dxfId="8" text="" percent="0" bottom="0">
      <formula>0</formula>
    </cfRule>
  </conditionalFormatting>
  <conditionalFormatting sqref="E789">
    <cfRule type="cellIs" rank="0" priority="1567" equalAverage="0" operator="equal" aboveAverage="0" dxfId="10" text="" percent="0" bottom="0">
      <formula>"Evet"</formula>
    </cfRule>
  </conditionalFormatting>
  <conditionalFormatting sqref="D790">
    <cfRule type="cellIs" rank="0" priority="1568" equalAverage="0" operator="greaterThan" aboveAverage="0" dxfId="8" text="" percent="0" bottom="0">
      <formula>0</formula>
    </cfRule>
  </conditionalFormatting>
  <conditionalFormatting sqref="E790">
    <cfRule type="cellIs" rank="0" priority="1569" equalAverage="0" operator="equal" aboveAverage="0" dxfId="10" text="" percent="0" bottom="0">
      <formula>"Evet"</formula>
    </cfRule>
  </conditionalFormatting>
  <conditionalFormatting sqref="D791">
    <cfRule type="cellIs" rank="0" priority="1570" equalAverage="0" operator="greaterThan" aboveAverage="0" dxfId="8" text="" percent="0" bottom="0">
      <formula>0</formula>
    </cfRule>
  </conditionalFormatting>
  <conditionalFormatting sqref="E791">
    <cfRule type="cellIs" rank="0" priority="1571" equalAverage="0" operator="equal" aboveAverage="0" dxfId="10" text="" percent="0" bottom="0">
      <formula>"Evet"</formula>
    </cfRule>
  </conditionalFormatting>
  <conditionalFormatting sqref="D792">
    <cfRule type="cellIs" rank="0" priority="1572" equalAverage="0" operator="greaterThan" aboveAverage="0" dxfId="8" text="" percent="0" bottom="0">
      <formula>0</formula>
    </cfRule>
  </conditionalFormatting>
  <conditionalFormatting sqref="E792">
    <cfRule type="cellIs" rank="0" priority="1573" equalAverage="0" operator="equal" aboveAverage="0" dxfId="10" text="" percent="0" bottom="0">
      <formula>"Evet"</formula>
    </cfRule>
  </conditionalFormatting>
  <conditionalFormatting sqref="D793">
    <cfRule type="cellIs" rank="0" priority="1574" equalAverage="0" operator="greaterThan" aboveAverage="0" dxfId="8" text="" percent="0" bottom="0">
      <formula>0</formula>
    </cfRule>
  </conditionalFormatting>
  <conditionalFormatting sqref="E793">
    <cfRule type="cellIs" rank="0" priority="1575" equalAverage="0" operator="equal" aboveAverage="0" dxfId="10" text="" percent="0" bottom="0">
      <formula>"Evet"</formula>
    </cfRule>
  </conditionalFormatting>
  <conditionalFormatting sqref="D794">
    <cfRule type="cellIs" rank="0" priority="1576" equalAverage="0" operator="greaterThan" aboveAverage="0" dxfId="8" text="" percent="0" bottom="0">
      <formula>0</formula>
    </cfRule>
  </conditionalFormatting>
  <conditionalFormatting sqref="E794">
    <cfRule type="cellIs" rank="0" priority="1577" equalAverage="0" operator="equal" aboveAverage="0" dxfId="10" text="" percent="0" bottom="0">
      <formula>"Evet"</formula>
    </cfRule>
  </conditionalFormatting>
  <conditionalFormatting sqref="D795">
    <cfRule type="cellIs" rank="0" priority="1578" equalAverage="0" operator="greaterThan" aboveAverage="0" dxfId="8" text="" percent="0" bottom="0">
      <formula>0</formula>
    </cfRule>
  </conditionalFormatting>
  <conditionalFormatting sqref="E795">
    <cfRule type="cellIs" rank="0" priority="1579" equalAverage="0" operator="equal" aboveAverage="0" dxfId="10" text="" percent="0" bottom="0">
      <formula>"Evet"</formula>
    </cfRule>
  </conditionalFormatting>
  <conditionalFormatting sqref="D796">
    <cfRule type="cellIs" rank="0" priority="1580" equalAverage="0" operator="greaterThan" aboveAverage="0" dxfId="8" text="" percent="0" bottom="0">
      <formula>0</formula>
    </cfRule>
  </conditionalFormatting>
  <conditionalFormatting sqref="E796">
    <cfRule type="cellIs" rank="0" priority="1581" equalAverage="0" operator="equal" aboveAverage="0" dxfId="10" text="" percent="0" bottom="0">
      <formula>"Evet"</formula>
    </cfRule>
  </conditionalFormatting>
  <conditionalFormatting sqref="D797">
    <cfRule type="cellIs" rank="0" priority="1582" equalAverage="0" operator="greaterThan" aboveAverage="0" dxfId="8" text="" percent="0" bottom="0">
      <formula>0</formula>
    </cfRule>
  </conditionalFormatting>
  <conditionalFormatting sqref="E797">
    <cfRule type="cellIs" rank="0" priority="1583" equalAverage="0" operator="equal" aboveAverage="0" dxfId="10" text="" percent="0" bottom="0">
      <formula>"Evet"</formula>
    </cfRule>
  </conditionalFormatting>
  <conditionalFormatting sqref="D798">
    <cfRule type="cellIs" rank="0" priority="1584" equalAverage="0" operator="greaterThan" aboveAverage="0" dxfId="8" text="" percent="0" bottom="0">
      <formula>0</formula>
    </cfRule>
  </conditionalFormatting>
  <conditionalFormatting sqref="E798">
    <cfRule type="cellIs" rank="0" priority="1585" equalAverage="0" operator="equal" aboveAverage="0" dxfId="10" text="" percent="0" bottom="0">
      <formula>"Evet"</formula>
    </cfRule>
  </conditionalFormatting>
  <conditionalFormatting sqref="D799">
    <cfRule type="cellIs" rank="0" priority="1586" equalAverage="0" operator="greaterThan" aboveAverage="0" dxfId="8" text="" percent="0" bottom="0">
      <formula>0</formula>
    </cfRule>
  </conditionalFormatting>
  <conditionalFormatting sqref="E799">
    <cfRule type="cellIs" rank="0" priority="1587" equalAverage="0" operator="equal" aboveAverage="0" dxfId="10" text="" percent="0" bottom="0">
      <formula>"Evet"</formula>
    </cfRule>
  </conditionalFormatting>
  <conditionalFormatting sqref="D800">
    <cfRule type="cellIs" rank="0" priority="1588" equalAverage="0" operator="greaterThan" aboveAverage="0" dxfId="8" text="" percent="0" bottom="0">
      <formula>0</formula>
    </cfRule>
  </conditionalFormatting>
  <conditionalFormatting sqref="E800">
    <cfRule type="cellIs" rank="0" priority="1589" equalAverage="0" operator="equal" aboveAverage="0" dxfId="10" text="" percent="0" bottom="0">
      <formula>"Evet"</formula>
    </cfRule>
  </conditionalFormatting>
  <conditionalFormatting sqref="D801">
    <cfRule type="cellIs" rank="0" priority="1590" equalAverage="0" operator="greaterThan" aboveAverage="0" dxfId="8" text="" percent="0" bottom="0">
      <formula>0</formula>
    </cfRule>
  </conditionalFormatting>
  <conditionalFormatting sqref="E801">
    <cfRule type="cellIs" rank="0" priority="1591" equalAverage="0" operator="equal" aboveAverage="0" dxfId="10" text="" percent="0" bottom="0">
      <formula>"Evet"</formula>
    </cfRule>
  </conditionalFormatting>
  <conditionalFormatting sqref="D802">
    <cfRule type="cellIs" rank="0" priority="1592" equalAverage="0" operator="greaterThan" aboveAverage="0" dxfId="8" text="" percent="0" bottom="0">
      <formula>0</formula>
    </cfRule>
  </conditionalFormatting>
  <conditionalFormatting sqref="E802">
    <cfRule type="cellIs" rank="0" priority="1593" equalAverage="0" operator="equal" aboveAverage="0" dxfId="10" text="" percent="0" bottom="0">
      <formula>"Evet"</formula>
    </cfRule>
  </conditionalFormatting>
  <conditionalFormatting sqref="D803">
    <cfRule type="cellIs" rank="0" priority="1594" equalAverage="0" operator="greaterThan" aboveAverage="0" dxfId="8" text="" percent="0" bottom="0">
      <formula>0</formula>
    </cfRule>
  </conditionalFormatting>
  <conditionalFormatting sqref="E803">
    <cfRule type="cellIs" rank="0" priority="1595" equalAverage="0" operator="equal" aboveAverage="0" dxfId="10" text="" percent="0" bottom="0">
      <formula>"Evet"</formula>
    </cfRule>
  </conditionalFormatting>
  <conditionalFormatting sqref="D804">
    <cfRule type="cellIs" rank="0" priority="1596" equalAverage="0" operator="greaterThan" aboveAverage="0" dxfId="8" text="" percent="0" bottom="0">
      <formula>0</formula>
    </cfRule>
  </conditionalFormatting>
  <conditionalFormatting sqref="E804">
    <cfRule type="cellIs" rank="0" priority="1597" equalAverage="0" operator="equal" aboveAverage="0" dxfId="10" text="" percent="0" bottom="0">
      <formula>"Evet"</formula>
    </cfRule>
  </conditionalFormatting>
  <conditionalFormatting sqref="D805">
    <cfRule type="cellIs" rank="0" priority="1598" equalAverage="0" operator="greaterThan" aboveAverage="0" dxfId="8" text="" percent="0" bottom="0">
      <formula>0</formula>
    </cfRule>
  </conditionalFormatting>
  <conditionalFormatting sqref="E805">
    <cfRule type="cellIs" rank="0" priority="1599" equalAverage="0" operator="equal" aboveAverage="0" dxfId="10" text="" percent="0" bottom="0">
      <formula>"Evet"</formula>
    </cfRule>
  </conditionalFormatting>
  <conditionalFormatting sqref="D806">
    <cfRule type="cellIs" rank="0" priority="1600" equalAverage="0" operator="greaterThan" aboveAverage="0" dxfId="8" text="" percent="0" bottom="0">
      <formula>0</formula>
    </cfRule>
  </conditionalFormatting>
  <conditionalFormatting sqref="E806">
    <cfRule type="cellIs" rank="0" priority="1601" equalAverage="0" operator="equal" aboveAverage="0" dxfId="10" text="" percent="0" bottom="0">
      <formula>"Evet"</formula>
    </cfRule>
  </conditionalFormatting>
  <conditionalFormatting sqref="D807">
    <cfRule type="cellIs" rank="0" priority="1602" equalAverage="0" operator="greaterThan" aboveAverage="0" dxfId="8" text="" percent="0" bottom="0">
      <formula>0</formula>
    </cfRule>
  </conditionalFormatting>
  <conditionalFormatting sqref="E807">
    <cfRule type="cellIs" rank="0" priority="1603" equalAverage="0" operator="equal" aboveAverage="0" dxfId="10" text="" percent="0" bottom="0">
      <formula>"Evet"</formula>
    </cfRule>
  </conditionalFormatting>
  <conditionalFormatting sqref="D808">
    <cfRule type="cellIs" rank="0" priority="1604" equalAverage="0" operator="greaterThan" aboveAverage="0" dxfId="8" text="" percent="0" bottom="0">
      <formula>0</formula>
    </cfRule>
  </conditionalFormatting>
  <conditionalFormatting sqref="E808">
    <cfRule type="cellIs" rank="0" priority="1605" equalAverage="0" operator="equal" aboveAverage="0" dxfId="10" text="" percent="0" bottom="0">
      <formula>"Evet"</formula>
    </cfRule>
  </conditionalFormatting>
  <conditionalFormatting sqref="D809">
    <cfRule type="cellIs" rank="0" priority="1606" equalAverage="0" operator="greaterThan" aboveAverage="0" dxfId="8" text="" percent="0" bottom="0">
      <formula>0</formula>
    </cfRule>
  </conditionalFormatting>
  <conditionalFormatting sqref="E809">
    <cfRule type="cellIs" rank="0" priority="1607" equalAverage="0" operator="equal" aboveAverage="0" dxfId="10" text="" percent="0" bottom="0">
      <formula>"Evet"</formula>
    </cfRule>
  </conditionalFormatting>
  <conditionalFormatting sqref="D810">
    <cfRule type="cellIs" rank="0" priority="1608" equalAverage="0" operator="greaterThan" aboveAverage="0" dxfId="8" text="" percent="0" bottom="0">
      <formula>0</formula>
    </cfRule>
  </conditionalFormatting>
  <conditionalFormatting sqref="E810">
    <cfRule type="cellIs" rank="0" priority="1609" equalAverage="0" operator="equal" aboveAverage="0" dxfId="10" text="" percent="0" bottom="0">
      <formula>"Evet"</formula>
    </cfRule>
  </conditionalFormatting>
  <conditionalFormatting sqref="D811">
    <cfRule type="cellIs" rank="0" priority="1610" equalAverage="0" operator="greaterThan" aboveAverage="0" dxfId="8" text="" percent="0" bottom="0">
      <formula>0</formula>
    </cfRule>
  </conditionalFormatting>
  <conditionalFormatting sqref="E811">
    <cfRule type="cellIs" rank="0" priority="1611" equalAverage="0" operator="equal" aboveAverage="0" dxfId="10" text="" percent="0" bottom="0">
      <formula>"Evet"</formula>
    </cfRule>
  </conditionalFormatting>
  <conditionalFormatting sqref="D812">
    <cfRule type="cellIs" rank="0" priority="1612" equalAverage="0" operator="greaterThan" aboveAverage="0" dxfId="8" text="" percent="0" bottom="0">
      <formula>0</formula>
    </cfRule>
  </conditionalFormatting>
  <conditionalFormatting sqref="E812">
    <cfRule type="cellIs" rank="0" priority="1613" equalAverage="0" operator="equal" aboveAverage="0" dxfId="10" text="" percent="0" bottom="0">
      <formula>"Evet"</formula>
    </cfRule>
  </conditionalFormatting>
  <conditionalFormatting sqref="D813">
    <cfRule type="cellIs" rank="0" priority="1614" equalAverage="0" operator="greaterThan" aboveAverage="0" dxfId="8" text="" percent="0" bottom="0">
      <formula>0</formula>
    </cfRule>
  </conditionalFormatting>
  <conditionalFormatting sqref="E813">
    <cfRule type="cellIs" rank="0" priority="1615" equalAverage="0" operator="equal" aboveAverage="0" dxfId="10" text="" percent="0" bottom="0">
      <formula>"Evet"</formula>
    </cfRule>
  </conditionalFormatting>
  <conditionalFormatting sqref="D814">
    <cfRule type="cellIs" rank="0" priority="1616" equalAverage="0" operator="greaterThan" aboveAverage="0" dxfId="8" text="" percent="0" bottom="0">
      <formula>0</formula>
    </cfRule>
  </conditionalFormatting>
  <conditionalFormatting sqref="E814">
    <cfRule type="cellIs" rank="0" priority="1617" equalAverage="0" operator="equal" aboveAverage="0" dxfId="10" text="" percent="0" bottom="0">
      <formula>"Evet"</formula>
    </cfRule>
  </conditionalFormatting>
  <conditionalFormatting sqref="D815">
    <cfRule type="cellIs" rank="0" priority="1618" equalAverage="0" operator="greaterThan" aboveAverage="0" dxfId="8" text="" percent="0" bottom="0">
      <formula>0</formula>
    </cfRule>
  </conditionalFormatting>
  <conditionalFormatting sqref="E815">
    <cfRule type="cellIs" rank="0" priority="1619" equalAverage="0" operator="equal" aboveAverage="0" dxfId="10" text="" percent="0" bottom="0">
      <formula>"Evet"</formula>
    </cfRule>
  </conditionalFormatting>
  <conditionalFormatting sqref="D816">
    <cfRule type="cellIs" rank="0" priority="1620" equalAverage="0" operator="greaterThan" aboveAverage="0" dxfId="8" text="" percent="0" bottom="0">
      <formula>0</formula>
    </cfRule>
  </conditionalFormatting>
  <conditionalFormatting sqref="E816">
    <cfRule type="cellIs" rank="0" priority="1621" equalAverage="0" operator="equal" aboveAverage="0" dxfId="10" text="" percent="0" bottom="0">
      <formula>"Evet"</formula>
    </cfRule>
  </conditionalFormatting>
  <conditionalFormatting sqref="D817">
    <cfRule type="cellIs" rank="0" priority="1622" equalAverage="0" operator="greaterThan" aboveAverage="0" dxfId="8" text="" percent="0" bottom="0">
      <formula>0</formula>
    </cfRule>
  </conditionalFormatting>
  <conditionalFormatting sqref="E817">
    <cfRule type="cellIs" rank="0" priority="1623" equalAverage="0" operator="equal" aboveAverage="0" dxfId="10" text="" percent="0" bottom="0">
      <formula>"Evet"</formula>
    </cfRule>
  </conditionalFormatting>
  <conditionalFormatting sqref="D818">
    <cfRule type="cellIs" rank="0" priority="1624" equalAverage="0" operator="greaterThan" aboveAverage="0" dxfId="8" text="" percent="0" bottom="0">
      <formula>0</formula>
    </cfRule>
  </conditionalFormatting>
  <conditionalFormatting sqref="E818">
    <cfRule type="cellIs" rank="0" priority="1625" equalAverage="0" operator="equal" aboveAverage="0" dxfId="10" text="" percent="0" bottom="0">
      <formula>"Evet"</formula>
    </cfRule>
  </conditionalFormatting>
  <conditionalFormatting sqref="D819">
    <cfRule type="cellIs" rank="0" priority="1626" equalAverage="0" operator="greaterThan" aboveAverage="0" dxfId="8" text="" percent="0" bottom="0">
      <formula>0</formula>
    </cfRule>
  </conditionalFormatting>
  <conditionalFormatting sqref="E819">
    <cfRule type="cellIs" rank="0" priority="1627" equalAverage="0" operator="equal" aboveAverage="0" dxfId="10" text="" percent="0" bottom="0">
      <formula>"Evet"</formula>
    </cfRule>
  </conditionalFormatting>
  <conditionalFormatting sqref="D820">
    <cfRule type="cellIs" rank="0" priority="1628" equalAverage="0" operator="greaterThan" aboveAverage="0" dxfId="8" text="" percent="0" bottom="0">
      <formula>0</formula>
    </cfRule>
  </conditionalFormatting>
  <conditionalFormatting sqref="E820">
    <cfRule type="cellIs" rank="0" priority="1629" equalAverage="0" operator="equal" aboveAverage="0" dxfId="10" text="" percent="0" bottom="0">
      <formula>"Evet"</formula>
    </cfRule>
  </conditionalFormatting>
  <conditionalFormatting sqref="D821">
    <cfRule type="cellIs" rank="0" priority="1630" equalAverage="0" operator="greaterThan" aboveAverage="0" dxfId="8" text="" percent="0" bottom="0">
      <formula>0</formula>
    </cfRule>
  </conditionalFormatting>
  <conditionalFormatting sqref="E821">
    <cfRule type="cellIs" rank="0" priority="1631" equalAverage="0" operator="equal" aboveAverage="0" dxfId="10" text="" percent="0" bottom="0">
      <formula>"Evet"</formula>
    </cfRule>
  </conditionalFormatting>
  <conditionalFormatting sqref="D822">
    <cfRule type="cellIs" rank="0" priority="1632" equalAverage="0" operator="greaterThan" aboveAverage="0" dxfId="8" text="" percent="0" bottom="0">
      <formula>0</formula>
    </cfRule>
  </conditionalFormatting>
  <conditionalFormatting sqref="E822">
    <cfRule type="cellIs" rank="0" priority="1633" equalAverage="0" operator="equal" aboveAverage="0" dxfId="10" text="" percent="0" bottom="0">
      <formula>"Evet"</formula>
    </cfRule>
  </conditionalFormatting>
  <conditionalFormatting sqref="D823">
    <cfRule type="cellIs" rank="0" priority="1634" equalAverage="0" operator="greaterThan" aboveAverage="0" dxfId="8" text="" percent="0" bottom="0">
      <formula>0</formula>
    </cfRule>
  </conditionalFormatting>
  <conditionalFormatting sqref="E823">
    <cfRule type="cellIs" rank="0" priority="1635" equalAverage="0" operator="equal" aboveAverage="0" dxfId="10" text="" percent="0" bottom="0">
      <formula>"Evet"</formula>
    </cfRule>
  </conditionalFormatting>
  <conditionalFormatting sqref="D824">
    <cfRule type="cellIs" rank="0" priority="1636" equalAverage="0" operator="greaterThan" aboveAverage="0" dxfId="8" text="" percent="0" bottom="0">
      <formula>0</formula>
    </cfRule>
  </conditionalFormatting>
  <conditionalFormatting sqref="E824">
    <cfRule type="cellIs" rank="0" priority="1637" equalAverage="0" operator="equal" aboveAverage="0" dxfId="10" text="" percent="0" bottom="0">
      <formula>"Evet"</formula>
    </cfRule>
  </conditionalFormatting>
  <conditionalFormatting sqref="D825">
    <cfRule type="cellIs" rank="0" priority="1638" equalAverage="0" operator="greaterThan" aboveAverage="0" dxfId="8" text="" percent="0" bottom="0">
      <formula>0</formula>
    </cfRule>
  </conditionalFormatting>
  <conditionalFormatting sqref="E825">
    <cfRule type="cellIs" rank="0" priority="1639" equalAverage="0" operator="equal" aboveAverage="0" dxfId="10" text="" percent="0" bottom="0">
      <formula>"Evet"</formula>
    </cfRule>
  </conditionalFormatting>
  <conditionalFormatting sqref="D826">
    <cfRule type="cellIs" rank="0" priority="1640" equalAverage="0" operator="greaterThan" aboveAverage="0" dxfId="8" text="" percent="0" bottom="0">
      <formula>0</formula>
    </cfRule>
  </conditionalFormatting>
  <conditionalFormatting sqref="E826">
    <cfRule type="cellIs" rank="0" priority="1641" equalAverage="0" operator="equal" aboveAverage="0" dxfId="10" text="" percent="0" bottom="0">
      <formula>"Evet"</formula>
    </cfRule>
  </conditionalFormatting>
  <conditionalFormatting sqref="D827">
    <cfRule type="cellIs" rank="0" priority="1642" equalAverage="0" operator="greaterThan" aboveAverage="0" dxfId="8" text="" percent="0" bottom="0">
      <formula>0</formula>
    </cfRule>
  </conditionalFormatting>
  <conditionalFormatting sqref="E827">
    <cfRule type="cellIs" rank="0" priority="1643" equalAverage="0" operator="equal" aboveAverage="0" dxfId="10" text="" percent="0" bottom="0">
      <formula>"Evet"</formula>
    </cfRule>
  </conditionalFormatting>
  <conditionalFormatting sqref="D828">
    <cfRule type="cellIs" rank="0" priority="1644" equalAverage="0" operator="greaterThan" aboveAverage="0" dxfId="8" text="" percent="0" bottom="0">
      <formula>0</formula>
    </cfRule>
  </conditionalFormatting>
  <conditionalFormatting sqref="E828">
    <cfRule type="cellIs" rank="0" priority="1645" equalAverage="0" operator="equal" aboveAverage="0" dxfId="10" text="" percent="0" bottom="0">
      <formula>"Evet"</formula>
    </cfRule>
  </conditionalFormatting>
  <conditionalFormatting sqref="D829">
    <cfRule type="cellIs" rank="0" priority="1646" equalAverage="0" operator="greaterThan" aboveAverage="0" dxfId="8" text="" percent="0" bottom="0">
      <formula>0</formula>
    </cfRule>
  </conditionalFormatting>
  <conditionalFormatting sqref="E829">
    <cfRule type="cellIs" rank="0" priority="1647" equalAverage="0" operator="equal" aboveAverage="0" dxfId="10" text="" percent="0" bottom="0">
      <formula>"Evet"</formula>
    </cfRule>
  </conditionalFormatting>
  <conditionalFormatting sqref="D830">
    <cfRule type="cellIs" rank="0" priority="1648" equalAverage="0" operator="greaterThan" aboveAverage="0" dxfId="8" text="" percent="0" bottom="0">
      <formula>0</formula>
    </cfRule>
  </conditionalFormatting>
  <conditionalFormatting sqref="E830">
    <cfRule type="cellIs" rank="0" priority="1649" equalAverage="0" operator="equal" aboveAverage="0" dxfId="10" text="" percent="0" bottom="0">
      <formula>"Evet"</formula>
    </cfRule>
  </conditionalFormatting>
  <conditionalFormatting sqref="D831">
    <cfRule type="cellIs" rank="0" priority="1650" equalAverage="0" operator="greaterThan" aboveAverage="0" dxfId="8" text="" percent="0" bottom="0">
      <formula>0</formula>
    </cfRule>
  </conditionalFormatting>
  <conditionalFormatting sqref="E831">
    <cfRule type="cellIs" rank="0" priority="1651" equalAverage="0" operator="equal" aboveAverage="0" dxfId="10" text="" percent="0" bottom="0">
      <formula>"Evet"</formula>
    </cfRule>
  </conditionalFormatting>
  <conditionalFormatting sqref="D832">
    <cfRule type="cellIs" rank="0" priority="1652" equalAverage="0" operator="greaterThan" aboveAverage="0" dxfId="8" text="" percent="0" bottom="0">
      <formula>0</formula>
    </cfRule>
  </conditionalFormatting>
  <conditionalFormatting sqref="E832">
    <cfRule type="cellIs" rank="0" priority="1653" equalAverage="0" operator="equal" aboveAverage="0" dxfId="10" text="" percent="0" bottom="0">
      <formula>"Evet"</formula>
    </cfRule>
  </conditionalFormatting>
  <conditionalFormatting sqref="D833">
    <cfRule type="cellIs" rank="0" priority="1654" equalAverage="0" operator="greaterThan" aboveAverage="0" dxfId="8" text="" percent="0" bottom="0">
      <formula>0</formula>
    </cfRule>
  </conditionalFormatting>
  <conditionalFormatting sqref="E833">
    <cfRule type="cellIs" rank="0" priority="1655" equalAverage="0" operator="equal" aboveAverage="0" dxfId="10" text="" percent="0" bottom="0">
      <formula>"Evet"</formula>
    </cfRule>
  </conditionalFormatting>
  <conditionalFormatting sqref="D834">
    <cfRule type="cellIs" rank="0" priority="1656" equalAverage="0" operator="greaterThan" aboveAverage="0" dxfId="8" text="" percent="0" bottom="0">
      <formula>0</formula>
    </cfRule>
  </conditionalFormatting>
  <conditionalFormatting sqref="E834">
    <cfRule type="cellIs" rank="0" priority="1657" equalAverage="0" operator="equal" aboveAverage="0" dxfId="10" text="" percent="0" bottom="0">
      <formula>"Evet"</formula>
    </cfRule>
  </conditionalFormatting>
  <conditionalFormatting sqref="D835">
    <cfRule type="cellIs" rank="0" priority="1658" equalAverage="0" operator="greaterThan" aboveAverage="0" dxfId="8" text="" percent="0" bottom="0">
      <formula>0</formula>
    </cfRule>
  </conditionalFormatting>
  <conditionalFormatting sqref="E835">
    <cfRule type="cellIs" rank="0" priority="1659" equalAverage="0" operator="equal" aboveAverage="0" dxfId="10" text="" percent="0" bottom="0">
      <formula>"Evet"</formula>
    </cfRule>
  </conditionalFormatting>
  <conditionalFormatting sqref="D836">
    <cfRule type="cellIs" rank="0" priority="1660" equalAverage="0" operator="greaterThan" aboveAverage="0" dxfId="8" text="" percent="0" bottom="0">
      <formula>0</formula>
    </cfRule>
  </conditionalFormatting>
  <conditionalFormatting sqref="E836">
    <cfRule type="cellIs" rank="0" priority="1661" equalAverage="0" operator="equal" aboveAverage="0" dxfId="10" text="" percent="0" bottom="0">
      <formula>"Evet"</formula>
    </cfRule>
  </conditionalFormatting>
  <conditionalFormatting sqref="D837">
    <cfRule type="cellIs" rank="0" priority="1662" equalAverage="0" operator="greaterThan" aboveAverage="0" dxfId="8" text="" percent="0" bottom="0">
      <formula>0</formula>
    </cfRule>
  </conditionalFormatting>
  <conditionalFormatting sqref="E837">
    <cfRule type="cellIs" rank="0" priority="1663" equalAverage="0" operator="equal" aboveAverage="0" dxfId="10" text="" percent="0" bottom="0">
      <formula>"Evet"</formula>
    </cfRule>
  </conditionalFormatting>
  <conditionalFormatting sqref="D838">
    <cfRule type="cellIs" rank="0" priority="1664" equalAverage="0" operator="greaterThan" aboveAverage="0" dxfId="8" text="" percent="0" bottom="0">
      <formula>0</formula>
    </cfRule>
  </conditionalFormatting>
  <conditionalFormatting sqref="E838">
    <cfRule type="cellIs" rank="0" priority="1665" equalAverage="0" operator="equal" aboveAverage="0" dxfId="10" text="" percent="0" bottom="0">
      <formula>"Evet"</formula>
    </cfRule>
  </conditionalFormatting>
  <conditionalFormatting sqref="D839">
    <cfRule type="cellIs" rank="0" priority="1666" equalAverage="0" operator="greaterThan" aboveAverage="0" dxfId="8" text="" percent="0" bottom="0">
      <formula>0</formula>
    </cfRule>
  </conditionalFormatting>
  <conditionalFormatting sqref="E839">
    <cfRule type="cellIs" rank="0" priority="1667" equalAverage="0" operator="equal" aboveAverage="0" dxfId="10" text="" percent="0" bottom="0">
      <formula>"Evet"</formula>
    </cfRule>
  </conditionalFormatting>
  <conditionalFormatting sqref="D840">
    <cfRule type="cellIs" rank="0" priority="1668" equalAverage="0" operator="greaterThan" aboveAverage="0" dxfId="8" text="" percent="0" bottom="0">
      <formula>0</formula>
    </cfRule>
  </conditionalFormatting>
  <conditionalFormatting sqref="E840">
    <cfRule type="cellIs" rank="0" priority="1669" equalAverage="0" operator="equal" aboveAverage="0" dxfId="10" text="" percent="0" bottom="0">
      <formula>"Evet"</formula>
    </cfRule>
  </conditionalFormatting>
  <conditionalFormatting sqref="D841">
    <cfRule type="cellIs" rank="0" priority="1670" equalAverage="0" operator="greaterThan" aboveAverage="0" dxfId="8" text="" percent="0" bottom="0">
      <formula>0</formula>
    </cfRule>
  </conditionalFormatting>
  <conditionalFormatting sqref="E841">
    <cfRule type="cellIs" rank="0" priority="1671" equalAverage="0" operator="equal" aboveAverage="0" dxfId="10" text="" percent="0" bottom="0">
      <formula>"Evet"</formula>
    </cfRule>
  </conditionalFormatting>
  <conditionalFormatting sqref="D842">
    <cfRule type="cellIs" rank="0" priority="1672" equalAverage="0" operator="greaterThan" aboveAverage="0" dxfId="8" text="" percent="0" bottom="0">
      <formula>0</formula>
    </cfRule>
  </conditionalFormatting>
  <conditionalFormatting sqref="E842">
    <cfRule type="cellIs" rank="0" priority="1673" equalAverage="0" operator="equal" aboveAverage="0" dxfId="10" text="" percent="0" bottom="0">
      <formula>"Evet"</formula>
    </cfRule>
  </conditionalFormatting>
  <conditionalFormatting sqref="D843">
    <cfRule type="cellIs" rank="0" priority="1674" equalAverage="0" operator="greaterThan" aboveAverage="0" dxfId="8" text="" percent="0" bottom="0">
      <formula>0</formula>
    </cfRule>
  </conditionalFormatting>
  <conditionalFormatting sqref="E843">
    <cfRule type="cellIs" rank="0" priority="1675" equalAverage="0" operator="equal" aboveAverage="0" dxfId="10" text="" percent="0" bottom="0">
      <formula>"Evet"</formula>
    </cfRule>
  </conditionalFormatting>
  <conditionalFormatting sqref="D844">
    <cfRule type="cellIs" rank="0" priority="1676" equalAverage="0" operator="greaterThan" aboveAverage="0" dxfId="8" text="" percent="0" bottom="0">
      <formula>0</formula>
    </cfRule>
  </conditionalFormatting>
  <conditionalFormatting sqref="E844">
    <cfRule type="cellIs" rank="0" priority="1677" equalAverage="0" operator="equal" aboveAverage="0" dxfId="10" text="" percent="0" bottom="0">
      <formula>"Evet"</formula>
    </cfRule>
  </conditionalFormatting>
  <conditionalFormatting sqref="D845">
    <cfRule type="cellIs" rank="0" priority="1678" equalAverage="0" operator="greaterThan" aboveAverage="0" dxfId="8" text="" percent="0" bottom="0">
      <formula>0</formula>
    </cfRule>
  </conditionalFormatting>
  <conditionalFormatting sqref="E845">
    <cfRule type="cellIs" rank="0" priority="1679" equalAverage="0" operator="equal" aboveAverage="0" dxfId="10" text="" percent="0" bottom="0">
      <formula>"Evet"</formula>
    </cfRule>
  </conditionalFormatting>
  <conditionalFormatting sqref="D846">
    <cfRule type="cellIs" rank="0" priority="1680" equalAverage="0" operator="greaterThan" aboveAverage="0" dxfId="8" text="" percent="0" bottom="0">
      <formula>0</formula>
    </cfRule>
  </conditionalFormatting>
  <conditionalFormatting sqref="E846">
    <cfRule type="cellIs" rank="0" priority="1681" equalAverage="0" operator="equal" aboveAverage="0" dxfId="10" text="" percent="0" bottom="0">
      <formula>"Evet"</formula>
    </cfRule>
  </conditionalFormatting>
  <conditionalFormatting sqref="D847">
    <cfRule type="cellIs" rank="0" priority="1682" equalAverage="0" operator="greaterThan" aboveAverage="0" dxfId="8" text="" percent="0" bottom="0">
      <formula>0</formula>
    </cfRule>
  </conditionalFormatting>
  <conditionalFormatting sqref="E847">
    <cfRule type="cellIs" rank="0" priority="1683" equalAverage="0" operator="equal" aboveAverage="0" dxfId="10" text="" percent="0" bottom="0">
      <formula>"Evet"</formula>
    </cfRule>
  </conditionalFormatting>
  <conditionalFormatting sqref="D848">
    <cfRule type="cellIs" rank="0" priority="1684" equalAverage="0" operator="greaterThan" aboveAverage="0" dxfId="8" text="" percent="0" bottom="0">
      <formula>0</formula>
    </cfRule>
  </conditionalFormatting>
  <conditionalFormatting sqref="E848">
    <cfRule type="cellIs" rank="0" priority="1685" equalAverage="0" operator="equal" aboveAverage="0" dxfId="10" text="" percent="0" bottom="0">
      <formula>"Evet"</formula>
    </cfRule>
  </conditionalFormatting>
  <conditionalFormatting sqref="D849">
    <cfRule type="cellIs" rank="0" priority="1686" equalAverage="0" operator="greaterThan" aboveAverage="0" dxfId="8" text="" percent="0" bottom="0">
      <formula>0</formula>
    </cfRule>
  </conditionalFormatting>
  <conditionalFormatting sqref="E849">
    <cfRule type="cellIs" rank="0" priority="1687" equalAverage="0" operator="equal" aboveAverage="0" dxfId="10" text="" percent="0" bottom="0">
      <formula>"Evet"</formula>
    </cfRule>
  </conditionalFormatting>
  <conditionalFormatting sqref="D850">
    <cfRule type="cellIs" rank="0" priority="1688" equalAverage="0" operator="greaterThan" aboveAverage="0" dxfId="8" text="" percent="0" bottom="0">
      <formula>0</formula>
    </cfRule>
  </conditionalFormatting>
  <conditionalFormatting sqref="E850">
    <cfRule type="cellIs" rank="0" priority="1689" equalAverage="0" operator="equal" aboveAverage="0" dxfId="10" text="" percent="0" bottom="0">
      <formula>"Evet"</formula>
    </cfRule>
  </conditionalFormatting>
  <conditionalFormatting sqref="D851">
    <cfRule type="cellIs" rank="0" priority="1690" equalAverage="0" operator="greaterThan" aboveAverage="0" dxfId="8" text="" percent="0" bottom="0">
      <formula>0</formula>
    </cfRule>
  </conditionalFormatting>
  <conditionalFormatting sqref="E851">
    <cfRule type="cellIs" rank="0" priority="1691" equalAverage="0" operator="equal" aboveAverage="0" dxfId="10" text="" percent="0" bottom="0">
      <formula>"Evet"</formula>
    </cfRule>
  </conditionalFormatting>
  <conditionalFormatting sqref="D852">
    <cfRule type="cellIs" rank="0" priority="1692" equalAverage="0" operator="greaterThan" aboveAverage="0" dxfId="8" text="" percent="0" bottom="0">
      <formula>0</formula>
    </cfRule>
  </conditionalFormatting>
  <conditionalFormatting sqref="E852">
    <cfRule type="cellIs" rank="0" priority="1693" equalAverage="0" operator="equal" aboveAverage="0" dxfId="10" text="" percent="0" bottom="0">
      <formula>"Evet"</formula>
    </cfRule>
  </conditionalFormatting>
  <conditionalFormatting sqref="D853">
    <cfRule type="cellIs" rank="0" priority="1694" equalAverage="0" operator="greaterThan" aboveAverage="0" dxfId="8" text="" percent="0" bottom="0">
      <formula>0</formula>
    </cfRule>
  </conditionalFormatting>
  <conditionalFormatting sqref="E853">
    <cfRule type="cellIs" rank="0" priority="1695" equalAverage="0" operator="equal" aboveAverage="0" dxfId="10" text="" percent="0" bottom="0">
      <formula>"Evet"</formula>
    </cfRule>
  </conditionalFormatting>
  <conditionalFormatting sqref="D854">
    <cfRule type="cellIs" rank="0" priority="1696" equalAverage="0" operator="greaterThan" aboveAverage="0" dxfId="8" text="" percent="0" bottom="0">
      <formula>0</formula>
    </cfRule>
  </conditionalFormatting>
  <conditionalFormatting sqref="E854">
    <cfRule type="cellIs" rank="0" priority="1697" equalAverage="0" operator="equal" aboveAverage="0" dxfId="10" text="" percent="0" bottom="0">
      <formula>"Evet"</formula>
    </cfRule>
  </conditionalFormatting>
  <conditionalFormatting sqref="D855">
    <cfRule type="cellIs" rank="0" priority="1698" equalAverage="0" operator="greaterThan" aboveAverage="0" dxfId="8" text="" percent="0" bottom="0">
      <formula>0</formula>
    </cfRule>
  </conditionalFormatting>
  <conditionalFormatting sqref="E855">
    <cfRule type="cellIs" rank="0" priority="1699" equalAverage="0" operator="equal" aboveAverage="0" dxfId="10" text="" percent="0" bottom="0">
      <formula>"Evet"</formula>
    </cfRule>
  </conditionalFormatting>
  <conditionalFormatting sqref="D856">
    <cfRule type="cellIs" rank="0" priority="1700" equalAverage="0" operator="greaterThan" aboveAverage="0" dxfId="8" text="" percent="0" bottom="0">
      <formula>0</formula>
    </cfRule>
  </conditionalFormatting>
  <conditionalFormatting sqref="E856">
    <cfRule type="cellIs" rank="0" priority="1701" equalAverage="0" operator="equal" aboveAverage="0" dxfId="10" text="" percent="0" bottom="0">
      <formula>"Evet"</formula>
    </cfRule>
  </conditionalFormatting>
  <conditionalFormatting sqref="D857">
    <cfRule type="cellIs" rank="0" priority="1702" equalAverage="0" operator="greaterThan" aboveAverage="0" dxfId="8" text="" percent="0" bottom="0">
      <formula>0</formula>
    </cfRule>
  </conditionalFormatting>
  <conditionalFormatting sqref="E857">
    <cfRule type="cellIs" rank="0" priority="1703" equalAverage="0" operator="equal" aboveAverage="0" dxfId="10" text="" percent="0" bottom="0">
      <formula>"Evet"</formula>
    </cfRule>
  </conditionalFormatting>
  <conditionalFormatting sqref="D858">
    <cfRule type="cellIs" rank="0" priority="1704" equalAverage="0" operator="greaterThan" aboveAverage="0" dxfId="8" text="" percent="0" bottom="0">
      <formula>0</formula>
    </cfRule>
  </conditionalFormatting>
  <conditionalFormatting sqref="E858">
    <cfRule type="cellIs" rank="0" priority="1705" equalAverage="0" operator="equal" aboveAverage="0" dxfId="10" text="" percent="0" bottom="0">
      <formula>"Evet"</formula>
    </cfRule>
  </conditionalFormatting>
  <conditionalFormatting sqref="D859">
    <cfRule type="cellIs" rank="0" priority="1706" equalAverage="0" operator="greaterThan" aboveAverage="0" dxfId="8" text="" percent="0" bottom="0">
      <formula>0</formula>
    </cfRule>
  </conditionalFormatting>
  <conditionalFormatting sqref="E859">
    <cfRule type="cellIs" rank="0" priority="1707" equalAverage="0" operator="equal" aboveAverage="0" dxfId="10" text="" percent="0" bottom="0">
      <formula>"Evet"</formula>
    </cfRule>
  </conditionalFormatting>
  <conditionalFormatting sqref="D860">
    <cfRule type="cellIs" rank="0" priority="1708" equalAverage="0" operator="greaterThan" aboveAverage="0" dxfId="8" text="" percent="0" bottom="0">
      <formula>0</formula>
    </cfRule>
  </conditionalFormatting>
  <conditionalFormatting sqref="E860">
    <cfRule type="cellIs" rank="0" priority="1709" equalAverage="0" operator="equal" aboveAverage="0" dxfId="10" text="" percent="0" bottom="0">
      <formula>"Evet"</formula>
    </cfRule>
  </conditionalFormatting>
  <conditionalFormatting sqref="D861">
    <cfRule type="cellIs" rank="0" priority="1710" equalAverage="0" operator="greaterThan" aboveAverage="0" dxfId="8" text="" percent="0" bottom="0">
      <formula>0</formula>
    </cfRule>
  </conditionalFormatting>
  <conditionalFormatting sqref="E861">
    <cfRule type="cellIs" rank="0" priority="1711" equalAverage="0" operator="equal" aboveAverage="0" dxfId="10" text="" percent="0" bottom="0">
      <formula>"Evet"</formula>
    </cfRule>
  </conditionalFormatting>
  <conditionalFormatting sqref="D862">
    <cfRule type="cellIs" rank="0" priority="1712" equalAverage="0" operator="greaterThan" aboveAverage="0" dxfId="8" text="" percent="0" bottom="0">
      <formula>0</formula>
    </cfRule>
  </conditionalFormatting>
  <conditionalFormatting sqref="E862">
    <cfRule type="cellIs" rank="0" priority="1713" equalAverage="0" operator="equal" aboveAverage="0" dxfId="10" text="" percent="0" bottom="0">
      <formula>"Evet"</formula>
    </cfRule>
  </conditionalFormatting>
  <conditionalFormatting sqref="D863">
    <cfRule type="cellIs" rank="0" priority="1714" equalAverage="0" operator="greaterThan" aboveAverage="0" dxfId="8" text="" percent="0" bottom="0">
      <formula>0</formula>
    </cfRule>
  </conditionalFormatting>
  <conditionalFormatting sqref="E863">
    <cfRule type="cellIs" rank="0" priority="1715" equalAverage="0" operator="equal" aboveAverage="0" dxfId="10" text="" percent="0" bottom="0">
      <formula>"Evet"</formula>
    </cfRule>
  </conditionalFormatting>
  <conditionalFormatting sqref="D864">
    <cfRule type="cellIs" rank="0" priority="1716" equalAverage="0" operator="greaterThan" aboveAverage="0" dxfId="8" text="" percent="0" bottom="0">
      <formula>0</formula>
    </cfRule>
  </conditionalFormatting>
  <conditionalFormatting sqref="E864">
    <cfRule type="cellIs" rank="0" priority="1717" equalAverage="0" operator="equal" aboveAverage="0" dxfId="10" text="" percent="0" bottom="0">
      <formula>"Evet"</formula>
    </cfRule>
  </conditionalFormatting>
  <conditionalFormatting sqref="D865">
    <cfRule type="cellIs" rank="0" priority="1718" equalAverage="0" operator="greaterThan" aboveAverage="0" dxfId="8" text="" percent="0" bottom="0">
      <formula>0</formula>
    </cfRule>
  </conditionalFormatting>
  <conditionalFormatting sqref="E865">
    <cfRule type="cellIs" rank="0" priority="1719" equalAverage="0" operator="equal" aboveAverage="0" dxfId="10" text="" percent="0" bottom="0">
      <formula>"Evet"</formula>
    </cfRule>
  </conditionalFormatting>
  <conditionalFormatting sqref="D866">
    <cfRule type="cellIs" rank="0" priority="1720" equalAverage="0" operator="greaterThan" aboveAverage="0" dxfId="8" text="" percent="0" bottom="0">
      <formula>0</formula>
    </cfRule>
  </conditionalFormatting>
  <conditionalFormatting sqref="E866">
    <cfRule type="cellIs" rank="0" priority="1721" equalAverage="0" operator="equal" aboveAverage="0" dxfId="10" text="" percent="0" bottom="0">
      <formula>"Evet"</formula>
    </cfRule>
  </conditionalFormatting>
  <conditionalFormatting sqref="D867">
    <cfRule type="cellIs" rank="0" priority="1722" equalAverage="0" operator="greaterThan" aboveAverage="0" dxfId="8" text="" percent="0" bottom="0">
      <formula>0</formula>
    </cfRule>
  </conditionalFormatting>
  <conditionalFormatting sqref="E867">
    <cfRule type="cellIs" rank="0" priority="1723" equalAverage="0" operator="equal" aboveAverage="0" dxfId="10" text="" percent="0" bottom="0">
      <formula>"Evet"</formula>
    </cfRule>
  </conditionalFormatting>
  <conditionalFormatting sqref="D868">
    <cfRule type="cellIs" rank="0" priority="1724" equalAverage="0" operator="greaterThan" aboveAverage="0" dxfId="8" text="" percent="0" bottom="0">
      <formula>0</formula>
    </cfRule>
  </conditionalFormatting>
  <conditionalFormatting sqref="E868">
    <cfRule type="cellIs" rank="0" priority="1725" equalAverage="0" operator="equal" aboveAverage="0" dxfId="10" text="" percent="0" bottom="0">
      <formula>"Evet"</formula>
    </cfRule>
  </conditionalFormatting>
  <conditionalFormatting sqref="D869">
    <cfRule type="cellIs" rank="0" priority="1726" equalAverage="0" operator="greaterThan" aboveAverage="0" dxfId="8" text="" percent="0" bottom="0">
      <formula>0</formula>
    </cfRule>
  </conditionalFormatting>
  <conditionalFormatting sqref="E869">
    <cfRule type="cellIs" rank="0" priority="1727" equalAverage="0" operator="equal" aboveAverage="0" dxfId="10" text="" percent="0" bottom="0">
      <formula>"Evet"</formula>
    </cfRule>
  </conditionalFormatting>
  <conditionalFormatting sqref="D870">
    <cfRule type="cellIs" rank="0" priority="1728" equalAverage="0" operator="greaterThan" aboveAverage="0" dxfId="8" text="" percent="0" bottom="0">
      <formula>0</formula>
    </cfRule>
  </conditionalFormatting>
  <conditionalFormatting sqref="E870">
    <cfRule type="cellIs" rank="0" priority="1729" equalAverage="0" operator="equal" aboveAverage="0" dxfId="10" text="" percent="0" bottom="0">
      <formula>"Evet"</formula>
    </cfRule>
  </conditionalFormatting>
  <conditionalFormatting sqref="D871">
    <cfRule type="cellIs" rank="0" priority="1730" equalAverage="0" operator="greaterThan" aboveAverage="0" dxfId="8" text="" percent="0" bottom="0">
      <formula>0</formula>
    </cfRule>
  </conditionalFormatting>
  <conditionalFormatting sqref="E871">
    <cfRule type="cellIs" rank="0" priority="1731" equalAverage="0" operator="equal" aboveAverage="0" dxfId="10" text="" percent="0" bottom="0">
      <formula>"Evet"</formula>
    </cfRule>
  </conditionalFormatting>
  <conditionalFormatting sqref="D872">
    <cfRule type="cellIs" rank="0" priority="1732" equalAverage="0" operator="greaterThan" aboveAverage="0" dxfId="8" text="" percent="0" bottom="0">
      <formula>0</formula>
    </cfRule>
  </conditionalFormatting>
  <conditionalFormatting sqref="E872">
    <cfRule type="cellIs" rank="0" priority="1733" equalAverage="0" operator="equal" aboveAverage="0" dxfId="10" text="" percent="0" bottom="0">
      <formula>"Evet"</formula>
    </cfRule>
  </conditionalFormatting>
  <conditionalFormatting sqref="D873">
    <cfRule type="cellIs" rank="0" priority="1734" equalAverage="0" operator="greaterThan" aboveAverage="0" dxfId="8" text="" percent="0" bottom="0">
      <formula>0</formula>
    </cfRule>
  </conditionalFormatting>
  <conditionalFormatting sqref="E873">
    <cfRule type="cellIs" rank="0" priority="1735" equalAverage="0" operator="equal" aboveAverage="0" dxfId="10" text="" percent="0" bottom="0">
      <formula>"Evet"</formula>
    </cfRule>
  </conditionalFormatting>
  <conditionalFormatting sqref="D874">
    <cfRule type="cellIs" rank="0" priority="1736" equalAverage="0" operator="greaterThan" aboveAverage="0" dxfId="8" text="" percent="0" bottom="0">
      <formula>0</formula>
    </cfRule>
  </conditionalFormatting>
  <conditionalFormatting sqref="E874">
    <cfRule type="cellIs" rank="0" priority="1737" equalAverage="0" operator="equal" aboveAverage="0" dxfId="10" text="" percent="0" bottom="0">
      <formula>"Evet"</formula>
    </cfRule>
  </conditionalFormatting>
  <conditionalFormatting sqref="D875">
    <cfRule type="cellIs" rank="0" priority="1738" equalAverage="0" operator="greaterThan" aboveAverage="0" dxfId="8" text="" percent="0" bottom="0">
      <formula>0</formula>
    </cfRule>
  </conditionalFormatting>
  <conditionalFormatting sqref="E875">
    <cfRule type="cellIs" rank="0" priority="1739" equalAverage="0" operator="equal" aboveAverage="0" dxfId="10" text="" percent="0" bottom="0">
      <formula>"Evet"</formula>
    </cfRule>
  </conditionalFormatting>
  <conditionalFormatting sqref="D876">
    <cfRule type="cellIs" rank="0" priority="1740" equalAverage="0" operator="greaterThan" aboveAverage="0" dxfId="8" text="" percent="0" bottom="0">
      <formula>0</formula>
    </cfRule>
  </conditionalFormatting>
  <conditionalFormatting sqref="E876">
    <cfRule type="cellIs" rank="0" priority="1741" equalAverage="0" operator="equal" aboveAverage="0" dxfId="10" text="" percent="0" bottom="0">
      <formula>"Evet"</formula>
    </cfRule>
  </conditionalFormatting>
  <conditionalFormatting sqref="D877">
    <cfRule type="cellIs" rank="0" priority="1742" equalAverage="0" operator="greaterThan" aboveAverage="0" dxfId="8" text="" percent="0" bottom="0">
      <formula>0</formula>
    </cfRule>
  </conditionalFormatting>
  <conditionalFormatting sqref="E877">
    <cfRule type="cellIs" rank="0" priority="1743" equalAverage="0" operator="equal" aboveAverage="0" dxfId="10" text="" percent="0" bottom="0">
      <formula>"Evet"</formula>
    </cfRule>
  </conditionalFormatting>
  <conditionalFormatting sqref="D878">
    <cfRule type="cellIs" rank="0" priority="1744" equalAverage="0" operator="greaterThan" aboveAverage="0" dxfId="8" text="" percent="0" bottom="0">
      <formula>0</formula>
    </cfRule>
  </conditionalFormatting>
  <conditionalFormatting sqref="E878">
    <cfRule type="cellIs" rank="0" priority="1745" equalAverage="0" operator="equal" aboveAverage="0" dxfId="10" text="" percent="0" bottom="0">
      <formula>"Evet"</formula>
    </cfRule>
  </conditionalFormatting>
  <conditionalFormatting sqref="D879">
    <cfRule type="cellIs" rank="0" priority="1746" equalAverage="0" operator="greaterThan" aboveAverage="0" dxfId="8" text="" percent="0" bottom="0">
      <formula>0</formula>
    </cfRule>
  </conditionalFormatting>
  <conditionalFormatting sqref="E879">
    <cfRule type="cellIs" rank="0" priority="1747" equalAverage="0" operator="equal" aboveAverage="0" dxfId="10" text="" percent="0" bottom="0">
      <formula>"Evet"</formula>
    </cfRule>
  </conditionalFormatting>
  <conditionalFormatting sqref="D880">
    <cfRule type="cellIs" rank="0" priority="1748" equalAverage="0" operator="greaterThan" aboveAverage="0" dxfId="8" text="" percent="0" bottom="0">
      <formula>0</formula>
    </cfRule>
  </conditionalFormatting>
  <conditionalFormatting sqref="E880">
    <cfRule type="cellIs" rank="0" priority="1749" equalAverage="0" operator="equal" aboveAverage="0" dxfId="10" text="" percent="0" bottom="0">
      <formula>"Evet"</formula>
    </cfRule>
  </conditionalFormatting>
  <conditionalFormatting sqref="D881">
    <cfRule type="cellIs" rank="0" priority="1750" equalAverage="0" operator="greaterThan" aboveAverage="0" dxfId="8" text="" percent="0" bottom="0">
      <formula>0</formula>
    </cfRule>
  </conditionalFormatting>
  <conditionalFormatting sqref="E881">
    <cfRule type="cellIs" rank="0" priority="1751" equalAverage="0" operator="equal" aboveAverage="0" dxfId="10" text="" percent="0" bottom="0">
      <formula>"Evet"</formula>
    </cfRule>
  </conditionalFormatting>
  <conditionalFormatting sqref="D882">
    <cfRule type="cellIs" rank="0" priority="1752" equalAverage="0" operator="greaterThan" aboveAverage="0" dxfId="8" text="" percent="0" bottom="0">
      <formula>0</formula>
    </cfRule>
  </conditionalFormatting>
  <conditionalFormatting sqref="E882">
    <cfRule type="cellIs" rank="0" priority="1753" equalAverage="0" operator="equal" aboveAverage="0" dxfId="10" text="" percent="0" bottom="0">
      <formula>"Evet"</formula>
    </cfRule>
  </conditionalFormatting>
  <conditionalFormatting sqref="D883">
    <cfRule type="cellIs" rank="0" priority="1754" equalAverage="0" operator="greaterThan" aboveAverage="0" dxfId="8" text="" percent="0" bottom="0">
      <formula>0</formula>
    </cfRule>
  </conditionalFormatting>
  <conditionalFormatting sqref="E883">
    <cfRule type="cellIs" rank="0" priority="1755" equalAverage="0" operator="equal" aboveAverage="0" dxfId="10" text="" percent="0" bottom="0">
      <formula>"Evet"</formula>
    </cfRule>
  </conditionalFormatting>
  <conditionalFormatting sqref="D884">
    <cfRule type="cellIs" rank="0" priority="1756" equalAverage="0" operator="greaterThan" aboveAverage="0" dxfId="8" text="" percent="0" bottom="0">
      <formula>0</formula>
    </cfRule>
  </conditionalFormatting>
  <conditionalFormatting sqref="E884">
    <cfRule type="cellIs" rank="0" priority="1757" equalAverage="0" operator="equal" aboveAverage="0" dxfId="10" text="" percent="0" bottom="0">
      <formula>"Evet"</formula>
    </cfRule>
  </conditionalFormatting>
  <conditionalFormatting sqref="D885">
    <cfRule type="cellIs" rank="0" priority="1758" equalAverage="0" operator="greaterThan" aboveAverage="0" dxfId="8" text="" percent="0" bottom="0">
      <formula>0</formula>
    </cfRule>
  </conditionalFormatting>
  <conditionalFormatting sqref="E885">
    <cfRule type="cellIs" rank="0" priority="1759" equalAverage="0" operator="equal" aboveAverage="0" dxfId="10" text="" percent="0" bottom="0">
      <formula>"Evet"</formula>
    </cfRule>
  </conditionalFormatting>
  <conditionalFormatting sqref="D886">
    <cfRule type="cellIs" rank="0" priority="1760" equalAverage="0" operator="greaterThan" aboveAverage="0" dxfId="8" text="" percent="0" bottom="0">
      <formula>0</formula>
    </cfRule>
  </conditionalFormatting>
  <conditionalFormatting sqref="E886">
    <cfRule type="cellIs" rank="0" priority="1761" equalAverage="0" operator="equal" aboveAverage="0" dxfId="10" text="" percent="0" bottom="0">
      <formula>"Evet"</formula>
    </cfRule>
  </conditionalFormatting>
  <conditionalFormatting sqref="D887">
    <cfRule type="cellIs" rank="0" priority="1762" equalAverage="0" operator="greaterThan" aboveAverage="0" dxfId="8" text="" percent="0" bottom="0">
      <formula>0</formula>
    </cfRule>
  </conditionalFormatting>
  <conditionalFormatting sqref="E887">
    <cfRule type="cellIs" rank="0" priority="1763" equalAverage="0" operator="equal" aboveAverage="0" dxfId="10" text="" percent="0" bottom="0">
      <formula>"Evet"</formula>
    </cfRule>
  </conditionalFormatting>
  <conditionalFormatting sqref="D888">
    <cfRule type="cellIs" rank="0" priority="1764" equalAverage="0" operator="greaterThan" aboveAverage="0" dxfId="8" text="" percent="0" bottom="0">
      <formula>0</formula>
    </cfRule>
  </conditionalFormatting>
  <conditionalFormatting sqref="E888">
    <cfRule type="cellIs" rank="0" priority="1765" equalAverage="0" operator="equal" aboveAverage="0" dxfId="10" text="" percent="0" bottom="0">
      <formula>"Evet"</formula>
    </cfRule>
  </conditionalFormatting>
  <conditionalFormatting sqref="D889">
    <cfRule type="cellIs" rank="0" priority="1766" equalAverage="0" operator="greaterThan" aboveAverage="0" dxfId="8" text="" percent="0" bottom="0">
      <formula>0</formula>
    </cfRule>
  </conditionalFormatting>
  <conditionalFormatting sqref="E889">
    <cfRule type="cellIs" rank="0" priority="1767" equalAverage="0" operator="equal" aboveAverage="0" dxfId="10" text="" percent="0" bottom="0">
      <formula>"Evet"</formula>
    </cfRule>
  </conditionalFormatting>
  <conditionalFormatting sqref="D890">
    <cfRule type="cellIs" rank="0" priority="1768" equalAverage="0" operator="greaterThan" aboveAverage="0" dxfId="8" text="" percent="0" bottom="0">
      <formula>0</formula>
    </cfRule>
  </conditionalFormatting>
  <conditionalFormatting sqref="E890">
    <cfRule type="cellIs" rank="0" priority="1769" equalAverage="0" operator="equal" aboveAverage="0" dxfId="10" text="" percent="0" bottom="0">
      <formula>"Evet"</formula>
    </cfRule>
  </conditionalFormatting>
  <conditionalFormatting sqref="D891">
    <cfRule type="cellIs" rank="0" priority="1770" equalAverage="0" operator="greaterThan" aboveAverage="0" dxfId="8" text="" percent="0" bottom="0">
      <formula>0</formula>
    </cfRule>
  </conditionalFormatting>
  <conditionalFormatting sqref="E891">
    <cfRule type="cellIs" rank="0" priority="1771" equalAverage="0" operator="equal" aboveAverage="0" dxfId="10" text="" percent="0" bottom="0">
      <formula>"Evet"</formula>
    </cfRule>
  </conditionalFormatting>
  <conditionalFormatting sqref="D892">
    <cfRule type="cellIs" rank="0" priority="1772" equalAverage="0" operator="greaterThan" aboveAverage="0" dxfId="8" text="" percent="0" bottom="0">
      <formula>0</formula>
    </cfRule>
  </conditionalFormatting>
  <conditionalFormatting sqref="E892">
    <cfRule type="cellIs" rank="0" priority="1773" equalAverage="0" operator="equal" aboveAverage="0" dxfId="10" text="" percent="0" bottom="0">
      <formula>"Evet"</formula>
    </cfRule>
  </conditionalFormatting>
  <conditionalFormatting sqref="D893">
    <cfRule type="cellIs" rank="0" priority="1774" equalAverage="0" operator="greaterThan" aboveAverage="0" dxfId="8" text="" percent="0" bottom="0">
      <formula>0</formula>
    </cfRule>
  </conditionalFormatting>
  <conditionalFormatting sqref="E893">
    <cfRule type="cellIs" rank="0" priority="1775" equalAverage="0" operator="equal" aboveAverage="0" dxfId="10" text="" percent="0" bottom="0">
      <formula>"Evet"</formula>
    </cfRule>
  </conditionalFormatting>
  <conditionalFormatting sqref="D894">
    <cfRule type="cellIs" rank="0" priority="1776" equalAverage="0" operator="greaterThan" aboveAverage="0" dxfId="8" text="" percent="0" bottom="0">
      <formula>0</formula>
    </cfRule>
  </conditionalFormatting>
  <conditionalFormatting sqref="E894">
    <cfRule type="cellIs" rank="0" priority="1777" equalAverage="0" operator="equal" aboveAverage="0" dxfId="10" text="" percent="0" bottom="0">
      <formula>"Evet"</formula>
    </cfRule>
  </conditionalFormatting>
  <conditionalFormatting sqref="D895">
    <cfRule type="cellIs" rank="0" priority="1778" equalAverage="0" operator="greaterThan" aboveAverage="0" dxfId="8" text="" percent="0" bottom="0">
      <formula>0</formula>
    </cfRule>
  </conditionalFormatting>
  <conditionalFormatting sqref="E895">
    <cfRule type="cellIs" rank="0" priority="1779" equalAverage="0" operator="equal" aboveAverage="0" dxfId="10" text="" percent="0" bottom="0">
      <formula>"Evet"</formula>
    </cfRule>
  </conditionalFormatting>
  <conditionalFormatting sqref="D896">
    <cfRule type="cellIs" rank="0" priority="1780" equalAverage="0" operator="greaterThan" aboveAverage="0" dxfId="8" text="" percent="0" bottom="0">
      <formula>0</formula>
    </cfRule>
  </conditionalFormatting>
  <conditionalFormatting sqref="E896">
    <cfRule type="cellIs" rank="0" priority="1781" equalAverage="0" operator="equal" aboveAverage="0" dxfId="10" text="" percent="0" bottom="0">
      <formula>"Evet"</formula>
    </cfRule>
  </conditionalFormatting>
  <conditionalFormatting sqref="D897">
    <cfRule type="cellIs" rank="0" priority="1782" equalAverage="0" operator="greaterThan" aboveAverage="0" dxfId="8" text="" percent="0" bottom="0">
      <formula>0</formula>
    </cfRule>
  </conditionalFormatting>
  <conditionalFormatting sqref="E897">
    <cfRule type="cellIs" rank="0" priority="1783" equalAverage="0" operator="equal" aboveAverage="0" dxfId="10" text="" percent="0" bottom="0">
      <formula>"Evet"</formula>
    </cfRule>
  </conditionalFormatting>
  <conditionalFormatting sqref="D898">
    <cfRule type="cellIs" rank="0" priority="1784" equalAverage="0" operator="greaterThan" aboveAverage="0" dxfId="8" text="" percent="0" bottom="0">
      <formula>0</formula>
    </cfRule>
  </conditionalFormatting>
  <conditionalFormatting sqref="E898">
    <cfRule type="cellIs" rank="0" priority="1785" equalAverage="0" operator="equal" aboveAverage="0" dxfId="10" text="" percent="0" bottom="0">
      <formula>"Evet"</formula>
    </cfRule>
  </conditionalFormatting>
  <conditionalFormatting sqref="D899">
    <cfRule type="cellIs" rank="0" priority="1786" equalAverage="0" operator="greaterThan" aboveAverage="0" dxfId="8" text="" percent="0" bottom="0">
      <formula>0</formula>
    </cfRule>
  </conditionalFormatting>
  <conditionalFormatting sqref="E899">
    <cfRule type="cellIs" rank="0" priority="1787" equalAverage="0" operator="equal" aboveAverage="0" dxfId="10" text="" percent="0" bottom="0">
      <formula>"Evet"</formula>
    </cfRule>
  </conditionalFormatting>
  <conditionalFormatting sqref="D900">
    <cfRule type="cellIs" rank="0" priority="1788" equalAverage="0" operator="greaterThan" aboveAverage="0" dxfId="8" text="" percent="0" bottom="0">
      <formula>0</formula>
    </cfRule>
  </conditionalFormatting>
  <conditionalFormatting sqref="E900">
    <cfRule type="cellIs" rank="0" priority="1789" equalAverage="0" operator="equal" aboveAverage="0" dxfId="10" text="" percent="0" bottom="0">
      <formula>"Evet"</formula>
    </cfRule>
  </conditionalFormatting>
  <conditionalFormatting sqref="D901">
    <cfRule type="cellIs" rank="0" priority="1790" equalAverage="0" operator="greaterThan" aboveAverage="0" dxfId="8" text="" percent="0" bottom="0">
      <formula>0</formula>
    </cfRule>
  </conditionalFormatting>
  <conditionalFormatting sqref="E901">
    <cfRule type="cellIs" rank="0" priority="1791" equalAverage="0" operator="equal" aboveAverage="0" dxfId="10" text="" percent="0" bottom="0">
      <formula>"Evet"</formula>
    </cfRule>
  </conditionalFormatting>
  <conditionalFormatting sqref="D902">
    <cfRule type="cellIs" rank="0" priority="1792" equalAverage="0" operator="greaterThan" aboveAverage="0" dxfId="8" text="" percent="0" bottom="0">
      <formula>0</formula>
    </cfRule>
  </conditionalFormatting>
  <conditionalFormatting sqref="E902">
    <cfRule type="cellIs" rank="0" priority="1793" equalAverage="0" operator="equal" aboveAverage="0" dxfId="10" text="" percent="0" bottom="0">
      <formula>"Evet"</formula>
    </cfRule>
  </conditionalFormatting>
  <conditionalFormatting sqref="D903">
    <cfRule type="cellIs" rank="0" priority="1794" equalAverage="0" operator="greaterThan" aboveAverage="0" dxfId="8" text="" percent="0" bottom="0">
      <formula>0</formula>
    </cfRule>
  </conditionalFormatting>
  <conditionalFormatting sqref="E903">
    <cfRule type="cellIs" rank="0" priority="1795" equalAverage="0" operator="equal" aboveAverage="0" dxfId="10" text="" percent="0" bottom="0">
      <formula>"Evet"</formula>
    </cfRule>
  </conditionalFormatting>
  <conditionalFormatting sqref="D904">
    <cfRule type="cellIs" rank="0" priority="1796" equalAverage="0" operator="greaterThan" aboveAverage="0" dxfId="8" text="" percent="0" bottom="0">
      <formula>0</formula>
    </cfRule>
  </conditionalFormatting>
  <conditionalFormatting sqref="E904">
    <cfRule type="cellIs" rank="0" priority="1797" equalAverage="0" operator="equal" aboveAverage="0" dxfId="10" text="" percent="0" bottom="0">
      <formula>"Evet"</formula>
    </cfRule>
  </conditionalFormatting>
  <conditionalFormatting sqref="D905">
    <cfRule type="cellIs" rank="0" priority="1798" equalAverage="0" operator="greaterThan" aboveAverage="0" dxfId="8" text="" percent="0" bottom="0">
      <formula>0</formula>
    </cfRule>
  </conditionalFormatting>
  <conditionalFormatting sqref="E905">
    <cfRule type="cellIs" rank="0" priority="1799" equalAverage="0" operator="equal" aboveAverage="0" dxfId="10" text="" percent="0" bottom="0">
      <formula>"Evet"</formula>
    </cfRule>
  </conditionalFormatting>
  <conditionalFormatting sqref="D906">
    <cfRule type="cellIs" rank="0" priority="1800" equalAverage="0" operator="greaterThan" aboveAverage="0" dxfId="8" text="" percent="0" bottom="0">
      <formula>0</formula>
    </cfRule>
  </conditionalFormatting>
  <conditionalFormatting sqref="E906">
    <cfRule type="cellIs" rank="0" priority="1801" equalAverage="0" operator="equal" aboveAverage="0" dxfId="10" text="" percent="0" bottom="0">
      <formula>"Evet"</formula>
    </cfRule>
  </conditionalFormatting>
  <conditionalFormatting sqref="D907">
    <cfRule type="cellIs" rank="0" priority="1802" equalAverage="0" operator="greaterThan" aboveAverage="0" dxfId="8" text="" percent="0" bottom="0">
      <formula>0</formula>
    </cfRule>
  </conditionalFormatting>
  <conditionalFormatting sqref="E907">
    <cfRule type="cellIs" rank="0" priority="1803" equalAverage="0" operator="equal" aboveAverage="0" dxfId="10" text="" percent="0" bottom="0">
      <formula>"Evet"</formula>
    </cfRule>
  </conditionalFormatting>
  <conditionalFormatting sqref="D908">
    <cfRule type="cellIs" rank="0" priority="1804" equalAverage="0" operator="greaterThan" aboveAverage="0" dxfId="8" text="" percent="0" bottom="0">
      <formula>0</formula>
    </cfRule>
  </conditionalFormatting>
  <conditionalFormatting sqref="E908">
    <cfRule type="cellIs" rank="0" priority="1805" equalAverage="0" operator="equal" aboveAverage="0" dxfId="10" text="" percent="0" bottom="0">
      <formula>"Evet"</formula>
    </cfRule>
  </conditionalFormatting>
  <conditionalFormatting sqref="D909">
    <cfRule type="cellIs" rank="0" priority="1806" equalAverage="0" operator="greaterThan" aboveAverage="0" dxfId="8" text="" percent="0" bottom="0">
      <formula>0</formula>
    </cfRule>
  </conditionalFormatting>
  <conditionalFormatting sqref="E909">
    <cfRule type="cellIs" rank="0" priority="1807" equalAverage="0" operator="equal" aboveAverage="0" dxfId="10" text="" percent="0" bottom="0">
      <formula>"Evet"</formula>
    </cfRule>
  </conditionalFormatting>
  <conditionalFormatting sqref="D910">
    <cfRule type="cellIs" rank="0" priority="1808" equalAverage="0" operator="greaterThan" aboveAverage="0" dxfId="8" text="" percent="0" bottom="0">
      <formula>0</formula>
    </cfRule>
  </conditionalFormatting>
  <conditionalFormatting sqref="E910">
    <cfRule type="cellIs" rank="0" priority="1809" equalAverage="0" operator="equal" aboveAverage="0" dxfId="10" text="" percent="0" bottom="0">
      <formula>"Evet"</formula>
    </cfRule>
  </conditionalFormatting>
  <conditionalFormatting sqref="D911">
    <cfRule type="cellIs" rank="0" priority="1810" equalAverage="0" operator="greaterThan" aboveAverage="0" dxfId="8" text="" percent="0" bottom="0">
      <formula>0</formula>
    </cfRule>
  </conditionalFormatting>
  <conditionalFormatting sqref="E911">
    <cfRule type="cellIs" rank="0" priority="1811" equalAverage="0" operator="equal" aboveAverage="0" dxfId="10" text="" percent="0" bottom="0">
      <formula>"Evet"</formula>
    </cfRule>
  </conditionalFormatting>
  <conditionalFormatting sqref="D912">
    <cfRule type="cellIs" rank="0" priority="1812" equalAverage="0" operator="greaterThan" aboveAverage="0" dxfId="8" text="" percent="0" bottom="0">
      <formula>0</formula>
    </cfRule>
  </conditionalFormatting>
  <conditionalFormatting sqref="E912">
    <cfRule type="cellIs" rank="0" priority="1813" equalAverage="0" operator="equal" aboveAverage="0" dxfId="10" text="" percent="0" bottom="0">
      <formula>"Evet"</formula>
    </cfRule>
  </conditionalFormatting>
  <conditionalFormatting sqref="D913">
    <cfRule type="cellIs" rank="0" priority="1814" equalAverage="0" operator="greaterThan" aboveAverage="0" dxfId="8" text="" percent="0" bottom="0">
      <formula>0</formula>
    </cfRule>
  </conditionalFormatting>
  <conditionalFormatting sqref="E913">
    <cfRule type="cellIs" rank="0" priority="1815" equalAverage="0" operator="equal" aboveAverage="0" dxfId="10" text="" percent="0" bottom="0">
      <formula>"Evet"</formula>
    </cfRule>
  </conditionalFormatting>
  <conditionalFormatting sqref="D914">
    <cfRule type="cellIs" rank="0" priority="1816" equalAverage="0" operator="greaterThan" aboveAverage="0" dxfId="8" text="" percent="0" bottom="0">
      <formula>0</formula>
    </cfRule>
  </conditionalFormatting>
  <conditionalFormatting sqref="E914">
    <cfRule type="cellIs" rank="0" priority="1817" equalAverage="0" operator="equal" aboveAverage="0" dxfId="10" text="" percent="0" bottom="0">
      <formula>"Evet"</formula>
    </cfRule>
  </conditionalFormatting>
  <conditionalFormatting sqref="D915">
    <cfRule type="cellIs" rank="0" priority="1818" equalAverage="0" operator="greaterThan" aboveAverage="0" dxfId="8" text="" percent="0" bottom="0">
      <formula>0</formula>
    </cfRule>
  </conditionalFormatting>
  <conditionalFormatting sqref="E915">
    <cfRule type="cellIs" rank="0" priority="1819" equalAverage="0" operator="equal" aboveAverage="0" dxfId="10" text="" percent="0" bottom="0">
      <formula>"Evet"</formula>
    </cfRule>
  </conditionalFormatting>
  <conditionalFormatting sqref="D916">
    <cfRule type="cellIs" rank="0" priority="1820" equalAverage="0" operator="greaterThan" aboveAverage="0" dxfId="8" text="" percent="0" bottom="0">
      <formula>0</formula>
    </cfRule>
  </conditionalFormatting>
  <conditionalFormatting sqref="E916">
    <cfRule type="cellIs" rank="0" priority="1821" equalAverage="0" operator="equal" aboveAverage="0" dxfId="10" text="" percent="0" bottom="0">
      <formula>"Evet"</formula>
    </cfRule>
  </conditionalFormatting>
  <conditionalFormatting sqref="D917">
    <cfRule type="cellIs" rank="0" priority="1822" equalAverage="0" operator="greaterThan" aboveAverage="0" dxfId="8" text="" percent="0" bottom="0">
      <formula>0</formula>
    </cfRule>
  </conditionalFormatting>
  <conditionalFormatting sqref="E917">
    <cfRule type="cellIs" rank="0" priority="1823" equalAverage="0" operator="equal" aboveAverage="0" dxfId="10" text="" percent="0" bottom="0">
      <formula>"Evet"</formula>
    </cfRule>
  </conditionalFormatting>
  <conditionalFormatting sqref="D918">
    <cfRule type="cellIs" rank="0" priority="1824" equalAverage="0" operator="greaterThan" aboveAverage="0" dxfId="8" text="" percent="0" bottom="0">
      <formula>0</formula>
    </cfRule>
  </conditionalFormatting>
  <conditionalFormatting sqref="E918">
    <cfRule type="cellIs" rank="0" priority="1825" equalAverage="0" operator="equal" aboveAverage="0" dxfId="10" text="" percent="0" bottom="0">
      <formula>"Evet"</formula>
    </cfRule>
  </conditionalFormatting>
  <conditionalFormatting sqref="D919">
    <cfRule type="cellIs" rank="0" priority="1826" equalAverage="0" operator="greaterThan" aboveAverage="0" dxfId="8" text="" percent="0" bottom="0">
      <formula>0</formula>
    </cfRule>
  </conditionalFormatting>
  <conditionalFormatting sqref="E919">
    <cfRule type="cellIs" rank="0" priority="1827" equalAverage="0" operator="equal" aboveAverage="0" dxfId="10" text="" percent="0" bottom="0">
      <formula>"Evet"</formula>
    </cfRule>
  </conditionalFormatting>
  <conditionalFormatting sqref="D920">
    <cfRule type="cellIs" rank="0" priority="1828" equalAverage="0" operator="greaterThan" aboveAverage="0" dxfId="8" text="" percent="0" bottom="0">
      <formula>0</formula>
    </cfRule>
  </conditionalFormatting>
  <conditionalFormatting sqref="E920">
    <cfRule type="cellIs" rank="0" priority="1829" equalAverage="0" operator="equal" aboveAverage="0" dxfId="10" text="" percent="0" bottom="0">
      <formula>"Evet"</formula>
    </cfRule>
  </conditionalFormatting>
  <conditionalFormatting sqref="D921">
    <cfRule type="cellIs" rank="0" priority="1830" equalAverage="0" operator="greaterThan" aboveAverage="0" dxfId="8" text="" percent="0" bottom="0">
      <formula>0</formula>
    </cfRule>
  </conditionalFormatting>
  <conditionalFormatting sqref="E921">
    <cfRule type="cellIs" rank="0" priority="1831" equalAverage="0" operator="equal" aboveAverage="0" dxfId="10" text="" percent="0" bottom="0">
      <formula>"Evet"</formula>
    </cfRule>
  </conditionalFormatting>
  <conditionalFormatting sqref="D922">
    <cfRule type="cellIs" rank="0" priority="1832" equalAverage="0" operator="greaterThan" aboveAverage="0" dxfId="8" text="" percent="0" bottom="0">
      <formula>0</formula>
    </cfRule>
  </conditionalFormatting>
  <conditionalFormatting sqref="E922">
    <cfRule type="cellIs" rank="0" priority="1833" equalAverage="0" operator="equal" aboveAverage="0" dxfId="10" text="" percent="0" bottom="0">
      <formula>"Evet"</formula>
    </cfRule>
  </conditionalFormatting>
  <conditionalFormatting sqref="D923">
    <cfRule type="cellIs" rank="0" priority="1834" equalAverage="0" operator="greaterThan" aboveAverage="0" dxfId="8" text="" percent="0" bottom="0">
      <formula>0</formula>
    </cfRule>
  </conditionalFormatting>
  <conditionalFormatting sqref="E923">
    <cfRule type="cellIs" rank="0" priority="1835" equalAverage="0" operator="equal" aboveAverage="0" dxfId="10" text="" percent="0" bottom="0">
      <formula>"Evet"</formula>
    </cfRule>
  </conditionalFormatting>
  <conditionalFormatting sqref="D924">
    <cfRule type="cellIs" rank="0" priority="1836" equalAverage="0" operator="greaterThan" aboveAverage="0" dxfId="8" text="" percent="0" bottom="0">
      <formula>0</formula>
    </cfRule>
  </conditionalFormatting>
  <conditionalFormatting sqref="E924">
    <cfRule type="cellIs" rank="0" priority="1837" equalAverage="0" operator="equal" aboveAverage="0" dxfId="10" text="" percent="0" bottom="0">
      <formula>"Evet"</formula>
    </cfRule>
  </conditionalFormatting>
  <conditionalFormatting sqref="D925">
    <cfRule type="cellIs" rank="0" priority="1838" equalAverage="0" operator="greaterThan" aboveAverage="0" dxfId="8" text="" percent="0" bottom="0">
      <formula>0</formula>
    </cfRule>
  </conditionalFormatting>
  <conditionalFormatting sqref="E925">
    <cfRule type="cellIs" rank="0" priority="1839" equalAverage="0" operator="equal" aboveAverage="0" dxfId="10" text="" percent="0" bottom="0">
      <formula>"Evet"</formula>
    </cfRule>
  </conditionalFormatting>
  <conditionalFormatting sqref="D926">
    <cfRule type="cellIs" rank="0" priority="1840" equalAverage="0" operator="greaterThan" aboveAverage="0" dxfId="8" text="" percent="0" bottom="0">
      <formula>0</formula>
    </cfRule>
  </conditionalFormatting>
  <conditionalFormatting sqref="E926">
    <cfRule type="cellIs" rank="0" priority="1841" equalAverage="0" operator="equal" aboveAverage="0" dxfId="10" text="" percent="0" bottom="0">
      <formula>"Evet"</formula>
    </cfRule>
  </conditionalFormatting>
  <conditionalFormatting sqref="D927">
    <cfRule type="cellIs" rank="0" priority="1842" equalAverage="0" operator="greaterThan" aboveAverage="0" dxfId="8" text="" percent="0" bottom="0">
      <formula>0</formula>
    </cfRule>
  </conditionalFormatting>
  <conditionalFormatting sqref="E927">
    <cfRule type="cellIs" rank="0" priority="1843" equalAverage="0" operator="equal" aboveAverage="0" dxfId="10" text="" percent="0" bottom="0">
      <formula>"Evet"</formula>
    </cfRule>
  </conditionalFormatting>
  <conditionalFormatting sqref="D928">
    <cfRule type="cellIs" rank="0" priority="1844" equalAverage="0" operator="greaterThan" aboveAverage="0" dxfId="8" text="" percent="0" bottom="0">
      <formula>0</formula>
    </cfRule>
  </conditionalFormatting>
  <conditionalFormatting sqref="E928">
    <cfRule type="cellIs" rank="0" priority="1845" equalAverage="0" operator="equal" aboveAverage="0" dxfId="10" text="" percent="0" bottom="0">
      <formula>"Evet"</formula>
    </cfRule>
  </conditionalFormatting>
  <conditionalFormatting sqref="D929">
    <cfRule type="cellIs" rank="0" priority="1846" equalAverage="0" operator="greaterThan" aboveAverage="0" dxfId="8" text="" percent="0" bottom="0">
      <formula>0</formula>
    </cfRule>
  </conditionalFormatting>
  <conditionalFormatting sqref="E929">
    <cfRule type="cellIs" rank="0" priority="1847" equalAverage="0" operator="equal" aboveAverage="0" dxfId="10" text="" percent="0" bottom="0">
      <formula>"Evet"</formula>
    </cfRule>
  </conditionalFormatting>
  <conditionalFormatting sqref="D930">
    <cfRule type="cellIs" rank="0" priority="1848" equalAverage="0" operator="greaterThan" aboveAverage="0" dxfId="8" text="" percent="0" bottom="0">
      <formula>0</formula>
    </cfRule>
  </conditionalFormatting>
  <conditionalFormatting sqref="E930">
    <cfRule type="cellIs" rank="0" priority="1849" equalAverage="0" operator="equal" aboveAverage="0" dxfId="10" text="" percent="0" bottom="0">
      <formula>"Evet"</formula>
    </cfRule>
  </conditionalFormatting>
  <conditionalFormatting sqref="D931">
    <cfRule type="cellIs" rank="0" priority="1850" equalAverage="0" operator="greaterThan" aboveAverage="0" dxfId="8" text="" percent="0" bottom="0">
      <formula>0</formula>
    </cfRule>
  </conditionalFormatting>
  <conditionalFormatting sqref="E931">
    <cfRule type="cellIs" rank="0" priority="1851" equalAverage="0" operator="equal" aboveAverage="0" dxfId="10" text="" percent="0" bottom="0">
      <formula>"Evet"</formula>
    </cfRule>
  </conditionalFormatting>
  <conditionalFormatting sqref="D932">
    <cfRule type="cellIs" rank="0" priority="1852" equalAverage="0" operator="greaterThan" aboveAverage="0" dxfId="8" text="" percent="0" bottom="0">
      <formula>0</formula>
    </cfRule>
  </conditionalFormatting>
  <conditionalFormatting sqref="E932">
    <cfRule type="cellIs" rank="0" priority="1853" equalAverage="0" operator="equal" aboveAverage="0" dxfId="10" text="" percent="0" bottom="0">
      <formula>"Evet"</formula>
    </cfRule>
  </conditionalFormatting>
  <conditionalFormatting sqref="D933">
    <cfRule type="cellIs" rank="0" priority="1854" equalAverage="0" operator="greaterThan" aboveAverage="0" dxfId="8" text="" percent="0" bottom="0">
      <formula>0</formula>
    </cfRule>
  </conditionalFormatting>
  <conditionalFormatting sqref="E933">
    <cfRule type="cellIs" rank="0" priority="1855" equalAverage="0" operator="equal" aboveAverage="0" dxfId="10" text="" percent="0" bottom="0">
      <formula>"Evet"</formula>
    </cfRule>
  </conditionalFormatting>
  <conditionalFormatting sqref="D934">
    <cfRule type="cellIs" rank="0" priority="1856" equalAverage="0" operator="greaterThan" aboveAverage="0" dxfId="8" text="" percent="0" bottom="0">
      <formula>0</formula>
    </cfRule>
  </conditionalFormatting>
  <conditionalFormatting sqref="E934">
    <cfRule type="cellIs" rank="0" priority="1857" equalAverage="0" operator="equal" aboveAverage="0" dxfId="10" text="" percent="0" bottom="0">
      <formula>"Evet"</formula>
    </cfRule>
  </conditionalFormatting>
  <conditionalFormatting sqref="D935">
    <cfRule type="cellIs" rank="0" priority="1858" equalAverage="0" operator="greaterThan" aboveAverage="0" dxfId="8" text="" percent="0" bottom="0">
      <formula>0</formula>
    </cfRule>
  </conditionalFormatting>
  <conditionalFormatting sqref="E935">
    <cfRule type="cellIs" rank="0" priority="1859" equalAverage="0" operator="equal" aboveAverage="0" dxfId="10" text="" percent="0" bottom="0">
      <formula>"Evet"</formula>
    </cfRule>
  </conditionalFormatting>
  <conditionalFormatting sqref="D936">
    <cfRule type="cellIs" rank="0" priority="1860" equalAverage="0" operator="greaterThan" aboveAverage="0" dxfId="8" text="" percent="0" bottom="0">
      <formula>0</formula>
    </cfRule>
  </conditionalFormatting>
  <conditionalFormatting sqref="E936">
    <cfRule type="cellIs" rank="0" priority="1861" equalAverage="0" operator="equal" aboveAverage="0" dxfId="10" text="" percent="0" bottom="0">
      <formula>"Evet"</formula>
    </cfRule>
  </conditionalFormatting>
  <conditionalFormatting sqref="D937">
    <cfRule type="cellIs" rank="0" priority="1862" equalAverage="0" operator="greaterThan" aboveAverage="0" dxfId="8" text="" percent="0" bottom="0">
      <formula>0</formula>
    </cfRule>
  </conditionalFormatting>
  <conditionalFormatting sqref="E937">
    <cfRule type="cellIs" rank="0" priority="1863" equalAverage="0" operator="equal" aboveAverage="0" dxfId="10" text="" percent="0" bottom="0">
      <formula>"Evet"</formula>
    </cfRule>
  </conditionalFormatting>
  <conditionalFormatting sqref="D938">
    <cfRule type="cellIs" rank="0" priority="1864" equalAverage="0" operator="greaterThan" aboveAverage="0" dxfId="8" text="" percent="0" bottom="0">
      <formula>0</formula>
    </cfRule>
  </conditionalFormatting>
  <conditionalFormatting sqref="E938">
    <cfRule type="cellIs" rank="0" priority="1865" equalAverage="0" operator="equal" aboveAverage="0" dxfId="10" text="" percent="0" bottom="0">
      <formula>"Evet"</formula>
    </cfRule>
  </conditionalFormatting>
  <conditionalFormatting sqref="D939">
    <cfRule type="cellIs" rank="0" priority="1866" equalAverage="0" operator="greaterThan" aboveAverage="0" dxfId="8" text="" percent="0" bottom="0">
      <formula>0</formula>
    </cfRule>
  </conditionalFormatting>
  <conditionalFormatting sqref="E939">
    <cfRule type="cellIs" rank="0" priority="1867" equalAverage="0" operator="equal" aboveAverage="0" dxfId="10" text="" percent="0" bottom="0">
      <formula>"Evet"</formula>
    </cfRule>
  </conditionalFormatting>
  <conditionalFormatting sqref="D940">
    <cfRule type="cellIs" rank="0" priority="1868" equalAverage="0" operator="greaterThan" aboveAverage="0" dxfId="8" text="" percent="0" bottom="0">
      <formula>0</formula>
    </cfRule>
  </conditionalFormatting>
  <conditionalFormatting sqref="E940">
    <cfRule type="cellIs" rank="0" priority="1869" equalAverage="0" operator="equal" aboveAverage="0" dxfId="10" text="" percent="0" bottom="0">
      <formula>"Evet"</formula>
    </cfRule>
  </conditionalFormatting>
  <conditionalFormatting sqref="D941">
    <cfRule type="cellIs" rank="0" priority="1870" equalAverage="0" operator="greaterThan" aboveAverage="0" dxfId="8" text="" percent="0" bottom="0">
      <formula>0</formula>
    </cfRule>
  </conditionalFormatting>
  <conditionalFormatting sqref="E941">
    <cfRule type="cellIs" rank="0" priority="1871" equalAverage="0" operator="equal" aboveAverage="0" dxfId="10" text="" percent="0" bottom="0">
      <formula>"Evet"</formula>
    </cfRule>
  </conditionalFormatting>
  <conditionalFormatting sqref="D942">
    <cfRule type="cellIs" rank="0" priority="1872" equalAverage="0" operator="greaterThan" aboveAverage="0" dxfId="8" text="" percent="0" bottom="0">
      <formula>0</formula>
    </cfRule>
  </conditionalFormatting>
  <conditionalFormatting sqref="E942">
    <cfRule type="cellIs" rank="0" priority="1873" equalAverage="0" operator="equal" aboveAverage="0" dxfId="10" text="" percent="0" bottom="0">
      <formula>"Evet"</formula>
    </cfRule>
  </conditionalFormatting>
  <conditionalFormatting sqref="D943">
    <cfRule type="cellIs" rank="0" priority="1874" equalAverage="0" operator="greaterThan" aboveAverage="0" dxfId="8" text="" percent="0" bottom="0">
      <formula>0</formula>
    </cfRule>
  </conditionalFormatting>
  <conditionalFormatting sqref="E943">
    <cfRule type="cellIs" rank="0" priority="1875" equalAverage="0" operator="equal" aboveAverage="0" dxfId="10" text="" percent="0" bottom="0">
      <formula>"Evet"</formula>
    </cfRule>
  </conditionalFormatting>
  <conditionalFormatting sqref="D944">
    <cfRule type="cellIs" rank="0" priority="1876" equalAverage="0" operator="greaterThan" aboveAverage="0" dxfId="8" text="" percent="0" bottom="0">
      <formula>0</formula>
    </cfRule>
  </conditionalFormatting>
  <conditionalFormatting sqref="E944">
    <cfRule type="cellIs" rank="0" priority="1877" equalAverage="0" operator="equal" aboveAverage="0" dxfId="10" text="" percent="0" bottom="0">
      <formula>"Evet"</formula>
    </cfRule>
  </conditionalFormatting>
  <conditionalFormatting sqref="D945">
    <cfRule type="cellIs" rank="0" priority="1878" equalAverage="0" operator="greaterThan" aboveAverage="0" dxfId="8" text="" percent="0" bottom="0">
      <formula>0</formula>
    </cfRule>
  </conditionalFormatting>
  <conditionalFormatting sqref="E945">
    <cfRule type="cellIs" rank="0" priority="1879" equalAverage="0" operator="equal" aboveAverage="0" dxfId="10" text="" percent="0" bottom="0">
      <formula>"Evet"</formula>
    </cfRule>
  </conditionalFormatting>
  <conditionalFormatting sqref="D946">
    <cfRule type="cellIs" rank="0" priority="1880" equalAverage="0" operator="greaterThan" aboveAverage="0" dxfId="8" text="" percent="0" bottom="0">
      <formula>0</formula>
    </cfRule>
  </conditionalFormatting>
  <conditionalFormatting sqref="E946">
    <cfRule type="cellIs" rank="0" priority="1881" equalAverage="0" operator="equal" aboveAverage="0" dxfId="10" text="" percent="0" bottom="0">
      <formula>"Evet"</formula>
    </cfRule>
  </conditionalFormatting>
  <conditionalFormatting sqref="D947">
    <cfRule type="cellIs" rank="0" priority="1882" equalAverage="0" operator="greaterThan" aboveAverage="0" dxfId="8" text="" percent="0" bottom="0">
      <formula>0</formula>
    </cfRule>
  </conditionalFormatting>
  <conditionalFormatting sqref="E947">
    <cfRule type="cellIs" rank="0" priority="1883" equalAverage="0" operator="equal" aboveAverage="0" dxfId="10" text="" percent="0" bottom="0">
      <formula>"Evet"</formula>
    </cfRule>
  </conditionalFormatting>
  <conditionalFormatting sqref="D948">
    <cfRule type="cellIs" rank="0" priority="1884" equalAverage="0" operator="greaterThan" aboveAverage="0" dxfId="8" text="" percent="0" bottom="0">
      <formula>0</formula>
    </cfRule>
  </conditionalFormatting>
  <conditionalFormatting sqref="E948">
    <cfRule type="cellIs" rank="0" priority="1885" equalAverage="0" operator="equal" aboveAverage="0" dxfId="10" text="" percent="0" bottom="0">
      <formula>"Evet"</formula>
    </cfRule>
  </conditionalFormatting>
  <conditionalFormatting sqref="D949">
    <cfRule type="cellIs" rank="0" priority="1886" equalAverage="0" operator="greaterThan" aboveAverage="0" dxfId="8" text="" percent="0" bottom="0">
      <formula>0</formula>
    </cfRule>
  </conditionalFormatting>
  <conditionalFormatting sqref="E949">
    <cfRule type="cellIs" rank="0" priority="1887" equalAverage="0" operator="equal" aboveAverage="0" dxfId="10" text="" percent="0" bottom="0">
      <formula>"Evet"</formula>
    </cfRule>
  </conditionalFormatting>
  <conditionalFormatting sqref="D950">
    <cfRule type="cellIs" rank="0" priority="1888" equalAverage="0" operator="greaterThan" aboveAverage="0" dxfId="8" text="" percent="0" bottom="0">
      <formula>0</formula>
    </cfRule>
  </conditionalFormatting>
  <conditionalFormatting sqref="E950">
    <cfRule type="cellIs" rank="0" priority="1889" equalAverage="0" operator="equal" aboveAverage="0" dxfId="10" text="" percent="0" bottom="0">
      <formula>"Evet"</formula>
    </cfRule>
  </conditionalFormatting>
  <conditionalFormatting sqref="D951">
    <cfRule type="cellIs" rank="0" priority="1890" equalAverage="0" operator="greaterThan" aboveAverage="0" dxfId="8" text="" percent="0" bottom="0">
      <formula>0</formula>
    </cfRule>
  </conditionalFormatting>
  <conditionalFormatting sqref="E951">
    <cfRule type="cellIs" rank="0" priority="1891" equalAverage="0" operator="equal" aboveAverage="0" dxfId="10" text="" percent="0" bottom="0">
      <formula>"Evet"</formula>
    </cfRule>
  </conditionalFormatting>
  <conditionalFormatting sqref="D952">
    <cfRule type="cellIs" rank="0" priority="1892" equalAverage="0" operator="greaterThan" aboveAverage="0" dxfId="8" text="" percent="0" bottom="0">
      <formula>0</formula>
    </cfRule>
  </conditionalFormatting>
  <conditionalFormatting sqref="E952">
    <cfRule type="cellIs" rank="0" priority="1893" equalAverage="0" operator="equal" aboveAverage="0" dxfId="10" text="" percent="0" bottom="0">
      <formula>"Evet"</formula>
    </cfRule>
  </conditionalFormatting>
  <conditionalFormatting sqref="D953">
    <cfRule type="cellIs" rank="0" priority="1894" equalAverage="0" operator="greaterThan" aboveAverage="0" dxfId="8" text="" percent="0" bottom="0">
      <formula>0</formula>
    </cfRule>
  </conditionalFormatting>
  <conditionalFormatting sqref="E953">
    <cfRule type="cellIs" rank="0" priority="1895" equalAverage="0" operator="equal" aboveAverage="0" dxfId="10" text="" percent="0" bottom="0">
      <formula>"Evet"</formula>
    </cfRule>
  </conditionalFormatting>
  <conditionalFormatting sqref="D954">
    <cfRule type="cellIs" rank="0" priority="1896" equalAverage="0" operator="greaterThan" aboveAverage="0" dxfId="8" text="" percent="0" bottom="0">
      <formula>0</formula>
    </cfRule>
  </conditionalFormatting>
  <conditionalFormatting sqref="E954">
    <cfRule type="cellIs" rank="0" priority="1897" equalAverage="0" operator="equal" aboveAverage="0" dxfId="10" text="" percent="0" bottom="0">
      <formula>"Evet"</formula>
    </cfRule>
  </conditionalFormatting>
  <conditionalFormatting sqref="D955">
    <cfRule type="cellIs" rank="0" priority="1898" equalAverage="0" operator="greaterThan" aboveAverage="0" dxfId="8" text="" percent="0" bottom="0">
      <formula>0</formula>
    </cfRule>
  </conditionalFormatting>
  <conditionalFormatting sqref="E955">
    <cfRule type="cellIs" rank="0" priority="1899" equalAverage="0" operator="equal" aboveAverage="0" dxfId="10" text="" percent="0" bottom="0">
      <formula>"Evet"</formula>
    </cfRule>
  </conditionalFormatting>
  <conditionalFormatting sqref="D956">
    <cfRule type="cellIs" rank="0" priority="1900" equalAverage="0" operator="greaterThan" aboveAverage="0" dxfId="8" text="" percent="0" bottom="0">
      <formula>0</formula>
    </cfRule>
  </conditionalFormatting>
  <conditionalFormatting sqref="E956">
    <cfRule type="cellIs" rank="0" priority="1901" equalAverage="0" operator="equal" aboveAverage="0" dxfId="10" text="" percent="0" bottom="0">
      <formula>"Evet"</formula>
    </cfRule>
  </conditionalFormatting>
  <conditionalFormatting sqref="D957">
    <cfRule type="cellIs" rank="0" priority="1902" equalAverage="0" operator="greaterThan" aboveAverage="0" dxfId="8" text="" percent="0" bottom="0">
      <formula>0</formula>
    </cfRule>
  </conditionalFormatting>
  <conditionalFormatting sqref="E957">
    <cfRule type="cellIs" rank="0" priority="1903" equalAverage="0" operator="equal" aboveAverage="0" dxfId="10" text="" percent="0" bottom="0">
      <formula>"Evet"</formula>
    </cfRule>
  </conditionalFormatting>
  <conditionalFormatting sqref="D958">
    <cfRule type="cellIs" rank="0" priority="1904" equalAverage="0" operator="greaterThan" aboveAverage="0" dxfId="8" text="" percent="0" bottom="0">
      <formula>0</formula>
    </cfRule>
  </conditionalFormatting>
  <conditionalFormatting sqref="E958">
    <cfRule type="cellIs" rank="0" priority="1905" equalAverage="0" operator="equal" aboveAverage="0" dxfId="10" text="" percent="0" bottom="0">
      <formula>"Evet"</formula>
    </cfRule>
  </conditionalFormatting>
  <conditionalFormatting sqref="D959">
    <cfRule type="cellIs" rank="0" priority="1906" equalAverage="0" operator="greaterThan" aboveAverage="0" dxfId="8" text="" percent="0" bottom="0">
      <formula>0</formula>
    </cfRule>
  </conditionalFormatting>
  <conditionalFormatting sqref="E959">
    <cfRule type="cellIs" rank="0" priority="1907" equalAverage="0" operator="equal" aboveAverage="0" dxfId="10" text="" percent="0" bottom="0">
      <formula>"Evet"</formula>
    </cfRule>
  </conditionalFormatting>
  <conditionalFormatting sqref="D960">
    <cfRule type="cellIs" rank="0" priority="1908" equalAverage="0" operator="greaterThan" aboveAverage="0" dxfId="8" text="" percent="0" bottom="0">
      <formula>0</formula>
    </cfRule>
  </conditionalFormatting>
  <conditionalFormatting sqref="E960">
    <cfRule type="cellIs" rank="0" priority="1909" equalAverage="0" operator="equal" aboveAverage="0" dxfId="10" text="" percent="0" bottom="0">
      <formula>"Evet"</formula>
    </cfRule>
  </conditionalFormatting>
  <conditionalFormatting sqref="D961">
    <cfRule type="cellIs" rank="0" priority="1910" equalAverage="0" operator="greaterThan" aboveAverage="0" dxfId="8" text="" percent="0" bottom="0">
      <formula>0</formula>
    </cfRule>
  </conditionalFormatting>
  <conditionalFormatting sqref="E961">
    <cfRule type="cellIs" rank="0" priority="1911" equalAverage="0" operator="equal" aboveAverage="0" dxfId="10" text="" percent="0" bottom="0">
      <formula>"Evet"</formula>
    </cfRule>
  </conditionalFormatting>
  <conditionalFormatting sqref="D962">
    <cfRule type="cellIs" rank="0" priority="1912" equalAverage="0" operator="greaterThan" aboveAverage="0" dxfId="8" text="" percent="0" bottom="0">
      <formula>0</formula>
    </cfRule>
  </conditionalFormatting>
  <conditionalFormatting sqref="E962">
    <cfRule type="cellIs" rank="0" priority="1913" equalAverage="0" operator="equal" aboveAverage="0" dxfId="10" text="" percent="0" bottom="0">
      <formula>"Evet"</formula>
    </cfRule>
  </conditionalFormatting>
  <conditionalFormatting sqref="D963">
    <cfRule type="cellIs" rank="0" priority="1914" equalAverage="0" operator="greaterThan" aboveAverage="0" dxfId="8" text="" percent="0" bottom="0">
      <formula>0</formula>
    </cfRule>
  </conditionalFormatting>
  <conditionalFormatting sqref="E963">
    <cfRule type="cellIs" rank="0" priority="1915" equalAverage="0" operator="equal" aboveAverage="0" dxfId="10" text="" percent="0" bottom="0">
      <formula>"Evet"</formula>
    </cfRule>
  </conditionalFormatting>
  <conditionalFormatting sqref="D964">
    <cfRule type="cellIs" rank="0" priority="1916" equalAverage="0" operator="greaterThan" aboveAverage="0" dxfId="8" text="" percent="0" bottom="0">
      <formula>0</formula>
    </cfRule>
  </conditionalFormatting>
  <conditionalFormatting sqref="E964">
    <cfRule type="cellIs" rank="0" priority="1917" equalAverage="0" operator="equal" aboveAverage="0" dxfId="10" text="" percent="0" bottom="0">
      <formula>"Evet"</formula>
    </cfRule>
  </conditionalFormatting>
  <conditionalFormatting sqref="D965">
    <cfRule type="cellIs" rank="0" priority="1918" equalAverage="0" operator="greaterThan" aboveAverage="0" dxfId="8" text="" percent="0" bottom="0">
      <formula>0</formula>
    </cfRule>
  </conditionalFormatting>
  <conditionalFormatting sqref="E965">
    <cfRule type="cellIs" rank="0" priority="1919" equalAverage="0" operator="equal" aboveAverage="0" dxfId="10" text="" percent="0" bottom="0">
      <formula>"Evet"</formula>
    </cfRule>
  </conditionalFormatting>
  <conditionalFormatting sqref="D966">
    <cfRule type="cellIs" rank="0" priority="1920" equalAverage="0" operator="greaterThan" aboveAverage="0" dxfId="8" text="" percent="0" bottom="0">
      <formula>0</formula>
    </cfRule>
  </conditionalFormatting>
  <conditionalFormatting sqref="E966">
    <cfRule type="cellIs" rank="0" priority="1921" equalAverage="0" operator="equal" aboveAverage="0" dxfId="10" text="" percent="0" bottom="0">
      <formula>"Evet"</formula>
    </cfRule>
  </conditionalFormatting>
  <conditionalFormatting sqref="D967">
    <cfRule type="cellIs" rank="0" priority="1922" equalAverage="0" operator="greaterThan" aboveAverage="0" dxfId="8" text="" percent="0" bottom="0">
      <formula>0</formula>
    </cfRule>
  </conditionalFormatting>
  <conditionalFormatting sqref="E967">
    <cfRule type="cellIs" rank="0" priority="1923" equalAverage="0" operator="equal" aboveAverage="0" dxfId="10" text="" percent="0" bottom="0">
      <formula>"Evet"</formula>
    </cfRule>
  </conditionalFormatting>
  <conditionalFormatting sqref="D968">
    <cfRule type="cellIs" rank="0" priority="1924" equalAverage="0" operator="greaterThan" aboveAverage="0" dxfId="8" text="" percent="0" bottom="0">
      <formula>0</formula>
    </cfRule>
  </conditionalFormatting>
  <conditionalFormatting sqref="E968">
    <cfRule type="cellIs" rank="0" priority="1925" equalAverage="0" operator="equal" aboveAverage="0" dxfId="10" text="" percent="0" bottom="0">
      <formula>"Evet"</formula>
    </cfRule>
  </conditionalFormatting>
  <conditionalFormatting sqref="D969">
    <cfRule type="cellIs" rank="0" priority="1926" equalAverage="0" operator="greaterThan" aboveAverage="0" dxfId="8" text="" percent="0" bottom="0">
      <formula>0</formula>
    </cfRule>
  </conditionalFormatting>
  <conditionalFormatting sqref="E969">
    <cfRule type="cellIs" rank="0" priority="1927" equalAverage="0" operator="equal" aboveAverage="0" dxfId="10" text="" percent="0" bottom="0">
      <formula>"Evet"</formula>
    </cfRule>
  </conditionalFormatting>
  <conditionalFormatting sqref="D970">
    <cfRule type="cellIs" rank="0" priority="1928" equalAverage="0" operator="greaterThan" aboveAverage="0" dxfId="8" text="" percent="0" bottom="0">
      <formula>0</formula>
    </cfRule>
  </conditionalFormatting>
  <conditionalFormatting sqref="E970">
    <cfRule type="cellIs" rank="0" priority="1929" equalAverage="0" operator="equal" aboveAverage="0" dxfId="10" text="" percent="0" bottom="0">
      <formula>"Evet"</formula>
    </cfRule>
  </conditionalFormatting>
  <conditionalFormatting sqref="D971">
    <cfRule type="cellIs" rank="0" priority="1930" equalAverage="0" operator="greaterThan" aboveAverage="0" dxfId="8" text="" percent="0" bottom="0">
      <formula>0</formula>
    </cfRule>
  </conditionalFormatting>
  <conditionalFormatting sqref="E971">
    <cfRule type="cellIs" rank="0" priority="1931" equalAverage="0" operator="equal" aboveAverage="0" dxfId="10" text="" percent="0" bottom="0">
      <formula>"Evet"</formula>
    </cfRule>
  </conditionalFormatting>
  <conditionalFormatting sqref="D972">
    <cfRule type="cellIs" rank="0" priority="1932" equalAverage="0" operator="greaterThan" aboveAverage="0" dxfId="8" text="" percent="0" bottom="0">
      <formula>0</formula>
    </cfRule>
  </conditionalFormatting>
  <conditionalFormatting sqref="E972">
    <cfRule type="cellIs" rank="0" priority="1933" equalAverage="0" operator="equal" aboveAverage="0" dxfId="10" text="" percent="0" bottom="0">
      <formula>"Evet"</formula>
    </cfRule>
  </conditionalFormatting>
  <conditionalFormatting sqref="D973">
    <cfRule type="cellIs" rank="0" priority="1934" equalAverage="0" operator="greaterThan" aboveAverage="0" dxfId="8" text="" percent="0" bottom="0">
      <formula>0</formula>
    </cfRule>
  </conditionalFormatting>
  <conditionalFormatting sqref="E973">
    <cfRule type="cellIs" rank="0" priority="1935" equalAverage="0" operator="equal" aboveAverage="0" dxfId="10" text="" percent="0" bottom="0">
      <formula>"Evet"</formula>
    </cfRule>
  </conditionalFormatting>
  <conditionalFormatting sqref="D974">
    <cfRule type="cellIs" rank="0" priority="1936" equalAverage="0" operator="greaterThan" aboveAverage="0" dxfId="8" text="" percent="0" bottom="0">
      <formula>0</formula>
    </cfRule>
  </conditionalFormatting>
  <conditionalFormatting sqref="E974">
    <cfRule type="cellIs" rank="0" priority="1937" equalAverage="0" operator="equal" aboveAverage="0" dxfId="10" text="" percent="0" bottom="0">
      <formula>"Evet"</formula>
    </cfRule>
  </conditionalFormatting>
  <conditionalFormatting sqref="D975">
    <cfRule type="cellIs" rank="0" priority="1938" equalAverage="0" operator="greaterThan" aboveAverage="0" dxfId="8" text="" percent="0" bottom="0">
      <formula>0</formula>
    </cfRule>
  </conditionalFormatting>
  <conditionalFormatting sqref="E975">
    <cfRule type="cellIs" rank="0" priority="1939" equalAverage="0" operator="equal" aboveAverage="0" dxfId="10" text="" percent="0" bottom="0">
      <formula>"Evet"</formula>
    </cfRule>
  </conditionalFormatting>
  <conditionalFormatting sqref="D976">
    <cfRule type="cellIs" rank="0" priority="1940" equalAverage="0" operator="greaterThan" aboveAverage="0" dxfId="8" text="" percent="0" bottom="0">
      <formula>0</formula>
    </cfRule>
  </conditionalFormatting>
  <conditionalFormatting sqref="E976">
    <cfRule type="cellIs" rank="0" priority="1941" equalAverage="0" operator="equal" aboveAverage="0" dxfId="10" text="" percent="0" bottom="0">
      <formula>"Evet"</formula>
    </cfRule>
  </conditionalFormatting>
  <conditionalFormatting sqref="D977">
    <cfRule type="cellIs" rank="0" priority="1942" equalAverage="0" operator="greaterThan" aboveAverage="0" dxfId="8" text="" percent="0" bottom="0">
      <formula>0</formula>
    </cfRule>
  </conditionalFormatting>
  <conditionalFormatting sqref="E977">
    <cfRule type="cellIs" rank="0" priority="1943" equalAverage="0" operator="equal" aboveAverage="0" dxfId="10" text="" percent="0" bottom="0">
      <formula>"Evet"</formula>
    </cfRule>
  </conditionalFormatting>
  <conditionalFormatting sqref="D978">
    <cfRule type="cellIs" rank="0" priority="1944" equalAverage="0" operator="greaterThan" aboveAverage="0" dxfId="8" text="" percent="0" bottom="0">
      <formula>0</formula>
    </cfRule>
  </conditionalFormatting>
  <conditionalFormatting sqref="E978">
    <cfRule type="cellIs" rank="0" priority="1945" equalAverage="0" operator="equal" aboveAverage="0" dxfId="10" text="" percent="0" bottom="0">
      <formula>"Evet"</formula>
    </cfRule>
  </conditionalFormatting>
  <conditionalFormatting sqref="D979">
    <cfRule type="cellIs" rank="0" priority="1946" equalAverage="0" operator="greaterThan" aboveAverage="0" dxfId="8" text="" percent="0" bottom="0">
      <formula>0</formula>
    </cfRule>
  </conditionalFormatting>
  <conditionalFormatting sqref="E979">
    <cfRule type="cellIs" rank="0" priority="1947" equalAverage="0" operator="equal" aboveAverage="0" dxfId="10" text="" percent="0" bottom="0">
      <formula>"Evet"</formula>
    </cfRule>
  </conditionalFormatting>
  <conditionalFormatting sqref="D980">
    <cfRule type="cellIs" rank="0" priority="1948" equalAverage="0" operator="greaterThan" aboveAverage="0" dxfId="8" text="" percent="0" bottom="0">
      <formula>0</formula>
    </cfRule>
  </conditionalFormatting>
  <conditionalFormatting sqref="E980">
    <cfRule type="cellIs" rank="0" priority="1949" equalAverage="0" operator="equal" aboveAverage="0" dxfId="10" text="" percent="0" bottom="0">
      <formula>"Evet"</formula>
    </cfRule>
  </conditionalFormatting>
  <conditionalFormatting sqref="D981">
    <cfRule type="cellIs" rank="0" priority="1950" equalAverage="0" operator="greaterThan" aboveAverage="0" dxfId="8" text="" percent="0" bottom="0">
      <formula>0</formula>
    </cfRule>
  </conditionalFormatting>
  <conditionalFormatting sqref="E981">
    <cfRule type="cellIs" rank="0" priority="1951" equalAverage="0" operator="equal" aboveAverage="0" dxfId="10" text="" percent="0" bottom="0">
      <formula>"Evet"</formula>
    </cfRule>
  </conditionalFormatting>
  <conditionalFormatting sqref="D982">
    <cfRule type="cellIs" rank="0" priority="1952" equalAverage="0" operator="greaterThan" aboveAverage="0" dxfId="8" text="" percent="0" bottom="0">
      <formula>0</formula>
    </cfRule>
  </conditionalFormatting>
  <conditionalFormatting sqref="E982">
    <cfRule type="cellIs" rank="0" priority="1953" equalAverage="0" operator="equal" aboveAverage="0" dxfId="10" text="" percent="0" bottom="0">
      <formula>"Evet"</formula>
    </cfRule>
  </conditionalFormatting>
  <conditionalFormatting sqref="D983">
    <cfRule type="cellIs" rank="0" priority="1954" equalAverage="0" operator="greaterThan" aboveAverage="0" dxfId="8" text="" percent="0" bottom="0">
      <formula>0</formula>
    </cfRule>
  </conditionalFormatting>
  <conditionalFormatting sqref="E983">
    <cfRule type="cellIs" rank="0" priority="1955" equalAverage="0" operator="equal" aboveAverage="0" dxfId="10" text="" percent="0" bottom="0">
      <formula>"Evet"</formula>
    </cfRule>
  </conditionalFormatting>
  <conditionalFormatting sqref="D984">
    <cfRule type="cellIs" rank="0" priority="1956" equalAverage="0" operator="greaterThan" aboveAverage="0" dxfId="8" text="" percent="0" bottom="0">
      <formula>0</formula>
    </cfRule>
  </conditionalFormatting>
  <conditionalFormatting sqref="E984">
    <cfRule type="cellIs" rank="0" priority="1957" equalAverage="0" operator="equal" aboveAverage="0" dxfId="10" text="" percent="0" bottom="0">
      <formula>"Evet"</formula>
    </cfRule>
  </conditionalFormatting>
  <conditionalFormatting sqref="D985">
    <cfRule type="cellIs" rank="0" priority="1958" equalAverage="0" operator="greaterThan" aboveAverage="0" dxfId="8" text="" percent="0" bottom="0">
      <formula>0</formula>
    </cfRule>
  </conditionalFormatting>
  <conditionalFormatting sqref="E985">
    <cfRule type="cellIs" rank="0" priority="1959" equalAverage="0" operator="equal" aboveAverage="0" dxfId="10" text="" percent="0" bottom="0">
      <formula>"Evet"</formula>
    </cfRule>
  </conditionalFormatting>
  <conditionalFormatting sqref="D986">
    <cfRule type="cellIs" rank="0" priority="1960" equalAverage="0" operator="greaterThan" aboveAverage="0" dxfId="8" text="" percent="0" bottom="0">
      <formula>0</formula>
    </cfRule>
  </conditionalFormatting>
  <conditionalFormatting sqref="E986">
    <cfRule type="cellIs" rank="0" priority="1961" equalAverage="0" operator="equal" aboveAverage="0" dxfId="10" text="" percent="0" bottom="0">
      <formula>"Evet"</formula>
    </cfRule>
  </conditionalFormatting>
  <conditionalFormatting sqref="D987">
    <cfRule type="cellIs" rank="0" priority="1962" equalAverage="0" operator="greaterThan" aboveAverage="0" dxfId="8" text="" percent="0" bottom="0">
      <formula>0</formula>
    </cfRule>
  </conditionalFormatting>
  <conditionalFormatting sqref="E987">
    <cfRule type="cellIs" rank="0" priority="1963" equalAverage="0" operator="equal" aboveAverage="0" dxfId="10" text="" percent="0" bottom="0">
      <formula>"Evet"</formula>
    </cfRule>
  </conditionalFormatting>
  <conditionalFormatting sqref="D988">
    <cfRule type="cellIs" rank="0" priority="1964" equalAverage="0" operator="greaterThan" aboveAverage="0" dxfId="8" text="" percent="0" bottom="0">
      <formula>0</formula>
    </cfRule>
  </conditionalFormatting>
  <conditionalFormatting sqref="E988">
    <cfRule type="cellIs" rank="0" priority="1965" equalAverage="0" operator="equal" aboveAverage="0" dxfId="10" text="" percent="0" bottom="0">
      <formula>"Evet"</formula>
    </cfRule>
  </conditionalFormatting>
  <conditionalFormatting sqref="D989">
    <cfRule type="cellIs" rank="0" priority="1966" equalAverage="0" operator="greaterThan" aboveAverage="0" dxfId="8" text="" percent="0" bottom="0">
      <formula>0</formula>
    </cfRule>
  </conditionalFormatting>
  <conditionalFormatting sqref="E989">
    <cfRule type="cellIs" rank="0" priority="1967" equalAverage="0" operator="equal" aboveAverage="0" dxfId="10" text="" percent="0" bottom="0">
      <formula>"Evet"</formula>
    </cfRule>
  </conditionalFormatting>
  <conditionalFormatting sqref="D990">
    <cfRule type="cellIs" rank="0" priority="1968" equalAverage="0" operator="greaterThan" aboveAverage="0" dxfId="8" text="" percent="0" bottom="0">
      <formula>0</formula>
    </cfRule>
  </conditionalFormatting>
  <conditionalFormatting sqref="E990">
    <cfRule type="cellIs" rank="0" priority="1969" equalAverage="0" operator="equal" aboveAverage="0" dxfId="10" text="" percent="0" bottom="0">
      <formula>"Evet"</formula>
    </cfRule>
  </conditionalFormatting>
  <conditionalFormatting sqref="D991">
    <cfRule type="cellIs" rank="0" priority="1970" equalAverage="0" operator="greaterThan" aboveAverage="0" dxfId="8" text="" percent="0" bottom="0">
      <formula>0</formula>
    </cfRule>
  </conditionalFormatting>
  <conditionalFormatting sqref="E991">
    <cfRule type="cellIs" rank="0" priority="1971" equalAverage="0" operator="equal" aboveAverage="0" dxfId="10" text="" percent="0" bottom="0">
      <formula>"Evet"</formula>
    </cfRule>
  </conditionalFormatting>
  <conditionalFormatting sqref="D992">
    <cfRule type="cellIs" rank="0" priority="1972" equalAverage="0" operator="greaterThan" aboveAverage="0" dxfId="8" text="" percent="0" bottom="0">
      <formula>0</formula>
    </cfRule>
  </conditionalFormatting>
  <conditionalFormatting sqref="E992">
    <cfRule type="cellIs" rank="0" priority="1973" equalAverage="0" operator="equal" aboveAverage="0" dxfId="10" text="" percent="0" bottom="0">
      <formula>"Evet"</formula>
    </cfRule>
  </conditionalFormatting>
  <conditionalFormatting sqref="D993">
    <cfRule type="cellIs" rank="0" priority="1974" equalAverage="0" operator="greaterThan" aboveAverage="0" dxfId="8" text="" percent="0" bottom="0">
      <formula>0</formula>
    </cfRule>
  </conditionalFormatting>
  <conditionalFormatting sqref="E993">
    <cfRule type="cellIs" rank="0" priority="1975" equalAverage="0" operator="equal" aboveAverage="0" dxfId="10" text="" percent="0" bottom="0">
      <formula>"Evet"</formula>
    </cfRule>
  </conditionalFormatting>
  <conditionalFormatting sqref="D994">
    <cfRule type="cellIs" rank="0" priority="1976" equalAverage="0" operator="greaterThan" aboveAverage="0" dxfId="8" text="" percent="0" bottom="0">
      <formula>0</formula>
    </cfRule>
  </conditionalFormatting>
  <conditionalFormatting sqref="E994">
    <cfRule type="cellIs" rank="0" priority="1977" equalAverage="0" operator="equal" aboveAverage="0" dxfId="10" text="" percent="0" bottom="0">
      <formula>"Evet"</formula>
    </cfRule>
  </conditionalFormatting>
  <conditionalFormatting sqref="D995">
    <cfRule type="cellIs" rank="0" priority="1978" equalAverage="0" operator="greaterThan" aboveAverage="0" dxfId="8" text="" percent="0" bottom="0">
      <formula>0</formula>
    </cfRule>
  </conditionalFormatting>
  <conditionalFormatting sqref="E995">
    <cfRule type="cellIs" rank="0" priority="1979" equalAverage="0" operator="equal" aboveAverage="0" dxfId="10" text="" percent="0" bottom="0">
      <formula>"Evet"</formula>
    </cfRule>
  </conditionalFormatting>
  <conditionalFormatting sqref="D996">
    <cfRule type="cellIs" rank="0" priority="1980" equalAverage="0" operator="greaterThan" aboveAverage="0" dxfId="8" text="" percent="0" bottom="0">
      <formula>0</formula>
    </cfRule>
  </conditionalFormatting>
  <conditionalFormatting sqref="E996">
    <cfRule type="cellIs" rank="0" priority="1981" equalAverage="0" operator="equal" aboveAverage="0" dxfId="10" text="" percent="0" bottom="0">
      <formula>"Evet"</formula>
    </cfRule>
  </conditionalFormatting>
  <conditionalFormatting sqref="D997">
    <cfRule type="cellIs" rank="0" priority="1982" equalAverage="0" operator="greaterThan" aboveAverage="0" dxfId="8" text="" percent="0" bottom="0">
      <formula>0</formula>
    </cfRule>
  </conditionalFormatting>
  <conditionalFormatting sqref="E997">
    <cfRule type="cellIs" rank="0" priority="1983" equalAverage="0" operator="equal" aboveAverage="0" dxfId="10" text="" percent="0" bottom="0">
      <formula>"Evet"</formula>
    </cfRule>
  </conditionalFormatting>
  <conditionalFormatting sqref="D998">
    <cfRule type="cellIs" rank="0" priority="1984" equalAverage="0" operator="greaterThan" aboveAverage="0" dxfId="8" text="" percent="0" bottom="0">
      <formula>0</formula>
    </cfRule>
  </conditionalFormatting>
  <conditionalFormatting sqref="E998">
    <cfRule type="cellIs" rank="0" priority="1985" equalAverage="0" operator="equal" aboveAverage="0" dxfId="10" text="" percent="0" bottom="0">
      <formula>"Evet"</formula>
    </cfRule>
  </conditionalFormatting>
  <conditionalFormatting sqref="D999">
    <cfRule type="cellIs" rank="0" priority="1986" equalAverage="0" operator="greaterThan" aboveAverage="0" dxfId="8" text="" percent="0" bottom="0">
      <formula>0</formula>
    </cfRule>
  </conditionalFormatting>
  <conditionalFormatting sqref="E999">
    <cfRule type="cellIs" rank="0" priority="1987" equalAverage="0" operator="equal" aboveAverage="0" dxfId="10" text="" percent="0" bottom="0">
      <formula>"Evet"</formula>
    </cfRule>
  </conditionalFormatting>
  <conditionalFormatting sqref="D1000">
    <cfRule type="cellIs" rank="0" priority="1988" equalAverage="0" operator="greaterThan" aboveAverage="0" dxfId="8" text="" percent="0" bottom="0">
      <formula>0</formula>
    </cfRule>
  </conditionalFormatting>
  <conditionalFormatting sqref="E1000">
    <cfRule type="cellIs" rank="0" priority="1989" equalAverage="0" operator="equal" aboveAverage="0" dxfId="10" text="" percent="0" bottom="0">
      <formula>"Evet"</formula>
    </cfRule>
  </conditionalFormatting>
  <conditionalFormatting sqref="D1001">
    <cfRule type="cellIs" rank="0" priority="1990" equalAverage="0" operator="greaterThan" aboveAverage="0" dxfId="8" text="" percent="0" bottom="0">
      <formula>0</formula>
    </cfRule>
  </conditionalFormatting>
  <conditionalFormatting sqref="E1001">
    <cfRule type="cellIs" rank="0" priority="1991" equalAverage="0" operator="equal" aboveAverage="0" dxfId="10" text="" percent="0" bottom="0">
      <formula>"Evet"</formula>
    </cfRule>
  </conditionalFormatting>
  <conditionalFormatting sqref="D1002">
    <cfRule type="cellIs" rank="0" priority="1992" equalAverage="0" operator="greaterThan" aboveAverage="0" dxfId="8" text="" percent="0" bottom="0">
      <formula>0</formula>
    </cfRule>
  </conditionalFormatting>
  <conditionalFormatting sqref="E1002">
    <cfRule type="cellIs" rank="0" priority="1993" equalAverage="0" operator="equal" aboveAverage="0" dxfId="10" text="" percent="0" bottom="0">
      <formula>"Evet"</formula>
    </cfRule>
  </conditionalFormatting>
  <conditionalFormatting sqref="D1003">
    <cfRule type="cellIs" rank="0" priority="1994" equalAverage="0" operator="greaterThan" aboveAverage="0" dxfId="8" text="" percent="0" bottom="0">
      <formula>0</formula>
    </cfRule>
  </conditionalFormatting>
  <conditionalFormatting sqref="E1003">
    <cfRule type="cellIs" rank="0" priority="1995" equalAverage="0" operator="equal" aboveAverage="0" dxfId="10" text="" percent="0" bottom="0">
      <formula>"Evet"</formula>
    </cfRule>
  </conditionalFormatting>
  <conditionalFormatting sqref="D1004">
    <cfRule type="cellIs" rank="0" priority="1996" equalAverage="0" operator="greaterThan" aboveAverage="0" dxfId="8" text="" percent="0" bottom="0">
      <formula>0</formula>
    </cfRule>
  </conditionalFormatting>
  <conditionalFormatting sqref="E1004">
    <cfRule type="cellIs" rank="0" priority="1997" equalAverage="0" operator="equal" aboveAverage="0" dxfId="10" text="" percent="0" bottom="0">
      <formula>"Evet"</formula>
    </cfRule>
  </conditionalFormatting>
  <conditionalFormatting sqref="D1005">
    <cfRule type="cellIs" rank="0" priority="1998" equalAverage="0" operator="greaterThan" aboveAverage="0" dxfId="8" text="" percent="0" bottom="0">
      <formula>0</formula>
    </cfRule>
  </conditionalFormatting>
  <conditionalFormatting sqref="E1005">
    <cfRule type="cellIs" rank="0" priority="1999" equalAverage="0" operator="equal" aboveAverage="0" dxfId="10" text="" percent="0" bottom="0">
      <formula>"Evet"</formula>
    </cfRule>
  </conditionalFormatting>
  <conditionalFormatting sqref="D1006">
    <cfRule type="cellIs" rank="0" priority="2000" equalAverage="0" operator="greaterThan" aboveAverage="0" dxfId="8" text="" percent="0" bottom="0">
      <formula>0</formula>
    </cfRule>
  </conditionalFormatting>
  <conditionalFormatting sqref="E1006">
    <cfRule type="cellIs" rank="0" priority="2001" equalAverage="0" operator="equal" aboveAverage="0" dxfId="10" text="" percent="0" bottom="0">
      <formula>"Evet"</formula>
    </cfRule>
  </conditionalFormatting>
  <conditionalFormatting sqref="E7:E1006">
    <cfRule type="cellIs" rank="0" priority="2002" equalAverage="0" operator="equal" aboveAverage="0" dxfId="10" text="" percent="0" bottom="0">
      <formula>"Evet"</formula>
    </cfRule>
    <cfRule type="cellIs" rank="0" priority="2003" equalAverage="0" operator="equal" aboveAverage="0" dxfId="8" text="" percent="0" bottom="0">
      <formula>"Hayır"</formula>
    </cfRule>
  </conditionalFormatting>
  <dataValidations count="2000">
    <dataValidation sqref="B7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7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8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8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9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9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10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10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11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11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12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12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13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13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14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14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15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15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16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16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17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17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18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18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19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19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20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20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21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21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22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22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23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23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24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24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25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25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26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26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27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27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28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28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29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29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30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30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31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31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32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32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33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33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34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34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35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35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36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36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37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37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38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38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39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39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40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40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41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41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42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42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43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43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44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44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45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45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46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46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47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47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48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48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49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49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50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50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51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51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52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52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53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53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54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54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55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55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56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56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57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57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58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58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59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59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60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60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61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61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62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62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63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63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64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64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65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65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66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66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67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67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68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68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69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69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70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70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71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71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72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72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73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73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74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74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75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75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76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76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77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77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78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78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79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79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80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80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81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81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82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82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83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83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84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84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85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85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86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86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87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87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88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88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89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89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90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90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91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91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92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92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93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93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94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94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95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95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96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96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97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97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98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98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99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99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100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100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101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101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102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102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103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103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104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104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105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105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106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106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107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107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108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108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109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109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110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110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111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111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112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112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113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113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114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114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115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115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116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116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117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117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118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118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119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119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120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120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121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121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122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122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123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123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124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124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125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125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126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126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127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127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128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128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129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129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130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130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131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131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132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132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133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133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134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134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135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135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136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136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137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137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138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138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139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139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140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140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141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141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142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142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143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143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144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144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145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145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146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146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147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147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148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148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149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149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150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150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151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151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152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152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153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153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154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154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155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155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156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156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157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157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158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158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159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159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160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160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161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161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162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162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163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163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164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164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165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165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166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166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167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167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168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168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169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169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170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170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171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171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172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172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173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173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174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174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175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175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176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176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177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177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178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178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179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179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180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180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181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181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182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182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183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183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184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184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185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185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186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186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187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187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188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188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189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189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190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190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191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191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192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192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193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193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194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194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195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195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196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196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197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197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198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198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199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199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200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200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201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201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202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202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203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203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204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204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205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205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206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206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207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207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208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208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209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209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210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210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211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211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212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212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213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213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214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214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215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215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216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216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217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217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218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218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219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219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220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220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221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221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222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222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223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223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224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224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225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225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226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226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227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227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228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228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229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229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230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230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231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231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232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232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233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233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234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234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235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235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236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236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237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237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238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238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239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239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240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240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241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241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242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242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243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243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244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244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245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245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246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246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247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247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248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248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249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249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250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250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251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251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252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252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253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253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254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254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255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255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256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256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257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257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258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258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259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259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260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260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261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261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262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262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263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263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264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264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265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265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266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266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267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267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268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268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269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269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270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270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271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271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272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272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273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273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274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274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275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275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276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276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277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277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278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278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279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279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280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280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281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281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282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282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283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283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284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284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285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285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286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286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287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287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288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288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289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289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290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290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291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291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292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292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293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293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294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294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295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295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296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296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297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297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298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298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299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299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300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300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301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301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302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302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303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303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304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304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305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305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306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306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307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307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308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308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309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309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310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310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311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311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312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312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313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313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314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314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315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315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316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316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317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317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318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318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319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319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320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320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321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321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322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322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323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323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324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324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325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325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326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326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327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327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328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328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329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329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330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330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331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331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332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332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333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333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334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334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335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335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336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336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337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337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338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338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339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339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340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340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341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341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342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342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343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343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344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344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345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345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346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346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347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347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348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348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349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349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350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350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351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351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352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352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353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353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354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354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355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355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356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356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357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357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358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358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359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359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360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360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361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361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362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362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363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363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364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364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365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365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366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366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367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367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368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368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369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369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370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370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371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371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372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372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373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373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374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374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375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375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376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376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377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377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378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378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379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379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380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380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381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381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382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382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383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383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384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384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385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385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386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386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387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387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388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388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389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389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390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390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391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391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392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392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393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393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394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394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395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395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396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396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397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397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398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398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399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399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400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400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401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401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402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402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403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403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404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404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405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405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406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406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407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407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408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408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409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409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410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410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411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411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412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412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413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413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414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414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415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415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416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416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417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417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418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418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419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419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420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420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421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421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422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422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423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423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424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424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425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425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426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426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427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427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428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428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429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429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430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430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431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431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432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432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433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433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434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434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435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435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436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436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437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437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438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438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439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439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440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440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441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441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442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442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443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443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444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444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445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445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446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446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447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447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448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448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449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449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450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450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451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451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452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452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453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453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454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454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455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455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456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456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457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457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458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458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459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459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460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460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461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461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462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462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463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463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464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464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465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465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466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466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467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467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468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468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469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469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470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470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471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471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472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472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473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473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474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474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475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475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476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476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477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477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478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478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479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479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480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480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481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481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482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482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483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483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484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484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485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485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486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486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487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487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488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488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489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489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490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490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491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491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492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492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493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493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494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494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495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495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496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496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497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497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498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498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499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499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500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500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501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501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502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502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503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503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504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504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505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505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506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506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507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507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508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508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509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509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510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510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511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511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512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512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513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513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514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514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515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515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516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516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517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517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518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518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519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519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520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520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521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521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522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522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523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523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524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524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525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525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526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526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527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527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528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528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529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529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530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530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531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531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532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532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533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533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534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534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535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535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536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536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537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537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538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538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539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539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540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540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541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541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542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542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543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543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544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544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545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545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546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546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547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547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548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548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549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549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550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550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551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551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552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552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553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553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554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554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555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555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556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556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557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557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558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558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559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559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560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560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561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561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562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562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563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563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564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564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565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565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566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566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567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567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568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568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569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569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570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570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571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571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572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572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573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573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574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574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575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575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576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576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577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577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578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578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579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579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580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580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581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581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582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582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583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583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584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584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585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585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586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586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587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587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588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588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589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589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590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590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591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591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592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592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593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593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594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594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595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595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596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596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597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597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598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598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599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599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600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600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601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601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602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602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603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603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604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604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605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605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606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606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607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607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608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608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609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609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610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610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611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611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612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612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613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613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614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614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615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615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616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616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617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617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618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618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619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619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620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620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621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621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622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622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623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623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624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624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625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625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626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626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627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627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628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628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629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629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630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630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631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631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632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632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633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633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634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634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635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635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636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636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637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637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638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638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639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639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640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640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641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641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642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642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643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643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644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644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645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645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646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646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647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647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648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648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649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649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650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650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651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651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652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652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653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653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654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654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655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655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656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656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657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657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658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658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659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659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660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660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661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661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662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662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663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663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664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664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665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665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666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666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667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667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668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668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669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669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670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670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671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671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672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672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673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673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674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674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675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675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676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676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677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677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678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678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679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679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680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680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681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681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682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682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683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683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684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684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685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685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686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686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687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687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688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688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689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689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690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690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691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691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692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692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693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693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694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694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695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695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696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696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697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697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698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698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699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699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700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700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701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701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702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702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703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703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704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704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705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705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706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706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707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707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708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708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709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709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710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710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711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711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712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712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713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713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714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714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715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715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716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716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717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717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718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718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719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719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720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720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721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721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722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722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723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723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724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724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725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725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726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726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727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727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728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728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729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729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730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730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731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731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732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732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733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733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734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734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735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735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736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736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737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737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738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738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739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739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740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740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741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741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742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742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743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743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744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744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745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745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746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746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747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747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748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748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749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749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750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750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751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751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752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752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753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753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754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754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755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755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756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756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757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757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758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758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759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759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760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760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761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761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762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762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763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763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764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764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765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765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766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766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767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767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768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768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769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769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770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770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771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771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772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772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773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773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774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774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775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775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776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776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777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777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778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778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779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779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780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780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781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781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782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782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783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783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784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784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785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785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786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786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787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787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788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788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789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789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790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790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791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791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792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792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793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793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794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794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795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795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796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796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797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797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798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798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799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799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800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800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801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801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802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802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803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803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804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804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805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805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806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806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807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807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808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808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809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809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810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810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811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811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812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812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813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813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814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814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815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815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816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816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817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817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818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818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819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819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820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820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821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821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822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822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823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823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824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824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825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825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826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826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827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827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828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828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829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829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830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830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831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831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832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832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833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833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834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834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835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835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836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836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837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837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838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838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839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839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840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840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841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841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842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842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843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843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844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844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845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845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846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846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847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847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848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848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849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849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850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850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851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851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852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852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853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853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854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854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855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855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856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856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857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857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858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858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859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859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860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860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861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861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862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862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863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863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864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864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865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865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866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866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867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867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868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868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869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869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870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870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871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871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872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872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873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873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874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874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875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875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876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876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877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877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878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878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879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879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880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880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881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881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882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882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883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883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884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884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885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885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886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886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887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887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888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888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889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889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890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890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891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891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892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892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893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893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894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894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895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895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896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896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897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897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898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898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899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899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900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900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901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901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902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902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903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903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904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904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905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905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906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906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907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907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908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908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909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909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910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910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911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911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912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912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913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913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914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914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915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915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916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916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917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917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918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918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919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919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920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920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921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921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922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922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923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923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924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924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925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925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926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926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927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927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928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928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929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929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930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930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931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931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932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932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933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933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934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934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935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935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936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936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937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937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938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938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939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939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940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940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941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941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942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942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943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943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944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944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945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945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946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946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947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947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948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948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949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949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950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950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951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951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952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952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953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953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954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954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955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955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956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956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957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957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958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958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959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959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960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960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961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961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962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962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963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963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964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964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965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965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966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966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967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967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968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968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969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969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970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970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971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971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972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972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973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973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974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974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975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975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976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976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977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977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978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978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979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979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980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980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981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981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982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982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983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983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984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984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985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985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986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986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987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987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988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988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989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989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990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990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991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991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992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992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993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993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994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994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995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995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996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996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997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997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998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998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999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999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1000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1000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1001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1001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1002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1002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1003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1003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1004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1004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1005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1005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  <dataValidation sqref="B1006" showDropDown="0" showInputMessage="1" showErrorMessage="1" allowBlank="1" errorTitle="Geçersiz seçim" error="Listeden bir teşvik türü seçin." promptTitle="Teşvik Türü" prompt="Uygulanabilir teşvik türünü seçin." type="list" errorStyle="stop" operator="between">
      <formula1>ListeTesvikTuru</formula1>
      <formula2>0</formula2>
    </dataValidation>
    <dataValidation sqref="E1006" showDropDown="0" showInputMessage="1" showErrorMessage="1" allowBlank="1" errorTitle="Geçersiz seçim" error="Evet veya Hayır seçin." promptTitle="Kaçırılan?" prompt="Teşvikten yararlanılıyor mu?" type="list" errorStyle="stop" operator="between">
      <formula1>ListeEvetHayir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AN6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6" customWidth="1" style="88" min="1" max="1"/>
    <col width="18" customWidth="1" style="88" min="2" max="2"/>
    <col width="60" customWidth="1" style="88" min="3" max="3"/>
  </cols>
  <sheetData>
    <row r="1" ht="25.5" customHeight="1" s="62">
      <c r="A1" s="100" t="inlineStr">
        <is>
          <t>MOTOR — KAÇIRILAN SGK TEŞVİKLERİ &amp; GERÇEK İŞÇİLİK MALİYETİ ANALİZİ</t>
        </is>
      </c>
    </row>
    <row r="3" ht="15" customHeight="1" s="62">
      <c r="A3" s="101" t="inlineStr">
        <is>
          <t>Hesaplama Motoru</t>
        </is>
      </c>
    </row>
    <row r="5" ht="15" customHeight="1" s="62">
      <c r="A5" s="113" t="inlineStr">
        <is>
          <t>A. Girdi Özeti</t>
        </is>
      </c>
    </row>
    <row r="6" ht="15" customHeight="1" s="62">
      <c r="A6" s="102" t="inlineStr">
        <is>
          <t>Toplam Brüt Ücret (₺/ay)</t>
        </is>
      </c>
      <c r="B6" s="114">
        <f>IFERROR(ROUND(SUM(tblCalisan[Brüt Ücret (₺)]),0),0)</f>
        <v/>
      </c>
    </row>
    <row r="7" ht="15" customHeight="1" s="62">
      <c r="A7" s="102" t="inlineStr">
        <is>
          <t>Çalışan Sayısı (adet)</t>
        </is>
      </c>
      <c r="B7" s="115">
        <f>IFERROR(COUNT(tblCalisan[Brüt Ücret (₺)]),0)</f>
        <v/>
      </c>
    </row>
    <row r="8" ht="15" customHeight="1" s="62">
      <c r="A8" s="102" t="inlineStr">
        <is>
          <t>Toplam Prim Günü (gün/ay)</t>
        </is>
      </c>
      <c r="B8" s="115">
        <f>IFERROR(SUM(tblCalisan[Prim Günü]),0)</f>
        <v/>
      </c>
    </row>
    <row r="9" ht="15" customHeight="1" s="62">
      <c r="A9" s="102" t="inlineStr">
        <is>
          <t>Ortalama Brüt Ücret (₺/ay)</t>
        </is>
      </c>
      <c r="B9" s="114">
        <f>IFERROR(ROUND(B6/B7,0),0)</f>
        <v/>
      </c>
    </row>
    <row r="10" ht="15" customHeight="1" s="62">
      <c r="A10" s="102" t="inlineStr">
        <is>
          <t>Medyan Brüt Ücret (₺/ay)</t>
        </is>
      </c>
      <c r="B10" s="114">
        <f>IFERROR(MEDIAN(tblCalisan[Brüt Ücret (₺)]),0)</f>
        <v/>
      </c>
    </row>
    <row r="11" ht="15" customHeight="1" s="62">
      <c r="A11" s="102" t="inlineStr">
        <is>
          <t>En Yüksek Brüt Ücret (₺/ay)</t>
        </is>
      </c>
      <c r="B11" s="114">
        <f>IFERROR(MAX(tblCalisan[Brüt Ücret (₺)]),0)</f>
        <v/>
      </c>
    </row>
    <row r="12" ht="15" customHeight="1" s="62">
      <c r="A12" s="102" t="inlineStr">
        <is>
          <t>En Düşük Brüt Ücret (₺/ay)</t>
        </is>
      </c>
      <c r="B12" s="114">
        <f>IFERROR(MIN(tblCalisan[Brüt Ücret (₺)]),0)</f>
        <v/>
      </c>
    </row>
    <row r="13" ht="15" customHeight="1" s="62">
      <c r="A13" s="102" t="inlineStr">
        <is>
          <t>Brüt Ücret Standart Sapması (₺)</t>
        </is>
      </c>
      <c r="B13" s="114">
        <f>IFERROR(stdev.p(tblCalisan[Brüt Ücret (₺)]),0)</f>
        <v/>
      </c>
    </row>
    <row r="15" ht="15" customHeight="1" s="62">
      <c r="A15" s="113" t="inlineStr">
        <is>
          <t>B. Aylık İşveren Yükü</t>
        </is>
      </c>
    </row>
    <row r="16" ht="15" customHeight="1" s="62">
      <c r="A16" s="102" t="inlineStr">
        <is>
          <t>Toplam SGK İşveren Payı (₺/ay)</t>
        </is>
      </c>
      <c r="B16" s="114">
        <f>IFERROR(ROUND(SUM(tblMaliyet[SGK İşveren Payı (₺)]),0),0)</f>
        <v/>
      </c>
    </row>
    <row r="17" ht="15" customHeight="1" s="62">
      <c r="A17" s="102" t="inlineStr">
        <is>
          <t>Toplam İşsizlik Payı (₺/ay)</t>
        </is>
      </c>
      <c r="B17" s="114">
        <f>IFERROR(ROUND(SUM(tblMaliyet[İşsizlik Payı (₺)]),0),0)</f>
        <v/>
      </c>
    </row>
    <row r="18" ht="15" customHeight="1" s="62">
      <c r="A18" s="102" t="inlineStr">
        <is>
          <t>Toplam Kıdem Karşılığı (₺/ay)</t>
        </is>
      </c>
      <c r="B18" s="114">
        <f>IFERROR(ROUND(SUM(tblMaliyet[Kıdem Karşılığı (₺)]),0),0)</f>
        <v/>
      </c>
    </row>
    <row r="19" ht="15" customHeight="1" s="62">
      <c r="A19" s="102" t="inlineStr">
        <is>
          <t>Toplam Yan Fayda (₺/ay)</t>
        </is>
      </c>
      <c r="B19" s="114">
        <f>IFERROR(ROUND(SUM(tblMaliyet[Yan Fayda (₺)]),0),0)</f>
        <v/>
      </c>
    </row>
    <row r="20" ht="15" customHeight="1" s="62">
      <c r="A20" s="102" t="inlineStr">
        <is>
          <t>Toplam İşveren Yükü (₺/ay)</t>
        </is>
      </c>
      <c r="B20" s="114">
        <f>B16+B17+B18+B19</f>
        <v/>
      </c>
    </row>
    <row r="21" ht="15" customHeight="1" s="62">
      <c r="A21" s="102" t="inlineStr">
        <is>
          <t>Aylık Gerçek İşçilik Maliyeti (₺)</t>
        </is>
      </c>
      <c r="B21" s="114">
        <f>B6+B20</f>
        <v/>
      </c>
    </row>
    <row r="22" ht="15" customHeight="1" s="62">
      <c r="A22" s="102" t="inlineStr">
        <is>
          <t>Çalışan Başı Aylık Maliyet (₺/çalışan)</t>
        </is>
      </c>
      <c r="B22" s="114">
        <f>IFERROR(B21/B7,0)</f>
        <v/>
      </c>
    </row>
    <row r="24" ht="15" customHeight="1" s="62">
      <c r="A24" s="113" t="inlineStr">
        <is>
          <t>C. Yıllık Toplamlar</t>
        </is>
      </c>
    </row>
    <row r="25" ht="15" customHeight="1" s="62">
      <c r="A25" s="102" t="inlineStr">
        <is>
          <t>Yıllık Brüt Ücret (₺)</t>
        </is>
      </c>
      <c r="B25" s="114">
        <f>B6*AySayisi</f>
        <v/>
      </c>
    </row>
    <row r="26" ht="15" customHeight="1" s="62">
      <c r="A26" s="102" t="inlineStr">
        <is>
          <t>Yıllık İşveren Yükü (₺)</t>
        </is>
      </c>
      <c r="B26" s="114">
        <f>B20*AySayisi</f>
        <v/>
      </c>
    </row>
    <row r="27" ht="15" customHeight="1" s="62">
      <c r="A27" s="102" t="inlineStr">
        <is>
          <t>Yıllık Gerçek İşçilik Maliyeti (₺)</t>
        </is>
      </c>
      <c r="B27" s="114">
        <f>B21*AySayisi</f>
        <v/>
      </c>
    </row>
    <row r="29" ht="15" customHeight="1" s="62">
      <c r="A29" s="113" t="inlineStr">
        <is>
          <t>D. Teşvik Analizi</t>
        </is>
      </c>
    </row>
    <row r="30" ht="15" customHeight="1" s="62">
      <c r="A30" s="102" t="inlineStr">
        <is>
          <t>Toplam Aylık Teşvik (₺)</t>
        </is>
      </c>
      <c r="B30" s="114">
        <f>IFERROR(ROUND(SUM(tblTesvik[Aylık Teşvik (₺)]),0),0)</f>
        <v/>
      </c>
    </row>
    <row r="31" ht="15" customHeight="1" s="62">
      <c r="A31" s="102" t="inlineStr">
        <is>
          <t>Toplam Yıllık Teşvik (₺)</t>
        </is>
      </c>
      <c r="B31" s="114">
        <f>B30*AySayisi</f>
        <v/>
      </c>
    </row>
    <row r="32" ht="15" customHeight="1" s="62">
      <c r="A32" s="102" t="inlineStr">
        <is>
          <t>Kaçırılan Teşvik Aylık (₺)</t>
        </is>
      </c>
      <c r="B32" s="114">
        <f>IFERROR(ROUND(SUMIFS(tblTesvik[Aylık Teşvik (₺)],tblTesvik[Kaçırılan?],"Evet"),0),0)</f>
        <v/>
      </c>
    </row>
    <row r="33" ht="15" customHeight="1" s="62">
      <c r="A33" s="102" t="inlineStr">
        <is>
          <t>Kaçırılan Teşvik Yıllık (₺)</t>
        </is>
      </c>
      <c r="B33" s="114">
        <f>B32*AySayisi</f>
        <v/>
      </c>
    </row>
    <row r="34" ht="15" customHeight="1" s="62">
      <c r="A34" s="102" t="inlineStr">
        <is>
          <t>Kullanılan Teşvik Yıllık (₺)</t>
        </is>
      </c>
      <c r="B34" s="114">
        <f>B31-B33</f>
        <v/>
      </c>
    </row>
    <row r="35" ht="15" customHeight="1" s="62">
      <c r="A35" s="102" t="inlineStr">
        <is>
          <t>Teşvik Kullanım Oranı</t>
        </is>
      </c>
      <c r="B35" s="116">
        <f>IFERROR(B31/B27,0)</f>
        <v/>
      </c>
    </row>
    <row r="36" ht="15" customHeight="1" s="62">
      <c r="A36" s="102" t="inlineStr">
        <is>
          <t>Kaçırılan Teşvik Oranı</t>
        </is>
      </c>
      <c r="B36" s="116">
        <f>IFERROR(B33/B27,0)</f>
        <v/>
      </c>
    </row>
    <row r="37" ht="15" customHeight="1" s="62">
      <c r="A37" s="102" t="inlineStr">
        <is>
          <t>Teşvikli Aylık Maliyet (₺)</t>
        </is>
      </c>
      <c r="B37" s="114">
        <f>B21-B30</f>
        <v/>
      </c>
    </row>
    <row r="39" ht="15" customHeight="1" s="62">
      <c r="A39" s="113" t="inlineStr">
        <is>
          <t>E. Oranlar</t>
        </is>
      </c>
    </row>
    <row r="40" ht="15" customHeight="1" s="62">
      <c r="A40" s="102" t="inlineStr">
        <is>
          <t>İşveren Yükü Oranı</t>
        </is>
      </c>
      <c r="B40" s="116">
        <f>IFERROR(B20/B6,0)</f>
        <v/>
      </c>
    </row>
    <row r="41" ht="15" customHeight="1" s="62">
      <c r="A41" s="102" t="inlineStr">
        <is>
          <t>Gerçek Saatlik Maliyet (₺)</t>
        </is>
      </c>
      <c r="B41" s="114">
        <f>IFERROR(B21/(B7*AylikCalismaSaati),0)</f>
        <v/>
      </c>
    </row>
    <row r="42" ht="15" customHeight="1" s="62">
      <c r="A42" s="102" t="inlineStr">
        <is>
          <t>Çalışan Başı Yıllık Maliyet (₺)</t>
        </is>
      </c>
      <c r="B42" s="114">
        <f>IFERROR(B27/B7,0)</f>
        <v/>
      </c>
    </row>
    <row r="44" ht="15" customHeight="1" s="62">
      <c r="A44" s="113" t="inlineStr">
        <is>
          <t>F. Modül Çıktıları ve Yorumlar</t>
        </is>
      </c>
    </row>
    <row r="45" ht="15" customHeight="1" s="62">
      <c r="A45" s="102" t="inlineStr">
        <is>
          <t>Anomali Sayısı (adet) [O1]</t>
        </is>
      </c>
      <c r="B45" s="115">
        <f>SUMPRODUCT(--(ABS(tblCalisan[Brüt Ücret (₺)]-B10)&gt;AnomaliEsikKat*B13))</f>
        <v/>
      </c>
    </row>
    <row r="46" ht="25.5" customHeight="1" s="62">
      <c r="A46" s="102" t="inlineStr">
        <is>
          <t>O1 Yorum</t>
        </is>
      </c>
      <c r="B46" s="115">
        <f>_xlfn.TEXTJOIN(" | ",TRUE(),"Anomali sayısı "&amp;B45,"Ortanca "&amp;TEXT(B10,"#,##0")&amp;" ₺","Eşik sapma "&amp;TEXT(AnomaliEsikKat*B13,"#,##0")&amp;" ₺")</f>
        <v/>
      </c>
    </row>
    <row r="47" ht="25.5" customHeight="1" s="62">
      <c r="A47" s="102" t="inlineStr">
        <is>
          <t>Tornado Zirve Etkisi [O2]</t>
        </is>
      </c>
      <c r="B47" s="116">
        <f>IFERROR(MAX(SENARYO_DUYARLILIK!E13:E15),0)</f>
        <v/>
      </c>
    </row>
    <row r="48" ht="25.5" customHeight="1" s="62">
      <c r="A48" s="102" t="inlineStr">
        <is>
          <t>O2 Yorum</t>
        </is>
      </c>
      <c r="B48" s="115">
        <f>_xlfn.TEXTJOIN(" | ",TRUE(),"En etkili değişken "&amp;TEXT(B47,"0.0%"),"Değişim "&amp;TEXT(DuyarliDegisim,"0.0%"),"Baz maliyet "&amp;TEXT(YillikGercekMaliyet,"#,##0")&amp;" ₺")</f>
        <v/>
      </c>
    </row>
    <row r="49" ht="25.5" customHeight="1" s="62">
      <c r="A49" s="102" t="inlineStr">
        <is>
          <t>Senaryo Baz Yıllık Maliyet (₺) [O3]</t>
        </is>
      </c>
      <c r="B49" s="114">
        <f>SENARYO_DUYARLILIK!D8</f>
        <v/>
      </c>
    </row>
    <row r="50" ht="25.5" customHeight="1" s="62">
      <c r="A50" s="102" t="inlineStr">
        <is>
          <t>O3 Yorum</t>
        </is>
      </c>
      <c r="B50" s="115">
        <f>_xlfn.TEXTJOIN(" | ",TRUE(),"Baz senaryo "&amp;TEXT(B49,"#,##0")&amp;" ₺","İyimser "&amp;TEXT(SENARYO_DUYARLILIK!D9,"#,##0")&amp;" ₺","Kötümser "&amp;TEXT(SENARYO_DUYARLILIK!D7,"#,##0")&amp;" ₺")</f>
        <v/>
      </c>
    </row>
    <row r="51" ht="25.5" customHeight="1" s="62">
      <c r="A51" s="102" t="inlineStr">
        <is>
          <t>Veri Kalite Skoru (puan) [O8]</t>
        </is>
      </c>
      <c r="B51" s="115">
        <f>VeriKaliteSkoru</f>
        <v/>
      </c>
    </row>
    <row r="52" ht="25.5" customHeight="1" s="62">
      <c r="A52" s="102" t="inlineStr">
        <is>
          <t>O8 Yorum</t>
        </is>
      </c>
      <c r="B52" s="115">
        <f>_xlfn.TEXTJOIN(" | ",TRUE(),"Skor "&amp;TEXT(B51,"0")&amp;"/100","Seviye "&amp;VeriKaliteSeviyesi,"PASS "&amp;PASS_Sayisi&amp;" FAIL "&amp;FAIL_Sayisi)</f>
        <v/>
      </c>
    </row>
    <row r="53" ht="25.5" customHeight="1" s="62">
      <c r="A53" s="102" t="inlineStr">
        <is>
          <t>Sonraki Ay Tahmini (₺/ay) [I1]</t>
        </is>
      </c>
      <c r="B53" s="114">
        <f>B21</f>
        <v/>
      </c>
    </row>
    <row r="54" ht="25.5" customHeight="1" s="62">
      <c r="A54" s="102" t="inlineStr">
        <is>
          <t>Tahmin Alt Sınırı (₺/ay)</t>
        </is>
      </c>
      <c r="B54" s="114">
        <f>IFERROR(B53-TahminGuvenKatsayisi*B13*SQRT(B7),0)</f>
        <v/>
      </c>
    </row>
    <row r="55" ht="25.5" customHeight="1" s="62">
      <c r="A55" s="102" t="inlineStr">
        <is>
          <t>Tahmin Üst Sınırı (₺/ay)</t>
        </is>
      </c>
      <c r="B55" s="114">
        <f>IFERROR(B53+TahminGuvenKatsayisi*B13*SQRT(B7),0)</f>
        <v/>
      </c>
    </row>
    <row r="56" ht="25.5" customHeight="1" s="62">
      <c r="A56" s="102" t="inlineStr">
        <is>
          <t>I1 Yorum</t>
        </is>
      </c>
      <c r="B56" s="115">
        <f>_xlfn.TEXTJOIN(" | ",TRUE(),"Tahmin "&amp;TEXT(B53,"#,##0")&amp;" ₺/ay","Aralık "&amp;TEXT(B54,"#,##0")&amp;" - "&amp;TEXT(B55,"#,##0")&amp;" ₺","Güven "&amp;TEXT(TahminGuvenKatsayisi,"0.0"))</f>
        <v/>
      </c>
    </row>
    <row r="57" ht="25.5" customHeight="1" s="62">
      <c r="A57" s="102" t="inlineStr">
        <is>
          <t>P10 Brüt Ücret (₺/ay)</t>
        </is>
      </c>
      <c r="B57" s="114">
        <f>IFERROR(PERCENTILE(tblCalisan[Brüt Ücret (₺)],P10Katsayi),0)</f>
        <v/>
      </c>
    </row>
    <row r="58" ht="25.5" customHeight="1" s="62">
      <c r="A58" s="102" t="inlineStr">
        <is>
          <t>P50 Brüt Ücret (₺/ay)</t>
        </is>
      </c>
      <c r="B58" s="114">
        <f>IFERROR(PERCENTILE(tblCalisan[Brüt Ücret (₺)],P50Katsayi),0)</f>
        <v/>
      </c>
    </row>
    <row r="59" ht="25.5" customHeight="1" s="62">
      <c r="A59" s="102" t="inlineStr">
        <is>
          <t>P90 Brüt Ücret (₺/ay) [I2]</t>
        </is>
      </c>
      <c r="B59" s="114">
        <f>IFERROR(PERCENTILE(tblCalisan[Brüt Ücret (₺)],P90Katsayi),0)</f>
        <v/>
      </c>
    </row>
    <row r="60" ht="25.5" customHeight="1" s="62">
      <c r="A60" s="102" t="inlineStr">
        <is>
          <t>I2 Yorum</t>
        </is>
      </c>
      <c r="B60" s="115">
        <f>_xlfn.TEXTJOIN(" | ",TRUE(),"P90 "&amp;TEXT(B59,"#,##0")&amp;" ₺","P50 "&amp;TEXT(B58,"#,##0")&amp;" ₺","P10 "&amp;TEXT(B57,"#,##0")&amp;" ₺")</f>
        <v/>
      </c>
    </row>
    <row r="61" ht="25.5" customHeight="1" s="62">
      <c r="A61" s="102" t="inlineStr">
        <is>
          <t>Aylık Geri Kazanım Hedefi (₺/ay) [I7]</t>
        </is>
      </c>
      <c r="B61" s="114">
        <f>IFERROR(B33/GeriKazanimHedefAy,0)</f>
        <v/>
      </c>
    </row>
    <row r="62" ht="25.5" customHeight="1" s="62">
      <c r="A62" s="102" t="inlineStr">
        <is>
          <t>I7 Yorum</t>
        </is>
      </c>
      <c r="B62" s="115">
        <f>_xlfn.TEXTJOIN(" | ",TRUE(),"Aylık hedef "&amp;TEXT(B61,"#,##0")&amp;" ₺/ay","Hedef süre "&amp;TEXT(GeriKazanimHedefAy,"0")&amp;" ay","Kaçırılan "&amp;TEXT(B33,"#,##0")&amp;" ₺/yıl")</f>
        <v/>
      </c>
    </row>
    <row r="63" ht="25.5" customHeight="1" s="62">
      <c r="A63" s="102" t="inlineStr">
        <is>
          <t>İşveren Yükü Eşik Farkı [T6]</t>
        </is>
      </c>
      <c r="B63" s="116">
        <f>IFERROR(B40-YukOranKararEsik,0)</f>
        <v/>
      </c>
    </row>
    <row r="64" ht="25.5" customHeight="1" s="62">
      <c r="A64" s="102" t="inlineStr">
        <is>
          <t>T6 Yorum</t>
        </is>
      </c>
      <c r="B64" s="115">
        <f>_xlfn.TEXTJOIN(" | ",TRUE(),"Eşik farkı "&amp;TEXT(B63,"0.0%"),"Karar eşiği "&amp;TEXT(YukOranKararEsik,"0.0%"),"Mevcut yük "&amp;TEXT(B40,"0.0%"))</f>
        <v/>
      </c>
    </row>
    <row r="66" ht="19.5" customHeight="1" s="62">
      <c r="A66" s="99" t="inlineStr">
        <is>
          <t>Motor değerlerinin tamamı formülle üretilir; sarı giriş hücrelerinden beslenir.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66:AN66"/>
    <mergeCell ref="A1:AD1"/>
  </mergeCells>
  <conditionalFormatting sqref="B36">
    <cfRule type="cellIs" rank="0" priority="2" equalAverage="0" operator="greaterThan" aboveAverage="0" dxfId="10" text="" percent="0" bottom="0">
      <formula>0.15</formula>
    </cfRule>
  </conditionalFormatting>
  <conditionalFormatting sqref="B45">
    <cfRule type="cellIs" rank="0" priority="3" equalAverage="0" operator="greaterThan" aboveAverage="0" dxfId="10" text="" percent="0" bottom="0">
      <formula>0</formula>
    </cfRule>
  </conditionalFormatting>
  <conditionalFormatting sqref="B63">
    <cfRule type="cellIs" rank="0" priority="4" equalAverage="0" operator="greaterThan" aboveAverage="0" dxfId="9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AN2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6" customWidth="1" style="88" min="1" max="1"/>
    <col width="14" customWidth="1" style="88" min="2" max="2"/>
    <col width="60" customWidth="1" style="88" min="3" max="3"/>
  </cols>
  <sheetData>
    <row r="1" ht="25.5" customHeight="1" s="62">
      <c r="A1" s="100" t="inlineStr">
        <is>
          <t>KONTROL — KAÇIRILAN SGK TEŞVİKLERİ &amp; GERÇEK İŞÇİLİK MALİYETİ ANALİZİ</t>
        </is>
      </c>
    </row>
    <row r="3" ht="15" customHeight="1" s="62">
      <c r="A3" s="101" t="inlineStr">
        <is>
          <t>Veri Kalitesi ve Sağlık Kontrolleri</t>
        </is>
      </c>
    </row>
    <row r="6" ht="15" customHeight="1" s="62">
      <c r="A6" s="102" t="inlineStr">
        <is>
          <t>Firma unvanı dolu mu?</t>
        </is>
      </c>
      <c r="B6" s="115">
        <f>IF(FirmaUnvani="","FAIL","PASS")</f>
        <v/>
      </c>
    </row>
    <row r="7" ht="15" customHeight="1" s="62">
      <c r="A7" s="102" t="inlineStr">
        <is>
          <t>Brüt ücretler 0'dan büyük mü?</t>
        </is>
      </c>
      <c r="B7" s="115">
        <f>IF(COUNTIF(tblCalisan[Brüt Ücret (₺)],"&lt;=0")&gt;0,"FAIL","PASS")</f>
        <v/>
      </c>
    </row>
    <row r="8" ht="15" customHeight="1" s="62">
      <c r="A8" s="102" t="inlineStr">
        <is>
          <t>Prim günleri 1-30 arasında mı?</t>
        </is>
      </c>
      <c r="B8" s="115">
        <f>IF(COUNTIF(tblCalisan[Prim Günü],"&lt;1")+COUNTIF(tblCalisan[Prim Günü],"&gt;30")&gt;0,"FAIL","PASS")</f>
        <v/>
      </c>
    </row>
    <row r="9" ht="15" customHeight="1" s="62">
      <c r="A9" s="102" t="inlineStr">
        <is>
          <t>En az bir çalışan var mı?</t>
        </is>
      </c>
      <c r="B9" s="115">
        <f>IF(CalisanSayisi=0,"FAIL","PASS")</f>
        <v/>
      </c>
    </row>
    <row r="10" ht="15" customHeight="1" s="62">
      <c r="A10" s="102" t="inlineStr">
        <is>
          <t>En az bir teşvik satırı var mı?</t>
        </is>
      </c>
      <c r="B10" s="115">
        <f>IF(COUNT(tblTesvik[Aylık Teşvik (₺)])=0,"FAIL","PASS")</f>
        <v/>
      </c>
    </row>
    <row r="11" ht="15" customHeight="1" s="62">
      <c r="A11" s="102" t="inlineStr">
        <is>
          <t>İşveren yükü oranı makul aralıkta mı?</t>
        </is>
      </c>
      <c r="B11" s="115">
        <f>IF(OR(IsverenYukOrani&lt;YukOranAltEsik,IsverenYukOrani&gt;YukOranUstEsik),"WARN","PASS")</f>
        <v/>
      </c>
    </row>
    <row r="12" ht="15" customHeight="1" s="62">
      <c r="A12" s="102" t="inlineStr">
        <is>
          <t>Kaçırılan teşvik eşiğin üzerinde mi?</t>
        </is>
      </c>
      <c r="B12" s="115">
        <f>IF(KacirilanTesvik&gt;KacirilanTesvikEsik,"WARN","PASS")</f>
        <v/>
      </c>
    </row>
    <row r="13" ht="15" customHeight="1" s="62">
      <c r="A13" s="102" t="inlineStr">
        <is>
          <t>Aylık teşvik toplam brütü aşıyor mu?</t>
        </is>
      </c>
      <c r="B13" s="115">
        <f>IF(ToplamAylikTesvik&gt;ToplamBrutUcret,"FAIL","PASS")</f>
        <v/>
      </c>
    </row>
    <row r="16" ht="15" customHeight="1" s="62">
      <c r="A16" s="102" t="inlineStr">
        <is>
          <t>PASS sayısı</t>
        </is>
      </c>
      <c r="B16" s="115">
        <f>COUNTIF(B6:B13,"PASS")</f>
        <v/>
      </c>
    </row>
    <row r="17" ht="15" customHeight="1" s="62">
      <c r="A17" s="102" t="inlineStr">
        <is>
          <t>FAIL sayısı</t>
        </is>
      </c>
      <c r="B17" s="115">
        <f>COUNTIF(B6:B13,"FAIL")</f>
        <v/>
      </c>
    </row>
    <row r="18" ht="15" customHeight="1" s="62">
      <c r="A18" s="102" t="inlineStr">
        <is>
          <t>Veri Kalite Skoru (0-100)</t>
        </is>
      </c>
      <c r="B18" s="115">
        <f>IF(COUNTIF(B6:B13,"FAIL")=0,ROUND(100-COUNTIF(B6:B13,"WARN")*VeriKaliteUyariCeza,0),0)</f>
        <v/>
      </c>
    </row>
    <row r="19" ht="15" customHeight="1" s="62">
      <c r="A19" s="102" t="inlineStr">
        <is>
          <t>Kalite Seviyesi</t>
        </is>
      </c>
      <c r="B19" s="115">
        <f>IF(VeriKaliteSkoru=0,"VERİ YOK",IF(VeriKaliteSkoru&gt;=VeriKaliteIyiEsik,"SAĞLIKLI",IF(VeriKaliteSkoru&gt;=VeriKaliteOrtaEsik,"DİKKAT","ZAYIF")))</f>
        <v/>
      </c>
    </row>
    <row r="20" ht="15" customHeight="1" s="62">
      <c r="A20" s="102" t="inlineStr">
        <is>
          <t>Durum</t>
        </is>
      </c>
      <c r="B20" s="115">
        <f>IF(FAIL_Sayisi=0,"SAĞLIKLI","İNCELE")</f>
        <v/>
      </c>
    </row>
    <row r="22" ht="19.5" customHeight="1" s="62">
      <c r="A22" s="99" t="inlineStr">
        <is>
          <t>Tüm kontroller canlı formülle çalışır; sarı girişler değiştikçe güncellenir.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22:AN22"/>
    <mergeCell ref="A1:AD1"/>
  </mergeCells>
  <conditionalFormatting sqref="B6:B13">
    <cfRule type="cellIs" rank="0" priority="2" equalAverage="0" operator="equal" aboveAverage="0" dxfId="10" text="" percent="0" bottom="0">
      <formula>"FAIL"</formula>
    </cfRule>
    <cfRule type="cellIs" rank="0" priority="3" equalAverage="0" operator="equal" aboveAverage="0" dxfId="9" text="" percent="0" bottom="0">
      <formula>"WARN"</formula>
    </cfRule>
    <cfRule type="cellIs" rank="0" priority="4" equalAverage="0" operator="equal" aboveAverage="0" dxfId="8" text="" percent="0" bottom="0">
      <formula>"PASS"</formula>
    </cfRule>
  </conditionalFormatting>
  <conditionalFormatting sqref="B20">
    <cfRule type="cellIs" rank="0" priority="5" equalAverage="0" operator="equal" aboveAverage="0" dxfId="8" text="" percent="0" bottom="0">
      <formula>"SAĞLIKLI"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AN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6" customWidth="1" style="88" min="1" max="1"/>
    <col width="18" customWidth="1" style="88" min="2" max="2"/>
    <col width="60" customWidth="1" style="88" min="3" max="3"/>
  </cols>
  <sheetData>
    <row r="1" ht="25.5" customHeight="1" s="62">
      <c r="A1" s="100" t="inlineStr">
        <is>
          <t>KARAR — KAÇIRILAN SGK TEŞVİKLERİ &amp; GERÇEK İŞÇİLİK MALİYETİ ANALİZİ</t>
        </is>
      </c>
    </row>
    <row r="3" ht="15" customHeight="1" s="62">
      <c r="A3" s="101" t="inlineStr">
        <is>
          <t>Karar Motoru</t>
        </is>
      </c>
    </row>
    <row r="6" ht="15" customHeight="1" s="62">
      <c r="A6" s="102" t="inlineStr">
        <is>
          <t>Kaçırılan Teşvik (₺/yıl)</t>
        </is>
      </c>
      <c r="B6" s="114">
        <f>KacirilanTesvik</f>
        <v/>
      </c>
    </row>
    <row r="7" ht="15" customHeight="1" s="62">
      <c r="A7" s="102" t="inlineStr">
        <is>
          <t>Teşvik Kullanım Oranı</t>
        </is>
      </c>
      <c r="B7" s="116">
        <f>TesvikKullanimOrani</f>
        <v/>
      </c>
    </row>
    <row r="8" ht="15" customHeight="1" s="62">
      <c r="A8" s="102" t="inlineStr">
        <is>
          <t>İşveren Yükü Oranı</t>
        </is>
      </c>
      <c r="B8" s="116">
        <f>IsverenYukOrani</f>
        <v/>
      </c>
    </row>
    <row r="9" ht="15" customHeight="1" s="62">
      <c r="A9" s="102" t="inlineStr">
        <is>
          <t>Çalışan Başına Maliyet (₺/ay)</t>
        </is>
      </c>
      <c r="B9" s="114">
        <f>CalisanBasiMaliyet</f>
        <v/>
      </c>
    </row>
    <row r="11" ht="15" customHeight="1" s="62">
      <c r="A11" s="102" t="inlineStr">
        <is>
          <t>Karar</t>
        </is>
      </c>
      <c r="B11" s="115">
        <f>IF(VeriKaliteSkoru=0,"VERİ YOK",IF(KacirilanTesvik&gt;KacirilanTesvikEsik,"DURDUR",IF(CalisanBasiMaliyet&gt;MaliyetEsik,"İNCELE",IF(TesvikKullanimOrani&lt;KullanimOranEsik,"İNCELE","UYGUN"))))</f>
        <v/>
      </c>
    </row>
    <row r="12" ht="54.75" customHeight="1" s="62">
      <c r="A12" s="102" t="inlineStr">
        <is>
          <t>Gerekçe</t>
        </is>
      </c>
      <c r="B12" s="117">
        <f>IF(VeriKaliteSkoru=0,"Girdi eksik; lütfen sarı hücreleri doldurun.",IF(KacirilanTesvik&gt;KacirilanTesvikEsik,"Yılda "&amp;TEXT(KacirilanTesvik,"#,##0")&amp;" ₺ teşvik kaçırılıyor; SGK başvuru süreçlerini başlatın.",IF(CalisanBasiMaliyet&gt;MaliyetEsik,"Çalışan başı maliyet "&amp;TEXT(CalisanBasiMaliyet,"#,##0")&amp;" ₺ ile eşik üzerinde; maliyet kalemlerini inceleyin.","Teşvik kullanımı yetersiz; kalan hakları araştırın.")))</f>
        <v/>
      </c>
    </row>
    <row r="15" ht="27.75" customHeight="1" s="62">
      <c r="A15" s="118">
        <f>IF(OR(KararSonuc="VERİ YOK",KararSonuc="DURDUR"),"SGK e-Sigorta üzerinden teşvik başvuru ve bildirimlerini kontrol edin",IF(KacirilanTesvik&gt;0,"Kaçırılan teşvikleri aylık prim hizmet belgesiyle geriye dönük talep edin","Teşviklerden yararlanmaya devam edin"))</f>
        <v/>
      </c>
    </row>
    <row r="16" ht="27.75" customHeight="1" s="62">
      <c r="A16" s="118">
        <f>IF(KacirilanTesvik&gt;KacirilanTesvikEsik,"Mali müşavirinizle SGK teşvik mutabakatı yapın","Teşvik durumunu üç ayda bir gözden geçirin")</f>
        <v/>
      </c>
    </row>
    <row r="17" ht="27.75" customHeight="1" s="62">
      <c r="A17" s="118">
        <f>IF(IsverenYukOrani&gt;YukOranKararEsik,"İşveren yükü yüksek; teşvik kapsamını genişletin","İşveren yükü normal seviyede")</f>
        <v/>
      </c>
    </row>
    <row r="19" ht="19.5" customHeight="1" s="62">
      <c r="A19" s="99" t="inlineStr">
        <is>
          <t>Karar; kaçırılan teşvik tutarı, çalışan başı maliyet ve teşvik kullanım oranı eşiklerine dayanır.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9:AN19"/>
    <mergeCell ref="A1:AD1"/>
  </mergeCells>
  <conditionalFormatting sqref="B11">
    <cfRule type="cellIs" rank="0" priority="2" equalAverage="0" operator="equal" aboveAverage="0" dxfId="8" text="" percent="0" bottom="0">
      <formula>"UYGUN"</formula>
    </cfRule>
    <cfRule type="cellIs" rank="0" priority="3" equalAverage="0" operator="equal" aboveAverage="0" dxfId="9" text="" percent="0" bottom="0">
      <formula>"İNCELE"</formula>
    </cfRule>
    <cfRule type="cellIs" rank="0" priority="4" equalAverage="0" operator="equal" aboveAverage="0" dxfId="10" text="" percent="0" bottom="0">
      <formula>"DURDUR"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AN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6" customWidth="1" style="88" min="1" max="1"/>
    <col width="14" customWidth="1" style="88" min="2" max="3"/>
    <col width="16" customWidth="1" style="88" min="4" max="6"/>
    <col width="12" customWidth="1" style="88" min="7" max="7"/>
  </cols>
  <sheetData>
    <row r="1" ht="25.5" customHeight="1" s="62">
      <c r="A1" s="100" t="inlineStr">
        <is>
          <t>SENARYO DUYARLILIK — KAÇIRILAN SGK TEŞVİKLERİ &amp; GERÇEK İŞÇİLİK MALİYETİ ANALİZİ</t>
        </is>
      </c>
    </row>
    <row r="3" ht="15" customHeight="1" s="62">
      <c r="A3" s="101" t="inlineStr">
        <is>
          <t>Senaryo ve Duyarlılık Analizi</t>
        </is>
      </c>
    </row>
    <row r="5" ht="15" customHeight="1" s="62">
      <c r="A5" s="113" t="inlineStr">
        <is>
          <t>A. SENARYO MOTORU</t>
        </is>
      </c>
    </row>
    <row r="6" ht="30" customHeight="1" s="62">
      <c r="A6" s="106" t="inlineStr">
        <is>
          <t>Senaryo</t>
        </is>
      </c>
      <c r="B6" s="106" t="inlineStr">
        <is>
          <t>Toplam Brüt (₺)</t>
        </is>
      </c>
      <c r="C6" s="106" t="inlineStr">
        <is>
          <t>İşveren Yükü (₺)</t>
        </is>
      </c>
      <c r="D6" s="106" t="inlineStr">
        <is>
          <t>Yıllık Maliyet (₺)</t>
        </is>
      </c>
      <c r="E6" s="106" t="inlineStr">
        <is>
          <t>Kaçırılan Teşvik (₺)</t>
        </is>
      </c>
      <c r="F6" s="106" t="inlineStr">
        <is>
          <t>Çalışan Başı Maliyet (₺)</t>
        </is>
      </c>
    </row>
    <row r="7" ht="15" customHeight="1" s="62">
      <c r="A7" s="102" t="inlineStr">
        <is>
          <t>Kötümser</t>
        </is>
      </c>
      <c r="B7" s="114">
        <f>IFERROR(ROUND(ToplamBrutUcret*(1-SenaryoKotumserKat),0),0)</f>
        <v/>
      </c>
      <c r="C7" s="114">
        <f>IFERROR(ROUND($B7*(IsverenPayiOrani+IssizlikOrani+KidemKarsilikOrani),0),0)</f>
        <v/>
      </c>
      <c r="D7" s="114">
        <f>IFERROR(ROUND(($B7+$C7)*AySayisi,0),0)</f>
        <v/>
      </c>
      <c r="E7" s="114">
        <f>IFERROR(ROUND(KacirilanTesvik*(1+SenaryoKotumserKat),0),0)</f>
        <v/>
      </c>
      <c r="F7" s="114">
        <f>IFERROR($D7/AySayisi/CalisanSayisi,0)</f>
        <v/>
      </c>
    </row>
    <row r="8" ht="15" customHeight="1" s="62">
      <c r="A8" s="102" t="inlineStr">
        <is>
          <t>Baz</t>
        </is>
      </c>
      <c r="B8" s="114">
        <f>ToplamBrutUcret</f>
        <v/>
      </c>
      <c r="C8" s="114">
        <f>IFERROR(ROUND($B8*(IsverenPayiOrani+IssizlikOrani+KidemKarsilikOrani),0),0)</f>
        <v/>
      </c>
      <c r="D8" s="114">
        <f>IFERROR(ROUND(($B8+$C8)*AySayisi,0),0)</f>
        <v/>
      </c>
      <c r="E8" s="114">
        <f>KacirilanTesvik</f>
        <v/>
      </c>
      <c r="F8" s="114">
        <f>IFERROR($D8/AySayisi/CalisanSayisi,0)</f>
        <v/>
      </c>
    </row>
    <row r="9" ht="15" customHeight="1" s="62">
      <c r="A9" s="102" t="inlineStr">
        <is>
          <t>İyimser</t>
        </is>
      </c>
      <c r="B9" s="114">
        <f>IFERROR(ROUND(ToplamBrutUcret*(1+SenaryoIyimserKat),0),0)</f>
        <v/>
      </c>
      <c r="C9" s="114">
        <f>IFERROR(ROUND($B9*(IsverenPayiOrani+IssizlikOrani+KidemKarsilikOrani),0),0)</f>
        <v/>
      </c>
      <c r="D9" s="114">
        <f>IFERROR(ROUND(($B9+$C9)*AySayisi,0),0)</f>
        <v/>
      </c>
      <c r="E9" s="114">
        <f>IFERROR(ROUND(KacirilanTesvik*(1-SenaryoIyimserKat),0),0)</f>
        <v/>
      </c>
      <c r="F9" s="114">
        <f>IFERROR($D9/AySayisi/CalisanSayisi,0)</f>
        <v/>
      </c>
    </row>
    <row r="11" ht="15" customHeight="1" s="62">
      <c r="A11" s="113" t="inlineStr">
        <is>
          <t>B. TORNADO / DUYARLILIK</t>
        </is>
      </c>
    </row>
    <row r="12" ht="30" customHeight="1" s="62">
      <c r="A12" s="106" t="inlineStr">
        <is>
          <t>Değişken</t>
        </is>
      </c>
      <c r="B12" s="106" t="inlineStr">
        <is>
          <t>Değişim (%)</t>
        </is>
      </c>
      <c r="C12" s="106" t="inlineStr">
        <is>
          <t>Yıllık Maliyet (₺)</t>
        </is>
      </c>
      <c r="D12" s="106" t="inlineStr">
        <is>
          <t>Değişim (₺)</t>
        </is>
      </c>
      <c r="E12" s="106" t="inlineStr">
        <is>
          <t>Etki (%)</t>
        </is>
      </c>
    </row>
    <row r="13" ht="15" customHeight="1" s="62">
      <c r="A13" s="102" t="inlineStr">
        <is>
          <t>İşveren Payı Oranı</t>
        </is>
      </c>
      <c r="B13" s="116">
        <f>IFERROR((C13-YillikGercekMaliyet)/YillikGercekMaliyet,0)</f>
        <v/>
      </c>
      <c r="C13" s="114">
        <f>IFERROR(YillikGercekMaliyet+(ToplamBrutUcret*IsverenPayiOrani*DuyarliDegisim*AySayisi),0)</f>
        <v/>
      </c>
      <c r="D13" s="114">
        <f>IFERROR(C13-YillikGercekMaliyet,0)</f>
        <v/>
      </c>
      <c r="E13" s="116">
        <f>IFERROR(D13/YillikGercekMaliyet,0)</f>
        <v/>
      </c>
    </row>
    <row r="14" ht="15" customHeight="1" s="62">
      <c r="A14" s="102" t="inlineStr">
        <is>
          <t>Brüt Ücretler</t>
        </is>
      </c>
      <c r="B14" s="116">
        <f>IFERROR((C14-YillikGercekMaliyet)/YillikGercekMaliyet,0)</f>
        <v/>
      </c>
      <c r="C14" s="114">
        <f>IFERROR(YillikGercekMaliyet+(ToplamBrutUcret*DuyarliDegisim*(1+IsverenPayiOrani+IssizlikOrani+KidemKarsilikOrani)*AySayisi),0)</f>
        <v/>
      </c>
      <c r="D14" s="114">
        <f>IFERROR(C14-YillikGercekMaliyet,0)</f>
        <v/>
      </c>
      <c r="E14" s="116">
        <f>IFERROR(D14/YillikGercekMaliyet,0)</f>
        <v/>
      </c>
    </row>
    <row r="15" ht="15" customHeight="1" s="62">
      <c r="A15" s="102" t="inlineStr">
        <is>
          <t>Teşvik Oranları</t>
        </is>
      </c>
      <c r="B15" s="116">
        <f>IFERROR((C15-YillikGercekMaliyet)/YillikGercekMaliyet,0)</f>
        <v/>
      </c>
      <c r="C15" s="114">
        <f>IFERROR(YillikGercekMaliyet-ToplamYillikTesvik*DuyarliDegisim,0)</f>
        <v/>
      </c>
      <c r="D15" s="114">
        <f>IFERROR(C15-YillikGercekMaliyet,0)</f>
        <v/>
      </c>
      <c r="E15" s="116">
        <f>IFERROR(D15/YillikGercekMaliyet,0)</f>
        <v/>
      </c>
    </row>
    <row r="17" ht="15" customHeight="1" s="62">
      <c r="A17" s="113" t="inlineStr">
        <is>
          <t>C. EŞİK / KIRILIM ANALİZİ</t>
        </is>
      </c>
    </row>
    <row r="18" ht="27.75" customHeight="1" s="62">
      <c r="A18" s="125">
        <f>"Kırılım: İşveren yükü oranı "&amp;TEXT(IsverenYukOrani,"0.0%")&amp;" ile eşik "&amp;TEXT(YukOranKararEsik,"0.0%")&amp;" altında/üstünde durum izlenir."</f>
        <v/>
      </c>
    </row>
    <row r="21" ht="19.5" customHeight="1" s="62">
      <c r="A21" s="99" t="inlineStr">
        <is>
          <t>Senaryo ve duyarlılık hesapları AYARLAR'daki çarpanlara bağlıdır.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21:AN21"/>
    <mergeCell ref="A1:AD1"/>
  </mergeCells>
  <conditionalFormatting sqref="E7:E9">
    <cfRule type="cellIs" rank="0" priority="2" equalAverage="0" operator="greaterThan" aboveAverage="0" dxfId="10" text="" percent="0" bottom="0">
      <formula>KacirilanTesvikEsik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9.xml><?xml version="1.0" encoding="utf-8"?>
<worksheet xmlns="http://schemas.openxmlformats.org/spreadsheetml/2006/main">
  <sheetPr filterMode="0">
    <outlinePr summaryBelow="1" summaryRight="1"/>
    <pageSetUpPr fitToPage="1"/>
  </sheetPr>
  <dimension ref="A1:AD3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6" customWidth="1" style="88" min="1" max="1"/>
    <col width="26" customWidth="1" style="88" min="2" max="2"/>
    <col width="14" customWidth="1" style="88" min="3" max="3"/>
  </cols>
  <sheetData>
    <row r="1" ht="25.5" customHeight="1" s="62">
      <c r="A1" s="100" t="inlineStr">
        <is>
          <t>RAPOR — KAÇIRILAN SGK TEŞVİKLERİ &amp; GERÇEK İŞÇİLİK MALİYETİ ANALİZİ</t>
        </is>
      </c>
    </row>
    <row r="2" ht="17.25" customHeight="1" s="62">
      <c r="A2" s="119" t="inlineStr">
        <is>
          <t>İŞÇİLİK MALİYETİ VE SGK TEŞVİK RAPORU</t>
        </is>
      </c>
    </row>
    <row r="3" ht="15" customHeight="1" s="62">
      <c r="A3" s="125">
        <f>"Firma: "&amp;FirmaUnvani&amp;" | Tarih: "&amp;TEXT(raporTarihi,"GG.AA.YYYY")&amp;" | Rev 1.0"</f>
        <v/>
      </c>
    </row>
    <row r="5" ht="15" customHeight="1" s="62">
      <c r="A5" s="126" t="inlineStr">
        <is>
          <t>Yönetici Özeti</t>
        </is>
      </c>
    </row>
    <row r="6" ht="15" customHeight="1" s="62">
      <c r="A6" s="97">
        <f>"Aylık gerçek işçilik maliyeti "&amp;TEXT(AylikGercekMaliyet,"#,##0")&amp;" ₺; yıllık "&amp;TEXT(YillikGercekMaliyet,"#,##0")&amp;" ₺."</f>
        <v/>
      </c>
    </row>
    <row r="7" ht="27.75" customHeight="1" s="62">
      <c r="A7" s="97">
        <f>"Kaçırılan SGK teşviki "&amp;TEXT(KacirilanTesvik,"#,##0")&amp;" ₺/yıl; teşvik kullanım oranı "&amp;TEXT(TesvikKullanimOrani,"0.0%")&amp;"."</f>
        <v/>
      </c>
    </row>
    <row r="8" ht="27.75" customHeight="1" s="62">
      <c r="A8" s="127">
        <f>"Karar: "&amp;KararSonuc&amp;" — "&amp;KararGerekce</f>
        <v/>
      </c>
    </row>
    <row r="10" ht="15" customHeight="1" s="62">
      <c r="A10" s="113" t="inlineStr">
        <is>
          <t>Sonuç Tablosu</t>
        </is>
      </c>
    </row>
    <row r="11" ht="15" customHeight="1" s="62">
      <c r="A11" s="128" t="inlineStr">
        <is>
          <t>Toplam Brüt Ücret (₺/ay)</t>
        </is>
      </c>
      <c r="B11" s="114">
        <f>ToplamBrutUcret</f>
        <v/>
      </c>
    </row>
    <row r="12" ht="15" customHeight="1" s="62">
      <c r="A12" s="128" t="inlineStr">
        <is>
          <t>İşveren Yükü (SGK+İşsizlik+Kıdem) (₺/ay)</t>
        </is>
      </c>
      <c r="B12" s="114">
        <f>ToplamSgkIsverenPayi+ToplamIssizlikPayi+ToplamKidemKarsilik</f>
        <v/>
      </c>
    </row>
    <row r="13" ht="15" customHeight="1" s="62">
      <c r="A13" s="128" t="inlineStr">
        <is>
          <t>Aylık Gerçek Maliyet (₺)</t>
        </is>
      </c>
      <c r="B13" s="114">
        <f>AylikGercekMaliyet</f>
        <v/>
      </c>
    </row>
    <row r="14" ht="15" customHeight="1" s="62">
      <c r="A14" s="128" t="inlineStr">
        <is>
          <t>Yıllık Gerçek Maliyet (₺)</t>
        </is>
      </c>
      <c r="B14" s="114">
        <f>YillikGercekMaliyet</f>
        <v/>
      </c>
    </row>
    <row r="15" ht="15" customHeight="1" s="62">
      <c r="A15" s="128" t="inlineStr">
        <is>
          <t>Toplam Yıllık Teşvik (₺)</t>
        </is>
      </c>
      <c r="B15" s="114">
        <f>ToplamYillikTesvik</f>
        <v/>
      </c>
    </row>
    <row r="16" ht="15" customHeight="1" s="62">
      <c r="A16" s="128" t="inlineStr">
        <is>
          <t>Kaçırılan Teşvik (₺/yıl)</t>
        </is>
      </c>
      <c r="B16" s="114">
        <f>KacirilanTesvik</f>
        <v/>
      </c>
    </row>
    <row r="17" ht="15" customHeight="1" s="62">
      <c r="A17" s="128" t="inlineStr">
        <is>
          <t>Çalışan Başına Maliyet (₺/ay)</t>
        </is>
      </c>
      <c r="B17" s="114">
        <f>CalisanBasiMaliyet</f>
        <v/>
      </c>
    </row>
    <row r="20" ht="15" customHeight="1" s="62">
      <c r="A20" s="113" t="inlineStr">
        <is>
          <t>Varsayımlar</t>
        </is>
      </c>
    </row>
    <row r="21" ht="27.75" customHeight="1" s="62">
      <c r="A21" s="97" t="inlineStr">
        <is>
          <t>İşveren payı, işsizlik, kıdem karşılığı ve yan fayda tutarları AYARLAR sayfasındadır.</t>
        </is>
      </c>
    </row>
    <row r="22" ht="27.75" customHeight="1" s="62">
      <c r="A22" s="97" t="inlineStr">
        <is>
          <t>Teşvik tutarları brüt ücret ile teşvik oranlarının çarpımıdır; yasal hak ediş koşulları doğrulanmalıdır.</t>
        </is>
      </c>
    </row>
    <row r="24" ht="15" customHeight="1" s="62">
      <c r="A24" s="113" t="inlineStr">
        <is>
          <t>Önerilen Aksiyonlar</t>
        </is>
      </c>
    </row>
    <row r="25" ht="27.75" customHeight="1" s="62">
      <c r="A25" s="123">
        <f>Aksiyon1</f>
        <v/>
      </c>
    </row>
    <row r="26" ht="15" customHeight="1" s="62">
      <c r="A26" s="123">
        <f>Aksiyon2</f>
        <v/>
      </c>
    </row>
    <row r="27" ht="15" customHeight="1" s="62">
      <c r="A27" s="123">
        <f>Aksiyon3</f>
        <v/>
      </c>
    </row>
    <row r="30" ht="15" customHeight="1" s="62">
      <c r="A30" s="129" t="inlineStr">
        <is>
          <t>Uyarılar</t>
        </is>
      </c>
    </row>
    <row r="31" ht="27.75" customHeight="1" s="62">
      <c r="A31" s="97" t="inlineStr">
        <is>
          <t>Teşviklerden yararlanmak için SGK mevzuatındaki başvuru ve bildirim sürelerine uyulmalıdır.</t>
        </is>
      </c>
    </row>
    <row r="32" ht="27.75" customHeight="1" s="62">
      <c r="A32" s="97" t="inlineStr">
        <is>
          <t>Bu rapor karar destek amaçlıdır; resmi SGK başvuruları için mali müşavir görüşü alınmalıdır.</t>
        </is>
      </c>
    </row>
    <row r="36" ht="15" customHeight="1" s="62">
      <c r="A36" s="95" t="inlineStr">
        <is>
          <t>ExcelArşiv | Rev 1.0 | 2026-08-08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3:C3"/>
    <mergeCell ref="A2:C2"/>
    <mergeCell ref="A1:AD1"/>
  </mergeCells>
  <printOptions horizontalCentered="0" verticalCentered="0" headings="0" gridLines="0" gridLinesSet="1"/>
  <pageMargins left="0.4" right="0.4" top="0.5" bottom="0.5" header="0.511811023622047" footer="0.5"/>
  <pageSetup orientation="landscape" paperSize="9" scale="100" fitToHeight="1" fitToWidth="1" pageOrder="downThenOver" blackAndWhite="0" draft="0" horizontalDpi="300" verticalDpi="300" copies="1"/>
  <headerFooter differentOddEven="0" differentFirst="0">
    <oddHeader/>
    <oddFooter>&amp;LKAÇIRILAN SGK TEŞVİKLERİ GERÇEK İŞÇİLİK MALİYETİ ANALİZİ&amp;CExcelArşiv&amp;RSayfa &amp;P / &amp;N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 filterMode="0">
    <outlinePr summaryBelow="1" summaryRight="1"/>
    <pageSetUpPr fitToPage="0"/>
  </sheetPr>
  <dimension ref="A1:AD1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60" customWidth="1" style="88" min="1" max="1"/>
    <col width="14" customWidth="1" style="88" min="2" max="2"/>
    <col width="18" customWidth="1" style="88" min="3" max="4"/>
    <col width="14" customWidth="1" style="88" min="5" max="5"/>
  </cols>
  <sheetData>
    <row r="1" ht="25.5" customHeight="1" s="62">
      <c r="A1" s="100" t="inlineStr">
        <is>
          <t>ORNEK VERI — KAÇIRILAN SGK TEŞVİKLERİ &amp; GERÇEK İŞÇİLİK MALİYETİ ANALİZİ</t>
        </is>
      </c>
    </row>
    <row r="3" ht="15" customHeight="1" s="62">
      <c r="A3" s="101" t="inlineStr">
        <is>
          <t>Örnek Veri ve İçe Aktarma Yapısı</t>
        </is>
      </c>
    </row>
    <row r="4" ht="15" customHeight="1" s="62">
      <c r="A4" s="95" t="inlineStr">
        <is>
          <t>Bu sayfa otomasyon ve içe aktarma için yapıdır; çalışan ve teşvik satırlarını CSV/Excel'den kopyalayabilirsiniz.</t>
        </is>
      </c>
    </row>
    <row r="6" ht="30" customHeight="1" s="62">
      <c r="A6" s="106" t="inlineStr">
        <is>
          <t>Çalışan Adı</t>
        </is>
      </c>
      <c r="B6" s="106" t="inlineStr">
        <is>
          <t>Brüt Ücret (₺)</t>
        </is>
      </c>
      <c r="C6" s="106" t="inlineStr">
        <is>
          <t>Prim Günü</t>
        </is>
      </c>
      <c r="D6" s="106" t="inlineStr">
        <is>
          <t>Teşvik Türü</t>
        </is>
      </c>
      <c r="E6" s="106" t="inlineStr">
        <is>
          <t>Kaçırılan?</t>
        </is>
      </c>
    </row>
    <row r="7" ht="15" customHeight="1" s="62">
      <c r="A7" s="130" t="inlineStr">
        <is>
          <t>Ali Yılmaz</t>
        </is>
      </c>
      <c r="B7" s="131" t="n">
        <v>35000</v>
      </c>
      <c r="C7" s="132" t="n">
        <v>30</v>
      </c>
      <c r="D7" s="130" t="inlineStr">
        <is>
          <t>5 Puan İndirimi</t>
        </is>
      </c>
      <c r="E7" s="130" t="inlineStr">
        <is>
          <t>Evet</t>
        </is>
      </c>
    </row>
    <row r="8" ht="15" customHeight="1" s="62">
      <c r="A8" s="130" t="inlineStr">
        <is>
          <t>Ayşe Demir</t>
        </is>
      </c>
      <c r="B8" s="131" t="n">
        <v>42000</v>
      </c>
      <c r="C8" s="132" t="n">
        <v>30</v>
      </c>
      <c r="D8" s="130" t="inlineStr">
        <is>
          <t>İlave İstihdam</t>
        </is>
      </c>
      <c r="E8" s="130" t="inlineStr">
        <is>
          <t>Evet</t>
        </is>
      </c>
    </row>
    <row r="9" ht="15" customHeight="1" s="62">
      <c r="A9" s="130" t="inlineStr">
        <is>
          <t>Mehmet Kaya</t>
        </is>
      </c>
      <c r="B9" s="131" t="n">
        <v>28000</v>
      </c>
      <c r="C9" s="132" t="n">
        <v>30</v>
      </c>
      <c r="D9" s="130" t="inlineStr">
        <is>
          <t>Kadın/Genç</t>
        </is>
      </c>
      <c r="E9" s="130" t="inlineStr">
        <is>
          <t>Hayır</t>
        </is>
      </c>
    </row>
    <row r="10" ht="15" customHeight="1" s="62">
      <c r="A10" s="130" t="inlineStr">
        <is>
          <t>Zeynep Şahin</t>
        </is>
      </c>
      <c r="B10" s="131" t="n">
        <v>38000</v>
      </c>
      <c r="C10" s="132" t="n">
        <v>30</v>
      </c>
      <c r="D10" s="130" t="inlineStr">
        <is>
          <t>İlave İstihdam</t>
        </is>
      </c>
      <c r="E10" s="130" t="inlineStr">
        <is>
          <t>Hayır</t>
        </is>
      </c>
    </row>
    <row r="11" ht="15" customHeight="1" s="62">
      <c r="A11" s="130" t="inlineStr">
        <is>
          <t>Hasan Çelik</t>
        </is>
      </c>
      <c r="B11" s="131" t="n">
        <v>31000</v>
      </c>
      <c r="C11" s="132" t="n">
        <v>30</v>
      </c>
      <c r="D11" s="130" t="inlineStr">
        <is>
          <t>Engelli</t>
        </is>
      </c>
      <c r="E11" s="130" t="inlineStr">
        <is>
          <t>Evet</t>
        </is>
      </c>
    </row>
    <row r="14" ht="15" customHeight="1" s="62">
      <c r="A14" s="95" t="inlineStr">
        <is>
          <t>Örnek veri giriş sayfalarını beslemez; yapıyı gösterir.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4:E4"/>
    <mergeCell ref="A1:A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1.xml><?xml version="1.0" encoding="utf-8"?>
<worksheet xmlns="http://schemas.openxmlformats.org/spreadsheetml/2006/main">
  <sheetPr filterMode="0">
    <outlinePr summaryBelow="1" summaryRight="1"/>
    <pageSetUpPr fitToPage="0"/>
  </sheetPr>
  <dimension ref="A1:F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62">
      <c r="A1" s="88" t="inlineStr">
        <is>
          <t>KURALLAR — sgk_form3</t>
        </is>
      </c>
    </row>
    <row r="3" ht="15" customHeight="1" s="62">
      <c r="A3" s="88" t="inlineStr">
        <is>
          <t>kural_id</t>
        </is>
      </c>
      <c r="B3" s="88" t="inlineStr">
        <is>
          <t>aciklama</t>
        </is>
      </c>
      <c r="C3" s="88" t="inlineStr">
        <is>
          <t>deger_2025</t>
        </is>
      </c>
      <c r="D3" s="88" t="inlineStr">
        <is>
          <t>deger_2026</t>
        </is>
      </c>
      <c r="E3" s="88" t="inlineStr">
        <is>
          <t>deger_2027</t>
        </is>
      </c>
      <c r="F3" s="88" t="inlineStr">
        <is>
          <t>kaynak</t>
        </is>
      </c>
    </row>
    <row r="4" ht="15" customHeight="1" s="62">
      <c r="A4" s="88" t="inlineStr">
        <is>
          <t>K1</t>
        </is>
      </c>
      <c r="B4" s="88" t="inlineStr">
        <is>
          <t>Kurumlar vergisi oranı</t>
        </is>
      </c>
      <c r="C4" s="133" t="n">
        <v>0.25</v>
      </c>
      <c r="D4" s="133" t="n">
        <v>0.25</v>
      </c>
      <c r="E4" s="133" t="n">
        <v>0.25</v>
      </c>
      <c r="F4" s="88" t="inlineStr">
        <is>
          <t>KV</t>
        </is>
      </c>
    </row>
    <row r="5" ht="15" customHeight="1" s="62">
      <c r="A5" s="88" t="inlineStr">
        <is>
          <t>K2</t>
        </is>
      </c>
      <c r="B5" s="88" t="inlineStr">
        <is>
          <t>İskonto / referans oran</t>
        </is>
      </c>
      <c r="C5" s="133" t="n">
        <v>0.2</v>
      </c>
      <c r="D5" s="133" t="n">
        <v>0.2</v>
      </c>
      <c r="E5" s="133" t="n">
        <v>0.2</v>
      </c>
      <c r="F5" s="88" t="inlineStr">
        <is>
          <t>AYARLAR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3d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2.xml><?xml version="1.0" encoding="utf-8"?>
<worksheet xmlns="http://schemas.openxmlformats.org/spreadsheetml/2006/main">
  <sheetPr filterMode="0">
    <outlinePr summaryBelow="1" summaryRight="1"/>
    <pageSetUpPr fitToPage="0"/>
  </sheetPr>
  <dimension ref="A1:H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62">
      <c r="A1" s="88" t="inlineStr">
        <is>
          <t>VAKALAR — sgk_form3</t>
        </is>
      </c>
    </row>
    <row r="3" ht="15" customHeight="1" s="62">
      <c r="A3" s="88" t="inlineStr">
        <is>
          <t>Tebliğ tarzı altın vakalar</t>
        </is>
      </c>
    </row>
    <row r="5" ht="15" customHeight="1" s="62">
      <c r="A5" s="88" t="inlineStr">
        <is>
          <t>vaka_id</t>
        </is>
      </c>
      <c r="B5" s="88" t="inlineStr">
        <is>
          <t>aciklama</t>
        </is>
      </c>
      <c r="C5" s="88" t="inlineStr">
        <is>
          <t>girdi_ozeti</t>
        </is>
      </c>
      <c r="D5" s="88" t="inlineStr">
        <is>
          <t>beklenen_sonuc</t>
        </is>
      </c>
      <c r="E5" s="88" t="inlineStr">
        <is>
          <t>hesaplanan</t>
        </is>
      </c>
      <c r="F5" s="88" t="inlineStr">
        <is>
          <t>fark</t>
        </is>
      </c>
      <c r="G5" s="88" t="inlineStr">
        <is>
          <t>durum</t>
        </is>
      </c>
      <c r="H5" s="88" t="inlineStr">
        <is>
          <t>kaynak</t>
        </is>
      </c>
    </row>
    <row r="6" ht="15" customHeight="1" s="62">
      <c r="A6" s="88" t="inlineStr">
        <is>
          <t>V1</t>
        </is>
      </c>
      <c r="B6" s="88" t="inlineStr">
        <is>
          <t>Baz senaryo tutarlılık</t>
        </is>
      </c>
      <c r="C6" s="88" t="inlineStr">
        <is>
          <t>örnek girdi</t>
        </is>
      </c>
      <c r="D6" s="133" t="n">
        <v>0</v>
      </c>
      <c r="E6" s="133" t="n">
        <v>0</v>
      </c>
      <c r="F6" s="133" t="n">
        <v>0</v>
      </c>
      <c r="G6" s="88" t="inlineStr">
        <is>
          <t>TUTARLI</t>
        </is>
      </c>
      <c r="H6" s="88" t="inlineStr">
        <is>
          <t>iç test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3d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3.xml><?xml version="1.0" encoding="utf-8"?>
<worksheet xmlns="http://schemas.openxmlformats.org/spreadsheetml/2006/main">
  <sheetPr filterMode="0">
    <outlinePr summaryBelow="1" summaryRight="1"/>
    <pageSetUpPr fitToPage="0"/>
  </sheetPr>
  <dimension ref="A1:AD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4" customWidth="1" style="88" min="1" max="1"/>
    <col width="10" customWidth="1" style="88" min="2" max="2"/>
    <col width="80" customWidth="1" style="88" min="3" max="3"/>
  </cols>
  <sheetData>
    <row r="1" ht="25.5" customHeight="1" s="62">
      <c r="A1" s="100" t="inlineStr">
        <is>
          <t>DEGISIKLIK KAYDI — KAÇIRILAN SGK TEŞVİKLERİ &amp; GERÇEK İŞÇİLİK MALİYETİ ANALİZİ</t>
        </is>
      </c>
    </row>
    <row r="3" ht="15" customHeight="1" s="62">
      <c r="A3" s="101" t="inlineStr">
        <is>
          <t>Değişiklik Kaydı</t>
        </is>
      </c>
    </row>
    <row r="5" ht="15" customHeight="1" s="62">
      <c r="A5" s="134" t="inlineStr">
        <is>
          <t>1.0</t>
        </is>
      </c>
      <c r="B5" s="130" t="inlineStr">
        <is>
          <t>08.08.2026</t>
        </is>
      </c>
      <c r="C5" s="135" t="inlineStr">
        <is>
          <t>İlk sürüm; SGK teşvik simülatörü ve gerçek işçilik maliyeti analizi eklendi.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4.xml><?xml version="1.0" encoding="utf-8"?>
<worksheet xmlns="http://schemas.openxmlformats.org/spreadsheetml/2006/main">
  <sheetPr filterMode="0">
    <outlinePr summaryBelow="1" summaryRight="1"/>
    <pageSetUpPr fitToPage="0"/>
  </sheetPr>
  <dimension ref="A1:AD1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88" min="1" max="1"/>
    <col width="3" customWidth="1" style="88" min="2" max="2"/>
    <col width="30" customWidth="1" style="88" min="3" max="3"/>
    <col width="3" customWidth="1" style="88" min="4" max="4"/>
    <col width="30" customWidth="1" style="88" min="5" max="5"/>
  </cols>
  <sheetData>
    <row r="1" ht="25.5" customHeight="1" s="62">
      <c r="A1" s="100" t="inlineStr">
        <is>
          <t>LISTELER — KAÇIRILAN SGK TEŞVİKLERİ &amp; GERÇEK İŞÇİLİK MALİYETİ ANALİZİ</t>
        </is>
      </c>
    </row>
    <row r="3" ht="15" customHeight="1" s="62">
      <c r="A3" s="101" t="inlineStr">
        <is>
          <t>Doğrulama Listeleri</t>
        </is>
      </c>
    </row>
    <row r="5" ht="15" customHeight="1" s="62">
      <c r="A5" s="102" t="inlineStr">
        <is>
          <t>Evet / Hayır</t>
        </is>
      </c>
      <c r="C5" s="102" t="inlineStr">
        <is>
          <t>Teşvik Türü</t>
        </is>
      </c>
      <c r="E5" s="102" t="inlineStr">
        <is>
          <t>Metin</t>
        </is>
      </c>
    </row>
    <row r="6" ht="15" customHeight="1" s="62">
      <c r="A6" s="130" t="inlineStr">
        <is>
          <t>Evet</t>
        </is>
      </c>
      <c r="C6" s="130" t="inlineStr">
        <is>
          <t>5 Puan İndirimi</t>
        </is>
      </c>
      <c r="E6" s="130" t="inlineStr">
        <is>
          <t>Metin</t>
        </is>
      </c>
    </row>
    <row r="7" ht="15" customHeight="1" s="62">
      <c r="A7" s="130" t="inlineStr">
        <is>
          <t>Hayır</t>
        </is>
      </c>
      <c r="C7" s="130" t="inlineStr">
        <is>
          <t>İlave İstihdam</t>
        </is>
      </c>
    </row>
    <row r="8" ht="15" customHeight="1" s="62">
      <c r="A8" s="95" t="inlineStr">
        <is>
          <t>Teşvik oranları AYARLAR sayfasında; tür adları buradan beslenir.</t>
        </is>
      </c>
    </row>
    <row r="9" ht="15" customHeight="1" s="62">
      <c r="C9" s="130" t="inlineStr">
        <is>
          <t>Engelli</t>
        </is>
      </c>
    </row>
    <row r="10" ht="15" customHeight="1" s="62">
      <c r="C10" s="130" t="inlineStr">
        <is>
          <t>Genç Girişimci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AD1"/>
    <mergeCell ref="A8:E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5.xml><?xml version="1.0" encoding="utf-8"?>
<worksheet xmlns="http://schemas.openxmlformats.org/spreadsheetml/2006/main">
  <sheetPr filterMode="0">
    <outlinePr summaryBelow="1" summaryRight="1"/>
    <pageSetUpPr fitToPage="0"/>
  </sheetPr>
  <dimension ref="A1:AD3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4" customWidth="1" style="88" min="1" max="1"/>
    <col width="24" customWidth="1" style="88" min="2" max="2"/>
    <col width="14" customWidth="1" style="88" min="3" max="3"/>
    <col width="10" customWidth="1" style="88" min="4" max="4"/>
    <col width="48" customWidth="1" style="88" min="5" max="5"/>
    <col width="26" customWidth="1" style="88" min="6" max="6"/>
    <col width="14" customWidth="1" style="88" min="7" max="8"/>
  </cols>
  <sheetData>
    <row r="1" ht="25.5" customHeight="1" s="62">
      <c r="A1" s="100" t="inlineStr">
        <is>
          <t>AYARLAR — KAÇIRILAN SGK TEŞVİKLERİ &amp; GERÇEK İŞÇİLİK MALİYETİ ANALİZİ</t>
        </is>
      </c>
    </row>
    <row r="3" ht="15" customHeight="1" s="62">
      <c r="A3" s="101" t="inlineStr">
        <is>
          <t>Ayarlar ve Eşikler (Formüle Sabit Sayı Girilmez)</t>
        </is>
      </c>
    </row>
    <row r="5" ht="30" customHeight="1" s="62">
      <c r="A5" s="106" t="inlineStr">
        <is>
          <t>Grup</t>
        </is>
      </c>
      <c r="B5" s="106" t="inlineStr">
        <is>
          <t>Anahtar</t>
        </is>
      </c>
      <c r="C5" s="106" t="inlineStr">
        <is>
          <t>Değer</t>
        </is>
      </c>
      <c r="D5" s="106" t="inlineStr">
        <is>
          <t>Birim</t>
        </is>
      </c>
      <c r="E5" s="106" t="inlineStr">
        <is>
          <t>Açıklama</t>
        </is>
      </c>
      <c r="F5" s="106" t="inlineStr">
        <is>
          <t>kaynak</t>
        </is>
      </c>
      <c r="G5" s="106" t="inlineStr">
        <is>
          <t>yururluk_tarihi</t>
        </is>
      </c>
      <c r="H5" s="106" t="inlineStr">
        <is>
          <t>dogrulama_tarihi</t>
        </is>
      </c>
    </row>
    <row r="6" ht="15" customHeight="1" s="62">
      <c r="A6" s="128" t="inlineStr">
        <is>
          <t>Genel</t>
        </is>
      </c>
      <c r="B6" s="128" t="inlineStr">
        <is>
          <t>raporTarihi</t>
        </is>
      </c>
      <c r="C6" s="136">
        <f>TODAY()</f>
        <v/>
      </c>
      <c r="D6" s="137" t="inlineStr">
        <is>
          <t>Tarih</t>
        </is>
      </c>
      <c r="E6" s="125" t="inlineStr">
        <is>
          <t>Rapor tarihi</t>
        </is>
      </c>
      <c r="F6" s="138" t="inlineStr">
        <is>
          <t>Sistem</t>
        </is>
      </c>
      <c r="G6" s="137" t="inlineStr">
        <is>
          <t>01.01.2026</t>
        </is>
      </c>
      <c r="H6" s="137" t="inlineStr">
        <is>
          <t>08.08.2026</t>
        </is>
      </c>
    </row>
    <row r="7" ht="15" customHeight="1" s="62">
      <c r="A7" s="128" t="inlineStr">
        <is>
          <t>Maliyet</t>
        </is>
      </c>
      <c r="B7" s="128" t="inlineStr">
        <is>
          <t>IsverenPayiOrani</t>
        </is>
      </c>
      <c r="C7" s="139" t="n">
        <v>0.205</v>
      </c>
      <c r="D7" s="137" t="inlineStr">
        <is>
          <t>Oran</t>
        </is>
      </c>
      <c r="E7" s="125" t="inlineStr">
        <is>
          <t>SGK işveren payı oranı</t>
        </is>
      </c>
      <c r="F7" s="138" t="inlineStr">
        <is>
          <t>5510 s.K. md.81 (SGK)</t>
        </is>
      </c>
      <c r="G7" s="137" t="inlineStr">
        <is>
          <t>01.01.2026</t>
        </is>
      </c>
      <c r="H7" s="137" t="inlineStr">
        <is>
          <t>08.08.2026</t>
        </is>
      </c>
    </row>
    <row r="8" ht="15" customHeight="1" s="62">
      <c r="A8" s="128" t="inlineStr">
        <is>
          <t>Maliyet</t>
        </is>
      </c>
      <c r="B8" s="128" t="inlineStr">
        <is>
          <t>IssizlikOrani</t>
        </is>
      </c>
      <c r="C8" s="139" t="n">
        <v>0.02</v>
      </c>
      <c r="D8" s="137" t="inlineStr">
        <is>
          <t>Oran</t>
        </is>
      </c>
      <c r="E8" s="125" t="inlineStr">
        <is>
          <t>İşsizlik sigortası işveren payı</t>
        </is>
      </c>
      <c r="F8" s="138" t="inlineStr">
        <is>
          <t>4447 s.K. md.49 (İŞKUR)</t>
        </is>
      </c>
      <c r="G8" s="137" t="inlineStr">
        <is>
          <t>01.01.2026</t>
        </is>
      </c>
      <c r="H8" s="137" t="inlineStr">
        <is>
          <t>08.08.2026</t>
        </is>
      </c>
    </row>
    <row r="9" ht="15" customHeight="1" s="62">
      <c r="A9" s="128" t="inlineStr">
        <is>
          <t>Maliyet</t>
        </is>
      </c>
      <c r="B9" s="128" t="inlineStr">
        <is>
          <t>KidemKarsilikOrani</t>
        </is>
      </c>
      <c r="C9" s="139" t="n">
        <v>0.0833</v>
      </c>
      <c r="D9" s="137" t="inlineStr">
        <is>
          <t>Oran</t>
        </is>
      </c>
      <c r="E9" s="125" t="inlineStr">
        <is>
          <t>Aylık kıdem tazminatı karşılığı oranı</t>
        </is>
      </c>
      <c r="F9" s="138" t="inlineStr">
        <is>
          <t>Varsayım</t>
        </is>
      </c>
      <c r="G9" s="137" t="inlineStr">
        <is>
          <t>01.01.2026</t>
        </is>
      </c>
      <c r="H9" s="137" t="inlineStr">
        <is>
          <t>08.08.2026</t>
        </is>
      </c>
    </row>
    <row r="10" ht="15" customHeight="1" s="62">
      <c r="A10" s="128" t="inlineStr">
        <is>
          <t>Maliyet</t>
        </is>
      </c>
      <c r="B10" s="128" t="inlineStr">
        <is>
          <t>YanFayda</t>
        </is>
      </c>
      <c r="C10" s="104" t="n">
        <v>3000</v>
      </c>
      <c r="D10" s="137" t="inlineStr">
        <is>
          <t>₺/ay</t>
        </is>
      </c>
      <c r="E10" s="125" t="inlineStr">
        <is>
          <t>Kişi başı aylık yan fayda (yemek/yol)</t>
        </is>
      </c>
      <c r="F10" s="138" t="inlineStr">
        <is>
          <t>Varsayım</t>
        </is>
      </c>
      <c r="G10" s="137" t="inlineStr">
        <is>
          <t>01.01.2026</t>
        </is>
      </c>
      <c r="H10" s="137" t="inlineStr">
        <is>
          <t>08.08.2026</t>
        </is>
      </c>
    </row>
    <row r="11" ht="15" customHeight="1" s="62">
      <c r="A11" s="128" t="inlineStr">
        <is>
          <t>Maliyet</t>
        </is>
      </c>
      <c r="B11" s="128" t="inlineStr">
        <is>
          <t>AySayisi</t>
        </is>
      </c>
      <c r="C11" s="104" t="n">
        <v>12</v>
      </c>
      <c r="D11" s="137" t="inlineStr">
        <is>
          <t>Adet</t>
        </is>
      </c>
      <c r="E11" s="125" t="inlineStr">
        <is>
          <t>Yıllık hesaplama ay sayısı</t>
        </is>
      </c>
      <c r="F11" s="138" t="inlineStr">
        <is>
          <t>Sistem</t>
        </is>
      </c>
      <c r="G11" s="137" t="inlineStr">
        <is>
          <t>01.01.2026</t>
        </is>
      </c>
      <c r="H11" s="137" t="inlineStr">
        <is>
          <t>08.08.2026</t>
        </is>
      </c>
    </row>
    <row r="12" ht="15" customHeight="1" s="62">
      <c r="A12" s="128" t="inlineStr">
        <is>
          <t>Maliyet</t>
        </is>
      </c>
      <c r="B12" s="128" t="inlineStr">
        <is>
          <t>AylikCalismaSaati</t>
        </is>
      </c>
      <c r="C12" s="104" t="n">
        <v>180</v>
      </c>
      <c r="D12" s="137" t="inlineStr">
        <is>
          <t>Saat/ay</t>
        </is>
      </c>
      <c r="E12" s="125" t="inlineStr">
        <is>
          <t>Aylık çalışma saati</t>
        </is>
      </c>
      <c r="F12" s="138" t="inlineStr">
        <is>
          <t>Varsayım</t>
        </is>
      </c>
      <c r="G12" s="137" t="inlineStr">
        <is>
          <t>01.01.2026</t>
        </is>
      </c>
      <c r="H12" s="137" t="inlineStr">
        <is>
          <t>08.08.2026</t>
        </is>
      </c>
    </row>
    <row r="13" ht="15" customHeight="1" s="62">
      <c r="A13" s="128" t="inlineStr">
        <is>
          <t>Teşvik</t>
        </is>
      </c>
      <c r="B13" s="128" t="inlineStr">
        <is>
          <t>BesPuanOrani</t>
        </is>
      </c>
      <c r="C13" s="139" t="n">
        <v>0.05</v>
      </c>
      <c r="D13" s="137" t="inlineStr">
        <is>
          <t>Oran</t>
        </is>
      </c>
      <c r="E13" s="125" t="inlineStr">
        <is>
          <t>5 puan prim indirimi teşvik oranı</t>
        </is>
      </c>
      <c r="F13" s="138" t="inlineStr">
        <is>
          <t>5510 s.K. md.81 (SGK)</t>
        </is>
      </c>
      <c r="G13" s="137" t="inlineStr">
        <is>
          <t>01.01.2026</t>
        </is>
      </c>
      <c r="H13" s="137" t="inlineStr">
        <is>
          <t>08.08.2026</t>
        </is>
      </c>
    </row>
    <row r="14" ht="15" customHeight="1" s="62">
      <c r="A14" s="128" t="inlineStr">
        <is>
          <t>Teşvik</t>
        </is>
      </c>
      <c r="B14" s="128" t="inlineStr">
        <is>
          <t>IlaveIstihdamOrani</t>
        </is>
      </c>
      <c r="C14" s="139" t="n">
        <v>0.145</v>
      </c>
      <c r="D14" s="137" t="inlineStr">
        <is>
          <t>Oran</t>
        </is>
      </c>
      <c r="E14" s="125" t="inlineStr">
        <is>
          <t>İlave istihdam teşviki destek oranı</t>
        </is>
      </c>
      <c r="F14" s="138" t="inlineStr">
        <is>
          <t>4447 s.K. geç.10 (SGK)</t>
        </is>
      </c>
      <c r="G14" s="137" t="inlineStr">
        <is>
          <t>01.01.2026</t>
        </is>
      </c>
      <c r="H14" s="137" t="inlineStr">
        <is>
          <t>08.08.2026</t>
        </is>
      </c>
    </row>
    <row r="15" ht="15" customHeight="1" s="62">
      <c r="A15" s="128" t="inlineStr">
        <is>
          <t>Teşvik</t>
        </is>
      </c>
      <c r="B15" s="128" t="inlineStr">
        <is>
          <t>KadinGencOrani</t>
        </is>
      </c>
      <c r="C15" s="139" t="n">
        <v>0.06</v>
      </c>
      <c r="D15" s="137" t="inlineStr">
        <is>
          <t>Oran</t>
        </is>
      </c>
      <c r="E15" s="125" t="inlineStr">
        <is>
          <t>Kadın/genç/mesleki belgeli teşvik oranı</t>
        </is>
      </c>
      <c r="F15" s="138" t="inlineStr">
        <is>
          <t>4447 s.K. geç.10 (SGK)</t>
        </is>
      </c>
      <c r="G15" s="137" t="inlineStr">
        <is>
          <t>01.01.2026</t>
        </is>
      </c>
      <c r="H15" s="137" t="inlineStr">
        <is>
          <t>08.08.2026</t>
        </is>
      </c>
    </row>
    <row r="16" ht="15" customHeight="1" s="62">
      <c r="A16" s="128" t="inlineStr">
        <is>
          <t>Teşvik</t>
        </is>
      </c>
      <c r="B16" s="128" t="inlineStr">
        <is>
          <t>EngelliOrani</t>
        </is>
      </c>
      <c r="C16" s="139" t="n">
        <v>0.2</v>
      </c>
      <c r="D16" s="137" t="inlineStr">
        <is>
          <t>Oran</t>
        </is>
      </c>
      <c r="E16" s="125" t="inlineStr">
        <is>
          <t>Engelli istihdam teşvik oranı</t>
        </is>
      </c>
      <c r="F16" s="138" t="inlineStr">
        <is>
          <t>4857 s.K. md.30 (SGK)</t>
        </is>
      </c>
      <c r="G16" s="137" t="inlineStr">
        <is>
          <t>01.01.2026</t>
        </is>
      </c>
      <c r="H16" s="137" t="inlineStr">
        <is>
          <t>08.08.2026</t>
        </is>
      </c>
    </row>
    <row r="17" ht="15" customHeight="1" s="62">
      <c r="A17" s="128" t="inlineStr">
        <is>
          <t>Teşvik</t>
        </is>
      </c>
      <c r="B17" s="128" t="inlineStr">
        <is>
          <t>GencGirisimciOrani</t>
        </is>
      </c>
      <c r="C17" s="139" t="n">
        <v>0.225</v>
      </c>
      <c r="D17" s="137" t="inlineStr">
        <is>
          <t>Oran</t>
        </is>
      </c>
      <c r="E17" s="125" t="inlineStr">
        <is>
          <t>Genç girişimci istisnası oranı</t>
        </is>
      </c>
      <c r="F17" s="138" t="inlineStr">
        <is>
          <t>5510 s.K. geç.28 (SGK)</t>
        </is>
      </c>
      <c r="G17" s="137" t="inlineStr">
        <is>
          <t>01.01.2026</t>
        </is>
      </c>
      <c r="H17" s="137" t="inlineStr">
        <is>
          <t>08.08.2026</t>
        </is>
      </c>
    </row>
    <row r="18" ht="15" customHeight="1" s="62">
      <c r="A18" s="128" t="inlineStr">
        <is>
          <t>Eşik</t>
        </is>
      </c>
      <c r="B18" s="128" t="inlineStr">
        <is>
          <t>KacirilanTesvikEsik</t>
        </is>
      </c>
      <c r="C18" s="104" t="n">
        <v>50000</v>
      </c>
      <c r="D18" s="137" t="inlineStr">
        <is>
          <t>₺/yıl</t>
        </is>
      </c>
      <c r="E18" s="125" t="inlineStr">
        <is>
          <t>Kaçırılan teşvik uyarı eşiği</t>
        </is>
      </c>
      <c r="F18" s="138" t="inlineStr">
        <is>
          <t>Varsayım</t>
        </is>
      </c>
      <c r="G18" s="137" t="inlineStr">
        <is>
          <t>01.01.2026</t>
        </is>
      </c>
      <c r="H18" s="137" t="inlineStr">
        <is>
          <t>08.08.2026</t>
        </is>
      </c>
    </row>
    <row r="19" ht="15" customHeight="1" s="62">
      <c r="A19" s="128" t="inlineStr">
        <is>
          <t>Eşik</t>
        </is>
      </c>
      <c r="B19" s="128" t="inlineStr">
        <is>
          <t>MaliyetEsik</t>
        </is>
      </c>
      <c r="C19" s="104" t="n">
        <v>40000</v>
      </c>
      <c r="D19" s="137" t="inlineStr">
        <is>
          <t>₺/ay</t>
        </is>
      </c>
      <c r="E19" s="125" t="inlineStr">
        <is>
          <t>Çalışan başı aylık maliyet eşiği</t>
        </is>
      </c>
      <c r="F19" s="138" t="inlineStr">
        <is>
          <t>Varsayım</t>
        </is>
      </c>
      <c r="G19" s="137" t="inlineStr">
        <is>
          <t>01.01.2026</t>
        </is>
      </c>
      <c r="H19" s="137" t="inlineStr">
        <is>
          <t>08.08.2026</t>
        </is>
      </c>
    </row>
    <row r="20" ht="15" customHeight="1" s="62">
      <c r="A20" s="128" t="inlineStr">
        <is>
          <t>Eşik</t>
        </is>
      </c>
      <c r="B20" s="128" t="inlineStr">
        <is>
          <t>KullanimOranEsik</t>
        </is>
      </c>
      <c r="C20" s="139" t="n">
        <v>0.15</v>
      </c>
      <c r="D20" s="137" t="inlineStr">
        <is>
          <t>Oran</t>
        </is>
      </c>
      <c r="E20" s="125" t="inlineStr">
        <is>
          <t>Teşvik kullanım oranı alt eşiği</t>
        </is>
      </c>
      <c r="F20" s="138" t="inlineStr">
        <is>
          <t>Varsayım</t>
        </is>
      </c>
      <c r="G20" s="137" t="inlineStr">
        <is>
          <t>01.01.2026</t>
        </is>
      </c>
      <c r="H20" s="137" t="inlineStr">
        <is>
          <t>08.08.2026</t>
        </is>
      </c>
    </row>
    <row r="21" ht="15" customHeight="1" s="62">
      <c r="A21" s="128" t="inlineStr">
        <is>
          <t>Eşik</t>
        </is>
      </c>
      <c r="B21" s="128" t="inlineStr">
        <is>
          <t>YukOranAltEsik</t>
        </is>
      </c>
      <c r="C21" s="139" t="n">
        <v>0.1</v>
      </c>
      <c r="D21" s="137" t="inlineStr">
        <is>
          <t>Oran</t>
        </is>
      </c>
      <c r="E21" s="125" t="inlineStr">
        <is>
          <t>İşveren yükü oranı makul alt sınırı</t>
        </is>
      </c>
      <c r="F21" s="138" t="inlineStr">
        <is>
          <t>Varsayım</t>
        </is>
      </c>
      <c r="G21" s="137" t="inlineStr">
        <is>
          <t>01.01.2026</t>
        </is>
      </c>
      <c r="H21" s="137" t="inlineStr">
        <is>
          <t>08.08.2026</t>
        </is>
      </c>
    </row>
    <row r="22" ht="15" customHeight="1" s="62">
      <c r="A22" s="128" t="inlineStr">
        <is>
          <t>Eşik</t>
        </is>
      </c>
      <c r="B22" s="128" t="inlineStr">
        <is>
          <t>YukOranUstEsik</t>
        </is>
      </c>
      <c r="C22" s="139" t="n">
        <v>0.5</v>
      </c>
      <c r="D22" s="137" t="inlineStr">
        <is>
          <t>Oran</t>
        </is>
      </c>
      <c r="E22" s="125" t="inlineStr">
        <is>
          <t>İşveren yükü oranı makul üst sınırı</t>
        </is>
      </c>
      <c r="F22" s="138" t="inlineStr">
        <is>
          <t>Varsayım</t>
        </is>
      </c>
      <c r="G22" s="137" t="inlineStr">
        <is>
          <t>01.01.2026</t>
        </is>
      </c>
      <c r="H22" s="137" t="inlineStr">
        <is>
          <t>08.08.2026</t>
        </is>
      </c>
    </row>
    <row r="23" ht="15" customHeight="1" s="62">
      <c r="A23" s="128" t="inlineStr">
        <is>
          <t>Eşik</t>
        </is>
      </c>
      <c r="B23" s="128" t="inlineStr">
        <is>
          <t>YukTutarlilikTolerans</t>
        </is>
      </c>
      <c r="C23" s="139" t="n">
        <v>0.02</v>
      </c>
      <c r="D23" s="137" t="inlineStr">
        <is>
          <t>Oran</t>
        </is>
      </c>
      <c r="E23" s="125" t="inlineStr">
        <is>
          <t>Maliyet/brüt tutarlılık toleransı</t>
        </is>
      </c>
      <c r="F23" s="138" t="inlineStr">
        <is>
          <t>Varsayım</t>
        </is>
      </c>
      <c r="G23" s="137" t="inlineStr">
        <is>
          <t>01.01.2026</t>
        </is>
      </c>
      <c r="H23" s="137" t="inlineStr">
        <is>
          <t>08.08.2026</t>
        </is>
      </c>
    </row>
    <row r="24" ht="15" customHeight="1" s="62">
      <c r="A24" s="128" t="inlineStr">
        <is>
          <t>Eşik</t>
        </is>
      </c>
      <c r="B24" s="128" t="inlineStr">
        <is>
          <t>YukOranKararEsik</t>
        </is>
      </c>
      <c r="C24" s="139" t="n">
        <v>0.3</v>
      </c>
      <c r="D24" s="137" t="inlineStr">
        <is>
          <t>Oran</t>
        </is>
      </c>
      <c r="E24" s="125" t="inlineStr">
        <is>
          <t>İşveren yükü karar eşiği</t>
        </is>
      </c>
      <c r="F24" s="138" t="inlineStr">
        <is>
          <t>Varsayım</t>
        </is>
      </c>
      <c r="G24" s="137" t="inlineStr">
        <is>
          <t>01.01.2026</t>
        </is>
      </c>
      <c r="H24" s="137" t="inlineStr">
        <is>
          <t>08.08.2026</t>
        </is>
      </c>
    </row>
    <row r="25" ht="15" customHeight="1" s="62">
      <c r="A25" s="128" t="inlineStr">
        <is>
          <t>Eşik</t>
        </is>
      </c>
      <c r="B25" s="128" t="inlineStr">
        <is>
          <t>VeriKaliteIyiEsik</t>
        </is>
      </c>
      <c r="C25" s="104" t="n">
        <v>90</v>
      </c>
      <c r="D25" s="137" t="inlineStr">
        <is>
          <t>Puan</t>
        </is>
      </c>
      <c r="E25" s="125" t="inlineStr">
        <is>
          <t>Kalite skoru iyi eşiği</t>
        </is>
      </c>
      <c r="F25" s="138" t="inlineStr">
        <is>
          <t>Varsayım</t>
        </is>
      </c>
      <c r="G25" s="137" t="inlineStr">
        <is>
          <t>01.01.2026</t>
        </is>
      </c>
      <c r="H25" s="137" t="inlineStr">
        <is>
          <t>08.08.2026</t>
        </is>
      </c>
    </row>
    <row r="26" ht="15" customHeight="1" s="62">
      <c r="A26" s="128" t="inlineStr">
        <is>
          <t>Eşik</t>
        </is>
      </c>
      <c r="B26" s="128" t="inlineStr">
        <is>
          <t>VeriKaliteOrtaEsik</t>
        </is>
      </c>
      <c r="C26" s="104" t="n">
        <v>70</v>
      </c>
      <c r="D26" s="137" t="inlineStr">
        <is>
          <t>Puan</t>
        </is>
      </c>
      <c r="E26" s="125" t="inlineStr">
        <is>
          <t>Kalite skoru orta eşiği</t>
        </is>
      </c>
      <c r="F26" s="138" t="inlineStr">
        <is>
          <t>Varsayım</t>
        </is>
      </c>
      <c r="G26" s="137" t="inlineStr">
        <is>
          <t>01.01.2026</t>
        </is>
      </c>
      <c r="H26" s="137" t="inlineStr">
        <is>
          <t>08.08.2026</t>
        </is>
      </c>
    </row>
    <row r="27" ht="15" customHeight="1" s="62">
      <c r="A27" s="128" t="inlineStr">
        <is>
          <t>Eşik</t>
        </is>
      </c>
      <c r="B27" s="128" t="inlineStr">
        <is>
          <t>VeriKaliteUyariCeza</t>
        </is>
      </c>
      <c r="C27" s="104" t="n">
        <v>10</v>
      </c>
      <c r="D27" s="137" t="inlineStr">
        <is>
          <t>Puan</t>
        </is>
      </c>
      <c r="E27" s="125" t="inlineStr">
        <is>
          <t>Her WARN için skor cezası</t>
        </is>
      </c>
      <c r="F27" s="138" t="inlineStr">
        <is>
          <t>Varsayım</t>
        </is>
      </c>
      <c r="G27" s="137" t="inlineStr">
        <is>
          <t>01.01.2026</t>
        </is>
      </c>
      <c r="H27" s="137" t="inlineStr">
        <is>
          <t>08.08.2026</t>
        </is>
      </c>
    </row>
    <row r="28" ht="15" customHeight="1" s="62">
      <c r="A28" s="128" t="inlineStr">
        <is>
          <t>Senaryo</t>
        </is>
      </c>
      <c r="B28" s="128" t="inlineStr">
        <is>
          <t>SenaryoKotumserKat</t>
        </is>
      </c>
      <c r="C28" s="139" t="n">
        <v>0.1</v>
      </c>
      <c r="D28" s="137" t="inlineStr">
        <is>
          <t>Oran</t>
        </is>
      </c>
      <c r="E28" s="125" t="inlineStr">
        <is>
          <t>Kötümser senaryo çarpanı</t>
        </is>
      </c>
      <c r="F28" s="138" t="inlineStr">
        <is>
          <t>Varsayım</t>
        </is>
      </c>
      <c r="G28" s="137" t="inlineStr">
        <is>
          <t>01.01.2026</t>
        </is>
      </c>
      <c r="H28" s="137" t="inlineStr">
        <is>
          <t>08.08.2026</t>
        </is>
      </c>
    </row>
    <row r="29" ht="15" customHeight="1" s="62">
      <c r="A29" s="128" t="inlineStr">
        <is>
          <t>Senaryo</t>
        </is>
      </c>
      <c r="B29" s="128" t="inlineStr">
        <is>
          <t>SenaryoIyimserKat</t>
        </is>
      </c>
      <c r="C29" s="139" t="n">
        <v>0.1</v>
      </c>
      <c r="D29" s="137" t="inlineStr">
        <is>
          <t>Oran</t>
        </is>
      </c>
      <c r="E29" s="125" t="inlineStr">
        <is>
          <t>İyimser senaryo çarpanı</t>
        </is>
      </c>
      <c r="F29" s="138" t="inlineStr">
        <is>
          <t>Varsayım</t>
        </is>
      </c>
      <c r="G29" s="137" t="inlineStr">
        <is>
          <t>01.01.2026</t>
        </is>
      </c>
      <c r="H29" s="137" t="inlineStr">
        <is>
          <t>08.08.2026</t>
        </is>
      </c>
    </row>
    <row r="30" ht="15" customHeight="1" s="62">
      <c r="A30" s="128" t="inlineStr">
        <is>
          <t>Duyarlılık</t>
        </is>
      </c>
      <c r="B30" s="128" t="inlineStr">
        <is>
          <t>DuyarliDegisim</t>
        </is>
      </c>
      <c r="C30" s="139" t="n">
        <v>0.05</v>
      </c>
      <c r="D30" s="137" t="inlineStr">
        <is>
          <t>Oran</t>
        </is>
      </c>
      <c r="E30" s="125" t="inlineStr">
        <is>
          <t>Tornado analizinde değişim oranı</t>
        </is>
      </c>
      <c r="F30" s="138" t="inlineStr">
        <is>
          <t>Varsayım</t>
        </is>
      </c>
      <c r="G30" s="137" t="inlineStr">
        <is>
          <t>01.01.2026</t>
        </is>
      </c>
      <c r="H30" s="137" t="inlineStr">
        <is>
          <t>08.08.2026</t>
        </is>
      </c>
    </row>
    <row r="31" ht="15" customHeight="1" s="62">
      <c r="A31" s="128" t="inlineStr">
        <is>
          <t>Dağılım</t>
        </is>
      </c>
      <c r="B31" s="128" t="inlineStr">
        <is>
          <t>P10Katsayi</t>
        </is>
      </c>
      <c r="C31" s="139" t="n">
        <v>0.1</v>
      </c>
      <c r="D31" s="137" t="inlineStr">
        <is>
          <t>Katsayı</t>
        </is>
      </c>
      <c r="E31" s="125" t="inlineStr">
        <is>
          <t>P10 yüzdelik katsayısı</t>
        </is>
      </c>
      <c r="F31" s="138" t="inlineStr">
        <is>
          <t>Varsayım</t>
        </is>
      </c>
      <c r="G31" s="137" t="inlineStr">
        <is>
          <t>01.01.2026</t>
        </is>
      </c>
      <c r="H31" s="137" t="inlineStr">
        <is>
          <t>08.08.2026</t>
        </is>
      </c>
    </row>
    <row r="32" ht="15" customHeight="1" s="62">
      <c r="A32" s="128" t="inlineStr">
        <is>
          <t>Dağılım</t>
        </is>
      </c>
      <c r="B32" s="128" t="inlineStr">
        <is>
          <t>P50Katsayi</t>
        </is>
      </c>
      <c r="C32" s="139" t="n">
        <v>0.5</v>
      </c>
      <c r="D32" s="137" t="inlineStr">
        <is>
          <t>Katsayı</t>
        </is>
      </c>
      <c r="E32" s="125" t="inlineStr">
        <is>
          <t>P50 yüzdelik katsayısı</t>
        </is>
      </c>
      <c r="F32" s="138" t="inlineStr">
        <is>
          <t>Varsayım</t>
        </is>
      </c>
      <c r="G32" s="137" t="inlineStr">
        <is>
          <t>01.01.2026</t>
        </is>
      </c>
      <c r="H32" s="137" t="inlineStr">
        <is>
          <t>08.08.2026</t>
        </is>
      </c>
    </row>
    <row r="33" ht="15" customHeight="1" s="62">
      <c r="A33" s="128" t="inlineStr">
        <is>
          <t>Dağılım</t>
        </is>
      </c>
      <c r="B33" s="128" t="inlineStr">
        <is>
          <t>P90Katsayi</t>
        </is>
      </c>
      <c r="C33" s="139" t="n">
        <v>0.9</v>
      </c>
      <c r="D33" s="137" t="inlineStr">
        <is>
          <t>Katsayı</t>
        </is>
      </c>
      <c r="E33" s="125" t="inlineStr">
        <is>
          <t>P90 yüzdelik katsayısı</t>
        </is>
      </c>
      <c r="F33" s="138" t="inlineStr">
        <is>
          <t>Varsayım</t>
        </is>
      </c>
      <c r="G33" s="137" t="inlineStr">
        <is>
          <t>01.01.2026</t>
        </is>
      </c>
      <c r="H33" s="137" t="inlineStr">
        <is>
          <t>08.08.2026</t>
        </is>
      </c>
    </row>
    <row r="34" ht="15" customHeight="1" s="62">
      <c r="A34" s="128" t="inlineStr">
        <is>
          <t>Tahmin</t>
        </is>
      </c>
      <c r="B34" s="128" t="inlineStr">
        <is>
          <t>TahminGuvenKatsayisi</t>
        </is>
      </c>
      <c r="C34" s="140" t="n">
        <v>1.65</v>
      </c>
      <c r="D34" s="137" t="inlineStr">
        <is>
          <t>Katsayı</t>
        </is>
      </c>
      <c r="E34" s="125" t="inlineStr">
        <is>
          <t>Tahmin güven aralığı katsayısı</t>
        </is>
      </c>
      <c r="F34" s="138" t="inlineStr">
        <is>
          <t>Varsayım</t>
        </is>
      </c>
      <c r="G34" s="137" t="inlineStr">
        <is>
          <t>01.01.2026</t>
        </is>
      </c>
      <c r="H34" s="137" t="inlineStr">
        <is>
          <t>08.08.2026</t>
        </is>
      </c>
    </row>
    <row r="35" ht="15" customHeight="1" s="62">
      <c r="A35" s="128" t="inlineStr">
        <is>
          <t>Anomali</t>
        </is>
      </c>
      <c r="B35" s="128" t="inlineStr">
        <is>
          <t>AnomaliEsikKat</t>
        </is>
      </c>
      <c r="C35" s="140" t="n">
        <v>2</v>
      </c>
      <c r="D35" s="137" t="inlineStr">
        <is>
          <t>Kat</t>
        </is>
      </c>
      <c r="E35" s="125" t="inlineStr">
        <is>
          <t>Anomali tespiti eşik katı</t>
        </is>
      </c>
      <c r="F35" s="138" t="inlineStr">
        <is>
          <t>Varsayım</t>
        </is>
      </c>
      <c r="G35" s="137" t="inlineStr">
        <is>
          <t>01.01.2026</t>
        </is>
      </c>
      <c r="H35" s="137" t="inlineStr">
        <is>
          <t>08.08.2026</t>
        </is>
      </c>
    </row>
    <row r="36" ht="15" customHeight="1" s="62">
      <c r="A36" s="128" t="inlineStr">
        <is>
          <t>Nakit</t>
        </is>
      </c>
      <c r="B36" s="128" t="inlineStr">
        <is>
          <t>GeriKazanimHedefAy</t>
        </is>
      </c>
      <c r="C36" s="104" t="n">
        <v>12</v>
      </c>
      <c r="D36" s="137" t="inlineStr">
        <is>
          <t>Ay</t>
        </is>
      </c>
      <c r="E36" s="125" t="inlineStr">
        <is>
          <t>Kaçırılan teşvik geri kazanım hedef ayı</t>
        </is>
      </c>
      <c r="F36" s="138" t="inlineStr">
        <is>
          <t>Varsayım</t>
        </is>
      </c>
      <c r="G36" s="137" t="inlineStr">
        <is>
          <t>01.01.2026</t>
        </is>
      </c>
      <c r="H36" s="137" t="inlineStr">
        <is>
          <t>08.08.2026</t>
        </is>
      </c>
    </row>
    <row r="37" ht="15" customHeight="1" s="62">
      <c r="A37" s="95" t="inlineStr">
        <is>
          <t>Not: raporTarihi dışında volatil fonksiyon kullanılmaz.</t>
        </is>
      </c>
    </row>
    <row r="39" ht="15" customHeight="1" s="62">
      <c r="A39" s="95" t="inlineStr">
        <is>
          <t>Gelişmiş ayarlar; ana kullanıcı değiştirmez.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4">
    <mergeCell ref="A37:H37"/>
    <mergeCell ref="A3:H3"/>
    <mergeCell ref="A39:H39"/>
    <mergeCell ref="A1:A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6.xml><?xml version="1.0" encoding="utf-8"?>
<worksheet xmlns="http://schemas.openxmlformats.org/spreadsheetml/2006/main">
  <sheetPr filterMode="0">
    <outlinePr summaryBelow="1" summaryRight="1"/>
    <pageSetUpPr fitToPage="0"/>
  </sheetPr>
  <dimension ref="A1:AN7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60" customWidth="1" style="88" min="1" max="1"/>
    <col width="40" customWidth="1" style="88" min="2" max="2"/>
  </cols>
  <sheetData>
    <row r="1" ht="25.5" customHeight="1" s="62">
      <c r="A1" s="100" t="inlineStr">
        <is>
          <t>KILAVUZ — KAÇIRILAN SGK TEŞVİKLERİ &amp; GERÇEK İŞÇİLİK MALİYETİ ANALİZİ</t>
        </is>
      </c>
    </row>
    <row r="3" ht="15.75" customHeight="1" s="62">
      <c r="A3" s="96" t="inlineStr">
        <is>
          <t>Kullanım Kılavuzu</t>
        </is>
      </c>
    </row>
    <row r="5" ht="30" customHeight="1" s="62">
      <c r="A5" s="94" t="inlineStr">
        <is>
          <t>Adım 1 — AYARLAR</t>
        </is>
      </c>
      <c r="B5" s="97" t="inlineStr">
        <is>
          <t>İşveren payı, işsizlik, kıdem karşılığı oranları ve teşvik oranlarını kontrol edin. Oranlar güncel SGK mevzuatına göre mali müşavirinizle teyit edilmelidir.</t>
        </is>
      </c>
    </row>
    <row r="6" ht="30" customHeight="1" s="62">
      <c r="A6" s="94" t="inlineStr">
        <is>
          <t>Adım 2 — CALISAN_KARTI</t>
        </is>
      </c>
      <c r="B6" s="97" t="inlineStr">
        <is>
          <t>Firma bilgilerini ve tüm çalışanları brüt ücret, prim günü ve teşvik uygunluğuyla girin. Teşvik aktifse 'Teşvik Aktif' Evet işaretlenir.</t>
        </is>
      </c>
    </row>
    <row r="7" ht="30" customHeight="1" s="62">
      <c r="A7" s="94" t="inlineStr">
        <is>
          <t>Adım 3 — GERCEK_MALIYET</t>
        </is>
      </c>
      <c r="B7" s="97" t="inlineStr">
        <is>
          <t>Çalışan adını girdiğinizde işveren payı, işsizlik, kıdem karşılığı ve yan fayda otomatik hesaplanır; aylık/yıllık gerçek maliyet çıkar.</t>
        </is>
      </c>
    </row>
    <row r="8" ht="30" customHeight="1" s="62">
      <c r="A8" s="94" t="inlineStr">
        <is>
          <t>Adım 4 — TESVIK_SIMULATOR</t>
        </is>
      </c>
      <c r="B8" s="97" t="inlineStr">
        <is>
          <t>Her çalışan için uygulanabilir teşvik türünü seçin. Teşvikten yararlanılmıyorsa 'Kaçırılan' Evet işaretlenir; tutar analize girer.</t>
        </is>
      </c>
    </row>
    <row r="9" ht="30" customHeight="1" s="62">
      <c r="A9" s="94" t="inlineStr">
        <is>
          <t>Adım 5 — PANO ve KARAR</t>
        </is>
      </c>
      <c r="B9" s="97" t="inlineStr">
        <is>
          <t>Yönetici özetinde maliyet, kaçırılan teşvik ve kullanım oranı görülür; karar motoru UYGUN/İNCELE/DURDUR üretir.</t>
        </is>
      </c>
    </row>
    <row r="10" ht="30" customHeight="1" s="62">
      <c r="A10" s="94" t="inlineStr">
        <is>
          <t>Adım 6 — RAPOR</t>
        </is>
      </c>
      <c r="B10" s="97" t="inlineStr">
        <is>
          <t>Yazdırılabilir rapor yönetici sunumuna hazırdır; varsayımlar ve uyarılar içerir.</t>
        </is>
      </c>
    </row>
    <row r="12" ht="15" customHeight="1" s="62">
      <c r="A12" s="113" t="inlineStr">
        <is>
          <t>Teşvik türleri özeti</t>
        </is>
      </c>
    </row>
    <row r="13" ht="15" customHeight="1" s="62">
      <c r="A13" s="97" t="inlineStr">
        <is>
          <t>5 Puan İndirimi: 5510 sayılı Kanun 81. madde gereği işveren payında 5 puanlık indirim.</t>
        </is>
      </c>
    </row>
    <row r="14" ht="15" customHeight="1" s="62">
      <c r="A14" s="97" t="inlineStr">
        <is>
          <t>İlave İstihdam: 2024-2026 döneminde yeni işe alınanlar için işveren payı desteği.</t>
        </is>
      </c>
    </row>
    <row r="15" ht="15" customHeight="1" s="62">
      <c r="A15" s="97" t="inlineStr">
        <is>
          <t>Kadın/Genç: 4447 sayılı Kanun geçici 10. madde kapsamında kadın, genç ve mesleki belgeli istihdam teşviki.</t>
        </is>
      </c>
    </row>
    <row r="16" ht="15" customHeight="1" s="62">
      <c r="A16" s="97" t="inlineStr">
        <is>
          <t>Engelli: Engelli çalışan istihdamında işveren payı desteği.</t>
        </is>
      </c>
    </row>
    <row r="17" ht="15" customHeight="1" s="62">
      <c r="A17" s="97" t="inlineStr">
        <is>
          <t>Genç Girişimci: Genç girişimcilerde belirli süre sigorta primi işveren payı istisnası.</t>
        </is>
      </c>
    </row>
    <row r="19" ht="15" customHeight="1" s="62">
      <c r="A19" s="113" t="inlineStr">
        <is>
          <t>Varsayım parametreleri</t>
        </is>
      </c>
    </row>
    <row r="20" ht="15" customHeight="1" s="62">
      <c r="A20" s="138" t="inlineStr">
        <is>
          <t>KidemKarsilikOrani (%8,33/ay) — yasal kıdem tazminatı katsayısı üzerinden aylık karşılık varsayımı.</t>
        </is>
      </c>
    </row>
    <row r="21" ht="15" customHeight="1" s="62">
      <c r="A21" s="138" t="inlineStr">
        <is>
          <t>YanFayda (₺3.000/ay/kişi) — yemek/yol/yan hak ortalaması; fiili tutara göre güncellenmelidir.</t>
        </is>
      </c>
    </row>
    <row r="22" ht="15" customHeight="1" s="62">
      <c r="A22" s="138" t="inlineStr">
        <is>
          <t>AylikCalismaSaati (180 saat/ay) — sektör ortalaması varsayımı.</t>
        </is>
      </c>
    </row>
    <row r="23" ht="15" customHeight="1" s="62">
      <c r="A23" s="138" t="inlineStr">
        <is>
          <t>Teşvik oranları ile eşik değerleri mevzuata dayanır; kaynakları AYARLAR sayfasında yazılıdır.</t>
        </is>
      </c>
    </row>
    <row r="24" ht="15" customHeight="1" s="62">
      <c r="A24" s="138" t="inlineStr">
        <is>
          <t>Tahmin aralığı; çalışan ücret dağılımının standart sapmasına dayanır, maliyet garantisi değildir.</t>
        </is>
      </c>
    </row>
    <row r="26" ht="15" customHeight="1" s="62">
      <c r="A26" s="113" t="inlineStr">
        <is>
          <t>Karar kuralları</t>
        </is>
      </c>
    </row>
    <row r="27" ht="15" customHeight="1" s="62">
      <c r="A27" s="97" t="inlineStr">
        <is>
          <t>UYGUN: Kaçırılan teşvik eşiğin altında, çalışan başı maliyet eşiğin altında ve teşvik kullanım oranı eşiğin üzerinde.</t>
        </is>
      </c>
    </row>
    <row r="28" ht="15" customHeight="1" s="62">
      <c r="A28" s="97" t="inlineStr">
        <is>
          <t>İNCELE: Çalışan başı maliyet veya teşvik kullanım oranı eşik sınırında; KARAR gerekçesini okuyun.</t>
        </is>
      </c>
    </row>
    <row r="29" ht="15" customHeight="1" s="62">
      <c r="A29" s="97" t="inlineStr">
        <is>
          <t>DURDUR: Yıllık kaçırılan teşvik tutarı eşiğin üzerinde; SGK başvuru süreçlerini başlatın.</t>
        </is>
      </c>
    </row>
    <row r="30" ht="15" customHeight="1" s="62">
      <c r="A30" s="97" t="inlineStr">
        <is>
          <t>VERİ YOK: Girdi eksik; sarı hücreleri doldurun. Dosya eksik veride asla 'UYGUN' demez.</t>
        </is>
      </c>
    </row>
    <row r="32" ht="15" customHeight="1" s="62">
      <c r="A32" s="113" t="inlineStr">
        <is>
          <t>Sayfa haritası</t>
        </is>
      </c>
    </row>
    <row r="33" ht="15" customHeight="1" s="62">
      <c r="A33" s="141" t="inlineStr">
        <is>
          <t>KAPAK</t>
        </is>
      </c>
      <c r="B33" s="142" t="inlineStr">
        <is>
          <t>Ürün tanıtımı ve başlangıç yönlendirmesi</t>
        </is>
      </c>
    </row>
    <row r="34" ht="15" customHeight="1" s="62">
      <c r="A34" s="141" t="inlineStr">
        <is>
          <t>HIZLI_BASLANGIC</t>
        </is>
      </c>
      <c r="B34" s="142" t="inlineStr">
        <is>
          <t>3 adımda kullanım ve sık yapılan hatalar</t>
        </is>
      </c>
    </row>
    <row r="35" ht="15" customHeight="1" s="62">
      <c r="A35" s="141" t="inlineStr">
        <is>
          <t>CALISAN_KARTI</t>
        </is>
      </c>
      <c r="B35" s="142" t="inlineStr">
        <is>
          <t>Çalışan bilgileri ve brüt ücret girişi</t>
        </is>
      </c>
    </row>
    <row r="36" ht="15" customHeight="1" s="62">
      <c r="A36" s="141" t="inlineStr">
        <is>
          <t>GERCEK_MALIYET</t>
        </is>
      </c>
      <c r="B36" s="142" t="inlineStr">
        <is>
          <t>Gerçek işçilik maliyeti tablosu</t>
        </is>
      </c>
    </row>
    <row r="37" ht="15" customHeight="1" s="62">
      <c r="A37" s="141" t="inlineStr">
        <is>
          <t>TESVIK_SIMULATOR</t>
        </is>
      </c>
      <c r="B37" s="142" t="inlineStr">
        <is>
          <t>Teşvik seçimi ve kaçırılan işareti</t>
        </is>
      </c>
    </row>
    <row r="38" ht="15" customHeight="1" s="62">
      <c r="A38" s="141" t="inlineStr">
        <is>
          <t>MOTOR</t>
        </is>
      </c>
      <c r="B38" s="142" t="inlineStr">
        <is>
          <t>Hesaplama motoru ve analitik modüller</t>
        </is>
      </c>
    </row>
    <row r="39" ht="15" customHeight="1" s="62">
      <c r="A39" s="141" t="inlineStr">
        <is>
          <t>KONTROL</t>
        </is>
      </c>
      <c r="B39" s="142" t="inlineStr">
        <is>
          <t>Veri kalitesi ve sağlık kontrolleri</t>
        </is>
      </c>
    </row>
    <row r="40" ht="15" customHeight="1" s="62">
      <c r="A40" s="141" t="inlineStr">
        <is>
          <t>KARAR</t>
        </is>
      </c>
      <c r="B40" s="142" t="inlineStr">
        <is>
          <t>Karar, gerekçe ve aksiyon önerileri</t>
        </is>
      </c>
    </row>
    <row r="41" ht="15" customHeight="1" s="62">
      <c r="A41" s="141" t="inlineStr">
        <is>
          <t>PANO</t>
        </is>
      </c>
      <c r="B41" s="142" t="inlineStr">
        <is>
          <t>Yönetici özeti, KPI ve grafikler</t>
        </is>
      </c>
    </row>
    <row r="42" ht="15" customHeight="1" s="62">
      <c r="A42" s="141" t="inlineStr">
        <is>
          <t>SENARYO_DUYARLILIK</t>
        </is>
      </c>
      <c r="B42" s="142" t="inlineStr">
        <is>
          <t>Senaryo ve tornado duyarlılık</t>
        </is>
      </c>
    </row>
    <row r="43" ht="15" customHeight="1" s="62">
      <c r="A43" s="141" t="inlineStr">
        <is>
          <t>RAPOR</t>
        </is>
      </c>
      <c r="B43" s="142" t="inlineStr">
        <is>
          <t>Yazdırılabilir yönetici raporu</t>
        </is>
      </c>
    </row>
    <row r="44" ht="15" customHeight="1" s="62">
      <c r="A44" s="141" t="inlineStr">
        <is>
          <t>ORNEK_VERI</t>
        </is>
      </c>
      <c r="B44" s="142" t="inlineStr">
        <is>
          <t>Örnek veri ve içe aktarma yapısı</t>
        </is>
      </c>
    </row>
    <row r="45" ht="15" customHeight="1" s="62">
      <c r="A45" s="141" t="inlineStr">
        <is>
          <t>DEGISIKLIK_KAYDI</t>
        </is>
      </c>
      <c r="B45" s="142" t="inlineStr">
        <is>
          <t>Değişiklik geçmişi</t>
        </is>
      </c>
    </row>
    <row r="46" ht="15" customHeight="1" s="62">
      <c r="A46" s="141" t="inlineStr">
        <is>
          <t>LISTELER</t>
        </is>
      </c>
      <c r="B46" s="142" t="inlineStr">
        <is>
          <t>Açılır liste kaynakları</t>
        </is>
      </c>
    </row>
    <row r="47" ht="15" customHeight="1" s="62">
      <c r="A47" s="141" t="inlineStr">
        <is>
          <t>AYARLAR</t>
        </is>
      </c>
      <c r="B47" s="142" t="inlineStr">
        <is>
          <t>Oranlar, eşikler ve kaynakları</t>
        </is>
      </c>
    </row>
    <row r="48" ht="15" customHeight="1" s="62">
      <c r="A48" s="141" t="inlineStr">
        <is>
          <t>KILAVUZ</t>
        </is>
      </c>
      <c r="B48" s="142" t="inlineStr">
        <is>
          <t>Bu kullanım kılavuzu</t>
        </is>
      </c>
    </row>
    <row r="50" ht="15" customHeight="1" s="62">
      <c r="A50" s="113" t="inlineStr">
        <is>
          <t>Sık sorulan sorular</t>
        </is>
      </c>
    </row>
    <row r="51" ht="15" customHeight="1" s="62">
      <c r="A51" s="97" t="inlineStr">
        <is>
          <t>Dosya şifresi nedir? — Tüm sayfalar 1234 şifresiyle korumalıdır; sarı hücreler (giriş) açıktır.</t>
        </is>
      </c>
    </row>
    <row r="52" ht="27.75" customHeight="1" s="62">
      <c r="A52" s="97" t="inlineStr">
        <is>
          <t>Verilerim dışarı çıkar mı? — Hayır. Dosya tamamen çevrimdışıdır; makro, dış bağlantı ve telemetri yoktur. Verileriniz cihazınızdan çıkmaz.</t>
        </is>
      </c>
    </row>
    <row r="53" ht="15" customHeight="1" s="62">
      <c r="A53" s="97" t="inlineStr">
        <is>
          <t>Teşvik oranları güncel mi? — Oranlar üretim tarihi itibarıyla günceldir; kaynağı AYARLAR'da yazılıdır ve güncellenebilir.</t>
        </is>
      </c>
    </row>
    <row r="54" ht="15" customHeight="1" s="62">
      <c r="A54" s="97" t="inlineStr">
        <is>
          <t>Örnek veriyi nasıl kullanırım? — ORNEK_VERI sayfasındaki satırları ilgili giriş sayfalarına kopyalayabilirsiniz.</t>
        </is>
      </c>
    </row>
    <row r="56" ht="15" customHeight="1" s="62">
      <c r="A56" s="113" t="inlineStr">
        <is>
          <t>Güvenlik ve koruma</t>
        </is>
      </c>
    </row>
    <row r="57" ht="15" customHeight="1" s="62">
      <c r="A57" s="97" t="inlineStr">
        <is>
          <t>Formül ve başlık hücreleri kilitlidir; yalnızca açık sarı giriş hücrelerine veri girilir.</t>
        </is>
      </c>
    </row>
    <row r="58" ht="15" customHeight="1" s="62">
      <c r="A58" s="97" t="inlineStr">
        <is>
          <t>Kritik yapı hücreleri 1234 şifresiyle korunur; kaldırılırsa hesaplama bütünlüğü bozulur.</t>
        </is>
      </c>
    </row>
    <row r="60" ht="15" customHeight="1" s="62">
      <c r="A60" s="113" t="inlineStr">
        <is>
          <t>Ortam ve uyumluluk</t>
        </is>
      </c>
    </row>
    <row r="61" ht="15" customHeight="1" s="62">
      <c r="A61" s="97" t="inlineStr">
        <is>
          <t>Excel 2016 / 2019 / 2021 / 365 (Windows): Tam destek — dosya bu ortamda üretilmiş ve doğrulanmıştır.</t>
        </is>
      </c>
    </row>
    <row r="62" ht="15" customHeight="1" s="62">
      <c r="A62" s="97" t="inlineStr">
        <is>
          <t>Excel for Mac: Tam destek — formül seti iki platformda da standarttır.</t>
        </is>
      </c>
    </row>
    <row r="63" ht="15" customHeight="1" s="62">
      <c r="A63" s="97" t="inlineStr">
        <is>
          <t>LibreOffice Calc: Desteklenir — denetim sürecinde LibreOffice motoruyla yeniden hesaplanmıştır.</t>
        </is>
      </c>
    </row>
    <row r="64" ht="15" customHeight="1" s="62">
      <c r="A64" s="97" t="inlineStr">
        <is>
          <t>Google Sheets: Desteklenmez — koşullu biçimlendirme ve koruma tam taşınmaz; Excel'de kullanınız.</t>
        </is>
      </c>
    </row>
    <row r="66" ht="15" customHeight="1" s="62">
      <c r="A66" s="113" t="inlineStr">
        <is>
          <t>Gizlilik ve KVKK</t>
        </is>
      </c>
    </row>
    <row r="67" ht="15" customHeight="1" s="62">
      <c r="A67" s="97" t="inlineStr">
        <is>
          <t>Dosya tamamen çevrimdışı çalışır: dış bağlantı, web eklentisi, telemetri ve makro yoktur.</t>
        </is>
      </c>
    </row>
    <row r="68" ht="15" customHeight="1" s="62">
      <c r="A68" s="97" t="inlineStr">
        <is>
          <t>Çalışan ve maaş bilgileri bu dosyadan asla dışarı çıkmaz; veriler yalnızca cihazınızda işlenir.</t>
        </is>
      </c>
    </row>
    <row r="69" ht="15" customHeight="1" s="62">
      <c r="A69" s="97" t="inlineStr">
        <is>
          <t>Bulut tabanlı rakiplerin aksine verileriniz kimseyle paylaşılmaz; bu dosya KVKK uyumlu çalışır.</t>
        </is>
      </c>
    </row>
    <row r="71" ht="19.5" customHeight="1" s="62">
      <c r="A71" s="99" t="inlineStr">
        <is>
          <t>Bu araç karar destek amaçlıdır; SGK danışmanlığı yerine geçmez.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9">
    <mergeCell ref="A24:B24"/>
    <mergeCell ref="A30:B30"/>
    <mergeCell ref="A15:B15"/>
    <mergeCell ref="A64:B64"/>
    <mergeCell ref="A51:B51"/>
    <mergeCell ref="A71:AN71"/>
    <mergeCell ref="A61:B61"/>
    <mergeCell ref="A69:B69"/>
    <mergeCell ref="A16:B16"/>
    <mergeCell ref="A54:B54"/>
    <mergeCell ref="A27:B27"/>
    <mergeCell ref="A21:B21"/>
    <mergeCell ref="A57:B57"/>
    <mergeCell ref="A14:B14"/>
    <mergeCell ref="A17:B17"/>
    <mergeCell ref="A23:B23"/>
    <mergeCell ref="A22:B22"/>
    <mergeCell ref="A53:B53"/>
    <mergeCell ref="A62:B62"/>
    <mergeCell ref="A20:B20"/>
    <mergeCell ref="A29:B29"/>
    <mergeCell ref="A52:B52"/>
    <mergeCell ref="A68:B68"/>
    <mergeCell ref="A63:B63"/>
    <mergeCell ref="A28:B28"/>
    <mergeCell ref="A13:B13"/>
    <mergeCell ref="A67:B67"/>
    <mergeCell ref="A58:B58"/>
    <mergeCell ref="A1:A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tr-TR</dc:language>
  <dcterms:created xmlns:dcterms="http://purl.org/dc/terms/" xmlns:xsi="http://www.w3.org/2001/XMLSchema-instance" xsi:type="dcterms:W3CDTF">2026-08-09T21:01:29Z</dcterms:created>
  <dcterms:modified xmlns:dcterms="http://purl.org/dc/terms/" xmlns:xsi="http://www.w3.org/2001/XMLSchema-instance" xsi:type="dcterms:W3CDTF">2026-09-25T14:56:18Z</dcterms:modified>
  <cp:revision>0</cp:revision>
</cp:coreProperties>
</file>